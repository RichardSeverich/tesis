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5A2266C-1D9A-4B59-BA0B-B53C171B5807}" xr6:coauthVersionLast="47" xr6:coauthVersionMax="47" xr10:uidLastSave="{00000000-0000-0000-0000-000000000000}"/>
  <bookViews>
    <workbookView xWindow="-120" yWindow="-120" windowWidth="20640" windowHeight="11310" firstSheet="7" activeTab="10" xr2:uid="{00000000-000D-0000-FFFF-FFFF00000000}"/>
  </bookViews>
  <sheets>
    <sheet name="Motivación_asignatura" sheetId="26" r:id="rId1"/>
    <sheet name="Resolución_autónoma" sheetId="25" r:id="rId2"/>
    <sheet name="Desarrollo_habilidades" sheetId="24" r:id="rId3"/>
    <sheet name="Nivel_comprensión_programación" sheetId="23" r:id="rId4"/>
    <sheet name="Calificación_programación" sheetId="22" r:id="rId5"/>
    <sheet name="Esfuerzo_objetivos_comunes" sheetId="21" r:id="rId6"/>
    <sheet name="Cumplimiento_tareas" sheetId="20" r:id="rId7"/>
    <sheet name="Valoró_aportes" sheetId="19" r:id="rId8"/>
    <sheet name="Contribución_equilibrada" sheetId="18" r:id="rId9"/>
    <sheet name="Expresó_ideas_clara" sheetId="17" r:id="rId10"/>
    <sheet name="Participó_activamente" sheetId="1" r:id="rId11"/>
  </sheets>
  <calcPr calcId="191029"/>
</workbook>
</file>

<file path=xl/calcChain.xml><?xml version="1.0" encoding="utf-8"?>
<calcChain xmlns="http://schemas.openxmlformats.org/spreadsheetml/2006/main">
  <c r="E56" i="26" l="1"/>
  <c r="E55" i="26"/>
  <c r="E12" i="26"/>
  <c r="E11" i="26"/>
  <c r="E10" i="26"/>
  <c r="E9" i="26"/>
  <c r="E8" i="26"/>
  <c r="E6" i="26"/>
  <c r="E5" i="26"/>
  <c r="E4" i="26"/>
  <c r="E3" i="26"/>
  <c r="E2" i="26"/>
  <c r="E56" i="25"/>
  <c r="E55" i="25"/>
  <c r="E12" i="25"/>
  <c r="E11" i="25"/>
  <c r="E43" i="25" s="1"/>
  <c r="E10" i="25"/>
  <c r="E9" i="25"/>
  <c r="E8" i="25"/>
  <c r="E6" i="25"/>
  <c r="E5" i="25"/>
  <c r="E42" i="25" s="1"/>
  <c r="E4" i="25"/>
  <c r="E3" i="25"/>
  <c r="E2" i="25"/>
  <c r="E56" i="24"/>
  <c r="E55" i="24"/>
  <c r="E12" i="24"/>
  <c r="E11" i="24"/>
  <c r="E10" i="24"/>
  <c r="E9" i="24"/>
  <c r="E8" i="24"/>
  <c r="E6" i="24"/>
  <c r="E5" i="24"/>
  <c r="E4" i="24"/>
  <c r="E3" i="24"/>
  <c r="E2" i="24"/>
  <c r="E56" i="23"/>
  <c r="E55" i="23"/>
  <c r="E12" i="23"/>
  <c r="E11" i="23"/>
  <c r="E10" i="23"/>
  <c r="E9" i="23"/>
  <c r="E8" i="23"/>
  <c r="E6" i="23"/>
  <c r="E5" i="23"/>
  <c r="E41" i="23" s="1"/>
  <c r="E4" i="23"/>
  <c r="E3" i="23"/>
  <c r="E2" i="23"/>
  <c r="E56" i="22"/>
  <c r="E55" i="22"/>
  <c r="E12" i="22"/>
  <c r="E11" i="22"/>
  <c r="E10" i="22"/>
  <c r="E9" i="22"/>
  <c r="E8" i="22"/>
  <c r="E6" i="22"/>
  <c r="E5" i="22"/>
  <c r="E4" i="22"/>
  <c r="E3" i="22"/>
  <c r="E2" i="22"/>
  <c r="E56" i="21"/>
  <c r="E55" i="21"/>
  <c r="E12" i="21"/>
  <c r="E11" i="21"/>
  <c r="E43" i="21" s="1"/>
  <c r="E10" i="21"/>
  <c r="E9" i="21"/>
  <c r="E8" i="21"/>
  <c r="E6" i="21"/>
  <c r="E5" i="21"/>
  <c r="E4" i="21"/>
  <c r="E3" i="21"/>
  <c r="E2" i="21"/>
  <c r="E56" i="20"/>
  <c r="E55" i="20"/>
  <c r="E12" i="20"/>
  <c r="E11" i="20"/>
  <c r="E43" i="20" s="1"/>
  <c r="E10" i="20"/>
  <c r="E9" i="20"/>
  <c r="E8" i="20"/>
  <c r="E6" i="20"/>
  <c r="E5" i="20"/>
  <c r="E41" i="20" s="1"/>
  <c r="E4" i="20"/>
  <c r="E3" i="20"/>
  <c r="E2" i="20"/>
  <c r="E56" i="19"/>
  <c r="E55" i="19"/>
  <c r="E12" i="19"/>
  <c r="E11" i="19"/>
  <c r="E10" i="19"/>
  <c r="E9" i="19"/>
  <c r="E8" i="19"/>
  <c r="E6" i="19"/>
  <c r="E5" i="19"/>
  <c r="E4" i="19"/>
  <c r="E3" i="19"/>
  <c r="E2" i="19"/>
  <c r="E56" i="18"/>
  <c r="E55" i="18"/>
  <c r="E12" i="18"/>
  <c r="E11" i="18"/>
  <c r="E10" i="18"/>
  <c r="E9" i="18"/>
  <c r="E8" i="18"/>
  <c r="E6" i="18"/>
  <c r="E5" i="18"/>
  <c r="E4" i="18"/>
  <c r="E3" i="18"/>
  <c r="E2" i="18"/>
  <c r="E56" i="17"/>
  <c r="E55" i="17"/>
  <c r="E12" i="17"/>
  <c r="E11" i="17"/>
  <c r="E10" i="17"/>
  <c r="E9" i="17"/>
  <c r="E8" i="17"/>
  <c r="E6" i="17"/>
  <c r="E5" i="17"/>
  <c r="E4" i="17"/>
  <c r="E3" i="17"/>
  <c r="E2" i="17"/>
  <c r="E42" i="24" l="1"/>
  <c r="E43" i="22"/>
  <c r="E41" i="17"/>
  <c r="E42" i="26"/>
  <c r="E43" i="26"/>
  <c r="E41" i="26"/>
  <c r="E29" i="26"/>
  <c r="E29" i="25"/>
  <c r="E41" i="25"/>
  <c r="E45" i="25" s="1"/>
  <c r="E43" i="24"/>
  <c r="E41" i="24"/>
  <c r="E29" i="24"/>
  <c r="E29" i="23"/>
  <c r="E43" i="23"/>
  <c r="E42" i="23"/>
  <c r="E45" i="23" s="1"/>
  <c r="E42" i="22"/>
  <c r="E41" i="22"/>
  <c r="E29" i="22"/>
  <c r="E41" i="21"/>
  <c r="E42" i="21"/>
  <c r="E29" i="21"/>
  <c r="E42" i="20"/>
  <c r="E29" i="20"/>
  <c r="E45" i="20"/>
  <c r="E43" i="19"/>
  <c r="E42" i="19"/>
  <c r="E29" i="19"/>
  <c r="E41" i="19"/>
  <c r="E45" i="19" s="1"/>
  <c r="E42" i="18"/>
  <c r="E29" i="18"/>
  <c r="E43" i="18"/>
  <c r="E41" i="18"/>
  <c r="E43" i="17"/>
  <c r="E42" i="17"/>
  <c r="E29" i="17"/>
  <c r="E45" i="24" l="1"/>
  <c r="E53" i="24" s="1"/>
  <c r="E45" i="22"/>
  <c r="E53" i="22" s="1"/>
  <c r="E45" i="21"/>
  <c r="E53" i="21" s="1"/>
  <c r="E45" i="26"/>
  <c r="E53" i="26" s="1"/>
  <c r="E53" i="25"/>
  <c r="E52" i="25"/>
  <c r="E53" i="23"/>
  <c r="E52" i="23"/>
  <c r="E53" i="20"/>
  <c r="E52" i="20"/>
  <c r="E53" i="19"/>
  <c r="E52" i="19"/>
  <c r="E45" i="18"/>
  <c r="E52" i="18" s="1"/>
  <c r="E45" i="17"/>
  <c r="E52" i="17" s="1"/>
  <c r="E56" i="1"/>
  <c r="E55" i="1"/>
  <c r="E52" i="26" l="1"/>
  <c r="E52" i="24"/>
  <c r="E52" i="22"/>
  <c r="E52" i="21"/>
  <c r="E53" i="18"/>
  <c r="E53" i="17"/>
  <c r="E12" i="1"/>
  <c r="E11" i="1"/>
  <c r="E10" i="1"/>
  <c r="E9" i="1"/>
  <c r="E8" i="1"/>
  <c r="E6" i="1"/>
  <c r="E5" i="1"/>
  <c r="E4" i="1"/>
  <c r="E3" i="1"/>
  <c r="E2" i="1"/>
  <c r="E29" i="1" l="1"/>
  <c r="E42" i="1"/>
  <c r="E41" i="1"/>
  <c r="E43" i="1"/>
  <c r="E45" i="1" l="1"/>
  <c r="E53" i="1" l="1"/>
  <c r="E52" i="1"/>
</calcChain>
</file>

<file path=xl/sharedStrings.xml><?xml version="1.0" encoding="utf-8"?>
<sst xmlns="http://schemas.openxmlformats.org/spreadsheetml/2006/main" count="440" uniqueCount="54">
  <si>
    <r>
      <t>Mediana (Me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</si>
  <si>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Moda (Mo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</si>
  <si>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>Mediana (Me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</si>
  <si>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Moda (Mo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</si>
  <si>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t>n1</t>
  </si>
  <si>
    <t>n2</t>
  </si>
  <si>
    <t>t de student</t>
  </si>
  <si>
    <t>df grados de libertad</t>
  </si>
  <si>
    <t>parte 1</t>
  </si>
  <si>
    <t>parte 2</t>
  </si>
  <si>
    <t>parte 3</t>
  </si>
  <si>
    <t>Valor de t</t>
  </si>
  <si>
    <t>Buscar Tabla</t>
  </si>
  <si>
    <t>Nivel de significancia (α) (para dos colas)</t>
  </si>
  <si>
    <r>
      <t>Desviacion Tipica o Estandar (S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</t>
    </r>
  </si>
  <si>
    <r>
      <t>Desviacion Tipica o Estandar (S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</si>
  <si>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</si>
  <si>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valor crítico t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</si>
  <si>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2 colas</t>
    </r>
  </si>
  <si>
    <r>
      <t xml:space="preserve">P valor, Calculado </t>
    </r>
    <r>
      <rPr>
        <b/>
        <sz val="11"/>
        <color theme="1"/>
        <rFont val="Calibri"/>
        <family val="2"/>
        <scheme val="minor"/>
      </rPr>
      <t>(Excel)</t>
    </r>
    <r>
      <rPr>
        <sz val="11"/>
        <color theme="1"/>
        <rFont val="Calibri"/>
        <family val="2"/>
        <scheme val="minor"/>
      </rPr>
      <t xml:space="preserve"> 1 cola</t>
    </r>
  </si>
  <si>
    <t>Hipotesis</t>
  </si>
  <si>
    <r>
      <t xml:space="preserve">hipotesis nula Ho = </t>
    </r>
    <r>
      <rPr>
        <sz val="11"/>
        <color rgb="FFC00000"/>
        <rFont val="Calibri"/>
        <family val="2"/>
        <scheme val="minor"/>
      </rPr>
      <t>No hay diferencias significativa</t>
    </r>
  </si>
  <si>
    <r>
      <t xml:space="preserve">hipotesis alternativa H1 = </t>
    </r>
    <r>
      <rPr>
        <sz val="11"/>
        <color rgb="FF00B050"/>
        <rFont val="Calibri"/>
        <family val="2"/>
        <scheme val="minor"/>
      </rPr>
      <t>Si hay diferencia significativa</t>
    </r>
  </si>
  <si>
    <t>si te calculado &gt; a t critico (de tabla) ---&gt; se rechaza la hipotesis nula y se acepta la hipotesis alternativa ?</t>
  </si>
  <si>
    <t>y si p valor &lt; 0.05 ---&gt; se rechaza la hipotesis nula y se acepta la hipotesis alternativa ?</t>
  </si>
  <si>
    <t>Concluciones</t>
  </si>
  <si>
    <r>
      <t xml:space="preserve">Si </t>
    </r>
    <r>
      <rPr>
        <sz val="11"/>
        <color rgb="FF00B050"/>
        <rFont val="Calibri"/>
        <family val="2"/>
        <scheme val="minor"/>
      </rPr>
      <t>t calculado</t>
    </r>
    <r>
      <rPr>
        <sz val="11"/>
        <color rgb="FFC00000"/>
        <rFont val="Calibri"/>
        <family val="2"/>
        <scheme val="minor"/>
      </rPr>
      <t xml:space="preserve"> &gt; t critico (Tabla)</t>
    </r>
  </si>
  <si>
    <t>La diferencia observada es lo suficientemente grande como para que no sea atribuible al azar.</t>
  </si>
  <si>
    <r>
      <t xml:space="preserve">Se </t>
    </r>
    <r>
      <rPr>
        <sz val="11"/>
        <color rgb="FFC00000"/>
        <rFont val="Calibri"/>
        <family val="2"/>
        <scheme val="minor"/>
      </rPr>
      <t>rechaza</t>
    </r>
    <r>
      <rPr>
        <sz val="11"/>
        <color theme="1"/>
        <rFont val="Calibri"/>
        <family val="2"/>
        <scheme val="minor"/>
      </rPr>
      <t xml:space="preserve"> la hipotesis nula </t>
    </r>
    <r>
      <rPr>
        <sz val="11"/>
        <color rgb="FFC00000"/>
        <rFont val="Calibri"/>
        <family val="2"/>
        <scheme val="minor"/>
      </rPr>
      <t>Ho</t>
    </r>
    <r>
      <rPr>
        <sz val="11"/>
        <color theme="1"/>
        <rFont val="Calibri"/>
        <family val="2"/>
        <scheme val="minor"/>
      </rPr>
      <t xml:space="preserve"> y se </t>
    </r>
    <r>
      <rPr>
        <sz val="11"/>
        <color rgb="FF00B050"/>
        <rFont val="Calibri"/>
        <family val="2"/>
        <scheme val="minor"/>
      </rPr>
      <t>acepta</t>
    </r>
    <r>
      <rPr>
        <sz val="11"/>
        <color theme="1"/>
        <rFont val="Calibri"/>
        <family val="2"/>
        <scheme val="minor"/>
      </rPr>
      <t xml:space="preserve"> la hipotesis alternativa </t>
    </r>
    <r>
      <rPr>
        <sz val="11"/>
        <color rgb="FF00B050"/>
        <rFont val="Calibri"/>
        <family val="2"/>
        <scheme val="minor"/>
      </rPr>
      <t>H1</t>
    </r>
  </si>
  <si>
    <t xml:space="preserve">Como p valor es menor que  el nivel de significancia  </t>
  </si>
  <si>
    <r>
      <t xml:space="preserve">Grupo Control
(Sin Aprendizaje colaborativo) Pre-test
</t>
    </r>
    <r>
      <rPr>
        <sz val="11"/>
        <rFont val="Calibri"/>
        <family val="2"/>
        <scheme val="minor"/>
      </rPr>
      <t>Participó_activamente
a) Siempre = 5
b) Muchas veces = 4
c) A veces = 3
d) Pocas veces = 2 
e) Nunca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</si>
  <si>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Participó_activamente
a) Siempre = 5
b) Muchas veces = 4
c) A veces = 3
d) Pocas veces = 2 
e) Nunca = 1</t>
    </r>
  </si>
  <si>
    <r>
      <t xml:space="preserve">Grupo Experimental
(Sin Aprendizaje colaborativo) Pre-test
Expresó_ideas_clara                              </t>
    </r>
    <r>
      <rPr>
        <sz val="11"/>
        <rFont val="Calibri"/>
        <family val="2"/>
        <scheme val="minor"/>
      </rPr>
      <t>a) Siempre = 5
b) Frecuente = 4
c) A veces = 3
d) Raro = 2
e) Nunca = 1</t>
    </r>
  </si>
  <si>
    <r>
      <t xml:space="preserve">Grupo Control
(Sin Aprendizaje colaborativo) Pre-test
Expresó_ideas_clara                              </t>
    </r>
    <r>
      <rPr>
        <sz val="11"/>
        <rFont val="Calibri"/>
        <family val="2"/>
        <scheme val="minor"/>
      </rPr>
      <t>a) Siempre = 5
b) Frecuente = 4
c) A veces = 3
d) Raro = 2
e) Nunca = 1</t>
    </r>
  </si>
  <si>
    <r>
      <t xml:space="preserve">Grupo Experimental
(Sin Aprendizaje colaborativo) Pre-test
Contribución_equilibrada                    </t>
    </r>
    <r>
      <rPr>
        <sz val="11"/>
        <rFont val="Calibri"/>
        <family val="2"/>
        <scheme val="minor"/>
      </rPr>
      <t>a) Siempre = 5
b) Muchas veces = 4
c) A veces = 3
d) Pocas veces = 2 
e) Nunca = 1</t>
    </r>
  </si>
  <si>
    <r>
      <t xml:space="preserve">Grupo Control
(Sin Aprendizaje colaborativo) Pre-test
Contribución_equilibrada                                   </t>
    </r>
    <r>
      <rPr>
        <sz val="11"/>
        <rFont val="Calibri"/>
        <family val="2"/>
        <scheme val="minor"/>
      </rPr>
      <t>a) Siempre = 5
b) Muchas veces = 4
c) A veces = 3
d) Pocas veces = 2 
e) Nunca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</si>
  <si>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Valoró_aportes
a) Siempre = 5
b) Frecuente = 4
c) A veces = 3
d) Raro = 2
e) Nunca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</si>
  <si>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Valoró_aportes
a) Siempre = 5
b) Frecuente = 4
c) A veces = 3
d) Raro = 2
e) Nunca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</si>
  <si>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Cumplimiento_tareas
a) Siempre = 5
b) Muchas veces = 4
c) A veces = 3
d) Pocas veces = 2
e) Nunca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</si>
  <si>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Cumplimiento_tareas
a) Siempre = 5
b) Muchas veces = 4
c) A veces = 3
d) Pocas veces = 2
e) Nunca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</si>
  <si>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Esfuerzo_objetivos_comunes
a) Siempre = 5
b) Frecuente = 4
c) A veces = 3
d) Raro = 2
e) Nunca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</si>
  <si>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Esfuerzo_objetivos_comunes
a) Siempre = 5
b) Frecuente = 4
c) A veces = 3
d) Raro = 2
e) Nunca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</si>
  <si>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Calificación_programación
a) 81 - 100 = 5
b) 61 - 80 = 4
c) 41 - 60 = 3
d) 21 - 40 = 2
e) 0 - 20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</si>
  <si>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Calificación_programación
a) 81 - 100 = 5
b) 61 - 80 = 4
c) 41 - 60 = 3
d) 21 - 40 = 2
e) 0 - 20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</si>
  <si>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Nivel_comprensión_programación
a) Muy Bueno = 5
b) bueno = 4
c) Regular = 3
d) Malo = 2
e) Muy malo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</si>
  <si>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Nivel_comprensión_programación
a) Muy Bueno = 5
b) bueno = 4
c) Regular = 3
d) Malo = 2
e) Muy malo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</si>
  <si>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Desarrollo_habilidades
a) Siempre = 5
b) Muchas veces = 4
c) A veces = 3
d) Pocas veces = 2
e) Nunca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</si>
  <si>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Desarrollo_habilidades
a) Siempre = 5
b) Muchas veces = 4
c) A veces = 3
d) Pocas veces = 2
e) Nunca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</si>
  <si>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Resolución_autónoma
a) Siempre = 5
b) Frecuente = 4
c) A veces = 3
d) Raro = 2
e) Nunca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</si>
  <si>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Resolución_autónoma
a) Siempre = 5
b) Frecuente = 4
c) A veces = 3
d) Raro = 2
e) Nunca = 1</t>
    </r>
  </si>
  <si>
    <r>
      <t xml:space="preserve">Grupo Experimental
(Sin Aprendizaje colaborativo) Pre-test
</t>
    </r>
    <r>
      <rPr>
        <sz val="11"/>
        <rFont val="Calibri"/>
        <family val="2"/>
        <scheme val="minor"/>
      </rPr>
      <t>Motivación_asignatura
a) Muy Alta = 5
b) Alta = 4
c) Regular = 3
d) Baja = 2
e) Muy Baja = 1</t>
    </r>
  </si>
  <si>
    <r>
      <t xml:space="preserve">Grupo Control
(Sin Aprendizaje colaborativo) Pre-test
</t>
    </r>
    <r>
      <rPr>
        <sz val="11"/>
        <rFont val="Calibri"/>
        <family val="2"/>
        <scheme val="minor"/>
      </rPr>
      <t>Motivación_asignatura
a) Muy Alta = 5
b) Alta = 4
c) Regular = 3
d) Baja = 2
e) Muy Baja = 1</t>
    </r>
  </si>
  <si>
    <r>
      <t>Media (X</t>
    </r>
    <r>
      <rPr>
        <sz val="8"/>
        <color rgb="FF9C0006"/>
        <rFont val="Calibri"/>
        <family val="2"/>
        <scheme val="minor"/>
      </rPr>
      <t>1</t>
    </r>
    <r>
      <rPr>
        <sz val="11"/>
        <color rgb="FF9C0006"/>
        <rFont val="Calibri"/>
        <family val="2"/>
        <scheme val="minor"/>
      </rPr>
      <t>) Sin aprendizaje colaborativo</t>
    </r>
  </si>
  <si>
    <r>
      <t>Media (X</t>
    </r>
    <r>
      <rPr>
        <sz val="8"/>
        <color rgb="FF006100"/>
        <rFont val="Calibri"/>
        <family val="2"/>
        <scheme val="minor"/>
      </rPr>
      <t>2</t>
    </r>
    <r>
      <rPr>
        <sz val="11"/>
        <color rgb="FF006100"/>
        <rFont val="Calibri"/>
        <family val="2"/>
        <scheme val="minor"/>
      </rPr>
      <t>) Sin aprendizaje colaborativo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</si>
</sst>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7" fillId="6" borderId="0" applyNumberFormat="0" applyBorder="0" applyAlignment="0" applyProtection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3" fillId="0" borderId="0"/>
  </cellStyleXfs>
  <cellXfs count="13">
    <xf numFmtId="0" fontId="0" fillId="0" borderId="0" xfId="0"/>
    <xf numFmtId="0" fontId="2" fillId="3" borderId="3" xfId="2" applyBorder="1"/>
    <xf numFmtId="0" fontId="3" fillId="4" borderId="1" xfId="3"/>
    <xf numFmtId="0" fontId="1" fillId="2" borderId="3" xfId="1" applyBorder="1"/>
    <xf numFmtId="0" fontId="2" fillId="3" borderId="0" xfId="2" applyBorder="1"/>
    <xf numFmtId="0" fontId="1" fillId="2" borderId="0" xfId="1"/>
    <xf numFmtId="0" fontId="4" fillId="5" borderId="2" xfId="4"/>
    <xf numFmtId="0" fontId="7" fillId="6" borderId="0" xfId="5"/>
    <xf numFmtId="0" fontId="0" fillId="0" borderId="0" xfId="0" applyAlignment="1">
      <alignment horizontal="center"/>
    </xf>
    <xf numFmtId="0" fontId="13" fillId="0" borderId="0" xfId="11" applyAlignment="1">
      <alignment horizontal="center"/>
    </xf>
    <xf numFmtId="0" fontId="10" fillId="0" borderId="4" xfId="0" applyFont="1" applyBorder="1" applyAlignment="1">
      <alignment horizontal="center" vertical="top" wrapText="1"/>
    </xf>
    <xf numFmtId="0" fontId="10" fillId="7" borderId="4" xfId="1" applyFont="1" applyFill="1" applyBorder="1" applyAlignment="1">
      <alignment horizontal="center" vertical="center" wrapText="1"/>
    </xf>
    <xf numFmtId="0" fontId="10" fillId="7" borderId="4" xfId="1" applyFont="1" applyFill="1" applyBorder="1" applyAlignment="1">
      <alignment horizontal="center" vertical="top" wrapText="1"/>
    </xf>
  </cellXfs>
  <cellStyles count="12">
    <cellStyle name="Bueno" xfId="1" builtinId="26"/>
    <cellStyle name="Entrada" xfId="3" builtinId="20"/>
    <cellStyle name="Incorrecto" xfId="2" builtinId="27"/>
    <cellStyle name="Neutral" xfId="5" builtinId="28"/>
    <cellStyle name="Normal" xfId="0" builtinId="0"/>
    <cellStyle name="Normal 2" xfId="8" xr:uid="{00000000-0005-0000-0000-000005000000}"/>
    <cellStyle name="Normal 2 2" xfId="10" xr:uid="{00000000-0005-0000-0000-000006000000}"/>
    <cellStyle name="Normal 3" xfId="6" xr:uid="{00000000-0005-0000-0000-000007000000}"/>
    <cellStyle name="Normal 3 2" xfId="9" xr:uid="{00000000-0005-0000-0000-000008000000}"/>
    <cellStyle name="Normal 4" xfId="7" xr:uid="{00000000-0005-0000-0000-000009000000}"/>
    <cellStyle name="Normal 5" xfId="11" xr:uid="{00000000-0005-0000-0000-00000A000000}"/>
    <cellStyle name="Salida" xfId="4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AF456B-33AD-4CF0-B72A-2C6BD6AB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85A7C6-7F74-45F8-82B1-6851C0F6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BF29B3C-211B-4E97-A565-26A139501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6B44F7-E925-453D-9B42-0AA67F62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B005975-7130-485D-A6B7-416A5FE8C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703490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6ADC868-70AC-461D-BA40-15E403DAD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6432" y="15558128"/>
          <a:ext cx="1227600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451759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887214-2FF0-44FD-A59C-9ABF39A00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3810" y="16923727"/>
          <a:ext cx="2868491" cy="809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B85410-A6C5-4FE3-ACDC-B9E8D7BE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432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7ACE87-F854-4DEA-BBD7-B78091F9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504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DEF1E7-B14F-4C8B-9930-E79FDA50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333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0B7891-5DA4-4152-B7E1-0DC8DDF4E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341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0F386A-17AE-4EFA-9431-8B5147C00D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269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676275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CC5744F-8A37-4D6B-8581-A87A1380F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6432" y="15558128"/>
          <a:ext cx="1227600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424544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9AAA006-C509-4896-A425-CDE134184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3810" y="16923727"/>
          <a:ext cx="2868491" cy="809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A7E89F-7E63-4CF4-8936-839C5938C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504331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4A5661-84C7-40C3-B356-3DA3BB91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75045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501E2E-1A19-4313-B417-3F5B7D89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43341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3D6026B-0E53-479C-9F2C-E0EE250A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83419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CF378D2-8253-49ED-80F2-CBF0D257DA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42694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717097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6C3AD0F-56A7-4E4D-A800-EEA025C7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6432" y="15758153"/>
          <a:ext cx="1227600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465366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7CE32D7-4737-47B5-8A61-90E1DAC5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3810" y="17123752"/>
          <a:ext cx="2868491" cy="8092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66E40C-121D-4BC7-ACA9-9C07EDD2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3873" y="4881386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E7832-84BA-4D50-92C8-3BE5D618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7528" y="75885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55F114-99E6-4839-AA16-B526A188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42340" y="92714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7937A26-9B02-4BBA-B478-26C3F072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42340" y="9672272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D1BFCF-2EA1-47A2-9904-5C30B7851A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635011" y="102650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689882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C1DEBE-8EF5-4A1A-92DB-5BCF71CAC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6432" y="15596228"/>
          <a:ext cx="1227600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438151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1B58EA-FACA-4D77-B3DD-67ABE866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3810" y="16961827"/>
          <a:ext cx="2868491" cy="8092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F52E8B-8C6E-4599-89F5-E149DDA7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50242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FDA9D7-3D0E-4062-AFE8-2DF26F955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7314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493BE7-F811-4FF9-8339-895FCBA46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4143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7AFA635-8C7F-4838-9829-6480FEB0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8151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2C9199F-F392-4A41-9ED6-25EDE51E16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4078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635454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4B5412B-80E7-4D83-A9A0-3FFFE79E2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1657" y="157391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383723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2B5D24F-AD32-46DC-9662-A37C1E13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99035" y="17104702"/>
          <a:ext cx="2868490" cy="809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67AFF3-BE47-40CA-B1C9-B6C992461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AA63AD-CD06-4257-95B9-27579D90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EA2082-6FC5-4D9A-9010-0C6BC204F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9A5ED7-7A6D-47BF-934A-E286E67C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519E7A1-6CB7-4645-8F08-841FB44E4D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662667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5A573DF-B8B1-4FC9-9D11-B6880791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1657" y="15586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410936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61CE49A-9D9D-4A8B-B41F-C6368A816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99035" y="16952302"/>
          <a:ext cx="2868490" cy="8092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1D70F1-FFD7-4540-ADA2-E9F4DB1D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E2F120-D28C-4BA8-B376-F38967270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F938C9-5B6A-413B-A79D-53727117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727F1F-9107-4167-93A9-1D609D5DE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69A5533-AACE-44DD-968A-04ACEE1D4C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662667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469936-D0C7-43EC-8125-3B42374D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1657" y="15586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410936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999960C-DB86-48A1-A431-4BA41310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99035" y="16952302"/>
          <a:ext cx="2868490" cy="8092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58D304-E02A-48BF-8BB5-2AD7AA64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98" y="4871861"/>
          <a:ext cx="2027708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9EAD59-50F3-4956-B76D-7AC58F37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27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0086B95-1149-497A-A853-9C6D0495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75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A5D6787-7FB8-440B-BB8C-FCA60425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375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71F7BEB-FE3B-49CD-A73F-2FCC35227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5302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594631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2D78CC-791E-4411-9495-DB7DE205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91657" y="15586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342900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EAC2CC7-2C85-4999-9ADE-D54BA124F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99035" y="16952302"/>
          <a:ext cx="2868490" cy="8092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2002031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A4E578-9FFC-4C4E-B5DD-B269F41C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21A36E-983F-4351-BEA8-068D5F1B9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443A27-E041-44A9-856C-355268B7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9B6F7A-F6B7-4CBB-92BF-E160E2D7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1142C4-00BA-4BAC-923E-E0A11BAB93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608239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1255BA-B584-47F2-BCD9-86BC2A70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86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356508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DFC1AB5-2B24-4B1F-8508-D99D17AC9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52302"/>
          <a:ext cx="2868490" cy="8092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E18131-8F69-4822-840C-25ADA20A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498" y="4871861"/>
          <a:ext cx="2027709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F7ECE2-67DD-4C51-8352-46D75D38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44153" y="7579001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B9F1B2-30DE-44A0-994D-EE9034BD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8965" y="9261962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516E991-A16A-45FA-99DE-76A3B27C9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08965" y="9662747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2522425-5D18-4949-8F80-4B96A446CD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4301636" y="10255493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581024</xdr:colOff>
      <xdr:row>70</xdr:row>
      <xdr:rowOff>41230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EF2024-C731-4CBA-9E07-8B8BD22C9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3057" y="155867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329293</xdr:colOff>
      <xdr:row>79</xdr:row>
      <xdr:rowOff>168849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9AA1C2F-EF6B-43DC-AA30-A9EF53D19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70435" y="16952302"/>
          <a:ext cx="2868490" cy="8092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583923</xdr:colOff>
      <xdr:row>17</xdr:row>
      <xdr:rowOff>42686</xdr:rowOff>
    </xdr:from>
    <xdr:to>
      <xdr:col>3</xdr:col>
      <xdr:colOff>2002032</xdr:colOff>
      <xdr:row>27</xdr:row>
      <xdr:rowOff>137936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4966" y="3852686"/>
          <a:ext cx="203102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57978</xdr:colOff>
      <xdr:row>31</xdr:row>
      <xdr:rowOff>82826</xdr:rowOff>
    </xdr:from>
    <xdr:to>
      <xdr:col>3</xdr:col>
      <xdr:colOff>2219883</xdr:colOff>
      <xdr:row>38</xdr:row>
      <xdr:rowOff>158850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935" y="6559826"/>
          <a:ext cx="2161905" cy="14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40</xdr:row>
      <xdr:rowOff>51287</xdr:rowOff>
    </xdr:from>
    <xdr:to>
      <xdr:col>3</xdr:col>
      <xdr:colOff>1361120</xdr:colOff>
      <xdr:row>40</xdr:row>
      <xdr:rowOff>344364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88021" y="8242787"/>
          <a:ext cx="738330" cy="293077"/>
        </a:xfrm>
        <a:prstGeom prst="rect">
          <a:avLst/>
        </a:prstGeom>
      </xdr:spPr>
    </xdr:pic>
    <xdr:clientData/>
  </xdr:twoCellAnchor>
  <xdr:twoCellAnchor editAs="oneCell">
    <xdr:from>
      <xdr:col>3</xdr:col>
      <xdr:colOff>622790</xdr:colOff>
      <xdr:row>41</xdr:row>
      <xdr:rowOff>80597</xdr:rowOff>
    </xdr:from>
    <xdr:to>
      <xdr:col>3</xdr:col>
      <xdr:colOff>1069732</xdr:colOff>
      <xdr:row>41</xdr:row>
      <xdr:rowOff>554627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88021" y="8645770"/>
          <a:ext cx="446942" cy="474030"/>
        </a:xfrm>
        <a:prstGeom prst="rect">
          <a:avLst/>
        </a:prstGeom>
      </xdr:spPr>
    </xdr:pic>
    <xdr:clientData/>
  </xdr:twoCellAnchor>
  <xdr:twoCellAnchor editAs="oneCell">
    <xdr:from>
      <xdr:col>3</xdr:col>
      <xdr:colOff>615461</xdr:colOff>
      <xdr:row>42</xdr:row>
      <xdr:rowOff>73268</xdr:rowOff>
    </xdr:from>
    <xdr:to>
      <xdr:col>3</xdr:col>
      <xdr:colOff>1072661</xdr:colOff>
      <xdr:row>42</xdr:row>
      <xdr:rowOff>527537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615"/>
        <a:stretch/>
      </xdr:blipFill>
      <xdr:spPr>
        <a:xfrm>
          <a:off x="3780692" y="9312518"/>
          <a:ext cx="457200" cy="454269"/>
        </a:xfrm>
        <a:prstGeom prst="rect">
          <a:avLst/>
        </a:prstGeom>
      </xdr:spPr>
    </xdr:pic>
    <xdr:clientData/>
  </xdr:twoCellAnchor>
  <xdr:twoCellAnchor editAs="oneCell">
    <xdr:from>
      <xdr:col>3</xdr:col>
      <xdr:colOff>1976882</xdr:colOff>
      <xdr:row>68</xdr:row>
      <xdr:rowOff>89528</xdr:rowOff>
    </xdr:from>
    <xdr:to>
      <xdr:col>4</xdr:col>
      <xdr:colOff>594631</xdr:colOff>
      <xdr:row>70</xdr:row>
      <xdr:rowOff>41230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01707" y="13757903"/>
          <a:ext cx="1227599" cy="332702"/>
        </a:xfrm>
        <a:prstGeom prst="rect">
          <a:avLst/>
        </a:prstGeom>
      </xdr:spPr>
    </xdr:pic>
    <xdr:clientData/>
  </xdr:twoCellAnchor>
  <xdr:twoCellAnchor editAs="oneCell">
    <xdr:from>
      <xdr:col>3</xdr:col>
      <xdr:colOff>84260</xdr:colOff>
      <xdr:row>75</xdr:row>
      <xdr:rowOff>121627</xdr:rowOff>
    </xdr:from>
    <xdr:to>
      <xdr:col>4</xdr:col>
      <xdr:colOff>342900</xdr:colOff>
      <xdr:row>79</xdr:row>
      <xdr:rowOff>168849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9085" y="15504502"/>
          <a:ext cx="2868490" cy="809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BA9C-BEB5-46EA-BD9F-75567CDA8442}">
  <dimension ref="A1:F88"/>
  <sheetViews>
    <sheetView zoomScale="70" zoomScaleNormal="70" workbookViewId="0">
      <selection activeCell="D8" sqref="D8"/>
    </sheetView>
  </sheetViews>
  <sheetFormatPr baseColWidth="10" defaultColWidth="9.140625" defaultRowHeight="15" x14ac:dyDescent="0.25"/>
  <cols>
    <col min="1" max="1" width="25.140625" customWidth="1"/>
    <col min="2" max="2" width="26" customWidth="1"/>
    <col min="4" max="4" width="37.570312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0" t="s">
        <v>51</v>
      </c>
      <c r="B1" s="12" t="s">
        <v>50</v>
      </c>
    </row>
    <row r="2" spans="1:5" x14ac:dyDescent="0.25">
      <c r="A2" s="8">
        <v>3</v>
      </c>
      <c r="B2" s="8">
        <v>2</v>
      </c>
      <c r="D2" s="1" t="s">
        <v>52</v>
      </c>
      <c r="E2">
        <f>AVERAGE(A:A)</f>
        <v>3.3066666666666666</v>
      </c>
    </row>
    <row r="3" spans="1:5" x14ac:dyDescent="0.25">
      <c r="A3" s="8">
        <v>4</v>
      </c>
      <c r="B3" s="8">
        <v>5</v>
      </c>
      <c r="D3" s="1" t="s">
        <v>0</v>
      </c>
      <c r="E3">
        <f>MEDIAN(A:A)</f>
        <v>4</v>
      </c>
    </row>
    <row r="4" spans="1:5" x14ac:dyDescent="0.25">
      <c r="A4" s="8">
        <v>2</v>
      </c>
      <c r="B4" s="8">
        <v>4</v>
      </c>
      <c r="D4" s="1" t="s">
        <v>1</v>
      </c>
      <c r="E4">
        <f>MODE(A:A)</f>
        <v>4</v>
      </c>
    </row>
    <row r="5" spans="1:5" x14ac:dyDescent="0.25">
      <c r="A5" s="8">
        <v>3</v>
      </c>
      <c r="B5" s="8">
        <v>4</v>
      </c>
      <c r="D5" s="1" t="s">
        <v>15</v>
      </c>
      <c r="E5">
        <f>STDEV(A:A)</f>
        <v>1.1621663523913568</v>
      </c>
    </row>
    <row r="6" spans="1:5" x14ac:dyDescent="0.25">
      <c r="A6" s="8">
        <v>4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5</v>
      </c>
      <c r="B7" s="8">
        <v>1</v>
      </c>
    </row>
    <row r="8" spans="1:5" x14ac:dyDescent="0.25">
      <c r="A8" s="8">
        <v>1</v>
      </c>
      <c r="B8" s="8">
        <v>4</v>
      </c>
      <c r="D8" s="3" t="s">
        <v>53</v>
      </c>
      <c r="E8">
        <f>AVERAGE(B:B)</f>
        <v>3.3733333333333335</v>
      </c>
    </row>
    <row r="9" spans="1:5" x14ac:dyDescent="0.25">
      <c r="A9" s="8">
        <v>4</v>
      </c>
      <c r="B9" s="8">
        <v>4</v>
      </c>
      <c r="D9" s="3" t="s">
        <v>2</v>
      </c>
      <c r="E9">
        <f>MEDIAN(B:B)</f>
        <v>4</v>
      </c>
    </row>
    <row r="10" spans="1:5" x14ac:dyDescent="0.25">
      <c r="A10" s="8">
        <v>5</v>
      </c>
      <c r="B10" s="8">
        <v>2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3</v>
      </c>
      <c r="D11" s="3" t="s">
        <v>14</v>
      </c>
      <c r="E11">
        <f>STDEV(B:B)</f>
        <v>1.1481281279535824</v>
      </c>
    </row>
    <row r="12" spans="1:5" x14ac:dyDescent="0.25">
      <c r="A12" s="8">
        <v>2</v>
      </c>
      <c r="B12" s="8">
        <v>4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3</v>
      </c>
    </row>
    <row r="14" spans="1:5" x14ac:dyDescent="0.25">
      <c r="A14" s="8">
        <v>2</v>
      </c>
      <c r="B14" s="8">
        <v>5</v>
      </c>
    </row>
    <row r="15" spans="1:5" x14ac:dyDescent="0.25">
      <c r="A15" s="8">
        <v>4</v>
      </c>
      <c r="B15" s="8">
        <v>4</v>
      </c>
    </row>
    <row r="16" spans="1:5" x14ac:dyDescent="0.25">
      <c r="A16" s="8">
        <v>4</v>
      </c>
      <c r="B16" s="8">
        <v>3</v>
      </c>
    </row>
    <row r="17" spans="1:5" x14ac:dyDescent="0.25">
      <c r="A17" s="8">
        <v>3</v>
      </c>
      <c r="B17" s="8">
        <v>4</v>
      </c>
      <c r="D17" s="2" t="s">
        <v>6</v>
      </c>
      <c r="E17" s="2"/>
    </row>
    <row r="18" spans="1:5" x14ac:dyDescent="0.25">
      <c r="A18" s="8">
        <v>2</v>
      </c>
      <c r="B18" s="8">
        <v>1</v>
      </c>
    </row>
    <row r="19" spans="1:5" x14ac:dyDescent="0.25">
      <c r="A19" s="8">
        <v>4</v>
      </c>
      <c r="B19" s="8">
        <v>4</v>
      </c>
    </row>
    <row r="20" spans="1:5" x14ac:dyDescent="0.25">
      <c r="A20" s="8">
        <v>4</v>
      </c>
      <c r="B20" s="8">
        <v>3</v>
      </c>
    </row>
    <row r="21" spans="1:5" x14ac:dyDescent="0.25">
      <c r="A21" s="8">
        <v>4</v>
      </c>
      <c r="B21" s="8">
        <v>3</v>
      </c>
    </row>
    <row r="22" spans="1:5" x14ac:dyDescent="0.25">
      <c r="A22" s="8">
        <v>5</v>
      </c>
      <c r="B22" s="8">
        <v>5</v>
      </c>
    </row>
    <row r="23" spans="1:5" x14ac:dyDescent="0.25">
      <c r="A23" s="8">
        <v>4</v>
      </c>
      <c r="B23" s="8">
        <v>3</v>
      </c>
    </row>
    <row r="24" spans="1:5" x14ac:dyDescent="0.25">
      <c r="A24" s="8">
        <v>4</v>
      </c>
      <c r="B24" s="8">
        <v>4</v>
      </c>
    </row>
    <row r="25" spans="1:5" x14ac:dyDescent="0.25">
      <c r="A25" s="8">
        <v>2</v>
      </c>
      <c r="B25" s="8">
        <v>1</v>
      </c>
    </row>
    <row r="26" spans="1:5" x14ac:dyDescent="0.25">
      <c r="A26" s="8">
        <v>4</v>
      </c>
      <c r="B26" s="8">
        <v>4</v>
      </c>
    </row>
    <row r="27" spans="1:5" x14ac:dyDescent="0.25">
      <c r="A27" s="8">
        <v>1</v>
      </c>
      <c r="B27" s="8">
        <v>4</v>
      </c>
    </row>
    <row r="28" spans="1:5" x14ac:dyDescent="0.25">
      <c r="A28" s="8">
        <v>4</v>
      </c>
      <c r="B28" s="8">
        <v>5</v>
      </c>
    </row>
    <row r="29" spans="1:5" x14ac:dyDescent="0.25">
      <c r="A29" s="8">
        <v>3</v>
      </c>
      <c r="B29" s="8">
        <v>1</v>
      </c>
      <c r="D29" t="s">
        <v>11</v>
      </c>
      <c r="E29">
        <f>(E2-E8)/SQRT(((E5^2)/E6)+((E11^2)/E12))</f>
        <v>-0.35341014524040609</v>
      </c>
    </row>
    <row r="30" spans="1:5" x14ac:dyDescent="0.25">
      <c r="A30" s="8">
        <v>4</v>
      </c>
      <c r="B30" s="8">
        <v>3</v>
      </c>
    </row>
    <row r="31" spans="1:5" x14ac:dyDescent="0.25">
      <c r="A31" s="8">
        <v>4</v>
      </c>
      <c r="B31" s="8">
        <v>3</v>
      </c>
      <c r="D31" s="2" t="s">
        <v>7</v>
      </c>
      <c r="E31" s="2"/>
    </row>
    <row r="32" spans="1:5" x14ac:dyDescent="0.25">
      <c r="A32" s="8">
        <v>3</v>
      </c>
      <c r="B32" s="8">
        <v>5</v>
      </c>
    </row>
    <row r="33" spans="1:6" x14ac:dyDescent="0.25">
      <c r="A33" s="8">
        <v>4</v>
      </c>
      <c r="B33" s="8">
        <v>2</v>
      </c>
    </row>
    <row r="34" spans="1:6" x14ac:dyDescent="0.25">
      <c r="A34" s="8">
        <v>5</v>
      </c>
      <c r="B34" s="8">
        <v>4</v>
      </c>
    </row>
    <row r="35" spans="1:6" x14ac:dyDescent="0.25">
      <c r="A35" s="8">
        <v>3</v>
      </c>
      <c r="B35" s="8">
        <v>2</v>
      </c>
    </row>
    <row r="36" spans="1:6" x14ac:dyDescent="0.25">
      <c r="A36" s="8">
        <v>5</v>
      </c>
      <c r="B36" s="8">
        <v>4</v>
      </c>
    </row>
    <row r="37" spans="1:6" x14ac:dyDescent="0.25">
      <c r="A37" s="8">
        <v>3</v>
      </c>
      <c r="B37" s="8">
        <v>4</v>
      </c>
    </row>
    <row r="38" spans="1:6" x14ac:dyDescent="0.25">
      <c r="A38" s="8">
        <v>1</v>
      </c>
      <c r="B38" s="8">
        <v>5</v>
      </c>
    </row>
    <row r="39" spans="1:6" x14ac:dyDescent="0.25">
      <c r="A39" s="8">
        <v>4</v>
      </c>
      <c r="B39" s="8">
        <v>3</v>
      </c>
    </row>
    <row r="40" spans="1:6" x14ac:dyDescent="0.25">
      <c r="A40" s="8">
        <v>2</v>
      </c>
      <c r="B40" s="8">
        <v>3</v>
      </c>
    </row>
    <row r="41" spans="1:6" ht="29.25" customHeight="1" x14ac:dyDescent="0.25">
      <c r="A41" s="8">
        <v>4</v>
      </c>
      <c r="B41" s="8">
        <v>5</v>
      </c>
      <c r="D41" t="s">
        <v>8</v>
      </c>
      <c r="E41">
        <f>(((E5^2)/E6)+((E11^2)/E12))^2</f>
        <v>1.2662484120156195E-3</v>
      </c>
    </row>
    <row r="42" spans="1:6" ht="47.25" customHeight="1" x14ac:dyDescent="0.25">
      <c r="A42" s="8">
        <v>4</v>
      </c>
      <c r="B42" s="8">
        <v>2</v>
      </c>
      <c r="D42" t="s">
        <v>9</v>
      </c>
      <c r="E42">
        <f>(((E5^2)/E6)^2)/(E6-1)</f>
        <v>4.3824699108653385E-6</v>
      </c>
    </row>
    <row r="43" spans="1:6" ht="43.5" customHeight="1" x14ac:dyDescent="0.25">
      <c r="A43" s="8">
        <v>2</v>
      </c>
      <c r="B43" s="8">
        <v>3</v>
      </c>
      <c r="D43" t="s">
        <v>10</v>
      </c>
      <c r="E43">
        <f>(((E11^2)/E12)^2)/(E12-1)</f>
        <v>4.1745261014606006E-6</v>
      </c>
    </row>
    <row r="44" spans="1:6" x14ac:dyDescent="0.25">
      <c r="A44" s="8">
        <v>1</v>
      </c>
      <c r="B44" s="8">
        <v>3</v>
      </c>
    </row>
    <row r="45" spans="1:6" x14ac:dyDescent="0.25">
      <c r="A45" s="8">
        <v>5</v>
      </c>
      <c r="B45" s="8">
        <v>3</v>
      </c>
      <c r="D45" t="s">
        <v>7</v>
      </c>
      <c r="E45">
        <f>E41/(E42+E43)</f>
        <v>147.9781467925952</v>
      </c>
      <c r="F45" s="6" t="s">
        <v>12</v>
      </c>
    </row>
    <row r="46" spans="1:6" x14ac:dyDescent="0.25">
      <c r="A46" s="8">
        <v>4</v>
      </c>
      <c r="B46" s="8">
        <v>4</v>
      </c>
    </row>
    <row r="47" spans="1:6" x14ac:dyDescent="0.25">
      <c r="A47" s="8">
        <v>3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4</v>
      </c>
    </row>
    <row r="49" spans="1:5" x14ac:dyDescent="0.25">
      <c r="A49" s="8">
        <v>5</v>
      </c>
      <c r="B49" s="8">
        <v>4</v>
      </c>
    </row>
    <row r="50" spans="1:5" x14ac:dyDescent="0.25">
      <c r="A50" s="8">
        <v>3</v>
      </c>
      <c r="B50" s="8">
        <v>2</v>
      </c>
    </row>
    <row r="51" spans="1:5" x14ac:dyDescent="0.25">
      <c r="A51" s="8">
        <v>5</v>
      </c>
      <c r="B51" s="8">
        <v>1</v>
      </c>
      <c r="D51" s="5"/>
      <c r="E51" s="5"/>
    </row>
    <row r="52" spans="1:5" x14ac:dyDescent="0.25">
      <c r="A52" s="8">
        <v>3</v>
      </c>
      <c r="B52" s="8">
        <v>4</v>
      </c>
      <c r="D52" t="s">
        <v>16</v>
      </c>
      <c r="E52">
        <f>_xlfn.T.INV.2T(E47,E45)</f>
        <v>1.9762333088953288</v>
      </c>
    </row>
    <row r="53" spans="1:5" x14ac:dyDescent="0.25">
      <c r="A53" s="8">
        <v>1</v>
      </c>
      <c r="B53" s="8">
        <v>4</v>
      </c>
      <c r="D53" t="s">
        <v>17</v>
      </c>
      <c r="E53">
        <f>_xlfn.T.INV(E47, E45)</f>
        <v>-1.6552854366095326</v>
      </c>
    </row>
    <row r="54" spans="1:5" x14ac:dyDescent="0.25">
      <c r="A54" s="8">
        <v>4</v>
      </c>
      <c r="B54" s="8">
        <v>3</v>
      </c>
    </row>
    <row r="55" spans="1:5" x14ac:dyDescent="0.25">
      <c r="A55" s="8">
        <v>4</v>
      </c>
      <c r="B55" s="8">
        <v>4</v>
      </c>
      <c r="D55" t="s">
        <v>18</v>
      </c>
      <c r="E55">
        <f>TTEST(A:A,B:B,2,2)</f>
        <v>0.72428388062832794</v>
      </c>
    </row>
    <row r="56" spans="1:5" x14ac:dyDescent="0.25">
      <c r="A56" s="8">
        <v>3</v>
      </c>
      <c r="B56" s="8">
        <v>5</v>
      </c>
      <c r="D56" t="s">
        <v>19</v>
      </c>
      <c r="E56">
        <f>TTEST(A:A,B:B,1,2)</f>
        <v>0.36214194031416397</v>
      </c>
    </row>
    <row r="57" spans="1:5" x14ac:dyDescent="0.25">
      <c r="A57" s="8">
        <v>4</v>
      </c>
      <c r="B57" s="8">
        <v>4</v>
      </c>
    </row>
    <row r="58" spans="1:5" x14ac:dyDescent="0.25">
      <c r="A58" s="8">
        <v>4</v>
      </c>
      <c r="B58" s="8">
        <v>2</v>
      </c>
    </row>
    <row r="59" spans="1:5" x14ac:dyDescent="0.25">
      <c r="A59" s="8">
        <v>2</v>
      </c>
      <c r="B59" s="8">
        <v>3</v>
      </c>
      <c r="D59" s="5" t="s">
        <v>20</v>
      </c>
      <c r="E59" s="5"/>
    </row>
    <row r="60" spans="1:5" x14ac:dyDescent="0.25">
      <c r="A60" s="8">
        <v>3</v>
      </c>
      <c r="B60" s="8">
        <v>5</v>
      </c>
    </row>
    <row r="61" spans="1:5" x14ac:dyDescent="0.25">
      <c r="A61" s="8">
        <v>2</v>
      </c>
      <c r="B61" s="8">
        <v>4</v>
      </c>
      <c r="D61" t="s">
        <v>21</v>
      </c>
    </row>
    <row r="62" spans="1:5" x14ac:dyDescent="0.25">
      <c r="A62" s="8">
        <v>1</v>
      </c>
      <c r="B62" s="8">
        <v>4</v>
      </c>
      <c r="D62" t="s">
        <v>22</v>
      </c>
    </row>
    <row r="63" spans="1:5" x14ac:dyDescent="0.25">
      <c r="A63" s="8">
        <v>5</v>
      </c>
      <c r="B63" s="8">
        <v>2</v>
      </c>
    </row>
    <row r="64" spans="1:5" x14ac:dyDescent="0.25">
      <c r="A64" s="8">
        <v>3</v>
      </c>
      <c r="B64" s="8">
        <v>5</v>
      </c>
      <c r="D64" t="s">
        <v>23</v>
      </c>
    </row>
    <row r="65" spans="1:4" x14ac:dyDescent="0.25">
      <c r="A65" s="8">
        <v>4</v>
      </c>
      <c r="B65" s="8">
        <v>5</v>
      </c>
      <c r="D65" t="s">
        <v>24</v>
      </c>
    </row>
    <row r="66" spans="1:4" x14ac:dyDescent="0.25">
      <c r="A66" s="8">
        <v>3</v>
      </c>
      <c r="B66" s="8">
        <v>2</v>
      </c>
    </row>
    <row r="67" spans="1:4" x14ac:dyDescent="0.25">
      <c r="A67" s="8">
        <v>4</v>
      </c>
      <c r="B67" s="8">
        <v>4</v>
      </c>
    </row>
    <row r="68" spans="1:4" x14ac:dyDescent="0.25">
      <c r="A68" s="8">
        <v>3</v>
      </c>
      <c r="B68" s="8">
        <v>3</v>
      </c>
      <c r="D68" s="7" t="s">
        <v>25</v>
      </c>
    </row>
    <row r="69" spans="1:4" x14ac:dyDescent="0.25">
      <c r="A69" s="8">
        <v>4</v>
      </c>
      <c r="B69" s="8">
        <v>4</v>
      </c>
    </row>
    <row r="70" spans="1:4" x14ac:dyDescent="0.25">
      <c r="A70" s="8">
        <v>5</v>
      </c>
      <c r="B70" s="8">
        <v>5</v>
      </c>
      <c r="D70" t="s">
        <v>26</v>
      </c>
    </row>
    <row r="71" spans="1:4" x14ac:dyDescent="0.25">
      <c r="A71" s="8">
        <v>1</v>
      </c>
      <c r="B71" s="8">
        <v>4</v>
      </c>
      <c r="D71" t="s">
        <v>27</v>
      </c>
    </row>
    <row r="72" spans="1:4" x14ac:dyDescent="0.25">
      <c r="A72" s="8">
        <v>4</v>
      </c>
      <c r="B72" s="8">
        <v>2</v>
      </c>
      <c r="D72" t="s">
        <v>28</v>
      </c>
    </row>
    <row r="73" spans="1:4" x14ac:dyDescent="0.25">
      <c r="A73" s="8">
        <v>3</v>
      </c>
      <c r="B73" s="8">
        <v>2</v>
      </c>
    </row>
    <row r="74" spans="1:4" x14ac:dyDescent="0.25">
      <c r="A74" s="8">
        <v>2</v>
      </c>
      <c r="B74" s="8">
        <v>2</v>
      </c>
    </row>
    <row r="75" spans="1:4" x14ac:dyDescent="0.25">
      <c r="A75" s="8">
        <v>2</v>
      </c>
      <c r="B75" s="8">
        <v>4</v>
      </c>
      <c r="D75" s="7" t="s">
        <v>25</v>
      </c>
    </row>
    <row r="76" spans="1:4" x14ac:dyDescent="0.25">
      <c r="A76" s="8">
        <v>3</v>
      </c>
      <c r="B76" s="8">
        <v>2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8E49-9E8D-407C-8471-CD1513CDD554}">
  <dimension ref="A1:F88"/>
  <sheetViews>
    <sheetView zoomScale="70" zoomScaleNormal="70" workbookViewId="0">
      <selection activeCell="G21" sqref="G21"/>
    </sheetView>
  </sheetViews>
  <sheetFormatPr baseColWidth="10" defaultColWidth="9.140625" defaultRowHeight="15" x14ac:dyDescent="0.25"/>
  <cols>
    <col min="1" max="1" width="25.140625" customWidth="1"/>
    <col min="2" max="2" width="26" customWidth="1"/>
    <col min="4" max="4" width="37.8554687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0" t="s">
        <v>49</v>
      </c>
      <c r="B1" s="12" t="s">
        <v>48</v>
      </c>
    </row>
    <row r="2" spans="1:5" x14ac:dyDescent="0.25">
      <c r="A2" s="8">
        <v>3</v>
      </c>
      <c r="B2" s="8">
        <v>2</v>
      </c>
      <c r="D2" s="1" t="s">
        <v>52</v>
      </c>
      <c r="E2">
        <f>AVERAGE(A:A)</f>
        <v>2.9333333333333331</v>
      </c>
    </row>
    <row r="3" spans="1:5" x14ac:dyDescent="0.25">
      <c r="A3" s="8">
        <v>2</v>
      </c>
      <c r="B3" s="8">
        <v>4</v>
      </c>
      <c r="D3" s="1" t="s">
        <v>0</v>
      </c>
      <c r="E3">
        <f>MEDIAN(A:A)</f>
        <v>3</v>
      </c>
    </row>
    <row r="4" spans="1:5" x14ac:dyDescent="0.25">
      <c r="A4" s="8">
        <v>4</v>
      </c>
      <c r="B4" s="8">
        <v>2</v>
      </c>
      <c r="D4" s="1" t="s">
        <v>1</v>
      </c>
      <c r="E4">
        <f>MODE(A:A)</f>
        <v>3</v>
      </c>
    </row>
    <row r="5" spans="1:5" x14ac:dyDescent="0.25">
      <c r="A5" s="8">
        <v>3</v>
      </c>
      <c r="B5" s="8">
        <v>3</v>
      </c>
      <c r="D5" s="1" t="s">
        <v>15</v>
      </c>
      <c r="E5">
        <f>STDEV(A:A)</f>
        <v>1.3083240086888688</v>
      </c>
    </row>
    <row r="6" spans="1:5" x14ac:dyDescent="0.25">
      <c r="A6" s="8">
        <v>3</v>
      </c>
      <c r="B6" s="8">
        <v>4</v>
      </c>
      <c r="D6" s="4" t="s">
        <v>4</v>
      </c>
      <c r="E6">
        <f>COUNT(A:A)</f>
        <v>75</v>
      </c>
    </row>
    <row r="7" spans="1:5" x14ac:dyDescent="0.25">
      <c r="A7" s="8">
        <v>2</v>
      </c>
      <c r="B7" s="8">
        <v>3</v>
      </c>
    </row>
    <row r="8" spans="1:5" x14ac:dyDescent="0.25">
      <c r="A8" s="8">
        <v>3</v>
      </c>
      <c r="B8" s="8">
        <v>4</v>
      </c>
      <c r="D8" s="3" t="s">
        <v>53</v>
      </c>
      <c r="E8">
        <f>AVERAGE(B:B)</f>
        <v>3.04</v>
      </c>
    </row>
    <row r="9" spans="1:5" x14ac:dyDescent="0.25">
      <c r="A9" s="8">
        <v>2</v>
      </c>
      <c r="B9" s="8">
        <v>3</v>
      </c>
      <c r="D9" s="3" t="s">
        <v>2</v>
      </c>
      <c r="E9">
        <f>MEDIAN(B:B)</f>
        <v>3</v>
      </c>
    </row>
    <row r="10" spans="1:5" x14ac:dyDescent="0.25">
      <c r="A10" s="8">
        <v>3</v>
      </c>
      <c r="B10" s="8">
        <v>3</v>
      </c>
      <c r="D10" s="3" t="s">
        <v>3</v>
      </c>
      <c r="E10">
        <f>MODE(B:B)</f>
        <v>3</v>
      </c>
    </row>
    <row r="11" spans="1:5" x14ac:dyDescent="0.25">
      <c r="A11" s="8">
        <v>1</v>
      </c>
      <c r="B11" s="8">
        <v>4</v>
      </c>
      <c r="D11" s="3" t="s">
        <v>14</v>
      </c>
      <c r="E11">
        <f>STDEV(B:B)</f>
        <v>1.1441980550539268</v>
      </c>
    </row>
    <row r="12" spans="1:5" x14ac:dyDescent="0.25">
      <c r="A12" s="8">
        <v>1</v>
      </c>
      <c r="B12" s="8">
        <v>1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4</v>
      </c>
    </row>
    <row r="14" spans="1:5" x14ac:dyDescent="0.25">
      <c r="A14" s="8">
        <v>4</v>
      </c>
      <c r="B14" s="8">
        <v>3</v>
      </c>
    </row>
    <row r="15" spans="1:5" x14ac:dyDescent="0.25">
      <c r="A15" s="8">
        <v>2</v>
      </c>
      <c r="B15" s="8">
        <v>1</v>
      </c>
    </row>
    <row r="16" spans="1:5" x14ac:dyDescent="0.25">
      <c r="A16" s="8">
        <v>3</v>
      </c>
      <c r="B16" s="8">
        <v>3</v>
      </c>
    </row>
    <row r="17" spans="1:5" x14ac:dyDescent="0.25">
      <c r="A17" s="8">
        <v>3</v>
      </c>
      <c r="B17" s="8">
        <v>5</v>
      </c>
      <c r="D17" s="2" t="s">
        <v>6</v>
      </c>
      <c r="E17" s="2"/>
    </row>
    <row r="18" spans="1:5" x14ac:dyDescent="0.25">
      <c r="A18" s="8">
        <v>2</v>
      </c>
      <c r="B18" s="8">
        <v>1</v>
      </c>
    </row>
    <row r="19" spans="1:5" x14ac:dyDescent="0.25">
      <c r="A19" s="8">
        <v>3</v>
      </c>
      <c r="B19" s="8">
        <v>3</v>
      </c>
    </row>
    <row r="20" spans="1:5" x14ac:dyDescent="0.25">
      <c r="A20" s="8">
        <v>3</v>
      </c>
      <c r="B20" s="8">
        <v>4</v>
      </c>
    </row>
    <row r="21" spans="1:5" x14ac:dyDescent="0.25">
      <c r="A21" s="8">
        <v>3</v>
      </c>
      <c r="B21" s="8">
        <v>5</v>
      </c>
    </row>
    <row r="22" spans="1:5" x14ac:dyDescent="0.25">
      <c r="A22" s="8">
        <v>3</v>
      </c>
      <c r="B22" s="8">
        <v>2</v>
      </c>
    </row>
    <row r="23" spans="1:5" x14ac:dyDescent="0.25">
      <c r="A23" s="8">
        <v>1</v>
      </c>
      <c r="B23" s="8">
        <v>3</v>
      </c>
    </row>
    <row r="24" spans="1:5" x14ac:dyDescent="0.25">
      <c r="A24" s="8">
        <v>5</v>
      </c>
      <c r="B24" s="8">
        <v>3</v>
      </c>
    </row>
    <row r="25" spans="1:5" x14ac:dyDescent="0.25">
      <c r="A25" s="8">
        <v>1</v>
      </c>
      <c r="B25" s="8">
        <v>1</v>
      </c>
    </row>
    <row r="26" spans="1:5" x14ac:dyDescent="0.25">
      <c r="A26" s="8">
        <v>5</v>
      </c>
      <c r="B26" s="8">
        <v>2</v>
      </c>
    </row>
    <row r="27" spans="1:5" x14ac:dyDescent="0.25">
      <c r="A27" s="8">
        <v>4</v>
      </c>
      <c r="B27" s="8">
        <v>4</v>
      </c>
    </row>
    <row r="28" spans="1:5" x14ac:dyDescent="0.25">
      <c r="A28" s="8">
        <v>1</v>
      </c>
      <c r="B28" s="8">
        <v>4</v>
      </c>
    </row>
    <row r="29" spans="1:5" x14ac:dyDescent="0.25">
      <c r="A29" s="8">
        <v>5</v>
      </c>
      <c r="B29" s="8">
        <v>4</v>
      </c>
      <c r="D29" t="s">
        <v>11</v>
      </c>
      <c r="E29">
        <f>(E2-E8)/SQRT(((E5^2)/E6)+((E11^2)/E12))</f>
        <v>-0.53148512718149243</v>
      </c>
    </row>
    <row r="30" spans="1:5" x14ac:dyDescent="0.25">
      <c r="A30" s="8">
        <v>3</v>
      </c>
      <c r="B30" s="8">
        <v>3</v>
      </c>
    </row>
    <row r="31" spans="1:5" x14ac:dyDescent="0.25">
      <c r="A31" s="8">
        <v>2</v>
      </c>
      <c r="B31" s="8">
        <v>5</v>
      </c>
      <c r="D31" s="2" t="s">
        <v>7</v>
      </c>
      <c r="E31" s="2"/>
    </row>
    <row r="32" spans="1:5" x14ac:dyDescent="0.25">
      <c r="A32" s="8">
        <v>3</v>
      </c>
      <c r="B32" s="8">
        <v>3</v>
      </c>
    </row>
    <row r="33" spans="1:6" x14ac:dyDescent="0.25">
      <c r="A33" s="8">
        <v>3</v>
      </c>
      <c r="B33" s="8">
        <v>2</v>
      </c>
    </row>
    <row r="34" spans="1:6" x14ac:dyDescent="0.25">
      <c r="A34" s="8">
        <v>3</v>
      </c>
      <c r="B34" s="8">
        <v>2</v>
      </c>
    </row>
    <row r="35" spans="1:6" x14ac:dyDescent="0.25">
      <c r="A35" s="8">
        <v>4</v>
      </c>
      <c r="B35" s="8">
        <v>4</v>
      </c>
    </row>
    <row r="36" spans="1:6" x14ac:dyDescent="0.25">
      <c r="A36" s="8">
        <v>3</v>
      </c>
      <c r="B36" s="8">
        <v>2</v>
      </c>
    </row>
    <row r="37" spans="1:6" x14ac:dyDescent="0.25">
      <c r="A37" s="8">
        <v>5</v>
      </c>
      <c r="B37" s="8">
        <v>5</v>
      </c>
    </row>
    <row r="38" spans="1:6" x14ac:dyDescent="0.25">
      <c r="A38" s="8">
        <v>5</v>
      </c>
      <c r="B38" s="8">
        <v>2</v>
      </c>
    </row>
    <row r="39" spans="1:6" x14ac:dyDescent="0.25">
      <c r="A39" s="8">
        <v>2</v>
      </c>
      <c r="B39" s="8">
        <v>5</v>
      </c>
    </row>
    <row r="40" spans="1:6" x14ac:dyDescent="0.25">
      <c r="A40" s="8">
        <v>3</v>
      </c>
      <c r="B40" s="8">
        <v>4</v>
      </c>
    </row>
    <row r="41" spans="1:6" ht="29.25" customHeight="1" x14ac:dyDescent="0.25">
      <c r="A41" s="8">
        <v>1</v>
      </c>
      <c r="B41" s="8">
        <v>2</v>
      </c>
      <c r="D41" t="s">
        <v>8</v>
      </c>
      <c r="E41">
        <f>(((E5^2)/E6)+((E11^2)/E12))^2</f>
        <v>1.6223719561002435E-3</v>
      </c>
    </row>
    <row r="42" spans="1:6" ht="47.25" customHeight="1" x14ac:dyDescent="0.25">
      <c r="A42" s="8">
        <v>4</v>
      </c>
      <c r="B42" s="8">
        <v>4</v>
      </c>
      <c r="D42" t="s">
        <v>9</v>
      </c>
      <c r="E42">
        <f>(((E5^2)/E6)^2)/(E6-1)</f>
        <v>7.0389356973238112E-6</v>
      </c>
    </row>
    <row r="43" spans="1:6" ht="43.5" customHeight="1" x14ac:dyDescent="0.25">
      <c r="A43" s="8">
        <v>5</v>
      </c>
      <c r="B43" s="8">
        <v>4</v>
      </c>
      <c r="D43" t="s">
        <v>10</v>
      </c>
      <c r="E43">
        <f>(((E11^2)/E12)^2)/(E12-1)</f>
        <v>4.1176608602759052E-6</v>
      </c>
    </row>
    <row r="44" spans="1:6" x14ac:dyDescent="0.25">
      <c r="A44" s="8">
        <v>1</v>
      </c>
      <c r="B44" s="8">
        <v>3</v>
      </c>
    </row>
    <row r="45" spans="1:6" x14ac:dyDescent="0.25">
      <c r="A45" s="8">
        <v>2</v>
      </c>
      <c r="B45" s="8">
        <v>3</v>
      </c>
      <c r="D45" t="s">
        <v>7</v>
      </c>
      <c r="E45">
        <f>E41/(E42+E43)</f>
        <v>145.41817907676395</v>
      </c>
      <c r="F45" s="6" t="s">
        <v>12</v>
      </c>
    </row>
    <row r="46" spans="1:6" x14ac:dyDescent="0.25">
      <c r="A46" s="8">
        <v>1</v>
      </c>
      <c r="B46" s="8">
        <v>3</v>
      </c>
    </row>
    <row r="47" spans="1:6" x14ac:dyDescent="0.25">
      <c r="A47" s="8">
        <v>4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4</v>
      </c>
      <c r="B48" s="8">
        <v>3</v>
      </c>
    </row>
    <row r="49" spans="1:5" x14ac:dyDescent="0.25">
      <c r="A49" s="8">
        <v>1</v>
      </c>
      <c r="B49" s="8">
        <v>4</v>
      </c>
    </row>
    <row r="50" spans="1:5" x14ac:dyDescent="0.25">
      <c r="A50" s="8">
        <v>4</v>
      </c>
      <c r="B50" s="8">
        <v>4</v>
      </c>
    </row>
    <row r="51" spans="1:5" x14ac:dyDescent="0.25">
      <c r="A51" s="8">
        <v>2</v>
      </c>
      <c r="B51" s="8">
        <v>4</v>
      </c>
      <c r="D51" s="5"/>
      <c r="E51" s="5"/>
    </row>
    <row r="52" spans="1:5" x14ac:dyDescent="0.25">
      <c r="A52" s="8">
        <v>4</v>
      </c>
      <c r="B52" s="8">
        <v>1</v>
      </c>
      <c r="D52" t="s">
        <v>16</v>
      </c>
      <c r="E52">
        <f>_xlfn.T.INV.2T(E47,E45)</f>
        <v>1.9764595626329151</v>
      </c>
    </row>
    <row r="53" spans="1:5" x14ac:dyDescent="0.25">
      <c r="A53" s="8">
        <v>1</v>
      </c>
      <c r="B53" s="8">
        <v>3</v>
      </c>
      <c r="D53" t="s">
        <v>17</v>
      </c>
      <c r="E53">
        <f>_xlfn.T.INV(E47, E45)</f>
        <v>-1.6554302514176737</v>
      </c>
    </row>
    <row r="54" spans="1:5" x14ac:dyDescent="0.25">
      <c r="A54" s="8">
        <v>1</v>
      </c>
      <c r="B54" s="8">
        <v>4</v>
      </c>
    </row>
    <row r="55" spans="1:5" x14ac:dyDescent="0.25">
      <c r="A55" s="8">
        <v>2</v>
      </c>
      <c r="B55" s="8">
        <v>3</v>
      </c>
      <c r="D55" t="s">
        <v>18</v>
      </c>
      <c r="E55">
        <f>TTEST(A:A,B:B,2,2)</f>
        <v>0.59587944574501606</v>
      </c>
    </row>
    <row r="56" spans="1:5" x14ac:dyDescent="0.25">
      <c r="A56" s="8">
        <v>5</v>
      </c>
      <c r="B56" s="8">
        <v>1</v>
      </c>
      <c r="D56" t="s">
        <v>19</v>
      </c>
      <c r="E56">
        <f>TTEST(A:A,B:B,1,2)</f>
        <v>0.29793972287250803</v>
      </c>
    </row>
    <row r="57" spans="1:5" x14ac:dyDescent="0.25">
      <c r="A57" s="8">
        <v>5</v>
      </c>
      <c r="B57" s="8">
        <v>4</v>
      </c>
    </row>
    <row r="58" spans="1:5" x14ac:dyDescent="0.25">
      <c r="A58" s="8">
        <v>4</v>
      </c>
      <c r="B58" s="8">
        <v>3</v>
      </c>
    </row>
    <row r="59" spans="1:5" x14ac:dyDescent="0.25">
      <c r="A59" s="8">
        <v>1</v>
      </c>
      <c r="B59" s="8">
        <v>3</v>
      </c>
      <c r="D59" s="5" t="s">
        <v>20</v>
      </c>
      <c r="E59" s="5"/>
    </row>
    <row r="60" spans="1:5" x14ac:dyDescent="0.25">
      <c r="A60" s="8">
        <v>4</v>
      </c>
      <c r="B60" s="8">
        <v>3</v>
      </c>
    </row>
    <row r="61" spans="1:5" x14ac:dyDescent="0.25">
      <c r="A61" s="8">
        <v>2</v>
      </c>
      <c r="B61" s="8">
        <v>5</v>
      </c>
      <c r="D61" t="s">
        <v>21</v>
      </c>
    </row>
    <row r="62" spans="1:5" x14ac:dyDescent="0.25">
      <c r="A62" s="8">
        <v>4</v>
      </c>
      <c r="B62" s="8">
        <v>2</v>
      </c>
      <c r="D62" t="s">
        <v>22</v>
      </c>
    </row>
    <row r="63" spans="1:5" x14ac:dyDescent="0.25">
      <c r="A63" s="8">
        <v>3</v>
      </c>
      <c r="B63" s="8">
        <v>1</v>
      </c>
    </row>
    <row r="64" spans="1:5" x14ac:dyDescent="0.25">
      <c r="A64" s="8">
        <v>2</v>
      </c>
      <c r="B64" s="8">
        <v>3</v>
      </c>
      <c r="D64" t="s">
        <v>23</v>
      </c>
    </row>
    <row r="65" spans="1:4" x14ac:dyDescent="0.25">
      <c r="A65" s="8">
        <v>3</v>
      </c>
      <c r="B65" s="8">
        <v>3</v>
      </c>
      <c r="D65" t="s">
        <v>24</v>
      </c>
    </row>
    <row r="66" spans="1:4" x14ac:dyDescent="0.25">
      <c r="A66" s="8">
        <v>5</v>
      </c>
      <c r="B66" s="8">
        <v>1</v>
      </c>
    </row>
    <row r="67" spans="1:4" x14ac:dyDescent="0.25">
      <c r="A67" s="8">
        <v>3</v>
      </c>
      <c r="B67" s="8">
        <v>3</v>
      </c>
    </row>
    <row r="68" spans="1:4" x14ac:dyDescent="0.25">
      <c r="A68" s="8">
        <v>5</v>
      </c>
      <c r="B68" s="8">
        <v>4</v>
      </c>
      <c r="D68" s="7" t="s">
        <v>25</v>
      </c>
    </row>
    <row r="69" spans="1:4" x14ac:dyDescent="0.25">
      <c r="A69" s="8">
        <v>3</v>
      </c>
      <c r="B69" s="8">
        <v>3</v>
      </c>
    </row>
    <row r="70" spans="1:4" x14ac:dyDescent="0.25">
      <c r="A70" s="8">
        <v>2</v>
      </c>
      <c r="B70" s="8">
        <v>3</v>
      </c>
      <c r="D70" t="s">
        <v>26</v>
      </c>
    </row>
    <row r="71" spans="1:4" x14ac:dyDescent="0.25">
      <c r="A71" s="8">
        <v>3</v>
      </c>
      <c r="B71" s="8">
        <v>3</v>
      </c>
      <c r="D71" t="s">
        <v>27</v>
      </c>
    </row>
    <row r="72" spans="1:4" x14ac:dyDescent="0.25">
      <c r="A72" s="8">
        <v>5</v>
      </c>
      <c r="B72" s="8">
        <v>3</v>
      </c>
      <c r="D72" t="s">
        <v>28</v>
      </c>
    </row>
    <row r="73" spans="1:4" x14ac:dyDescent="0.25">
      <c r="A73" s="8">
        <v>2</v>
      </c>
      <c r="B73" s="8">
        <v>1</v>
      </c>
    </row>
    <row r="74" spans="1:4" x14ac:dyDescent="0.25">
      <c r="A74" s="8">
        <v>1</v>
      </c>
      <c r="B74" s="8">
        <v>1</v>
      </c>
    </row>
    <row r="75" spans="1:4" x14ac:dyDescent="0.25">
      <c r="A75" s="8">
        <v>2</v>
      </c>
      <c r="B75" s="8">
        <v>3</v>
      </c>
      <c r="D75" s="7" t="s">
        <v>25</v>
      </c>
    </row>
    <row r="76" spans="1:4" x14ac:dyDescent="0.25">
      <c r="A76" s="8">
        <v>5</v>
      </c>
      <c r="B76" s="8">
        <v>5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B6C4-2751-4FFB-A679-2F374E9B3DF3}">
  <dimension ref="A1:F88"/>
  <sheetViews>
    <sheetView zoomScale="70" zoomScaleNormal="70" workbookViewId="0">
      <selection activeCell="I21" sqref="I21"/>
    </sheetView>
  </sheetViews>
  <sheetFormatPr baseColWidth="10" defaultColWidth="9.140625" defaultRowHeight="15" x14ac:dyDescent="0.25"/>
  <cols>
    <col min="1" max="1" width="25.140625" customWidth="1"/>
    <col min="2" max="2" width="26" customWidth="1"/>
    <col min="4" max="4" width="37.28515625" customWidth="1"/>
    <col min="5" max="5" width="21.5703125" customWidth="1"/>
    <col min="6" max="6" width="17.85546875" customWidth="1"/>
    <col min="7" max="7" width="20" customWidth="1"/>
  </cols>
  <sheetData>
    <row r="1" spans="1:5" ht="138" customHeight="1" x14ac:dyDescent="0.25">
      <c r="A1" s="10" t="s">
        <v>47</v>
      </c>
      <c r="B1" s="12" t="s">
        <v>46</v>
      </c>
    </row>
    <row r="2" spans="1:5" x14ac:dyDescent="0.25">
      <c r="A2" s="8">
        <v>5</v>
      </c>
      <c r="B2" s="8">
        <v>4</v>
      </c>
      <c r="D2" s="1" t="s">
        <v>52</v>
      </c>
      <c r="E2">
        <f>AVERAGE(A:A)</f>
        <v>3.16</v>
      </c>
    </row>
    <row r="3" spans="1:5" x14ac:dyDescent="0.25">
      <c r="A3" s="8">
        <v>2</v>
      </c>
      <c r="B3" s="8">
        <v>4</v>
      </c>
      <c r="D3" s="1" t="s">
        <v>0</v>
      </c>
      <c r="E3">
        <f>MEDIAN(A:A)</f>
        <v>3</v>
      </c>
    </row>
    <row r="4" spans="1:5" x14ac:dyDescent="0.25">
      <c r="A4" s="8">
        <v>4</v>
      </c>
      <c r="B4" s="8">
        <v>3</v>
      </c>
      <c r="D4" s="1" t="s">
        <v>1</v>
      </c>
      <c r="E4">
        <f>MODE(A:A)</f>
        <v>3</v>
      </c>
    </row>
    <row r="5" spans="1:5" x14ac:dyDescent="0.25">
      <c r="A5" s="8">
        <v>2</v>
      </c>
      <c r="B5" s="8">
        <v>3</v>
      </c>
      <c r="D5" s="1" t="s">
        <v>15</v>
      </c>
      <c r="E5">
        <f>STDEV(A:A)</f>
        <v>1.1275421727595611</v>
      </c>
    </row>
    <row r="6" spans="1:5" x14ac:dyDescent="0.25">
      <c r="A6" s="8">
        <v>3</v>
      </c>
      <c r="B6" s="8">
        <v>4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1</v>
      </c>
    </row>
    <row r="8" spans="1:5" x14ac:dyDescent="0.25">
      <c r="A8" s="8">
        <v>5</v>
      </c>
      <c r="B8" s="8">
        <v>3</v>
      </c>
      <c r="D8" s="3" t="s">
        <v>53</v>
      </c>
      <c r="E8">
        <f>AVERAGE(B:B)</f>
        <v>3.28</v>
      </c>
    </row>
    <row r="9" spans="1:5" x14ac:dyDescent="0.25">
      <c r="A9" s="8">
        <v>2</v>
      </c>
      <c r="B9" s="8">
        <v>4</v>
      </c>
      <c r="D9" s="3" t="s">
        <v>2</v>
      </c>
      <c r="E9">
        <f>MEDIAN(B:B)</f>
        <v>3</v>
      </c>
    </row>
    <row r="10" spans="1:5" x14ac:dyDescent="0.25">
      <c r="A10" s="8">
        <v>4</v>
      </c>
      <c r="B10" s="8">
        <v>5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4</v>
      </c>
      <c r="D11" s="3" t="s">
        <v>14</v>
      </c>
      <c r="E11">
        <f>STDEV(B:B)</f>
        <v>1.1456144344553418</v>
      </c>
    </row>
    <row r="12" spans="1:5" x14ac:dyDescent="0.25">
      <c r="A12" s="8">
        <v>1</v>
      </c>
      <c r="B12" s="8">
        <v>4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4</v>
      </c>
    </row>
    <row r="14" spans="1:5" x14ac:dyDescent="0.25">
      <c r="A14" s="8">
        <v>4</v>
      </c>
      <c r="B14" s="8">
        <v>4</v>
      </c>
    </row>
    <row r="15" spans="1:5" x14ac:dyDescent="0.25">
      <c r="A15" s="8">
        <v>3</v>
      </c>
      <c r="B15" s="8">
        <v>4</v>
      </c>
    </row>
    <row r="16" spans="1:5" x14ac:dyDescent="0.25">
      <c r="A16" s="8">
        <v>2</v>
      </c>
      <c r="B16" s="8">
        <v>4</v>
      </c>
    </row>
    <row r="17" spans="1:5" x14ac:dyDescent="0.25">
      <c r="A17" s="8">
        <v>3</v>
      </c>
      <c r="B17" s="8">
        <v>2</v>
      </c>
      <c r="D17" s="2" t="s">
        <v>6</v>
      </c>
      <c r="E17" s="2"/>
    </row>
    <row r="18" spans="1:5" x14ac:dyDescent="0.25">
      <c r="A18" s="8">
        <v>4</v>
      </c>
      <c r="B18" s="8">
        <v>5</v>
      </c>
    </row>
    <row r="19" spans="1:5" x14ac:dyDescent="0.25">
      <c r="A19" s="8">
        <v>3</v>
      </c>
      <c r="B19" s="8">
        <v>3</v>
      </c>
    </row>
    <row r="20" spans="1:5" x14ac:dyDescent="0.25">
      <c r="A20" s="8">
        <v>2</v>
      </c>
      <c r="B20" s="8">
        <v>3</v>
      </c>
    </row>
    <row r="21" spans="1:5" x14ac:dyDescent="0.25">
      <c r="A21" s="8">
        <v>3</v>
      </c>
      <c r="B21" s="8">
        <v>1</v>
      </c>
    </row>
    <row r="22" spans="1:5" x14ac:dyDescent="0.25">
      <c r="A22" s="8">
        <v>5</v>
      </c>
      <c r="B22" s="8">
        <v>5</v>
      </c>
    </row>
    <row r="23" spans="1:5" x14ac:dyDescent="0.25">
      <c r="A23" s="8">
        <v>5</v>
      </c>
      <c r="B23" s="8">
        <v>3</v>
      </c>
    </row>
    <row r="24" spans="1:5" x14ac:dyDescent="0.25">
      <c r="A24" s="8">
        <v>3</v>
      </c>
      <c r="B24" s="8">
        <v>1</v>
      </c>
    </row>
    <row r="25" spans="1:5" x14ac:dyDescent="0.25">
      <c r="A25" s="8">
        <v>1</v>
      </c>
      <c r="B25" s="8">
        <v>2</v>
      </c>
    </row>
    <row r="26" spans="1:5" x14ac:dyDescent="0.25">
      <c r="A26" s="8">
        <v>3</v>
      </c>
      <c r="B26" s="8">
        <v>2</v>
      </c>
    </row>
    <row r="27" spans="1:5" x14ac:dyDescent="0.25">
      <c r="A27" s="8">
        <v>1</v>
      </c>
      <c r="B27" s="8">
        <v>4</v>
      </c>
    </row>
    <row r="28" spans="1:5" x14ac:dyDescent="0.25">
      <c r="A28" s="8">
        <v>4</v>
      </c>
      <c r="B28" s="8">
        <v>4</v>
      </c>
    </row>
    <row r="29" spans="1:5" x14ac:dyDescent="0.25">
      <c r="A29" s="8">
        <v>2</v>
      </c>
      <c r="B29" s="8">
        <v>3</v>
      </c>
      <c r="D29" t="s">
        <v>11</v>
      </c>
      <c r="E29">
        <f>(E2-E8)/SQRT(((E5^2)/E6)+((E11^2)/E12))</f>
        <v>-0.64652272334324079</v>
      </c>
    </row>
    <row r="30" spans="1:5" x14ac:dyDescent="0.25">
      <c r="A30" s="8">
        <v>4</v>
      </c>
      <c r="B30" s="8">
        <v>2</v>
      </c>
    </row>
    <row r="31" spans="1:5" x14ac:dyDescent="0.25">
      <c r="A31" s="8">
        <v>3</v>
      </c>
      <c r="B31" s="8">
        <v>3</v>
      </c>
      <c r="D31" s="2" t="s">
        <v>7</v>
      </c>
      <c r="E31" s="2"/>
    </row>
    <row r="32" spans="1:5" x14ac:dyDescent="0.25">
      <c r="A32" s="8">
        <v>4</v>
      </c>
      <c r="B32" s="8">
        <v>3</v>
      </c>
    </row>
    <row r="33" spans="1:6" x14ac:dyDescent="0.25">
      <c r="A33" s="8">
        <v>3</v>
      </c>
      <c r="B33" s="8">
        <v>4</v>
      </c>
    </row>
    <row r="34" spans="1:6" x14ac:dyDescent="0.25">
      <c r="A34" s="8">
        <v>4</v>
      </c>
      <c r="B34" s="8">
        <v>2</v>
      </c>
    </row>
    <row r="35" spans="1:6" x14ac:dyDescent="0.25">
      <c r="A35" s="8">
        <v>4</v>
      </c>
      <c r="B35" s="8">
        <v>4</v>
      </c>
    </row>
    <row r="36" spans="1:6" x14ac:dyDescent="0.25">
      <c r="A36" s="8">
        <v>2</v>
      </c>
      <c r="B36" s="8">
        <v>4</v>
      </c>
    </row>
    <row r="37" spans="1:6" x14ac:dyDescent="0.25">
      <c r="A37" s="8">
        <v>2</v>
      </c>
      <c r="B37" s="8">
        <v>3</v>
      </c>
    </row>
    <row r="38" spans="1:6" x14ac:dyDescent="0.25">
      <c r="A38" s="8">
        <v>3</v>
      </c>
      <c r="B38" s="8">
        <v>3</v>
      </c>
    </row>
    <row r="39" spans="1:6" x14ac:dyDescent="0.25">
      <c r="A39" s="8">
        <v>2</v>
      </c>
      <c r="B39" s="8">
        <v>4</v>
      </c>
    </row>
    <row r="40" spans="1:6" x14ac:dyDescent="0.25">
      <c r="A40" s="8">
        <v>3</v>
      </c>
      <c r="B40" s="8">
        <v>5</v>
      </c>
    </row>
    <row r="41" spans="1:6" ht="29.25" customHeight="1" x14ac:dyDescent="0.25">
      <c r="A41" s="8">
        <v>3</v>
      </c>
      <c r="B41" s="8">
        <v>3</v>
      </c>
      <c r="D41" t="s">
        <v>8</v>
      </c>
      <c r="E41">
        <f>(((E5^2)/E6)+((E11^2)/E12))^2</f>
        <v>1.1868335362389426E-3</v>
      </c>
    </row>
    <row r="42" spans="1:6" ht="47.25" customHeight="1" x14ac:dyDescent="0.25">
      <c r="A42" s="8">
        <v>5</v>
      </c>
      <c r="B42" s="8">
        <v>4</v>
      </c>
      <c r="D42" t="s">
        <v>9</v>
      </c>
      <c r="E42">
        <f>(((E5^2)/E6)^2)/(E6-1)</f>
        <v>3.8830853059048867E-6</v>
      </c>
    </row>
    <row r="43" spans="1:6" ht="43.5" customHeight="1" x14ac:dyDescent="0.25">
      <c r="A43" s="8">
        <v>4</v>
      </c>
      <c r="B43" s="8">
        <v>3</v>
      </c>
      <c r="D43" t="s">
        <v>10</v>
      </c>
      <c r="E43">
        <f>(((E11^2)/E12)^2)/(E12-1)</f>
        <v>4.1380874227039341E-6</v>
      </c>
    </row>
    <row r="44" spans="1:6" x14ac:dyDescent="0.25">
      <c r="A44" s="8">
        <v>3</v>
      </c>
      <c r="B44" s="8">
        <v>4</v>
      </c>
    </row>
    <row r="45" spans="1:6" x14ac:dyDescent="0.25">
      <c r="A45" s="8">
        <v>5</v>
      </c>
      <c r="B45" s="8">
        <v>3</v>
      </c>
      <c r="D45" t="s">
        <v>7</v>
      </c>
      <c r="E45">
        <f>E41/(E42+E43)</f>
        <v>147.96259554490172</v>
      </c>
      <c r="F45" s="6" t="s">
        <v>12</v>
      </c>
    </row>
    <row r="46" spans="1:6" x14ac:dyDescent="0.25">
      <c r="A46" s="8">
        <v>5</v>
      </c>
      <c r="B46" s="8">
        <v>3</v>
      </c>
    </row>
    <row r="47" spans="1:6" x14ac:dyDescent="0.25">
      <c r="A47" s="8">
        <v>3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4</v>
      </c>
      <c r="B48" s="8">
        <v>4</v>
      </c>
    </row>
    <row r="49" spans="1:5" x14ac:dyDescent="0.25">
      <c r="A49" s="8">
        <v>2</v>
      </c>
      <c r="B49" s="8">
        <v>5</v>
      </c>
    </row>
    <row r="50" spans="1:5" x14ac:dyDescent="0.25">
      <c r="A50" s="8">
        <v>4</v>
      </c>
      <c r="B50" s="8">
        <v>5</v>
      </c>
    </row>
    <row r="51" spans="1:5" x14ac:dyDescent="0.25">
      <c r="A51" s="8">
        <v>3</v>
      </c>
      <c r="B51" s="8">
        <v>1</v>
      </c>
      <c r="D51" s="5"/>
      <c r="E51" s="5"/>
    </row>
    <row r="52" spans="1:5" x14ac:dyDescent="0.25">
      <c r="A52" s="8">
        <v>3</v>
      </c>
      <c r="B52" s="8">
        <v>4</v>
      </c>
      <c r="D52" t="s">
        <v>16</v>
      </c>
      <c r="E52">
        <f>_xlfn.T.INV.2T(E47,E45)</f>
        <v>1.9762333088953288</v>
      </c>
    </row>
    <row r="53" spans="1:5" x14ac:dyDescent="0.25">
      <c r="A53" s="8">
        <v>5</v>
      </c>
      <c r="B53" s="8">
        <v>2</v>
      </c>
      <c r="D53" t="s">
        <v>17</v>
      </c>
      <c r="E53">
        <f>_xlfn.T.INV(E47, E45)</f>
        <v>-1.6552854366095326</v>
      </c>
    </row>
    <row r="54" spans="1:5" x14ac:dyDescent="0.25">
      <c r="A54" s="8">
        <v>4</v>
      </c>
      <c r="B54" s="8">
        <v>4</v>
      </c>
    </row>
    <row r="55" spans="1:5" x14ac:dyDescent="0.25">
      <c r="A55" s="8">
        <v>1</v>
      </c>
      <c r="B55" s="8">
        <v>3</v>
      </c>
      <c r="D55" t="s">
        <v>18</v>
      </c>
      <c r="E55">
        <f>TTEST(A:A,B:B,2,2)</f>
        <v>0.51894222734947215</v>
      </c>
    </row>
    <row r="56" spans="1:5" x14ac:dyDescent="0.25">
      <c r="A56" s="8">
        <v>4</v>
      </c>
      <c r="B56" s="8">
        <v>2</v>
      </c>
      <c r="D56" t="s">
        <v>19</v>
      </c>
      <c r="E56">
        <f>TTEST(A:A,B:B,1,2)</f>
        <v>0.25947111367473608</v>
      </c>
    </row>
    <row r="57" spans="1:5" x14ac:dyDescent="0.25">
      <c r="A57" s="8">
        <v>2</v>
      </c>
      <c r="B57" s="8">
        <v>3</v>
      </c>
    </row>
    <row r="58" spans="1:5" x14ac:dyDescent="0.25">
      <c r="A58" s="8">
        <v>2</v>
      </c>
      <c r="B58" s="8">
        <v>3</v>
      </c>
    </row>
    <row r="59" spans="1:5" x14ac:dyDescent="0.25">
      <c r="A59" s="8">
        <v>2</v>
      </c>
      <c r="B59" s="8">
        <v>3</v>
      </c>
      <c r="D59" s="5" t="s">
        <v>20</v>
      </c>
      <c r="E59" s="5"/>
    </row>
    <row r="60" spans="1:5" x14ac:dyDescent="0.25">
      <c r="A60" s="8">
        <v>5</v>
      </c>
      <c r="B60" s="8">
        <v>4</v>
      </c>
    </row>
    <row r="61" spans="1:5" x14ac:dyDescent="0.25">
      <c r="A61" s="8">
        <v>3</v>
      </c>
      <c r="B61" s="8">
        <v>2</v>
      </c>
      <c r="D61" t="s">
        <v>21</v>
      </c>
    </row>
    <row r="62" spans="1:5" x14ac:dyDescent="0.25">
      <c r="A62" s="8">
        <v>3</v>
      </c>
      <c r="B62" s="8">
        <v>2</v>
      </c>
      <c r="D62" t="s">
        <v>22</v>
      </c>
    </row>
    <row r="63" spans="1:5" x14ac:dyDescent="0.25">
      <c r="A63" s="8">
        <v>3</v>
      </c>
      <c r="B63" s="8">
        <v>1</v>
      </c>
    </row>
    <row r="64" spans="1:5" x14ac:dyDescent="0.25">
      <c r="A64" s="8">
        <v>4</v>
      </c>
      <c r="B64" s="8">
        <v>5</v>
      </c>
      <c r="D64" t="s">
        <v>23</v>
      </c>
    </row>
    <row r="65" spans="1:4" x14ac:dyDescent="0.25">
      <c r="A65" s="8">
        <v>4</v>
      </c>
      <c r="B65" s="8">
        <v>2</v>
      </c>
      <c r="D65" t="s">
        <v>24</v>
      </c>
    </row>
    <row r="66" spans="1:4" x14ac:dyDescent="0.25">
      <c r="A66" s="8">
        <v>5</v>
      </c>
      <c r="B66" s="8">
        <v>1</v>
      </c>
    </row>
    <row r="67" spans="1:4" x14ac:dyDescent="0.25">
      <c r="A67" s="8">
        <v>1</v>
      </c>
      <c r="B67" s="8">
        <v>4</v>
      </c>
    </row>
    <row r="68" spans="1:4" x14ac:dyDescent="0.25">
      <c r="A68" s="8">
        <v>3</v>
      </c>
      <c r="B68" s="8">
        <v>5</v>
      </c>
      <c r="D68" s="7" t="s">
        <v>25</v>
      </c>
    </row>
    <row r="69" spans="1:4" x14ac:dyDescent="0.25">
      <c r="A69" s="8">
        <v>3</v>
      </c>
      <c r="B69" s="8">
        <v>2</v>
      </c>
    </row>
    <row r="70" spans="1:4" x14ac:dyDescent="0.25">
      <c r="A70" s="8">
        <v>2</v>
      </c>
      <c r="B70" s="8">
        <v>3</v>
      </c>
      <c r="D70" t="s">
        <v>26</v>
      </c>
    </row>
    <row r="71" spans="1:4" x14ac:dyDescent="0.25">
      <c r="A71" s="8">
        <v>3</v>
      </c>
      <c r="B71" s="8">
        <v>2</v>
      </c>
      <c r="D71" t="s">
        <v>27</v>
      </c>
    </row>
    <row r="72" spans="1:4" x14ac:dyDescent="0.25">
      <c r="A72" s="8">
        <v>4</v>
      </c>
      <c r="B72" s="8">
        <v>5</v>
      </c>
      <c r="D72" t="s">
        <v>28</v>
      </c>
    </row>
    <row r="73" spans="1:4" x14ac:dyDescent="0.25">
      <c r="A73" s="8">
        <v>2</v>
      </c>
      <c r="B73" s="8">
        <v>2</v>
      </c>
    </row>
    <row r="74" spans="1:4" x14ac:dyDescent="0.25">
      <c r="A74" s="8">
        <v>4</v>
      </c>
      <c r="B74" s="8">
        <v>4</v>
      </c>
    </row>
    <row r="75" spans="1:4" x14ac:dyDescent="0.25">
      <c r="A75" s="8">
        <v>2</v>
      </c>
      <c r="B75" s="8">
        <v>4</v>
      </c>
      <c r="D75" s="7" t="s">
        <v>25</v>
      </c>
    </row>
    <row r="76" spans="1:4" x14ac:dyDescent="0.25">
      <c r="A76" s="8">
        <v>2</v>
      </c>
      <c r="B76" s="8">
        <v>4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FAB6-F383-47F0-B14B-E3E9508727AB}">
  <dimension ref="A1:F88"/>
  <sheetViews>
    <sheetView zoomScale="70" zoomScaleNormal="70" workbookViewId="0">
      <selection activeCell="I23" sqref="I23"/>
    </sheetView>
  </sheetViews>
  <sheetFormatPr baseColWidth="10" defaultColWidth="9.140625" defaultRowHeight="15" x14ac:dyDescent="0.25"/>
  <cols>
    <col min="1" max="1" width="25.140625" customWidth="1"/>
    <col min="2" max="2" width="26" customWidth="1"/>
    <col min="4" max="4" width="37.7109375" customWidth="1"/>
    <col min="5" max="5" width="21.5703125" customWidth="1"/>
    <col min="6" max="6" width="17.85546875" customWidth="1"/>
    <col min="7" max="7" width="20" customWidth="1"/>
  </cols>
  <sheetData>
    <row r="1" spans="1:5" ht="153.75" customHeight="1" x14ac:dyDescent="0.25">
      <c r="A1" s="10" t="s">
        <v>45</v>
      </c>
      <c r="B1" s="12" t="s">
        <v>44</v>
      </c>
    </row>
    <row r="2" spans="1:5" x14ac:dyDescent="0.25">
      <c r="A2" s="8">
        <v>4</v>
      </c>
      <c r="B2" s="8">
        <v>1</v>
      </c>
      <c r="D2" s="1" t="s">
        <v>52</v>
      </c>
      <c r="E2">
        <f>AVERAGE(A:A)</f>
        <v>3.2933333333333334</v>
      </c>
    </row>
    <row r="3" spans="1:5" x14ac:dyDescent="0.25">
      <c r="A3" s="8">
        <v>3</v>
      </c>
      <c r="B3" s="8">
        <v>4</v>
      </c>
      <c r="D3" s="1" t="s">
        <v>0</v>
      </c>
      <c r="E3">
        <f>MEDIAN(A:A)</f>
        <v>3</v>
      </c>
    </row>
    <row r="4" spans="1:5" x14ac:dyDescent="0.25">
      <c r="A4" s="8">
        <v>1</v>
      </c>
      <c r="B4" s="8">
        <v>1</v>
      </c>
      <c r="D4" s="1" t="s">
        <v>1</v>
      </c>
      <c r="E4">
        <f>MODE(A:A)</f>
        <v>3</v>
      </c>
    </row>
    <row r="5" spans="1:5" x14ac:dyDescent="0.25">
      <c r="A5" s="8">
        <v>5</v>
      </c>
      <c r="B5" s="8">
        <v>3</v>
      </c>
      <c r="D5" s="1" t="s">
        <v>15</v>
      </c>
      <c r="E5">
        <f>STDEV(A:A)</f>
        <v>1.0103964078028485</v>
      </c>
    </row>
    <row r="6" spans="1:5" x14ac:dyDescent="0.25">
      <c r="A6" s="8">
        <v>2</v>
      </c>
      <c r="B6" s="8">
        <v>4</v>
      </c>
      <c r="D6" s="4" t="s">
        <v>4</v>
      </c>
      <c r="E6">
        <f>COUNT(A:A)</f>
        <v>75</v>
      </c>
    </row>
    <row r="7" spans="1:5" x14ac:dyDescent="0.25">
      <c r="A7" s="8">
        <v>2</v>
      </c>
      <c r="B7" s="8">
        <v>3</v>
      </c>
    </row>
    <row r="8" spans="1:5" x14ac:dyDescent="0.25">
      <c r="A8" s="8">
        <v>3</v>
      </c>
      <c r="B8" s="8">
        <v>1</v>
      </c>
      <c r="D8" s="3" t="s">
        <v>53</v>
      </c>
      <c r="E8">
        <f>AVERAGE(B:B)</f>
        <v>3.3466666666666667</v>
      </c>
    </row>
    <row r="9" spans="1:5" x14ac:dyDescent="0.25">
      <c r="A9" s="8">
        <v>3</v>
      </c>
      <c r="B9" s="8">
        <v>3</v>
      </c>
      <c r="D9" s="3" t="s">
        <v>2</v>
      </c>
      <c r="E9">
        <f>MEDIAN(B:B)</f>
        <v>3</v>
      </c>
    </row>
    <row r="10" spans="1:5" x14ac:dyDescent="0.25">
      <c r="A10" s="8">
        <v>3</v>
      </c>
      <c r="B10" s="8">
        <v>4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3</v>
      </c>
      <c r="D11" s="3" t="s">
        <v>14</v>
      </c>
      <c r="E11">
        <f>STDEV(B:B)</f>
        <v>1.1088505532981212</v>
      </c>
    </row>
    <row r="12" spans="1:5" x14ac:dyDescent="0.25">
      <c r="A12" s="8">
        <v>3</v>
      </c>
      <c r="B12" s="8">
        <v>4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5</v>
      </c>
    </row>
    <row r="14" spans="1:5" x14ac:dyDescent="0.25">
      <c r="A14" s="8">
        <v>3</v>
      </c>
      <c r="B14" s="8">
        <v>4</v>
      </c>
    </row>
    <row r="15" spans="1:5" x14ac:dyDescent="0.25">
      <c r="A15" s="8">
        <v>1</v>
      </c>
      <c r="B15" s="8">
        <v>4</v>
      </c>
    </row>
    <row r="16" spans="1:5" x14ac:dyDescent="0.25">
      <c r="A16" s="8">
        <v>5</v>
      </c>
      <c r="B16" s="8">
        <v>4</v>
      </c>
    </row>
    <row r="17" spans="1:5" x14ac:dyDescent="0.25">
      <c r="A17" s="8">
        <v>2</v>
      </c>
      <c r="B17" s="8">
        <v>4</v>
      </c>
      <c r="D17" s="2" t="s">
        <v>6</v>
      </c>
      <c r="E17" s="2"/>
    </row>
    <row r="18" spans="1:5" x14ac:dyDescent="0.25">
      <c r="A18" s="8">
        <v>4</v>
      </c>
      <c r="B18" s="8">
        <v>3</v>
      </c>
    </row>
    <row r="19" spans="1:5" x14ac:dyDescent="0.25">
      <c r="A19" s="8">
        <v>4</v>
      </c>
      <c r="B19" s="8">
        <v>4</v>
      </c>
    </row>
    <row r="20" spans="1:5" x14ac:dyDescent="0.25">
      <c r="A20" s="8">
        <v>3</v>
      </c>
      <c r="B20" s="8">
        <v>4</v>
      </c>
    </row>
    <row r="21" spans="1:5" x14ac:dyDescent="0.25">
      <c r="A21" s="8">
        <v>5</v>
      </c>
      <c r="B21" s="8">
        <v>1</v>
      </c>
    </row>
    <row r="22" spans="1:5" x14ac:dyDescent="0.25">
      <c r="A22" s="8">
        <v>4</v>
      </c>
      <c r="B22" s="8">
        <v>3</v>
      </c>
    </row>
    <row r="23" spans="1:5" x14ac:dyDescent="0.25">
      <c r="A23" s="8">
        <v>4</v>
      </c>
      <c r="B23" s="8">
        <v>3</v>
      </c>
    </row>
    <row r="24" spans="1:5" x14ac:dyDescent="0.25">
      <c r="A24" s="8">
        <v>5</v>
      </c>
      <c r="B24" s="8">
        <v>4</v>
      </c>
    </row>
    <row r="25" spans="1:5" x14ac:dyDescent="0.25">
      <c r="A25" s="8">
        <v>3</v>
      </c>
      <c r="B25" s="8">
        <v>4</v>
      </c>
    </row>
    <row r="26" spans="1:5" x14ac:dyDescent="0.25">
      <c r="A26" s="8">
        <v>3</v>
      </c>
      <c r="B26" s="8">
        <v>5</v>
      </c>
    </row>
    <row r="27" spans="1:5" x14ac:dyDescent="0.25">
      <c r="A27" s="8">
        <v>3</v>
      </c>
      <c r="B27" s="8">
        <v>4</v>
      </c>
    </row>
    <row r="28" spans="1:5" x14ac:dyDescent="0.25">
      <c r="A28" s="8">
        <v>4</v>
      </c>
      <c r="B28" s="8">
        <v>4</v>
      </c>
    </row>
    <row r="29" spans="1:5" x14ac:dyDescent="0.25">
      <c r="A29" s="8">
        <v>3</v>
      </c>
      <c r="B29" s="8">
        <v>4</v>
      </c>
      <c r="D29" t="s">
        <v>11</v>
      </c>
      <c r="E29">
        <f>(E2-E8)/SQRT(((E5^2)/E6)+((E11^2)/E12))</f>
        <v>-0.30788932535788754</v>
      </c>
    </row>
    <row r="30" spans="1:5" x14ac:dyDescent="0.25">
      <c r="A30" s="8">
        <v>4</v>
      </c>
      <c r="B30" s="8">
        <v>5</v>
      </c>
    </row>
    <row r="31" spans="1:5" x14ac:dyDescent="0.25">
      <c r="A31" s="8">
        <v>2</v>
      </c>
      <c r="B31" s="8">
        <v>5</v>
      </c>
      <c r="D31" s="2" t="s">
        <v>7</v>
      </c>
      <c r="E31" s="2"/>
    </row>
    <row r="32" spans="1:5" x14ac:dyDescent="0.25">
      <c r="A32" s="8">
        <v>5</v>
      </c>
      <c r="B32" s="8">
        <v>3</v>
      </c>
    </row>
    <row r="33" spans="1:6" x14ac:dyDescent="0.25">
      <c r="A33" s="8">
        <v>3</v>
      </c>
      <c r="B33" s="8">
        <v>4</v>
      </c>
    </row>
    <row r="34" spans="1:6" x14ac:dyDescent="0.25">
      <c r="A34" s="8">
        <v>4</v>
      </c>
      <c r="B34" s="8">
        <v>3</v>
      </c>
    </row>
    <row r="35" spans="1:6" x14ac:dyDescent="0.25">
      <c r="A35" s="8">
        <v>3</v>
      </c>
      <c r="B35" s="8">
        <v>3</v>
      </c>
    </row>
    <row r="36" spans="1:6" x14ac:dyDescent="0.25">
      <c r="A36" s="8">
        <v>4</v>
      </c>
      <c r="B36" s="8">
        <v>2</v>
      </c>
    </row>
    <row r="37" spans="1:6" x14ac:dyDescent="0.25">
      <c r="A37" s="8">
        <v>3</v>
      </c>
      <c r="B37" s="8">
        <v>5</v>
      </c>
    </row>
    <row r="38" spans="1:6" x14ac:dyDescent="0.25">
      <c r="A38" s="8">
        <v>2</v>
      </c>
      <c r="B38" s="8">
        <v>2</v>
      </c>
    </row>
    <row r="39" spans="1:6" x14ac:dyDescent="0.25">
      <c r="A39" s="8">
        <v>5</v>
      </c>
      <c r="B39" s="8">
        <v>3</v>
      </c>
    </row>
    <row r="40" spans="1:6" x14ac:dyDescent="0.25">
      <c r="A40" s="8">
        <v>2</v>
      </c>
      <c r="B40" s="8">
        <v>5</v>
      </c>
    </row>
    <row r="41" spans="1:6" ht="29.25" customHeight="1" x14ac:dyDescent="0.25">
      <c r="A41" s="8">
        <v>3</v>
      </c>
      <c r="B41" s="8">
        <v>2</v>
      </c>
      <c r="D41" t="s">
        <v>8</v>
      </c>
      <c r="E41">
        <f>(((E5^2)/E6)+((E11^2)/E12))^2</f>
        <v>9.0036039643246791E-4</v>
      </c>
    </row>
    <row r="42" spans="1:6" ht="47.25" customHeight="1" x14ac:dyDescent="0.25">
      <c r="A42" s="8">
        <v>5</v>
      </c>
      <c r="B42" s="8">
        <v>1</v>
      </c>
      <c r="D42" t="s">
        <v>9</v>
      </c>
      <c r="E42">
        <f>(((E5^2)/E6)^2)/(E6-1)</f>
        <v>2.5038766353399862E-6</v>
      </c>
    </row>
    <row r="43" spans="1:6" ht="43.5" customHeight="1" x14ac:dyDescent="0.25">
      <c r="A43" s="8">
        <v>3</v>
      </c>
      <c r="B43" s="8">
        <v>5</v>
      </c>
      <c r="D43" t="s">
        <v>10</v>
      </c>
      <c r="E43">
        <f>(((E11^2)/E12)^2)/(E12-1)</f>
        <v>3.6319329604744749E-6</v>
      </c>
    </row>
    <row r="44" spans="1:6" x14ac:dyDescent="0.25">
      <c r="A44" s="8">
        <v>3</v>
      </c>
      <c r="B44" s="8">
        <v>4</v>
      </c>
    </row>
    <row r="45" spans="1:6" x14ac:dyDescent="0.25">
      <c r="A45" s="8">
        <v>3</v>
      </c>
      <c r="B45" s="8">
        <v>2</v>
      </c>
      <c r="D45" t="s">
        <v>7</v>
      </c>
      <c r="E45">
        <f>E41/(E42+E43)</f>
        <v>146.7386466892076</v>
      </c>
      <c r="F45" s="6" t="s">
        <v>12</v>
      </c>
    </row>
    <row r="46" spans="1:6" x14ac:dyDescent="0.25">
      <c r="A46" s="8">
        <v>4</v>
      </c>
      <c r="B46" s="8">
        <v>2</v>
      </c>
    </row>
    <row r="47" spans="1:6" x14ac:dyDescent="0.25">
      <c r="A47" s="8">
        <v>4</v>
      </c>
      <c r="B47" s="8">
        <v>4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4</v>
      </c>
    </row>
    <row r="49" spans="1:5" x14ac:dyDescent="0.25">
      <c r="A49" s="8">
        <v>4</v>
      </c>
      <c r="B49" s="8">
        <v>3</v>
      </c>
    </row>
    <row r="50" spans="1:5" x14ac:dyDescent="0.25">
      <c r="A50" s="8">
        <v>3</v>
      </c>
      <c r="B50" s="8">
        <v>3</v>
      </c>
    </row>
    <row r="51" spans="1:5" x14ac:dyDescent="0.25">
      <c r="A51" s="8">
        <v>4</v>
      </c>
      <c r="B51" s="8">
        <v>3</v>
      </c>
      <c r="D51" s="5"/>
      <c r="E51" s="5"/>
    </row>
    <row r="52" spans="1:5" x14ac:dyDescent="0.25">
      <c r="A52" s="8">
        <v>5</v>
      </c>
      <c r="B52" s="8">
        <v>3</v>
      </c>
      <c r="D52" t="s">
        <v>16</v>
      </c>
      <c r="E52">
        <f>_xlfn.T.INV.2T(E47,E45)</f>
        <v>1.9763456545938156</v>
      </c>
    </row>
    <row r="53" spans="1:5" x14ac:dyDescent="0.25">
      <c r="A53" s="8">
        <v>3</v>
      </c>
      <c r="B53" s="8">
        <v>3</v>
      </c>
      <c r="D53" t="s">
        <v>17</v>
      </c>
      <c r="E53">
        <f>_xlfn.T.INV(E47, E45)</f>
        <v>-1.6553573449019661</v>
      </c>
    </row>
    <row r="54" spans="1:5" x14ac:dyDescent="0.25">
      <c r="A54" s="8">
        <v>3</v>
      </c>
      <c r="B54" s="8">
        <v>2</v>
      </c>
    </row>
    <row r="55" spans="1:5" x14ac:dyDescent="0.25">
      <c r="A55" s="8">
        <v>4</v>
      </c>
      <c r="B55" s="8">
        <v>5</v>
      </c>
      <c r="D55" t="s">
        <v>18</v>
      </c>
      <c r="E55">
        <f>TTEST(A:A,B:B,2,2)</f>
        <v>0.75859942483131371</v>
      </c>
    </row>
    <row r="56" spans="1:5" x14ac:dyDescent="0.25">
      <c r="A56" s="8">
        <v>3</v>
      </c>
      <c r="B56" s="8">
        <v>4</v>
      </c>
      <c r="D56" t="s">
        <v>19</v>
      </c>
      <c r="E56">
        <f>TTEST(A:A,B:B,1,2)</f>
        <v>0.37929971241565685</v>
      </c>
    </row>
    <row r="57" spans="1:5" x14ac:dyDescent="0.25">
      <c r="A57" s="8">
        <v>4</v>
      </c>
      <c r="B57" s="8">
        <v>2</v>
      </c>
    </row>
    <row r="58" spans="1:5" x14ac:dyDescent="0.25">
      <c r="A58" s="8">
        <v>2</v>
      </c>
      <c r="B58" s="8">
        <v>2</v>
      </c>
    </row>
    <row r="59" spans="1:5" x14ac:dyDescent="0.25">
      <c r="A59" s="8">
        <v>3</v>
      </c>
      <c r="B59" s="8">
        <v>3</v>
      </c>
      <c r="D59" s="5" t="s">
        <v>20</v>
      </c>
      <c r="E59" s="5"/>
    </row>
    <row r="60" spans="1:5" x14ac:dyDescent="0.25">
      <c r="A60" s="8">
        <v>4</v>
      </c>
      <c r="B60" s="8">
        <v>3</v>
      </c>
    </row>
    <row r="61" spans="1:5" x14ac:dyDescent="0.25">
      <c r="A61" s="8">
        <v>3</v>
      </c>
      <c r="B61" s="8">
        <v>5</v>
      </c>
      <c r="D61" t="s">
        <v>21</v>
      </c>
    </row>
    <row r="62" spans="1:5" x14ac:dyDescent="0.25">
      <c r="A62" s="8">
        <v>4</v>
      </c>
      <c r="B62" s="8">
        <v>3</v>
      </c>
      <c r="D62" t="s">
        <v>22</v>
      </c>
    </row>
    <row r="63" spans="1:5" x14ac:dyDescent="0.25">
      <c r="A63" s="8">
        <v>3</v>
      </c>
      <c r="B63" s="8">
        <v>3</v>
      </c>
    </row>
    <row r="64" spans="1:5" x14ac:dyDescent="0.25">
      <c r="A64" s="8">
        <v>2</v>
      </c>
      <c r="B64" s="8">
        <v>4</v>
      </c>
      <c r="D64" t="s">
        <v>23</v>
      </c>
    </row>
    <row r="65" spans="1:4" x14ac:dyDescent="0.25">
      <c r="A65" s="8">
        <v>2</v>
      </c>
      <c r="B65" s="8">
        <v>4</v>
      </c>
      <c r="D65" t="s">
        <v>24</v>
      </c>
    </row>
    <row r="66" spans="1:4" x14ac:dyDescent="0.25">
      <c r="A66" s="8">
        <v>2</v>
      </c>
      <c r="B66" s="8">
        <v>3</v>
      </c>
    </row>
    <row r="67" spans="1:4" x14ac:dyDescent="0.25">
      <c r="A67" s="8">
        <v>4</v>
      </c>
      <c r="B67" s="8">
        <v>5</v>
      </c>
    </row>
    <row r="68" spans="1:4" x14ac:dyDescent="0.25">
      <c r="A68" s="8">
        <v>5</v>
      </c>
      <c r="B68" s="8">
        <v>4</v>
      </c>
      <c r="D68" s="7" t="s">
        <v>25</v>
      </c>
    </row>
    <row r="69" spans="1:4" x14ac:dyDescent="0.25">
      <c r="A69" s="8">
        <v>3</v>
      </c>
      <c r="B69" s="8">
        <v>4</v>
      </c>
    </row>
    <row r="70" spans="1:4" x14ac:dyDescent="0.25">
      <c r="A70" s="8">
        <v>4</v>
      </c>
      <c r="B70" s="8">
        <v>4</v>
      </c>
      <c r="D70" t="s">
        <v>26</v>
      </c>
    </row>
    <row r="71" spans="1:4" x14ac:dyDescent="0.25">
      <c r="A71" s="8">
        <v>5</v>
      </c>
      <c r="B71" s="8">
        <v>5</v>
      </c>
      <c r="D71" t="s">
        <v>27</v>
      </c>
    </row>
    <row r="72" spans="1:4" x14ac:dyDescent="0.25">
      <c r="A72" s="8">
        <v>2</v>
      </c>
      <c r="B72" s="8">
        <v>2</v>
      </c>
      <c r="D72" t="s">
        <v>28</v>
      </c>
    </row>
    <row r="73" spans="1:4" x14ac:dyDescent="0.25">
      <c r="A73" s="8">
        <v>3</v>
      </c>
      <c r="B73" s="8">
        <v>3</v>
      </c>
    </row>
    <row r="74" spans="1:4" x14ac:dyDescent="0.25">
      <c r="A74" s="8">
        <v>2</v>
      </c>
      <c r="B74" s="8">
        <v>2</v>
      </c>
    </row>
    <row r="75" spans="1:4" x14ac:dyDescent="0.25">
      <c r="A75" s="8">
        <v>2</v>
      </c>
      <c r="B75" s="8">
        <v>2</v>
      </c>
      <c r="D75" s="7" t="s">
        <v>25</v>
      </c>
    </row>
    <row r="76" spans="1:4" x14ac:dyDescent="0.25">
      <c r="A76" s="8">
        <v>3</v>
      </c>
      <c r="B76" s="8">
        <v>3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12BE-04D0-485F-87B9-FF0C754F9486}">
  <dimension ref="A1:F88"/>
  <sheetViews>
    <sheetView zoomScale="70" zoomScaleNormal="70" workbookViewId="0">
      <selection activeCell="G23" sqref="G23"/>
    </sheetView>
  </sheetViews>
  <sheetFormatPr baseColWidth="10" defaultColWidth="9.140625" defaultRowHeight="15" x14ac:dyDescent="0.25"/>
  <cols>
    <col min="1" max="1" width="25.140625" customWidth="1"/>
    <col min="2" max="2" width="26" customWidth="1"/>
    <col min="4" max="4" width="38.5703125" customWidth="1"/>
    <col min="5" max="5" width="21.5703125" customWidth="1"/>
    <col min="6" max="6" width="17.85546875" customWidth="1"/>
    <col min="7" max="7" width="20" customWidth="1"/>
  </cols>
  <sheetData>
    <row r="1" spans="1:5" ht="141" customHeight="1" x14ac:dyDescent="0.25">
      <c r="A1" s="10" t="s">
        <v>42</v>
      </c>
      <c r="B1" s="12" t="s">
        <v>43</v>
      </c>
    </row>
    <row r="2" spans="1:5" x14ac:dyDescent="0.25">
      <c r="A2" s="8">
        <v>3</v>
      </c>
      <c r="B2" s="8">
        <v>3</v>
      </c>
      <c r="D2" s="1" t="s">
        <v>52</v>
      </c>
      <c r="E2">
        <f>AVERAGE(A:A)</f>
        <v>3.04</v>
      </c>
    </row>
    <row r="3" spans="1:5" x14ac:dyDescent="0.25">
      <c r="A3" s="8">
        <v>5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2</v>
      </c>
      <c r="B4" s="8">
        <v>1</v>
      </c>
      <c r="D4" s="1" t="s">
        <v>1</v>
      </c>
      <c r="E4">
        <f>MODE(A:A)</f>
        <v>3</v>
      </c>
    </row>
    <row r="5" spans="1:5" x14ac:dyDescent="0.25">
      <c r="A5" s="8">
        <v>2</v>
      </c>
      <c r="B5" s="8">
        <v>1</v>
      </c>
      <c r="D5" s="1" t="s">
        <v>15</v>
      </c>
      <c r="E5">
        <f>STDEV(A:A)</f>
        <v>1.1905029598019894</v>
      </c>
    </row>
    <row r="6" spans="1:5" x14ac:dyDescent="0.25">
      <c r="A6" s="8">
        <v>3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1</v>
      </c>
      <c r="B7" s="8">
        <v>3</v>
      </c>
    </row>
    <row r="8" spans="1:5" x14ac:dyDescent="0.25">
      <c r="A8" s="8">
        <v>3</v>
      </c>
      <c r="B8" s="8">
        <v>4</v>
      </c>
      <c r="D8" s="3" t="s">
        <v>53</v>
      </c>
      <c r="E8">
        <f>AVERAGE(B:B)</f>
        <v>3.16</v>
      </c>
    </row>
    <row r="9" spans="1:5" x14ac:dyDescent="0.25">
      <c r="A9" s="8">
        <v>5</v>
      </c>
      <c r="B9" s="8">
        <v>2</v>
      </c>
      <c r="D9" s="3" t="s">
        <v>2</v>
      </c>
      <c r="E9">
        <f>MEDIAN(B:B)</f>
        <v>3</v>
      </c>
    </row>
    <row r="10" spans="1:5" x14ac:dyDescent="0.25">
      <c r="A10" s="8">
        <v>2</v>
      </c>
      <c r="B10" s="8">
        <v>3</v>
      </c>
      <c r="D10" s="3" t="s">
        <v>3</v>
      </c>
      <c r="E10">
        <f>MODE(B:B)</f>
        <v>3</v>
      </c>
    </row>
    <row r="11" spans="1:5" x14ac:dyDescent="0.25">
      <c r="A11" s="8">
        <v>3</v>
      </c>
      <c r="B11" s="8">
        <v>5</v>
      </c>
      <c r="D11" s="3" t="s">
        <v>14</v>
      </c>
      <c r="E11">
        <f>STDEV(B:B)</f>
        <v>1.2306886668018826</v>
      </c>
    </row>
    <row r="12" spans="1:5" x14ac:dyDescent="0.25">
      <c r="A12" s="8">
        <v>5</v>
      </c>
      <c r="B12" s="8">
        <v>2</v>
      </c>
      <c r="D12" s="5" t="s">
        <v>5</v>
      </c>
      <c r="E12">
        <f>COUNT(B:B)</f>
        <v>75</v>
      </c>
    </row>
    <row r="13" spans="1:5" x14ac:dyDescent="0.25">
      <c r="A13" s="8">
        <v>2</v>
      </c>
      <c r="B13" s="8">
        <v>2</v>
      </c>
    </row>
    <row r="14" spans="1:5" x14ac:dyDescent="0.25">
      <c r="A14" s="8">
        <v>2</v>
      </c>
      <c r="B14" s="8">
        <v>2</v>
      </c>
    </row>
    <row r="15" spans="1:5" x14ac:dyDescent="0.25">
      <c r="A15" s="8">
        <v>1</v>
      </c>
      <c r="B15" s="8">
        <v>3</v>
      </c>
    </row>
    <row r="16" spans="1:5" x14ac:dyDescent="0.25">
      <c r="A16" s="8">
        <v>3</v>
      </c>
      <c r="B16" s="8">
        <v>3</v>
      </c>
    </row>
    <row r="17" spans="1:5" x14ac:dyDescent="0.25">
      <c r="A17" s="8">
        <v>5</v>
      </c>
      <c r="B17" s="8">
        <v>4</v>
      </c>
      <c r="D17" s="2" t="s">
        <v>6</v>
      </c>
      <c r="E17" s="2"/>
    </row>
    <row r="18" spans="1:5" x14ac:dyDescent="0.25">
      <c r="A18" s="8">
        <v>4</v>
      </c>
      <c r="B18" s="8">
        <v>2</v>
      </c>
    </row>
    <row r="19" spans="1:5" x14ac:dyDescent="0.25">
      <c r="A19" s="8">
        <v>2</v>
      </c>
      <c r="B19" s="8">
        <v>2</v>
      </c>
    </row>
    <row r="20" spans="1:5" x14ac:dyDescent="0.25">
      <c r="A20" s="8">
        <v>3</v>
      </c>
      <c r="B20" s="8">
        <v>5</v>
      </c>
    </row>
    <row r="21" spans="1:5" x14ac:dyDescent="0.25">
      <c r="A21" s="8">
        <v>5</v>
      </c>
      <c r="B21" s="8">
        <v>5</v>
      </c>
    </row>
    <row r="22" spans="1:5" x14ac:dyDescent="0.25">
      <c r="A22" s="8">
        <v>3</v>
      </c>
      <c r="B22" s="8">
        <v>4</v>
      </c>
    </row>
    <row r="23" spans="1:5" x14ac:dyDescent="0.25">
      <c r="A23" s="8">
        <v>4</v>
      </c>
      <c r="B23" s="8">
        <v>2</v>
      </c>
    </row>
    <row r="24" spans="1:5" x14ac:dyDescent="0.25">
      <c r="A24" s="8">
        <v>1</v>
      </c>
      <c r="B24" s="8">
        <v>1</v>
      </c>
    </row>
    <row r="25" spans="1:5" x14ac:dyDescent="0.25">
      <c r="A25" s="8">
        <v>3</v>
      </c>
      <c r="B25" s="8">
        <v>5</v>
      </c>
    </row>
    <row r="26" spans="1:5" x14ac:dyDescent="0.25">
      <c r="A26" s="8">
        <v>2</v>
      </c>
      <c r="B26" s="8">
        <v>3</v>
      </c>
    </row>
    <row r="27" spans="1:5" x14ac:dyDescent="0.25">
      <c r="A27" s="8">
        <v>4</v>
      </c>
      <c r="B27" s="8">
        <v>4</v>
      </c>
    </row>
    <row r="28" spans="1:5" x14ac:dyDescent="0.25">
      <c r="A28" s="8">
        <v>2</v>
      </c>
      <c r="B28" s="8">
        <v>1</v>
      </c>
    </row>
    <row r="29" spans="1:5" x14ac:dyDescent="0.25">
      <c r="A29" s="8">
        <v>2</v>
      </c>
      <c r="B29" s="8">
        <v>2</v>
      </c>
      <c r="D29" t="s">
        <v>11</v>
      </c>
      <c r="E29">
        <f>(E2-E8)/SQRT(((E5^2)/E6)+((E11^2)/E12))</f>
        <v>-0.60692901714978797</v>
      </c>
    </row>
    <row r="30" spans="1:5" x14ac:dyDescent="0.25">
      <c r="A30" s="8">
        <v>3</v>
      </c>
      <c r="B30" s="8">
        <v>2</v>
      </c>
    </row>
    <row r="31" spans="1:5" x14ac:dyDescent="0.25">
      <c r="A31" s="8">
        <v>2</v>
      </c>
      <c r="B31" s="8">
        <v>4</v>
      </c>
      <c r="D31" s="2" t="s">
        <v>7</v>
      </c>
      <c r="E31" s="2"/>
    </row>
    <row r="32" spans="1:5" x14ac:dyDescent="0.25">
      <c r="A32" s="8">
        <v>1</v>
      </c>
      <c r="B32" s="8">
        <v>4</v>
      </c>
    </row>
    <row r="33" spans="1:6" x14ac:dyDescent="0.25">
      <c r="A33" s="8">
        <v>2</v>
      </c>
      <c r="B33" s="8">
        <v>4</v>
      </c>
    </row>
    <row r="34" spans="1:6" x14ac:dyDescent="0.25">
      <c r="A34" s="8">
        <v>2</v>
      </c>
      <c r="B34" s="8">
        <v>5</v>
      </c>
    </row>
    <row r="35" spans="1:6" x14ac:dyDescent="0.25">
      <c r="A35" s="8">
        <v>5</v>
      </c>
      <c r="B35" s="8">
        <v>2</v>
      </c>
    </row>
    <row r="36" spans="1:6" x14ac:dyDescent="0.25">
      <c r="A36" s="8">
        <v>3</v>
      </c>
      <c r="B36" s="8">
        <v>2</v>
      </c>
    </row>
    <row r="37" spans="1:6" x14ac:dyDescent="0.25">
      <c r="A37" s="8">
        <v>4</v>
      </c>
      <c r="B37" s="8">
        <v>1</v>
      </c>
    </row>
    <row r="38" spans="1:6" x14ac:dyDescent="0.25">
      <c r="A38" s="8">
        <v>4</v>
      </c>
      <c r="B38" s="8">
        <v>1</v>
      </c>
    </row>
    <row r="39" spans="1:6" x14ac:dyDescent="0.25">
      <c r="A39" s="8">
        <v>3</v>
      </c>
      <c r="B39" s="8">
        <v>3</v>
      </c>
    </row>
    <row r="40" spans="1:6" x14ac:dyDescent="0.25">
      <c r="A40" s="8">
        <v>3</v>
      </c>
      <c r="B40" s="8">
        <v>2</v>
      </c>
    </row>
    <row r="41" spans="1:6" ht="29.25" customHeight="1" x14ac:dyDescent="0.25">
      <c r="A41" s="8">
        <v>4</v>
      </c>
      <c r="B41" s="8">
        <v>2</v>
      </c>
      <c r="D41" t="s">
        <v>8</v>
      </c>
      <c r="E41">
        <f>(((E5^2)/E6)+((E11^2)/E12))^2</f>
        <v>1.5281760116873635E-3</v>
      </c>
    </row>
    <row r="42" spans="1:6" ht="47.25" customHeight="1" x14ac:dyDescent="0.25">
      <c r="A42" s="8">
        <v>4</v>
      </c>
      <c r="B42" s="8">
        <v>2</v>
      </c>
      <c r="D42" t="s">
        <v>9</v>
      </c>
      <c r="E42">
        <f>(((E5^2)/E6)^2)/(E6-1)</f>
        <v>4.8257816911140507E-6</v>
      </c>
    </row>
    <row r="43" spans="1:6" ht="43.5" customHeight="1" x14ac:dyDescent="0.25">
      <c r="A43" s="8">
        <v>3</v>
      </c>
      <c r="B43" s="8">
        <v>4</v>
      </c>
      <c r="D43" t="s">
        <v>10</v>
      </c>
      <c r="E43">
        <f>(((E11^2)/E12)^2)/(E12-1)</f>
        <v>5.5111033897301288E-6</v>
      </c>
    </row>
    <row r="44" spans="1:6" x14ac:dyDescent="0.25">
      <c r="A44" s="8">
        <v>2</v>
      </c>
      <c r="B44" s="8">
        <v>4</v>
      </c>
    </row>
    <row r="45" spans="1:6" x14ac:dyDescent="0.25">
      <c r="A45" s="8">
        <v>4</v>
      </c>
      <c r="B45" s="8">
        <v>5</v>
      </c>
      <c r="D45" t="s">
        <v>7</v>
      </c>
      <c r="E45">
        <f>E41/(E42+E43)</f>
        <v>147.83718690259082</v>
      </c>
      <c r="F45" s="6" t="s">
        <v>12</v>
      </c>
    </row>
    <row r="46" spans="1:6" x14ac:dyDescent="0.25">
      <c r="A46" s="8">
        <v>2</v>
      </c>
      <c r="B46" s="8">
        <v>2</v>
      </c>
    </row>
    <row r="47" spans="1:6" x14ac:dyDescent="0.25">
      <c r="A47" s="8">
        <v>5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5</v>
      </c>
    </row>
    <row r="49" spans="1:5" x14ac:dyDescent="0.25">
      <c r="A49" s="8">
        <v>3</v>
      </c>
      <c r="B49" s="8">
        <v>3</v>
      </c>
    </row>
    <row r="50" spans="1:5" x14ac:dyDescent="0.25">
      <c r="A50" s="8">
        <v>1</v>
      </c>
      <c r="B50" s="8">
        <v>3</v>
      </c>
    </row>
    <row r="51" spans="1:5" x14ac:dyDescent="0.25">
      <c r="A51" s="8">
        <v>3</v>
      </c>
      <c r="B51" s="8">
        <v>4</v>
      </c>
      <c r="D51" s="5"/>
      <c r="E51" s="5"/>
    </row>
    <row r="52" spans="1:5" x14ac:dyDescent="0.25">
      <c r="A52" s="8">
        <v>4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2</v>
      </c>
      <c r="B53" s="8">
        <v>3</v>
      </c>
      <c r="D53" t="s">
        <v>17</v>
      </c>
      <c r="E53">
        <f>_xlfn.T.INV(E47, E45)</f>
        <v>-1.6552854366095326</v>
      </c>
    </row>
    <row r="54" spans="1:5" x14ac:dyDescent="0.25">
      <c r="A54" s="8">
        <v>5</v>
      </c>
      <c r="B54" s="8">
        <v>3</v>
      </c>
    </row>
    <row r="55" spans="1:5" x14ac:dyDescent="0.25">
      <c r="A55" s="8">
        <v>4</v>
      </c>
      <c r="B55" s="8">
        <v>2</v>
      </c>
      <c r="D55" t="s">
        <v>18</v>
      </c>
      <c r="E55">
        <f>TTEST(A:A,B:B,2,2)</f>
        <v>0.54482797517953419</v>
      </c>
    </row>
    <row r="56" spans="1:5" x14ac:dyDescent="0.25">
      <c r="A56" s="8">
        <v>3</v>
      </c>
      <c r="B56" s="8">
        <v>3</v>
      </c>
      <c r="D56" t="s">
        <v>19</v>
      </c>
      <c r="E56">
        <f>TTEST(A:A,B:B,1,2)</f>
        <v>0.27241398758976709</v>
      </c>
    </row>
    <row r="57" spans="1:5" x14ac:dyDescent="0.25">
      <c r="A57" s="8">
        <v>4</v>
      </c>
      <c r="B57" s="8">
        <v>2</v>
      </c>
    </row>
    <row r="58" spans="1:5" x14ac:dyDescent="0.25">
      <c r="A58" s="8">
        <v>3</v>
      </c>
      <c r="B58" s="8">
        <v>3</v>
      </c>
    </row>
    <row r="59" spans="1:5" x14ac:dyDescent="0.25">
      <c r="A59" s="8">
        <v>4</v>
      </c>
      <c r="B59" s="8">
        <v>3</v>
      </c>
      <c r="D59" s="5" t="s">
        <v>20</v>
      </c>
      <c r="E59" s="5"/>
    </row>
    <row r="60" spans="1:5" x14ac:dyDescent="0.25">
      <c r="A60" s="8">
        <v>5</v>
      </c>
      <c r="B60" s="8">
        <v>2</v>
      </c>
    </row>
    <row r="61" spans="1:5" x14ac:dyDescent="0.25">
      <c r="A61" s="8">
        <v>3</v>
      </c>
      <c r="B61" s="8">
        <v>4</v>
      </c>
      <c r="D61" t="s">
        <v>21</v>
      </c>
    </row>
    <row r="62" spans="1:5" x14ac:dyDescent="0.25">
      <c r="A62" s="8">
        <v>2</v>
      </c>
      <c r="B62" s="8">
        <v>5</v>
      </c>
      <c r="D62" t="s">
        <v>22</v>
      </c>
    </row>
    <row r="63" spans="1:5" x14ac:dyDescent="0.25">
      <c r="A63" s="8">
        <v>4</v>
      </c>
      <c r="B63" s="8">
        <v>5</v>
      </c>
    </row>
    <row r="64" spans="1:5" x14ac:dyDescent="0.25">
      <c r="A64" s="8">
        <v>4</v>
      </c>
      <c r="B64" s="8">
        <v>3</v>
      </c>
      <c r="D64" t="s">
        <v>23</v>
      </c>
    </row>
    <row r="65" spans="1:4" x14ac:dyDescent="0.25">
      <c r="A65" s="8">
        <v>4</v>
      </c>
      <c r="B65" s="8">
        <v>3</v>
      </c>
      <c r="D65" t="s">
        <v>24</v>
      </c>
    </row>
    <row r="66" spans="1:4" x14ac:dyDescent="0.25">
      <c r="A66" s="8">
        <v>1</v>
      </c>
      <c r="B66" s="8">
        <v>3</v>
      </c>
    </row>
    <row r="67" spans="1:4" x14ac:dyDescent="0.25">
      <c r="A67" s="8">
        <v>1</v>
      </c>
      <c r="B67" s="8">
        <v>5</v>
      </c>
    </row>
    <row r="68" spans="1:4" x14ac:dyDescent="0.25">
      <c r="A68" s="8">
        <v>4</v>
      </c>
      <c r="B68" s="8">
        <v>5</v>
      </c>
      <c r="D68" s="7" t="s">
        <v>25</v>
      </c>
    </row>
    <row r="69" spans="1:4" x14ac:dyDescent="0.25">
      <c r="A69" s="8">
        <v>1</v>
      </c>
      <c r="B69" s="8">
        <v>5</v>
      </c>
    </row>
    <row r="70" spans="1:4" x14ac:dyDescent="0.25">
      <c r="A70" s="8">
        <v>2</v>
      </c>
      <c r="B70" s="8">
        <v>4</v>
      </c>
      <c r="D70" t="s">
        <v>26</v>
      </c>
    </row>
    <row r="71" spans="1:4" x14ac:dyDescent="0.25">
      <c r="A71" s="8">
        <v>3</v>
      </c>
      <c r="B71" s="8">
        <v>3</v>
      </c>
      <c r="D71" t="s">
        <v>27</v>
      </c>
    </row>
    <row r="72" spans="1:4" x14ac:dyDescent="0.25">
      <c r="A72" s="8">
        <v>3</v>
      </c>
      <c r="B72" s="8">
        <v>4</v>
      </c>
      <c r="D72" t="s">
        <v>28</v>
      </c>
    </row>
    <row r="73" spans="1:4" x14ac:dyDescent="0.25">
      <c r="A73" s="8">
        <v>4</v>
      </c>
      <c r="B73" s="8">
        <v>4</v>
      </c>
    </row>
    <row r="74" spans="1:4" x14ac:dyDescent="0.25">
      <c r="A74" s="8">
        <v>2</v>
      </c>
      <c r="B74" s="8">
        <v>2</v>
      </c>
    </row>
    <row r="75" spans="1:4" x14ac:dyDescent="0.25">
      <c r="A75" s="8">
        <v>4</v>
      </c>
      <c r="B75" s="8">
        <v>4</v>
      </c>
      <c r="D75" s="7" t="s">
        <v>25</v>
      </c>
    </row>
    <row r="76" spans="1:4" x14ac:dyDescent="0.25">
      <c r="A76" s="8">
        <v>4</v>
      </c>
      <c r="B76" s="8">
        <v>3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EC6F-708D-4627-BF9F-2F8E22018129}">
  <dimension ref="A1:F88"/>
  <sheetViews>
    <sheetView zoomScale="70" zoomScaleNormal="70" workbookViewId="0">
      <selection activeCell="J23" sqref="J23"/>
    </sheetView>
  </sheetViews>
  <sheetFormatPr baseColWidth="10" defaultColWidth="9.140625" defaultRowHeight="15" x14ac:dyDescent="0.25"/>
  <cols>
    <col min="1" max="1" width="25.140625" customWidth="1"/>
    <col min="2" max="2" width="24.42578125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152.25" customHeight="1" x14ac:dyDescent="0.25">
      <c r="A1" s="10" t="s">
        <v>41</v>
      </c>
      <c r="B1" s="12" t="s">
        <v>40</v>
      </c>
    </row>
    <row r="2" spans="1:5" x14ac:dyDescent="0.25">
      <c r="A2" s="8">
        <v>5</v>
      </c>
      <c r="B2" s="8">
        <v>3</v>
      </c>
      <c r="D2" s="1" t="s">
        <v>52</v>
      </c>
      <c r="E2">
        <f>AVERAGE(A:A)</f>
        <v>2.8266666666666667</v>
      </c>
    </row>
    <row r="3" spans="1:5" x14ac:dyDescent="0.25">
      <c r="A3" s="8">
        <v>2</v>
      </c>
      <c r="B3" s="8">
        <v>4</v>
      </c>
      <c r="D3" s="1" t="s">
        <v>0</v>
      </c>
      <c r="E3">
        <f>MEDIAN(A:A)</f>
        <v>3</v>
      </c>
    </row>
    <row r="4" spans="1:5" x14ac:dyDescent="0.25">
      <c r="A4" s="8">
        <v>3</v>
      </c>
      <c r="B4" s="8">
        <v>4</v>
      </c>
      <c r="D4" s="1" t="s">
        <v>1</v>
      </c>
      <c r="E4">
        <f>MODE(A:A)</f>
        <v>2</v>
      </c>
    </row>
    <row r="5" spans="1:5" x14ac:dyDescent="0.25">
      <c r="A5" s="8">
        <v>2</v>
      </c>
      <c r="B5" s="8">
        <v>2</v>
      </c>
      <c r="D5" s="1" t="s">
        <v>15</v>
      </c>
      <c r="E5">
        <f>STDEV(A:A)</f>
        <v>1.4082127193940066</v>
      </c>
    </row>
    <row r="6" spans="1:5" x14ac:dyDescent="0.25">
      <c r="A6" s="8">
        <v>3</v>
      </c>
      <c r="B6" s="8">
        <v>2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2</v>
      </c>
    </row>
    <row r="8" spans="1:5" x14ac:dyDescent="0.25">
      <c r="A8" s="8">
        <v>4</v>
      </c>
      <c r="B8" s="8">
        <v>2</v>
      </c>
      <c r="D8" s="3" t="s">
        <v>53</v>
      </c>
      <c r="E8">
        <f>AVERAGE(B:B)</f>
        <v>2.9733333333333332</v>
      </c>
    </row>
    <row r="9" spans="1:5" x14ac:dyDescent="0.25">
      <c r="A9" s="8">
        <v>1</v>
      </c>
      <c r="B9" s="8">
        <v>5</v>
      </c>
      <c r="D9" s="3" t="s">
        <v>2</v>
      </c>
      <c r="E9">
        <f>MEDIAN(B:B)</f>
        <v>3</v>
      </c>
    </row>
    <row r="10" spans="1:5" x14ac:dyDescent="0.25">
      <c r="A10" s="8">
        <v>1</v>
      </c>
      <c r="B10" s="8">
        <v>3</v>
      </c>
      <c r="D10" s="3" t="s">
        <v>3</v>
      </c>
      <c r="E10">
        <f>MODE(B:B)</f>
        <v>3</v>
      </c>
    </row>
    <row r="11" spans="1:5" x14ac:dyDescent="0.25">
      <c r="A11" s="8">
        <v>4</v>
      </c>
      <c r="B11" s="8">
        <v>5</v>
      </c>
      <c r="D11" s="3" t="s">
        <v>14</v>
      </c>
      <c r="E11">
        <f>STDEV(B:B)</f>
        <v>1.4329456840136454</v>
      </c>
    </row>
    <row r="12" spans="1:5" x14ac:dyDescent="0.25">
      <c r="A12" s="8">
        <v>5</v>
      </c>
      <c r="B12" s="8">
        <v>3</v>
      </c>
      <c r="D12" s="5" t="s">
        <v>5</v>
      </c>
      <c r="E12">
        <f>COUNT(B:B)</f>
        <v>75</v>
      </c>
    </row>
    <row r="13" spans="1:5" x14ac:dyDescent="0.25">
      <c r="A13" s="8">
        <v>5</v>
      </c>
      <c r="B13" s="8">
        <v>3</v>
      </c>
    </row>
    <row r="14" spans="1:5" x14ac:dyDescent="0.25">
      <c r="A14" s="8">
        <v>3</v>
      </c>
      <c r="B14" s="8">
        <v>1</v>
      </c>
    </row>
    <row r="15" spans="1:5" x14ac:dyDescent="0.25">
      <c r="A15" s="8">
        <v>4</v>
      </c>
      <c r="B15" s="8">
        <v>4</v>
      </c>
    </row>
    <row r="16" spans="1:5" x14ac:dyDescent="0.25">
      <c r="A16" s="8">
        <v>3</v>
      </c>
      <c r="B16" s="8">
        <v>5</v>
      </c>
    </row>
    <row r="17" spans="1:5" x14ac:dyDescent="0.25">
      <c r="A17" s="8">
        <v>5</v>
      </c>
      <c r="B17" s="8">
        <v>4</v>
      </c>
      <c r="D17" s="2" t="s">
        <v>6</v>
      </c>
      <c r="E17" s="2"/>
    </row>
    <row r="18" spans="1:5" x14ac:dyDescent="0.25">
      <c r="A18" s="8">
        <v>1</v>
      </c>
      <c r="B18" s="8">
        <v>2</v>
      </c>
    </row>
    <row r="19" spans="1:5" x14ac:dyDescent="0.25">
      <c r="A19" s="8">
        <v>3</v>
      </c>
      <c r="B19" s="8">
        <v>3</v>
      </c>
    </row>
    <row r="20" spans="1:5" x14ac:dyDescent="0.25">
      <c r="A20" s="8">
        <v>4</v>
      </c>
      <c r="B20" s="8">
        <v>5</v>
      </c>
    </row>
    <row r="21" spans="1:5" x14ac:dyDescent="0.25">
      <c r="A21" s="8">
        <v>2</v>
      </c>
      <c r="B21" s="8">
        <v>5</v>
      </c>
    </row>
    <row r="22" spans="1:5" x14ac:dyDescent="0.25">
      <c r="A22" s="8">
        <v>3</v>
      </c>
      <c r="B22" s="8">
        <v>2</v>
      </c>
    </row>
    <row r="23" spans="1:5" x14ac:dyDescent="0.25">
      <c r="A23" s="8">
        <v>3</v>
      </c>
      <c r="B23" s="8">
        <v>5</v>
      </c>
    </row>
    <row r="24" spans="1:5" x14ac:dyDescent="0.25">
      <c r="A24" s="8">
        <v>2</v>
      </c>
      <c r="B24" s="8">
        <v>2</v>
      </c>
    </row>
    <row r="25" spans="1:5" x14ac:dyDescent="0.25">
      <c r="A25" s="8">
        <v>3</v>
      </c>
      <c r="B25" s="8">
        <v>2</v>
      </c>
    </row>
    <row r="26" spans="1:5" x14ac:dyDescent="0.25">
      <c r="A26" s="8">
        <v>2</v>
      </c>
      <c r="B26" s="8">
        <v>5</v>
      </c>
    </row>
    <row r="27" spans="1:5" x14ac:dyDescent="0.25">
      <c r="A27" s="8">
        <v>1</v>
      </c>
      <c r="B27" s="8">
        <v>5</v>
      </c>
    </row>
    <row r="28" spans="1:5" x14ac:dyDescent="0.25">
      <c r="A28" s="8">
        <v>3</v>
      </c>
      <c r="B28" s="8">
        <v>1</v>
      </c>
    </row>
    <row r="29" spans="1:5" x14ac:dyDescent="0.25">
      <c r="A29" s="8">
        <v>2</v>
      </c>
      <c r="B29" s="8">
        <v>3</v>
      </c>
      <c r="D29" t="s">
        <v>11</v>
      </c>
      <c r="E29">
        <f>(E2-E8)/SQRT(((E5^2)/E6)+((E11^2)/E12))</f>
        <v>-0.63221551362933159</v>
      </c>
    </row>
    <row r="30" spans="1:5" x14ac:dyDescent="0.25">
      <c r="A30" s="8">
        <v>2</v>
      </c>
      <c r="B30" s="8">
        <v>3</v>
      </c>
    </row>
    <row r="31" spans="1:5" x14ac:dyDescent="0.25">
      <c r="A31" s="8">
        <v>5</v>
      </c>
      <c r="B31" s="8">
        <v>2</v>
      </c>
      <c r="D31" s="2" t="s">
        <v>7</v>
      </c>
      <c r="E31" s="2"/>
    </row>
    <row r="32" spans="1:5" x14ac:dyDescent="0.25">
      <c r="A32" s="8">
        <v>4</v>
      </c>
      <c r="B32" s="8">
        <v>1</v>
      </c>
    </row>
    <row r="33" spans="1:6" x14ac:dyDescent="0.25">
      <c r="A33" s="8">
        <v>2</v>
      </c>
      <c r="B33" s="8">
        <v>1</v>
      </c>
    </row>
    <row r="34" spans="1:6" x14ac:dyDescent="0.25">
      <c r="A34" s="8">
        <v>1</v>
      </c>
      <c r="B34" s="8">
        <v>2</v>
      </c>
    </row>
    <row r="35" spans="1:6" x14ac:dyDescent="0.25">
      <c r="A35" s="8">
        <v>5</v>
      </c>
      <c r="B35" s="8">
        <v>3</v>
      </c>
    </row>
    <row r="36" spans="1:6" x14ac:dyDescent="0.25">
      <c r="A36" s="8">
        <v>1</v>
      </c>
      <c r="B36" s="8">
        <v>5</v>
      </c>
    </row>
    <row r="37" spans="1:6" x14ac:dyDescent="0.25">
      <c r="A37" s="8">
        <v>5</v>
      </c>
      <c r="B37" s="8">
        <v>2</v>
      </c>
    </row>
    <row r="38" spans="1:6" x14ac:dyDescent="0.25">
      <c r="A38" s="8">
        <v>1</v>
      </c>
      <c r="B38" s="8">
        <v>3</v>
      </c>
    </row>
    <row r="39" spans="1:6" x14ac:dyDescent="0.25">
      <c r="A39" s="8">
        <v>5</v>
      </c>
      <c r="B39" s="8">
        <v>3</v>
      </c>
    </row>
    <row r="40" spans="1:6" x14ac:dyDescent="0.25">
      <c r="A40" s="8">
        <v>1</v>
      </c>
      <c r="B40" s="8">
        <v>1</v>
      </c>
    </row>
    <row r="41" spans="1:6" ht="29.25" customHeight="1" x14ac:dyDescent="0.25">
      <c r="A41" s="8">
        <v>1</v>
      </c>
      <c r="B41" s="8">
        <v>5</v>
      </c>
      <c r="D41" t="s">
        <v>8</v>
      </c>
      <c r="E41">
        <f>(((E5^2)/E6)+((E11^2)/E12))^2</f>
        <v>2.8964437100163234E-3</v>
      </c>
    </row>
    <row r="42" spans="1:6" ht="47.25" customHeight="1" x14ac:dyDescent="0.25">
      <c r="A42" s="8">
        <v>4</v>
      </c>
      <c r="B42" s="8">
        <v>3</v>
      </c>
      <c r="D42" t="s">
        <v>9</v>
      </c>
      <c r="E42">
        <f>(((E5^2)/E6)^2)/(E6-1)</f>
        <v>9.4475414104145555E-6</v>
      </c>
    </row>
    <row r="43" spans="1:6" ht="43.5" customHeight="1" x14ac:dyDescent="0.25">
      <c r="A43" s="8">
        <v>1</v>
      </c>
      <c r="B43" s="8">
        <v>5</v>
      </c>
      <c r="D43" t="s">
        <v>10</v>
      </c>
      <c r="E43">
        <f>(((E11^2)/E12)^2)/(E12-1)</f>
        <v>1.0128955622288965E-5</v>
      </c>
    </row>
    <row r="44" spans="1:6" x14ac:dyDescent="0.25">
      <c r="A44" s="8">
        <v>1</v>
      </c>
      <c r="B44" s="8">
        <v>3</v>
      </c>
    </row>
    <row r="45" spans="1:6" x14ac:dyDescent="0.25">
      <c r="A45" s="8">
        <v>2</v>
      </c>
      <c r="B45" s="8">
        <v>5</v>
      </c>
      <c r="D45" t="s">
        <v>7</v>
      </c>
      <c r="E45">
        <f>E41/(E42+E43)</f>
        <v>147.95515792113721</v>
      </c>
      <c r="F45" s="6" t="s">
        <v>12</v>
      </c>
    </row>
    <row r="46" spans="1:6" x14ac:dyDescent="0.25">
      <c r="A46" s="8">
        <v>3</v>
      </c>
      <c r="B46" s="8">
        <v>5</v>
      </c>
    </row>
    <row r="47" spans="1:6" x14ac:dyDescent="0.25">
      <c r="A47" s="8">
        <v>5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2</v>
      </c>
    </row>
    <row r="49" spans="1:5" x14ac:dyDescent="0.25">
      <c r="A49" s="8">
        <v>1</v>
      </c>
      <c r="B49" s="8">
        <v>2</v>
      </c>
    </row>
    <row r="50" spans="1:5" x14ac:dyDescent="0.25">
      <c r="A50" s="8">
        <v>1</v>
      </c>
      <c r="B50" s="8">
        <v>3</v>
      </c>
    </row>
    <row r="51" spans="1:5" x14ac:dyDescent="0.25">
      <c r="A51" s="8">
        <v>2</v>
      </c>
      <c r="B51" s="8">
        <v>1</v>
      </c>
      <c r="D51" s="5"/>
      <c r="E51" s="5"/>
    </row>
    <row r="52" spans="1:5" x14ac:dyDescent="0.25">
      <c r="A52" s="8">
        <v>5</v>
      </c>
      <c r="B52" s="8">
        <v>3</v>
      </c>
      <c r="D52" t="s">
        <v>16</v>
      </c>
      <c r="E52">
        <f>_xlfn.T.INV.2T(E47,E45)</f>
        <v>1.9762333088953288</v>
      </c>
    </row>
    <row r="53" spans="1:5" x14ac:dyDescent="0.25">
      <c r="A53" s="8">
        <v>2</v>
      </c>
      <c r="B53" s="8">
        <v>4</v>
      </c>
      <c r="D53" t="s">
        <v>17</v>
      </c>
      <c r="E53">
        <f>_xlfn.T.INV(E47, E45)</f>
        <v>-1.6552854366095326</v>
      </c>
    </row>
    <row r="54" spans="1:5" x14ac:dyDescent="0.25">
      <c r="A54" s="8">
        <v>3</v>
      </c>
      <c r="B54" s="8">
        <v>2</v>
      </c>
    </row>
    <row r="55" spans="1:5" x14ac:dyDescent="0.25">
      <c r="A55" s="8">
        <v>4</v>
      </c>
      <c r="B55" s="8">
        <v>4</v>
      </c>
      <c r="D55" t="s">
        <v>18</v>
      </c>
      <c r="E55">
        <f>TTEST(A:A,B:B,2,2)</f>
        <v>0.52822150989621219</v>
      </c>
    </row>
    <row r="56" spans="1:5" x14ac:dyDescent="0.25">
      <c r="A56" s="8">
        <v>3</v>
      </c>
      <c r="B56" s="8">
        <v>1</v>
      </c>
      <c r="D56" t="s">
        <v>19</v>
      </c>
      <c r="E56">
        <f>TTEST(A:A,B:B,1,2)</f>
        <v>0.2641107549481061</v>
      </c>
    </row>
    <row r="57" spans="1:5" x14ac:dyDescent="0.25">
      <c r="A57" s="8">
        <v>4</v>
      </c>
      <c r="B57" s="8">
        <v>5</v>
      </c>
    </row>
    <row r="58" spans="1:5" x14ac:dyDescent="0.25">
      <c r="A58" s="8">
        <v>3</v>
      </c>
      <c r="B58" s="8">
        <v>1</v>
      </c>
    </row>
    <row r="59" spans="1:5" x14ac:dyDescent="0.25">
      <c r="A59" s="8">
        <v>5</v>
      </c>
      <c r="B59" s="8">
        <v>5</v>
      </c>
      <c r="D59" s="5" t="s">
        <v>20</v>
      </c>
      <c r="E59" s="5"/>
    </row>
    <row r="60" spans="1:5" x14ac:dyDescent="0.25">
      <c r="A60" s="8">
        <v>2</v>
      </c>
      <c r="B60" s="8">
        <v>1</v>
      </c>
    </row>
    <row r="61" spans="1:5" x14ac:dyDescent="0.25">
      <c r="A61" s="8">
        <v>5</v>
      </c>
      <c r="B61" s="8">
        <v>3</v>
      </c>
      <c r="D61" t="s">
        <v>21</v>
      </c>
    </row>
    <row r="62" spans="1:5" x14ac:dyDescent="0.25">
      <c r="A62" s="8">
        <v>3</v>
      </c>
      <c r="B62" s="8">
        <v>1</v>
      </c>
      <c r="D62" t="s">
        <v>22</v>
      </c>
    </row>
    <row r="63" spans="1:5" x14ac:dyDescent="0.25">
      <c r="A63" s="8">
        <v>1</v>
      </c>
      <c r="B63" s="8">
        <v>5</v>
      </c>
    </row>
    <row r="64" spans="1:5" x14ac:dyDescent="0.25">
      <c r="A64" s="8">
        <v>2</v>
      </c>
      <c r="B64" s="8">
        <v>3</v>
      </c>
      <c r="D64" t="s">
        <v>23</v>
      </c>
    </row>
    <row r="65" spans="1:4" x14ac:dyDescent="0.25">
      <c r="A65" s="8">
        <v>1</v>
      </c>
      <c r="B65" s="8">
        <v>1</v>
      </c>
      <c r="D65" t="s">
        <v>24</v>
      </c>
    </row>
    <row r="66" spans="1:4" x14ac:dyDescent="0.25">
      <c r="A66" s="8">
        <v>4</v>
      </c>
      <c r="B66" s="8">
        <v>3</v>
      </c>
    </row>
    <row r="67" spans="1:4" x14ac:dyDescent="0.25">
      <c r="A67" s="8">
        <v>2</v>
      </c>
      <c r="B67" s="8">
        <v>2</v>
      </c>
    </row>
    <row r="68" spans="1:4" x14ac:dyDescent="0.25">
      <c r="A68" s="8">
        <v>2</v>
      </c>
      <c r="B68" s="8">
        <v>2</v>
      </c>
      <c r="D68" s="7" t="s">
        <v>25</v>
      </c>
    </row>
    <row r="69" spans="1:4" x14ac:dyDescent="0.25">
      <c r="A69" s="8">
        <v>2</v>
      </c>
      <c r="B69" s="8">
        <v>3</v>
      </c>
    </row>
    <row r="70" spans="1:4" x14ac:dyDescent="0.25">
      <c r="A70" s="8">
        <v>5</v>
      </c>
      <c r="B70" s="8">
        <v>2</v>
      </c>
      <c r="D70" t="s">
        <v>26</v>
      </c>
    </row>
    <row r="71" spans="1:4" x14ac:dyDescent="0.25">
      <c r="A71" s="8">
        <v>1</v>
      </c>
      <c r="B71" s="8">
        <v>3</v>
      </c>
      <c r="D71" t="s">
        <v>27</v>
      </c>
    </row>
    <row r="72" spans="1:4" x14ac:dyDescent="0.25">
      <c r="A72" s="8">
        <v>2</v>
      </c>
      <c r="B72" s="8">
        <v>1</v>
      </c>
      <c r="D72" t="s">
        <v>28</v>
      </c>
    </row>
    <row r="73" spans="1:4" x14ac:dyDescent="0.25">
      <c r="A73" s="8">
        <v>5</v>
      </c>
      <c r="B73" s="8">
        <v>5</v>
      </c>
    </row>
    <row r="74" spans="1:4" x14ac:dyDescent="0.25">
      <c r="A74" s="8">
        <v>4</v>
      </c>
      <c r="B74" s="8">
        <v>4</v>
      </c>
    </row>
    <row r="75" spans="1:4" x14ac:dyDescent="0.25">
      <c r="A75" s="8">
        <v>3</v>
      </c>
      <c r="B75" s="8">
        <v>1</v>
      </c>
      <c r="D75" s="7" t="s">
        <v>25</v>
      </c>
    </row>
    <row r="76" spans="1:4" x14ac:dyDescent="0.25">
      <c r="A76" s="8">
        <v>2</v>
      </c>
      <c r="B76" s="8">
        <v>1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7B5F-24D3-458F-B68C-C07721AB4C51}">
  <dimension ref="A1:F88"/>
  <sheetViews>
    <sheetView zoomScale="70" zoomScaleNormal="70" workbookViewId="0">
      <selection activeCell="I24" sqref="I24"/>
    </sheetView>
  </sheetViews>
  <sheetFormatPr baseColWidth="10" defaultColWidth="9.140625" defaultRowHeight="15" x14ac:dyDescent="0.25"/>
  <cols>
    <col min="1" max="1" width="25.140625" customWidth="1"/>
    <col min="2" max="2" width="24.42578125" customWidth="1"/>
    <col min="4" max="4" width="38.140625" customWidth="1"/>
    <col min="5" max="5" width="21.5703125" customWidth="1"/>
    <col min="6" max="6" width="17.85546875" customWidth="1"/>
    <col min="7" max="7" width="20" customWidth="1"/>
  </cols>
  <sheetData>
    <row r="1" spans="1:5" ht="140.25" customHeight="1" x14ac:dyDescent="0.25">
      <c r="A1" s="10" t="s">
        <v>39</v>
      </c>
      <c r="B1" s="12" t="s">
        <v>38</v>
      </c>
    </row>
    <row r="2" spans="1:5" x14ac:dyDescent="0.25">
      <c r="A2" s="8">
        <v>5</v>
      </c>
      <c r="B2" s="8">
        <v>5</v>
      </c>
      <c r="D2" s="1" t="s">
        <v>52</v>
      </c>
      <c r="E2">
        <f>AVERAGE(A:A)</f>
        <v>3.0266666666666668</v>
      </c>
    </row>
    <row r="3" spans="1:5" x14ac:dyDescent="0.25">
      <c r="A3" s="8">
        <v>1</v>
      </c>
      <c r="B3" s="8">
        <v>5</v>
      </c>
      <c r="D3" s="1" t="s">
        <v>0</v>
      </c>
      <c r="E3">
        <f>MEDIAN(A:A)</f>
        <v>3</v>
      </c>
    </row>
    <row r="4" spans="1:5" x14ac:dyDescent="0.25">
      <c r="A4" s="8">
        <v>5</v>
      </c>
      <c r="B4" s="8">
        <v>5</v>
      </c>
      <c r="D4" s="1" t="s">
        <v>1</v>
      </c>
      <c r="E4">
        <f>MODE(A:A)</f>
        <v>3</v>
      </c>
    </row>
    <row r="5" spans="1:5" x14ac:dyDescent="0.25">
      <c r="A5" s="8">
        <v>4</v>
      </c>
      <c r="B5" s="8">
        <v>5</v>
      </c>
      <c r="D5" s="1" t="s">
        <v>15</v>
      </c>
      <c r="E5">
        <f>STDEV(A:A)</f>
        <v>1.3653366413248218</v>
      </c>
    </row>
    <row r="6" spans="1:5" x14ac:dyDescent="0.25">
      <c r="A6" s="8">
        <v>3</v>
      </c>
      <c r="B6" s="8">
        <v>2</v>
      </c>
      <c r="D6" s="4" t="s">
        <v>4</v>
      </c>
      <c r="E6">
        <f>COUNT(A:A)</f>
        <v>75</v>
      </c>
    </row>
    <row r="7" spans="1:5" x14ac:dyDescent="0.25">
      <c r="A7" s="8">
        <v>5</v>
      </c>
      <c r="B7" s="8">
        <v>2</v>
      </c>
    </row>
    <row r="8" spans="1:5" x14ac:dyDescent="0.25">
      <c r="A8" s="8">
        <v>5</v>
      </c>
      <c r="B8" s="8">
        <v>3</v>
      </c>
      <c r="D8" s="3" t="s">
        <v>53</v>
      </c>
      <c r="E8">
        <f>AVERAGE(B:B)</f>
        <v>3.3066666666666666</v>
      </c>
    </row>
    <row r="9" spans="1:5" x14ac:dyDescent="0.25">
      <c r="A9" s="8">
        <v>4</v>
      </c>
      <c r="B9" s="8">
        <v>5</v>
      </c>
      <c r="D9" s="3" t="s">
        <v>2</v>
      </c>
      <c r="E9">
        <f>MEDIAN(B:B)</f>
        <v>3</v>
      </c>
    </row>
    <row r="10" spans="1:5" x14ac:dyDescent="0.25">
      <c r="A10" s="8">
        <v>1</v>
      </c>
      <c r="B10" s="8">
        <v>3</v>
      </c>
      <c r="D10" s="3" t="s">
        <v>3</v>
      </c>
      <c r="E10">
        <f>MODE(B:B)</f>
        <v>5</v>
      </c>
    </row>
    <row r="11" spans="1:5" x14ac:dyDescent="0.25">
      <c r="A11" s="8">
        <v>3</v>
      </c>
      <c r="B11" s="8">
        <v>3</v>
      </c>
      <c r="D11" s="3" t="s">
        <v>14</v>
      </c>
      <c r="E11">
        <f>STDEV(B:B)</f>
        <v>1.3653366413248218</v>
      </c>
    </row>
    <row r="12" spans="1:5" x14ac:dyDescent="0.25">
      <c r="A12" s="8">
        <v>2</v>
      </c>
      <c r="B12" s="8">
        <v>5</v>
      </c>
      <c r="D12" s="5" t="s">
        <v>5</v>
      </c>
      <c r="E12">
        <f>COUNT(B:B)</f>
        <v>75</v>
      </c>
    </row>
    <row r="13" spans="1:5" x14ac:dyDescent="0.25">
      <c r="A13" s="8">
        <v>5</v>
      </c>
      <c r="B13" s="8">
        <v>4</v>
      </c>
    </row>
    <row r="14" spans="1:5" x14ac:dyDescent="0.25">
      <c r="A14" s="8">
        <v>4</v>
      </c>
      <c r="B14" s="8">
        <v>4</v>
      </c>
    </row>
    <row r="15" spans="1:5" x14ac:dyDescent="0.25">
      <c r="A15" s="8">
        <v>5</v>
      </c>
      <c r="B15" s="8">
        <v>3</v>
      </c>
    </row>
    <row r="16" spans="1:5" x14ac:dyDescent="0.25">
      <c r="A16" s="8">
        <v>1</v>
      </c>
      <c r="B16" s="8">
        <v>3</v>
      </c>
    </row>
    <row r="17" spans="1:5" x14ac:dyDescent="0.25">
      <c r="A17" s="8">
        <v>2</v>
      </c>
      <c r="B17" s="8">
        <v>5</v>
      </c>
      <c r="D17" s="2" t="s">
        <v>6</v>
      </c>
      <c r="E17" s="2"/>
    </row>
    <row r="18" spans="1:5" x14ac:dyDescent="0.25">
      <c r="A18" s="8">
        <v>3</v>
      </c>
      <c r="B18" s="8">
        <v>4</v>
      </c>
    </row>
    <row r="19" spans="1:5" x14ac:dyDescent="0.25">
      <c r="A19" s="8">
        <v>3</v>
      </c>
      <c r="B19" s="8">
        <v>3</v>
      </c>
    </row>
    <row r="20" spans="1:5" x14ac:dyDescent="0.25">
      <c r="A20" s="8">
        <v>1</v>
      </c>
      <c r="B20" s="8">
        <v>3</v>
      </c>
    </row>
    <row r="21" spans="1:5" x14ac:dyDescent="0.25">
      <c r="A21" s="8">
        <v>4</v>
      </c>
      <c r="B21" s="8">
        <v>2</v>
      </c>
    </row>
    <row r="22" spans="1:5" x14ac:dyDescent="0.25">
      <c r="A22" s="8">
        <v>2</v>
      </c>
      <c r="B22" s="8">
        <v>3</v>
      </c>
    </row>
    <row r="23" spans="1:5" x14ac:dyDescent="0.25">
      <c r="A23" s="8">
        <v>2</v>
      </c>
      <c r="B23" s="8">
        <v>5</v>
      </c>
    </row>
    <row r="24" spans="1:5" x14ac:dyDescent="0.25">
      <c r="A24" s="8">
        <v>1</v>
      </c>
      <c r="B24" s="8">
        <v>5</v>
      </c>
    </row>
    <row r="25" spans="1:5" x14ac:dyDescent="0.25">
      <c r="A25" s="8">
        <v>2</v>
      </c>
      <c r="B25" s="8">
        <v>3</v>
      </c>
    </row>
    <row r="26" spans="1:5" x14ac:dyDescent="0.25">
      <c r="A26" s="8">
        <v>3</v>
      </c>
      <c r="B26" s="8">
        <v>5</v>
      </c>
    </row>
    <row r="27" spans="1:5" x14ac:dyDescent="0.25">
      <c r="A27" s="8">
        <v>3</v>
      </c>
      <c r="B27" s="8">
        <v>3</v>
      </c>
    </row>
    <row r="28" spans="1:5" x14ac:dyDescent="0.25">
      <c r="A28" s="8">
        <v>5</v>
      </c>
      <c r="B28" s="8">
        <v>1</v>
      </c>
    </row>
    <row r="29" spans="1:5" x14ac:dyDescent="0.25">
      <c r="A29" s="8">
        <v>4</v>
      </c>
      <c r="B29" s="8">
        <v>3</v>
      </c>
      <c r="D29" t="s">
        <v>11</v>
      </c>
      <c r="E29">
        <f>(E2-E8)/SQRT(((E5^2)/E6)+((E11^2)/E12))</f>
        <v>-1.2558388664384343</v>
      </c>
    </row>
    <row r="30" spans="1:5" x14ac:dyDescent="0.25">
      <c r="A30" s="8">
        <v>2</v>
      </c>
      <c r="B30" s="8">
        <v>4</v>
      </c>
    </row>
    <row r="31" spans="1:5" x14ac:dyDescent="0.25">
      <c r="A31" s="8">
        <v>1</v>
      </c>
      <c r="B31" s="8">
        <v>3</v>
      </c>
      <c r="D31" s="2" t="s">
        <v>7</v>
      </c>
      <c r="E31" s="2"/>
    </row>
    <row r="32" spans="1:5" x14ac:dyDescent="0.25">
      <c r="A32" s="8">
        <v>4</v>
      </c>
      <c r="B32" s="8">
        <v>4</v>
      </c>
    </row>
    <row r="33" spans="1:6" x14ac:dyDescent="0.25">
      <c r="A33" s="8">
        <v>2</v>
      </c>
      <c r="B33" s="8">
        <v>3</v>
      </c>
    </row>
    <row r="34" spans="1:6" x14ac:dyDescent="0.25">
      <c r="A34" s="8">
        <v>4</v>
      </c>
      <c r="B34" s="8">
        <v>1</v>
      </c>
    </row>
    <row r="35" spans="1:6" x14ac:dyDescent="0.25">
      <c r="A35" s="8">
        <v>3</v>
      </c>
      <c r="B35" s="8">
        <v>4</v>
      </c>
    </row>
    <row r="36" spans="1:6" x14ac:dyDescent="0.25">
      <c r="A36" s="8">
        <v>1</v>
      </c>
      <c r="B36" s="8">
        <v>1</v>
      </c>
    </row>
    <row r="37" spans="1:6" x14ac:dyDescent="0.25">
      <c r="A37" s="8">
        <v>3</v>
      </c>
      <c r="B37" s="8">
        <v>1</v>
      </c>
    </row>
    <row r="38" spans="1:6" x14ac:dyDescent="0.25">
      <c r="A38" s="8">
        <v>4</v>
      </c>
      <c r="B38" s="8">
        <v>5</v>
      </c>
    </row>
    <row r="39" spans="1:6" x14ac:dyDescent="0.25">
      <c r="A39" s="8">
        <v>5</v>
      </c>
      <c r="B39" s="8">
        <v>5</v>
      </c>
    </row>
    <row r="40" spans="1:6" x14ac:dyDescent="0.25">
      <c r="A40" s="8">
        <v>2</v>
      </c>
      <c r="B40" s="8">
        <v>5</v>
      </c>
    </row>
    <row r="41" spans="1:6" ht="29.25" customHeight="1" x14ac:dyDescent="0.25">
      <c r="A41" s="8">
        <v>1</v>
      </c>
      <c r="B41" s="8">
        <v>5</v>
      </c>
      <c r="D41" t="s">
        <v>8</v>
      </c>
      <c r="E41">
        <f>(((E5^2)/E6)+((E11^2)/E12))^2</f>
        <v>2.4711348552155783E-3</v>
      </c>
    </row>
    <row r="42" spans="1:6" ht="47.25" customHeight="1" x14ac:dyDescent="0.25">
      <c r="A42" s="8">
        <v>2</v>
      </c>
      <c r="B42" s="8">
        <v>5</v>
      </c>
      <c r="D42" t="s">
        <v>9</v>
      </c>
      <c r="E42">
        <f>(((E5^2)/E6)^2)/(E6-1)</f>
        <v>8.3484285649174936E-6</v>
      </c>
    </row>
    <row r="43" spans="1:6" ht="43.5" customHeight="1" x14ac:dyDescent="0.25">
      <c r="A43" s="8">
        <v>2</v>
      </c>
      <c r="B43" s="8">
        <v>3</v>
      </c>
      <c r="D43" t="s">
        <v>10</v>
      </c>
      <c r="E43">
        <f>(((E11^2)/E12)^2)/(E12-1)</f>
        <v>8.3484285649174936E-6</v>
      </c>
    </row>
    <row r="44" spans="1:6" x14ac:dyDescent="0.25">
      <c r="A44" s="8">
        <v>2</v>
      </c>
      <c r="B44" s="8">
        <v>5</v>
      </c>
    </row>
    <row r="45" spans="1:6" x14ac:dyDescent="0.25">
      <c r="A45" s="8">
        <v>3</v>
      </c>
      <c r="B45" s="8">
        <v>4</v>
      </c>
      <c r="D45" t="s">
        <v>7</v>
      </c>
      <c r="E45">
        <f>E41/(E42+E43)</f>
        <v>148</v>
      </c>
      <c r="F45" s="6" t="s">
        <v>12</v>
      </c>
    </row>
    <row r="46" spans="1:6" x14ac:dyDescent="0.25">
      <c r="A46" s="8">
        <v>5</v>
      </c>
      <c r="B46" s="8">
        <v>2</v>
      </c>
    </row>
    <row r="47" spans="1:6" x14ac:dyDescent="0.25">
      <c r="A47" s="8">
        <v>3</v>
      </c>
      <c r="B47" s="8">
        <v>5</v>
      </c>
      <c r="D47" t="s">
        <v>13</v>
      </c>
      <c r="E47">
        <v>0.05</v>
      </c>
      <c r="F47" s="6" t="s">
        <v>12</v>
      </c>
    </row>
    <row r="48" spans="1:6" x14ac:dyDescent="0.25">
      <c r="A48" s="8">
        <v>2</v>
      </c>
      <c r="B48" s="8">
        <v>2</v>
      </c>
    </row>
    <row r="49" spans="1:5" x14ac:dyDescent="0.25">
      <c r="A49" s="8">
        <v>4</v>
      </c>
      <c r="B49" s="8">
        <v>4</v>
      </c>
    </row>
    <row r="50" spans="1:5" x14ac:dyDescent="0.25">
      <c r="A50" s="8">
        <v>1</v>
      </c>
      <c r="B50" s="8">
        <v>5</v>
      </c>
    </row>
    <row r="51" spans="1:5" x14ac:dyDescent="0.25">
      <c r="A51" s="8">
        <v>5</v>
      </c>
      <c r="B51" s="8">
        <v>3</v>
      </c>
      <c r="D51" s="5"/>
      <c r="E51" s="5"/>
    </row>
    <row r="52" spans="1:5" x14ac:dyDescent="0.25">
      <c r="A52" s="8">
        <v>3</v>
      </c>
      <c r="B52" s="8">
        <v>3</v>
      </c>
      <c r="D52" t="s">
        <v>16</v>
      </c>
      <c r="E52">
        <f>_xlfn.T.INV.2T(E47,E45)</f>
        <v>1.9761224936137434</v>
      </c>
    </row>
    <row r="53" spans="1:5" x14ac:dyDescent="0.25">
      <c r="A53" s="8">
        <v>4</v>
      </c>
      <c r="B53" s="8">
        <v>1</v>
      </c>
      <c r="D53" t="s">
        <v>17</v>
      </c>
      <c r="E53">
        <f>_xlfn.T.INV(E47, E45)</f>
        <v>-1.655214506178732</v>
      </c>
    </row>
    <row r="54" spans="1:5" x14ac:dyDescent="0.25">
      <c r="A54" s="8">
        <v>3</v>
      </c>
      <c r="B54" s="8">
        <v>2</v>
      </c>
    </row>
    <row r="55" spans="1:5" x14ac:dyDescent="0.25">
      <c r="A55" s="8">
        <v>2</v>
      </c>
      <c r="B55" s="8">
        <v>2</v>
      </c>
      <c r="D55" t="s">
        <v>18</v>
      </c>
      <c r="E55">
        <f>TTEST(A:A,B:B,2,2)</f>
        <v>0.21115334129058491</v>
      </c>
    </row>
    <row r="56" spans="1:5" x14ac:dyDescent="0.25">
      <c r="A56" s="8">
        <v>5</v>
      </c>
      <c r="B56" s="8">
        <v>4</v>
      </c>
      <c r="D56" t="s">
        <v>19</v>
      </c>
      <c r="E56">
        <f>TTEST(A:A,B:B,1,2)</f>
        <v>0.10557667064529246</v>
      </c>
    </row>
    <row r="57" spans="1:5" x14ac:dyDescent="0.25">
      <c r="A57" s="8">
        <v>1</v>
      </c>
      <c r="B57" s="8">
        <v>5</v>
      </c>
    </row>
    <row r="58" spans="1:5" x14ac:dyDescent="0.25">
      <c r="A58" s="8">
        <v>5</v>
      </c>
      <c r="B58" s="8">
        <v>2</v>
      </c>
    </row>
    <row r="59" spans="1:5" x14ac:dyDescent="0.25">
      <c r="A59" s="8">
        <v>2</v>
      </c>
      <c r="B59" s="8">
        <v>2</v>
      </c>
      <c r="D59" s="5" t="s">
        <v>20</v>
      </c>
      <c r="E59" s="5"/>
    </row>
    <row r="60" spans="1:5" x14ac:dyDescent="0.25">
      <c r="A60" s="8">
        <v>2</v>
      </c>
      <c r="B60" s="8">
        <v>1</v>
      </c>
    </row>
    <row r="61" spans="1:5" x14ac:dyDescent="0.25">
      <c r="A61" s="8">
        <v>2</v>
      </c>
      <c r="B61" s="8">
        <v>4</v>
      </c>
      <c r="D61" t="s">
        <v>21</v>
      </c>
    </row>
    <row r="62" spans="1:5" x14ac:dyDescent="0.25">
      <c r="A62" s="8">
        <v>3</v>
      </c>
      <c r="B62" s="8">
        <v>4</v>
      </c>
      <c r="D62" t="s">
        <v>22</v>
      </c>
    </row>
    <row r="63" spans="1:5" x14ac:dyDescent="0.25">
      <c r="A63" s="8">
        <v>4</v>
      </c>
      <c r="B63" s="8">
        <v>2</v>
      </c>
    </row>
    <row r="64" spans="1:5" x14ac:dyDescent="0.25">
      <c r="A64" s="8">
        <v>3</v>
      </c>
      <c r="B64" s="8">
        <v>4</v>
      </c>
      <c r="D64" t="s">
        <v>23</v>
      </c>
    </row>
    <row r="65" spans="1:4" x14ac:dyDescent="0.25">
      <c r="A65" s="8">
        <v>1</v>
      </c>
      <c r="B65" s="8">
        <v>1</v>
      </c>
      <c r="D65" t="s">
        <v>24</v>
      </c>
    </row>
    <row r="66" spans="1:4" x14ac:dyDescent="0.25">
      <c r="A66" s="8">
        <v>3</v>
      </c>
      <c r="B66" s="8">
        <v>2</v>
      </c>
    </row>
    <row r="67" spans="1:4" x14ac:dyDescent="0.25">
      <c r="A67" s="8">
        <v>5</v>
      </c>
      <c r="B67" s="8">
        <v>4</v>
      </c>
    </row>
    <row r="68" spans="1:4" x14ac:dyDescent="0.25">
      <c r="A68" s="8">
        <v>3</v>
      </c>
      <c r="B68" s="8">
        <v>2</v>
      </c>
      <c r="D68" s="7" t="s">
        <v>25</v>
      </c>
    </row>
    <row r="69" spans="1:4" x14ac:dyDescent="0.25">
      <c r="A69" s="8">
        <v>5</v>
      </c>
      <c r="B69" s="8">
        <v>2</v>
      </c>
    </row>
    <row r="70" spans="1:4" x14ac:dyDescent="0.25">
      <c r="A70" s="8">
        <v>5</v>
      </c>
      <c r="B70" s="8">
        <v>5</v>
      </c>
      <c r="D70" t="s">
        <v>26</v>
      </c>
    </row>
    <row r="71" spans="1:4" x14ac:dyDescent="0.25">
      <c r="A71" s="8">
        <v>1</v>
      </c>
      <c r="B71" s="8">
        <v>1</v>
      </c>
      <c r="D71" t="s">
        <v>27</v>
      </c>
    </row>
    <row r="72" spans="1:4" x14ac:dyDescent="0.25">
      <c r="A72" s="8">
        <v>3</v>
      </c>
      <c r="B72" s="8">
        <v>3</v>
      </c>
      <c r="D72" t="s">
        <v>28</v>
      </c>
    </row>
    <row r="73" spans="1:4" x14ac:dyDescent="0.25">
      <c r="A73" s="8">
        <v>4</v>
      </c>
      <c r="B73" s="8">
        <v>2</v>
      </c>
    </row>
    <row r="74" spans="1:4" x14ac:dyDescent="0.25">
      <c r="A74" s="8">
        <v>4</v>
      </c>
      <c r="B74" s="8">
        <v>4</v>
      </c>
    </row>
    <row r="75" spans="1:4" x14ac:dyDescent="0.25">
      <c r="A75" s="8">
        <v>2</v>
      </c>
      <c r="B75" s="8">
        <v>1</v>
      </c>
      <c r="D75" s="7" t="s">
        <v>25</v>
      </c>
    </row>
    <row r="76" spans="1:4" x14ac:dyDescent="0.25">
      <c r="A76" s="8">
        <v>3</v>
      </c>
      <c r="B76" s="8">
        <v>4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B675-1782-4DB8-8CD6-13AD54F37C7C}">
  <dimension ref="A1:F88"/>
  <sheetViews>
    <sheetView zoomScale="70" zoomScaleNormal="70" workbookViewId="0">
      <selection activeCell="I22" sqref="I22"/>
    </sheetView>
  </sheetViews>
  <sheetFormatPr baseColWidth="10" defaultColWidth="9.140625" defaultRowHeight="15" x14ac:dyDescent="0.25"/>
  <cols>
    <col min="1" max="1" width="25.140625" customWidth="1"/>
    <col min="2" max="2" width="24.42578125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140.25" customHeight="1" x14ac:dyDescent="0.25">
      <c r="A1" s="10" t="s">
        <v>37</v>
      </c>
      <c r="B1" s="12" t="s">
        <v>36</v>
      </c>
    </row>
    <row r="2" spans="1:5" x14ac:dyDescent="0.25">
      <c r="A2" s="8">
        <v>2</v>
      </c>
      <c r="B2" s="8">
        <v>3</v>
      </c>
      <c r="D2" s="1" t="s">
        <v>52</v>
      </c>
      <c r="E2">
        <f>AVERAGE(A:A)</f>
        <v>2.8133333333333335</v>
      </c>
    </row>
    <row r="3" spans="1:5" x14ac:dyDescent="0.25">
      <c r="A3" s="8">
        <v>5</v>
      </c>
      <c r="B3" s="8">
        <v>2</v>
      </c>
      <c r="D3" s="1" t="s">
        <v>0</v>
      </c>
      <c r="E3">
        <f>MEDIAN(A:A)</f>
        <v>3</v>
      </c>
    </row>
    <row r="4" spans="1:5" x14ac:dyDescent="0.25">
      <c r="A4" s="8">
        <v>2</v>
      </c>
      <c r="B4" s="8">
        <v>4</v>
      </c>
      <c r="D4" s="1" t="s">
        <v>1</v>
      </c>
      <c r="E4">
        <f>MODE(A:A)</f>
        <v>2</v>
      </c>
    </row>
    <row r="5" spans="1:5" x14ac:dyDescent="0.25">
      <c r="A5" s="8">
        <v>2</v>
      </c>
      <c r="B5" s="8">
        <v>4</v>
      </c>
      <c r="D5" s="1" t="s">
        <v>15</v>
      </c>
      <c r="E5">
        <f>STDEV(A:A)</f>
        <v>1.1933751062193916</v>
      </c>
    </row>
    <row r="6" spans="1:5" x14ac:dyDescent="0.25">
      <c r="A6" s="8">
        <v>3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1</v>
      </c>
    </row>
    <row r="8" spans="1:5" x14ac:dyDescent="0.25">
      <c r="A8" s="8">
        <v>2</v>
      </c>
      <c r="B8" s="8">
        <v>2</v>
      </c>
      <c r="D8" s="3" t="s">
        <v>53</v>
      </c>
      <c r="E8">
        <f>AVERAGE(B:B)</f>
        <v>3.0133333333333332</v>
      </c>
    </row>
    <row r="9" spans="1:5" x14ac:dyDescent="0.25">
      <c r="A9" s="8">
        <v>5</v>
      </c>
      <c r="B9" s="8">
        <v>3</v>
      </c>
      <c r="D9" s="3" t="s">
        <v>2</v>
      </c>
      <c r="E9">
        <f>MEDIAN(B:B)</f>
        <v>3</v>
      </c>
    </row>
    <row r="10" spans="1:5" x14ac:dyDescent="0.25">
      <c r="A10" s="8">
        <v>4</v>
      </c>
      <c r="B10" s="8">
        <v>5</v>
      </c>
      <c r="D10" s="3" t="s">
        <v>3</v>
      </c>
      <c r="E10">
        <f>MODE(B:B)</f>
        <v>3</v>
      </c>
    </row>
    <row r="11" spans="1:5" x14ac:dyDescent="0.25">
      <c r="A11" s="8">
        <v>2</v>
      </c>
      <c r="B11" s="8">
        <v>3</v>
      </c>
      <c r="D11" s="3" t="s">
        <v>14</v>
      </c>
      <c r="E11">
        <f>STDEV(B:B)</f>
        <v>1.1797083163696491</v>
      </c>
    </row>
    <row r="12" spans="1:5" x14ac:dyDescent="0.25">
      <c r="A12" s="8">
        <v>5</v>
      </c>
      <c r="B12" s="8">
        <v>1</v>
      </c>
      <c r="D12" s="5" t="s">
        <v>5</v>
      </c>
      <c r="E12">
        <f>COUNT(B:B)</f>
        <v>75</v>
      </c>
    </row>
    <row r="13" spans="1:5" x14ac:dyDescent="0.25">
      <c r="A13" s="8">
        <v>2</v>
      </c>
      <c r="B13" s="8">
        <v>4</v>
      </c>
    </row>
    <row r="14" spans="1:5" x14ac:dyDescent="0.25">
      <c r="A14" s="8">
        <v>3</v>
      </c>
      <c r="B14" s="8">
        <v>3</v>
      </c>
    </row>
    <row r="15" spans="1:5" x14ac:dyDescent="0.25">
      <c r="A15" s="8">
        <v>4</v>
      </c>
      <c r="B15" s="8">
        <v>2</v>
      </c>
    </row>
    <row r="16" spans="1:5" x14ac:dyDescent="0.25">
      <c r="A16" s="8">
        <v>3</v>
      </c>
      <c r="B16" s="8">
        <v>2</v>
      </c>
    </row>
    <row r="17" spans="1:5" x14ac:dyDescent="0.25">
      <c r="A17" s="8">
        <v>5</v>
      </c>
      <c r="B17" s="8">
        <v>2</v>
      </c>
      <c r="D17" s="2" t="s">
        <v>6</v>
      </c>
      <c r="E17" s="2"/>
    </row>
    <row r="18" spans="1:5" x14ac:dyDescent="0.25">
      <c r="A18" s="8">
        <v>3</v>
      </c>
      <c r="B18" s="8">
        <v>2</v>
      </c>
    </row>
    <row r="19" spans="1:5" x14ac:dyDescent="0.25">
      <c r="A19" s="8">
        <v>4</v>
      </c>
      <c r="B19" s="8">
        <v>4</v>
      </c>
    </row>
    <row r="20" spans="1:5" x14ac:dyDescent="0.25">
      <c r="A20" s="8">
        <v>3</v>
      </c>
      <c r="B20" s="8">
        <v>4</v>
      </c>
    </row>
    <row r="21" spans="1:5" x14ac:dyDescent="0.25">
      <c r="A21" s="8">
        <v>3</v>
      </c>
      <c r="B21" s="8">
        <v>2</v>
      </c>
    </row>
    <row r="22" spans="1:5" x14ac:dyDescent="0.25">
      <c r="A22" s="8">
        <v>1</v>
      </c>
      <c r="B22" s="8">
        <v>2</v>
      </c>
    </row>
    <row r="23" spans="1:5" x14ac:dyDescent="0.25">
      <c r="A23" s="8">
        <v>5</v>
      </c>
      <c r="B23" s="8">
        <v>2</v>
      </c>
    </row>
    <row r="24" spans="1:5" x14ac:dyDescent="0.25">
      <c r="A24" s="8">
        <v>3</v>
      </c>
      <c r="B24" s="8">
        <v>1</v>
      </c>
    </row>
    <row r="25" spans="1:5" x14ac:dyDescent="0.25">
      <c r="A25" s="8">
        <v>2</v>
      </c>
      <c r="B25" s="8">
        <v>3</v>
      </c>
    </row>
    <row r="26" spans="1:5" x14ac:dyDescent="0.25">
      <c r="A26" s="8">
        <v>3</v>
      </c>
      <c r="B26" s="8">
        <v>3</v>
      </c>
    </row>
    <row r="27" spans="1:5" x14ac:dyDescent="0.25">
      <c r="A27" s="8">
        <v>5</v>
      </c>
      <c r="B27" s="8">
        <v>2</v>
      </c>
    </row>
    <row r="28" spans="1:5" x14ac:dyDescent="0.25">
      <c r="A28" s="8">
        <v>1</v>
      </c>
      <c r="B28" s="8">
        <v>3</v>
      </c>
    </row>
    <row r="29" spans="1:5" x14ac:dyDescent="0.25">
      <c r="A29" s="8">
        <v>4</v>
      </c>
      <c r="B29" s="8">
        <v>2</v>
      </c>
      <c r="D29" t="s">
        <v>11</v>
      </c>
      <c r="E29">
        <f>(E2-E8)/SQRT(((E5^2)/E6)+((E11^2)/E12))</f>
        <v>-1.0321799475259799</v>
      </c>
    </row>
    <row r="30" spans="1:5" x14ac:dyDescent="0.25">
      <c r="A30" s="8">
        <v>2</v>
      </c>
      <c r="B30" s="8">
        <v>2</v>
      </c>
    </row>
    <row r="31" spans="1:5" x14ac:dyDescent="0.25">
      <c r="A31" s="8">
        <v>5</v>
      </c>
      <c r="B31" s="8">
        <v>1</v>
      </c>
      <c r="D31" s="2" t="s">
        <v>7</v>
      </c>
      <c r="E31" s="2"/>
    </row>
    <row r="32" spans="1:5" x14ac:dyDescent="0.25">
      <c r="A32" s="8">
        <v>3</v>
      </c>
      <c r="B32" s="8">
        <v>4</v>
      </c>
    </row>
    <row r="33" spans="1:6" x14ac:dyDescent="0.25">
      <c r="A33" s="8">
        <v>2</v>
      </c>
      <c r="B33" s="8">
        <v>3</v>
      </c>
    </row>
    <row r="34" spans="1:6" x14ac:dyDescent="0.25">
      <c r="A34" s="8">
        <v>3</v>
      </c>
      <c r="B34" s="8">
        <v>5</v>
      </c>
    </row>
    <row r="35" spans="1:6" x14ac:dyDescent="0.25">
      <c r="A35" s="8">
        <v>3</v>
      </c>
      <c r="B35" s="8">
        <v>3</v>
      </c>
    </row>
    <row r="36" spans="1:6" x14ac:dyDescent="0.25">
      <c r="A36" s="8">
        <v>2</v>
      </c>
      <c r="B36" s="8">
        <v>5</v>
      </c>
    </row>
    <row r="37" spans="1:6" x14ac:dyDescent="0.25">
      <c r="A37" s="8">
        <v>2</v>
      </c>
      <c r="B37" s="8">
        <v>3</v>
      </c>
    </row>
    <row r="38" spans="1:6" x14ac:dyDescent="0.25">
      <c r="A38" s="8">
        <v>1</v>
      </c>
      <c r="B38" s="8">
        <v>3</v>
      </c>
    </row>
    <row r="39" spans="1:6" x14ac:dyDescent="0.25">
      <c r="A39" s="8">
        <v>3</v>
      </c>
      <c r="B39" s="8">
        <v>4</v>
      </c>
    </row>
    <row r="40" spans="1:6" x14ac:dyDescent="0.25">
      <c r="A40" s="8">
        <v>4</v>
      </c>
      <c r="B40" s="8">
        <v>3</v>
      </c>
    </row>
    <row r="41" spans="1:6" ht="29.25" customHeight="1" x14ac:dyDescent="0.25">
      <c r="A41" s="8">
        <v>3</v>
      </c>
      <c r="B41" s="8">
        <v>5</v>
      </c>
      <c r="D41" t="s">
        <v>8</v>
      </c>
      <c r="E41">
        <f>(((E5^2)/E6)+((E11^2)/E12))^2</f>
        <v>1.4096078579480386E-3</v>
      </c>
    </row>
    <row r="42" spans="1:6" ht="47.25" customHeight="1" x14ac:dyDescent="0.25">
      <c r="A42" s="8">
        <v>1</v>
      </c>
      <c r="B42" s="8">
        <v>5</v>
      </c>
      <c r="D42" t="s">
        <v>9</v>
      </c>
      <c r="E42">
        <f>(((E5^2)/E6)^2)/(E6-1)</f>
        <v>4.8725202241442811E-6</v>
      </c>
    </row>
    <row r="43" spans="1:6" ht="43.5" customHeight="1" x14ac:dyDescent="0.25">
      <c r="A43" s="8">
        <v>2</v>
      </c>
      <c r="B43" s="8">
        <v>2</v>
      </c>
      <c r="D43" t="s">
        <v>10</v>
      </c>
      <c r="E43">
        <f>(((E11^2)/E12)^2)/(E12-1)</f>
        <v>4.6531206931304354E-6</v>
      </c>
    </row>
    <row r="44" spans="1:6" x14ac:dyDescent="0.25">
      <c r="A44" s="8">
        <v>3</v>
      </c>
      <c r="B44" s="8">
        <v>4</v>
      </c>
    </row>
    <row r="45" spans="1:6" x14ac:dyDescent="0.25">
      <c r="A45" s="8">
        <v>2</v>
      </c>
      <c r="B45" s="8">
        <v>5</v>
      </c>
      <c r="D45" t="s">
        <v>7</v>
      </c>
      <c r="E45">
        <f>E41/(E42+E43)</f>
        <v>147.98036900506293</v>
      </c>
      <c r="F45" s="6" t="s">
        <v>12</v>
      </c>
    </row>
    <row r="46" spans="1:6" x14ac:dyDescent="0.25">
      <c r="A46" s="8">
        <v>2</v>
      </c>
      <c r="B46" s="8">
        <v>3</v>
      </c>
    </row>
    <row r="47" spans="1:6" x14ac:dyDescent="0.25">
      <c r="A47" s="8">
        <v>4</v>
      </c>
      <c r="B47" s="8">
        <v>2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4</v>
      </c>
    </row>
    <row r="49" spans="1:5" x14ac:dyDescent="0.25">
      <c r="A49" s="8">
        <v>1</v>
      </c>
      <c r="B49" s="8">
        <v>3</v>
      </c>
    </row>
    <row r="50" spans="1:5" x14ac:dyDescent="0.25">
      <c r="A50" s="8">
        <v>3</v>
      </c>
      <c r="B50" s="8">
        <v>5</v>
      </c>
    </row>
    <row r="51" spans="1:5" x14ac:dyDescent="0.25">
      <c r="A51" s="8">
        <v>2</v>
      </c>
      <c r="B51" s="8">
        <v>5</v>
      </c>
      <c r="D51" s="5"/>
      <c r="E51" s="5"/>
    </row>
    <row r="52" spans="1:5" x14ac:dyDescent="0.25">
      <c r="A52" s="8">
        <v>2</v>
      </c>
      <c r="B52" s="8">
        <v>3</v>
      </c>
      <c r="D52" t="s">
        <v>16</v>
      </c>
      <c r="E52">
        <f>_xlfn.T.INV.2T(E47,E45)</f>
        <v>1.9762333088953288</v>
      </c>
    </row>
    <row r="53" spans="1:5" x14ac:dyDescent="0.25">
      <c r="A53" s="8">
        <v>2</v>
      </c>
      <c r="B53" s="8">
        <v>3</v>
      </c>
      <c r="D53" t="s">
        <v>17</v>
      </c>
      <c r="E53">
        <f>_xlfn.T.INV(E47, E45)</f>
        <v>-1.6552854366095326</v>
      </c>
    </row>
    <row r="54" spans="1:5" x14ac:dyDescent="0.25">
      <c r="A54" s="8">
        <v>3</v>
      </c>
      <c r="B54" s="8">
        <v>3</v>
      </c>
    </row>
    <row r="55" spans="1:5" x14ac:dyDescent="0.25">
      <c r="A55" s="8">
        <v>4</v>
      </c>
      <c r="B55" s="8">
        <v>2</v>
      </c>
      <c r="D55" t="s">
        <v>18</v>
      </c>
      <c r="E55">
        <f>TTEST(A:A,B:B,2,2)</f>
        <v>0.30367158395398475</v>
      </c>
    </row>
    <row r="56" spans="1:5" x14ac:dyDescent="0.25">
      <c r="A56" s="8">
        <v>4</v>
      </c>
      <c r="B56" s="8">
        <v>1</v>
      </c>
      <c r="D56" t="s">
        <v>19</v>
      </c>
      <c r="E56">
        <f>TTEST(A:A,B:B,1,2)</f>
        <v>0.15183579197699237</v>
      </c>
    </row>
    <row r="57" spans="1:5" x14ac:dyDescent="0.25">
      <c r="A57" s="8">
        <v>2</v>
      </c>
      <c r="B57" s="8">
        <v>3</v>
      </c>
    </row>
    <row r="58" spans="1:5" x14ac:dyDescent="0.25">
      <c r="A58" s="8">
        <v>2</v>
      </c>
      <c r="B58" s="8">
        <v>4</v>
      </c>
    </row>
    <row r="59" spans="1:5" x14ac:dyDescent="0.25">
      <c r="A59" s="8">
        <v>3</v>
      </c>
      <c r="B59" s="8">
        <v>2</v>
      </c>
      <c r="D59" s="5" t="s">
        <v>20</v>
      </c>
      <c r="E59" s="5"/>
    </row>
    <row r="60" spans="1:5" x14ac:dyDescent="0.25">
      <c r="A60" s="8">
        <v>4</v>
      </c>
      <c r="B60" s="8">
        <v>4</v>
      </c>
    </row>
    <row r="61" spans="1:5" x14ac:dyDescent="0.25">
      <c r="A61" s="8">
        <v>5</v>
      </c>
      <c r="B61" s="8">
        <v>3</v>
      </c>
      <c r="D61" t="s">
        <v>21</v>
      </c>
    </row>
    <row r="62" spans="1:5" x14ac:dyDescent="0.25">
      <c r="A62" s="8">
        <v>2</v>
      </c>
      <c r="B62" s="8">
        <v>5</v>
      </c>
      <c r="D62" t="s">
        <v>22</v>
      </c>
    </row>
    <row r="63" spans="1:5" x14ac:dyDescent="0.25">
      <c r="A63" s="8">
        <v>4</v>
      </c>
      <c r="B63" s="8">
        <v>5</v>
      </c>
    </row>
    <row r="64" spans="1:5" x14ac:dyDescent="0.25">
      <c r="A64" s="8">
        <v>2</v>
      </c>
      <c r="B64" s="8">
        <v>1</v>
      </c>
      <c r="D64" t="s">
        <v>23</v>
      </c>
    </row>
    <row r="65" spans="1:4" x14ac:dyDescent="0.25">
      <c r="A65" s="8">
        <v>1</v>
      </c>
      <c r="B65" s="8">
        <v>2</v>
      </c>
      <c r="D65" t="s">
        <v>24</v>
      </c>
    </row>
    <row r="66" spans="1:4" x14ac:dyDescent="0.25">
      <c r="A66" s="8">
        <v>2</v>
      </c>
      <c r="B66" s="8">
        <v>2</v>
      </c>
    </row>
    <row r="67" spans="1:4" x14ac:dyDescent="0.25">
      <c r="A67" s="8">
        <v>1</v>
      </c>
      <c r="B67" s="8">
        <v>3</v>
      </c>
    </row>
    <row r="68" spans="1:4" x14ac:dyDescent="0.25">
      <c r="A68" s="8">
        <v>1</v>
      </c>
      <c r="B68" s="8">
        <v>4</v>
      </c>
      <c r="D68" s="7" t="s">
        <v>25</v>
      </c>
    </row>
    <row r="69" spans="1:4" x14ac:dyDescent="0.25">
      <c r="A69" s="8">
        <v>4</v>
      </c>
      <c r="B69" s="8">
        <v>4</v>
      </c>
    </row>
    <row r="70" spans="1:4" x14ac:dyDescent="0.25">
      <c r="A70" s="8">
        <v>3</v>
      </c>
      <c r="B70" s="8">
        <v>4</v>
      </c>
      <c r="D70" t="s">
        <v>26</v>
      </c>
    </row>
    <row r="71" spans="1:4" x14ac:dyDescent="0.25">
      <c r="A71" s="8">
        <v>4</v>
      </c>
      <c r="B71" s="8">
        <v>3</v>
      </c>
      <c r="D71" t="s">
        <v>27</v>
      </c>
    </row>
    <row r="72" spans="1:4" x14ac:dyDescent="0.25">
      <c r="A72" s="8">
        <v>1</v>
      </c>
      <c r="B72" s="8">
        <v>2</v>
      </c>
      <c r="D72" t="s">
        <v>28</v>
      </c>
    </row>
    <row r="73" spans="1:4" x14ac:dyDescent="0.25">
      <c r="A73" s="8">
        <v>3</v>
      </c>
      <c r="B73" s="8">
        <v>3</v>
      </c>
    </row>
    <row r="74" spans="1:4" x14ac:dyDescent="0.25">
      <c r="A74" s="8">
        <v>4</v>
      </c>
      <c r="B74" s="8">
        <v>4</v>
      </c>
    </row>
    <row r="75" spans="1:4" x14ac:dyDescent="0.25">
      <c r="A75" s="8">
        <v>1</v>
      </c>
      <c r="B75" s="8">
        <v>1</v>
      </c>
      <c r="D75" s="7" t="s">
        <v>25</v>
      </c>
    </row>
    <row r="76" spans="1:4" x14ac:dyDescent="0.25">
      <c r="A76" s="8">
        <v>2</v>
      </c>
      <c r="B76" s="8">
        <v>2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BACE-8F37-4BA6-88D6-CEC91EDD9FB1}">
  <dimension ref="A1:F88"/>
  <sheetViews>
    <sheetView zoomScale="70" zoomScaleNormal="70" workbookViewId="0">
      <selection activeCell="I22" sqref="I22"/>
    </sheetView>
  </sheetViews>
  <sheetFormatPr baseColWidth="10" defaultColWidth="9.140625" defaultRowHeight="15" x14ac:dyDescent="0.25"/>
  <cols>
    <col min="1" max="1" width="25.140625" customWidth="1"/>
    <col min="2" max="2" width="26" customWidth="1"/>
    <col min="4" max="4" width="39" customWidth="1"/>
    <col min="5" max="5" width="21.5703125" customWidth="1"/>
    <col min="6" max="6" width="17.85546875" customWidth="1"/>
    <col min="7" max="7" width="20" customWidth="1"/>
  </cols>
  <sheetData>
    <row r="1" spans="1:5" ht="140.25" customHeight="1" x14ac:dyDescent="0.25">
      <c r="A1" s="10" t="s">
        <v>35</v>
      </c>
      <c r="B1" s="12" t="s">
        <v>34</v>
      </c>
    </row>
    <row r="2" spans="1:5" x14ac:dyDescent="0.25">
      <c r="A2" s="8">
        <v>4</v>
      </c>
      <c r="B2" s="8">
        <v>5</v>
      </c>
      <c r="D2" s="1" t="s">
        <v>52</v>
      </c>
      <c r="E2">
        <f>AVERAGE(A:A)</f>
        <v>3.08</v>
      </c>
    </row>
    <row r="3" spans="1:5" x14ac:dyDescent="0.25">
      <c r="A3" s="8">
        <v>3</v>
      </c>
      <c r="B3" s="8">
        <v>3</v>
      </c>
      <c r="D3" s="1" t="s">
        <v>0</v>
      </c>
      <c r="E3">
        <f>MEDIAN(A:A)</f>
        <v>3</v>
      </c>
    </row>
    <row r="4" spans="1:5" x14ac:dyDescent="0.25">
      <c r="A4" s="8">
        <v>5</v>
      </c>
      <c r="B4" s="8">
        <v>3</v>
      </c>
      <c r="D4" s="1" t="s">
        <v>1</v>
      </c>
      <c r="E4">
        <f>MODE(A:A)</f>
        <v>2</v>
      </c>
    </row>
    <row r="5" spans="1:5" x14ac:dyDescent="0.25">
      <c r="A5" s="8">
        <v>2</v>
      </c>
      <c r="B5" s="8">
        <v>5</v>
      </c>
      <c r="D5" s="1" t="s">
        <v>15</v>
      </c>
      <c r="E5">
        <f>STDEV(A:A)</f>
        <v>1.2165525060596438</v>
      </c>
    </row>
    <row r="6" spans="1:5" x14ac:dyDescent="0.25">
      <c r="A6" s="8">
        <v>3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3</v>
      </c>
      <c r="B7" s="8">
        <v>4</v>
      </c>
    </row>
    <row r="8" spans="1:5" x14ac:dyDescent="0.25">
      <c r="A8" s="8">
        <v>5</v>
      </c>
      <c r="B8" s="8">
        <v>3</v>
      </c>
      <c r="D8" s="3" t="s">
        <v>53</v>
      </c>
      <c r="E8">
        <f>AVERAGE(B:B)</f>
        <v>3.2266666666666666</v>
      </c>
    </row>
    <row r="9" spans="1:5" x14ac:dyDescent="0.25">
      <c r="A9" s="8">
        <v>2</v>
      </c>
      <c r="B9" s="8">
        <v>5</v>
      </c>
      <c r="D9" s="3" t="s">
        <v>2</v>
      </c>
      <c r="E9">
        <f>MEDIAN(B:B)</f>
        <v>3</v>
      </c>
    </row>
    <row r="10" spans="1:5" x14ac:dyDescent="0.25">
      <c r="A10" s="8">
        <v>1</v>
      </c>
      <c r="B10" s="8">
        <v>2</v>
      </c>
      <c r="D10" s="3" t="s">
        <v>3</v>
      </c>
      <c r="E10">
        <f>MODE(B:B)</f>
        <v>3</v>
      </c>
    </row>
    <row r="11" spans="1:5" x14ac:dyDescent="0.25">
      <c r="A11" s="8">
        <v>5</v>
      </c>
      <c r="B11" s="8">
        <v>3</v>
      </c>
      <c r="D11" s="3" t="s">
        <v>14</v>
      </c>
      <c r="E11">
        <f>STDEV(B:B)</f>
        <v>1.1920154784653179</v>
      </c>
    </row>
    <row r="12" spans="1:5" x14ac:dyDescent="0.25">
      <c r="A12" s="8">
        <v>3</v>
      </c>
      <c r="B12" s="8">
        <v>1</v>
      </c>
      <c r="D12" s="5" t="s">
        <v>5</v>
      </c>
      <c r="E12">
        <f>COUNT(B:B)</f>
        <v>75</v>
      </c>
    </row>
    <row r="13" spans="1:5" x14ac:dyDescent="0.25">
      <c r="A13" s="8">
        <v>4</v>
      </c>
      <c r="B13" s="8">
        <v>5</v>
      </c>
    </row>
    <row r="14" spans="1:5" x14ac:dyDescent="0.25">
      <c r="A14" s="8">
        <v>5</v>
      </c>
      <c r="B14" s="8">
        <v>4</v>
      </c>
    </row>
    <row r="15" spans="1:5" x14ac:dyDescent="0.25">
      <c r="A15" s="8">
        <v>3</v>
      </c>
      <c r="B15" s="8">
        <v>5</v>
      </c>
    </row>
    <row r="16" spans="1:5" x14ac:dyDescent="0.25">
      <c r="A16" s="8">
        <v>2</v>
      </c>
      <c r="B16" s="8">
        <v>2</v>
      </c>
    </row>
    <row r="17" spans="1:5" x14ac:dyDescent="0.25">
      <c r="A17" s="8">
        <v>2</v>
      </c>
      <c r="B17" s="8">
        <v>2</v>
      </c>
      <c r="D17" s="2" t="s">
        <v>6</v>
      </c>
      <c r="E17" s="2"/>
    </row>
    <row r="18" spans="1:5" x14ac:dyDescent="0.25">
      <c r="A18" s="8">
        <v>2</v>
      </c>
      <c r="B18" s="8">
        <v>4</v>
      </c>
    </row>
    <row r="19" spans="1:5" x14ac:dyDescent="0.25">
      <c r="A19" s="8">
        <v>3</v>
      </c>
      <c r="B19" s="8">
        <v>3</v>
      </c>
    </row>
    <row r="20" spans="1:5" x14ac:dyDescent="0.25">
      <c r="A20" s="8">
        <v>2</v>
      </c>
      <c r="B20" s="8">
        <v>2</v>
      </c>
    </row>
    <row r="21" spans="1:5" x14ac:dyDescent="0.25">
      <c r="A21" s="8">
        <v>3</v>
      </c>
      <c r="B21" s="8">
        <v>3</v>
      </c>
    </row>
    <row r="22" spans="1:5" x14ac:dyDescent="0.25">
      <c r="A22" s="8">
        <v>2</v>
      </c>
      <c r="B22" s="8">
        <v>3</v>
      </c>
    </row>
    <row r="23" spans="1:5" x14ac:dyDescent="0.25">
      <c r="A23" s="8">
        <v>3</v>
      </c>
      <c r="B23" s="8">
        <v>4</v>
      </c>
    </row>
    <row r="24" spans="1:5" x14ac:dyDescent="0.25">
      <c r="A24" s="8">
        <v>2</v>
      </c>
      <c r="B24" s="8">
        <v>5</v>
      </c>
    </row>
    <row r="25" spans="1:5" x14ac:dyDescent="0.25">
      <c r="A25" s="8">
        <v>3</v>
      </c>
      <c r="B25" s="8">
        <v>2</v>
      </c>
    </row>
    <row r="26" spans="1:5" x14ac:dyDescent="0.25">
      <c r="A26" s="8">
        <v>4</v>
      </c>
      <c r="B26" s="8">
        <v>2</v>
      </c>
    </row>
    <row r="27" spans="1:5" x14ac:dyDescent="0.25">
      <c r="A27" s="8">
        <v>2</v>
      </c>
      <c r="B27" s="8">
        <v>3</v>
      </c>
    </row>
    <row r="28" spans="1:5" x14ac:dyDescent="0.25">
      <c r="A28" s="8">
        <v>1</v>
      </c>
      <c r="B28" s="8">
        <v>4</v>
      </c>
    </row>
    <row r="29" spans="1:5" x14ac:dyDescent="0.25">
      <c r="A29" s="8">
        <v>3</v>
      </c>
      <c r="B29" s="8">
        <v>4</v>
      </c>
      <c r="D29" t="s">
        <v>11</v>
      </c>
      <c r="E29">
        <f>(E2-E8)/SQRT(((E5^2)/E6)+((E11^2)/E12))</f>
        <v>-0.74575402668908219</v>
      </c>
    </row>
    <row r="30" spans="1:5" x14ac:dyDescent="0.25">
      <c r="A30" s="8">
        <v>2</v>
      </c>
      <c r="B30" s="8">
        <v>2</v>
      </c>
    </row>
    <row r="31" spans="1:5" x14ac:dyDescent="0.25">
      <c r="A31" s="8">
        <v>5</v>
      </c>
      <c r="B31" s="8">
        <v>2</v>
      </c>
      <c r="D31" s="2" t="s">
        <v>7</v>
      </c>
      <c r="E31" s="2"/>
    </row>
    <row r="32" spans="1:5" x14ac:dyDescent="0.25">
      <c r="A32" s="8">
        <v>2</v>
      </c>
      <c r="B32" s="8">
        <v>2</v>
      </c>
    </row>
    <row r="33" spans="1:6" x14ac:dyDescent="0.25">
      <c r="A33" s="8">
        <v>3</v>
      </c>
      <c r="B33" s="8">
        <v>2</v>
      </c>
    </row>
    <row r="34" spans="1:6" x14ac:dyDescent="0.25">
      <c r="A34" s="8">
        <v>4</v>
      </c>
      <c r="B34" s="8">
        <v>3</v>
      </c>
    </row>
    <row r="35" spans="1:6" x14ac:dyDescent="0.25">
      <c r="A35" s="8">
        <v>3</v>
      </c>
      <c r="B35" s="8">
        <v>5</v>
      </c>
    </row>
    <row r="36" spans="1:6" x14ac:dyDescent="0.25">
      <c r="A36" s="8">
        <v>3</v>
      </c>
      <c r="B36" s="8">
        <v>5</v>
      </c>
    </row>
    <row r="37" spans="1:6" x14ac:dyDescent="0.25">
      <c r="A37" s="8">
        <v>2</v>
      </c>
      <c r="B37" s="8">
        <v>2</v>
      </c>
    </row>
    <row r="38" spans="1:6" x14ac:dyDescent="0.25">
      <c r="A38" s="8">
        <v>5</v>
      </c>
      <c r="B38" s="8">
        <v>3</v>
      </c>
    </row>
    <row r="39" spans="1:6" x14ac:dyDescent="0.25">
      <c r="A39" s="8">
        <v>2</v>
      </c>
      <c r="B39" s="8">
        <v>5</v>
      </c>
    </row>
    <row r="40" spans="1:6" x14ac:dyDescent="0.25">
      <c r="A40" s="8">
        <v>4</v>
      </c>
      <c r="B40" s="8">
        <v>5</v>
      </c>
    </row>
    <row r="41" spans="1:6" ht="29.25" customHeight="1" x14ac:dyDescent="0.25">
      <c r="A41" s="8">
        <v>2</v>
      </c>
      <c r="B41" s="8">
        <v>3</v>
      </c>
      <c r="D41" t="s">
        <v>8</v>
      </c>
      <c r="E41">
        <f>(((E5^2)/E6)+((E11^2)/E12))^2</f>
        <v>1.4960401843284719E-3</v>
      </c>
    </row>
    <row r="42" spans="1:6" ht="47.25" customHeight="1" x14ac:dyDescent="0.25">
      <c r="A42" s="8">
        <v>3</v>
      </c>
      <c r="B42" s="8">
        <v>5</v>
      </c>
      <c r="D42" t="s">
        <v>9</v>
      </c>
      <c r="E42">
        <f>(((E5^2)/E6)^2)/(E6-1)</f>
        <v>5.2622222222222197E-6</v>
      </c>
    </row>
    <row r="43" spans="1:6" ht="43.5" customHeight="1" x14ac:dyDescent="0.25">
      <c r="A43" s="8">
        <v>2</v>
      </c>
      <c r="B43" s="8">
        <v>5</v>
      </c>
      <c r="D43" t="s">
        <v>10</v>
      </c>
      <c r="E43">
        <f>(((E11^2)/E12)^2)/(E12-1)</f>
        <v>4.8503528412756539E-6</v>
      </c>
    </row>
    <row r="44" spans="1:6" x14ac:dyDescent="0.25">
      <c r="A44" s="8">
        <v>5</v>
      </c>
      <c r="B44" s="8">
        <v>3</v>
      </c>
    </row>
    <row r="45" spans="1:6" x14ac:dyDescent="0.25">
      <c r="A45" s="8">
        <v>3</v>
      </c>
      <c r="B45" s="8">
        <v>2</v>
      </c>
      <c r="D45" t="s">
        <v>7</v>
      </c>
      <c r="E45">
        <f>E41/(E42+E43)</f>
        <v>147.93859871839621</v>
      </c>
      <c r="F45" s="6" t="s">
        <v>12</v>
      </c>
    </row>
    <row r="46" spans="1:6" x14ac:dyDescent="0.25">
      <c r="A46" s="8">
        <v>3</v>
      </c>
      <c r="B46" s="8">
        <v>3</v>
      </c>
    </row>
    <row r="47" spans="1:6" x14ac:dyDescent="0.25">
      <c r="A47" s="8">
        <v>2</v>
      </c>
      <c r="B47" s="8">
        <v>4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2</v>
      </c>
    </row>
    <row r="49" spans="1:5" x14ac:dyDescent="0.25">
      <c r="A49" s="8">
        <v>5</v>
      </c>
      <c r="B49" s="8">
        <v>4</v>
      </c>
    </row>
    <row r="50" spans="1:5" x14ac:dyDescent="0.25">
      <c r="A50" s="8">
        <v>4</v>
      </c>
      <c r="B50" s="8">
        <v>4</v>
      </c>
    </row>
    <row r="51" spans="1:5" x14ac:dyDescent="0.25">
      <c r="A51" s="8">
        <v>3</v>
      </c>
      <c r="B51" s="8">
        <v>2</v>
      </c>
      <c r="D51" s="5"/>
      <c r="E51" s="5"/>
    </row>
    <row r="52" spans="1:5" x14ac:dyDescent="0.25">
      <c r="A52" s="8">
        <v>5</v>
      </c>
      <c r="B52" s="8">
        <v>3</v>
      </c>
      <c r="D52" t="s">
        <v>16</v>
      </c>
      <c r="E52">
        <f>_xlfn.T.INV.2T(E47,E45)</f>
        <v>1.9762333088953288</v>
      </c>
    </row>
    <row r="53" spans="1:5" x14ac:dyDescent="0.25">
      <c r="A53" s="8">
        <v>4</v>
      </c>
      <c r="B53" s="8">
        <v>2</v>
      </c>
      <c r="D53" t="s">
        <v>17</v>
      </c>
      <c r="E53">
        <f>_xlfn.T.INV(E47, E45)</f>
        <v>-1.6552854366095326</v>
      </c>
    </row>
    <row r="54" spans="1:5" x14ac:dyDescent="0.25">
      <c r="A54" s="8">
        <v>3</v>
      </c>
      <c r="B54" s="8">
        <v>3</v>
      </c>
    </row>
    <row r="55" spans="1:5" x14ac:dyDescent="0.25">
      <c r="A55" s="8">
        <v>2</v>
      </c>
      <c r="B55" s="8">
        <v>3</v>
      </c>
      <c r="D55" t="s">
        <v>18</v>
      </c>
      <c r="E55">
        <f>TTEST(A:A,B:B,2,2)</f>
        <v>0.45699882067864173</v>
      </c>
    </row>
    <row r="56" spans="1:5" x14ac:dyDescent="0.25">
      <c r="A56" s="8">
        <v>5</v>
      </c>
      <c r="B56" s="8">
        <v>5</v>
      </c>
      <c r="D56" t="s">
        <v>19</v>
      </c>
      <c r="E56">
        <f>TTEST(A:A,B:B,1,2)</f>
        <v>0.22849941033932086</v>
      </c>
    </row>
    <row r="57" spans="1:5" x14ac:dyDescent="0.25">
      <c r="A57" s="8">
        <v>2</v>
      </c>
      <c r="B57" s="8">
        <v>4</v>
      </c>
    </row>
    <row r="58" spans="1:5" x14ac:dyDescent="0.25">
      <c r="A58" s="8">
        <v>2</v>
      </c>
      <c r="B58" s="8">
        <v>4</v>
      </c>
    </row>
    <row r="59" spans="1:5" x14ac:dyDescent="0.25">
      <c r="A59" s="8">
        <v>5</v>
      </c>
      <c r="B59" s="8">
        <v>4</v>
      </c>
      <c r="D59" s="5" t="s">
        <v>20</v>
      </c>
      <c r="E59" s="5"/>
    </row>
    <row r="60" spans="1:5" x14ac:dyDescent="0.25">
      <c r="A60" s="8">
        <v>4</v>
      </c>
      <c r="B60" s="8">
        <v>1</v>
      </c>
    </row>
    <row r="61" spans="1:5" x14ac:dyDescent="0.25">
      <c r="A61" s="8">
        <v>2</v>
      </c>
      <c r="B61" s="8">
        <v>3</v>
      </c>
      <c r="D61" t="s">
        <v>21</v>
      </c>
    </row>
    <row r="62" spans="1:5" x14ac:dyDescent="0.25">
      <c r="A62" s="8">
        <v>4</v>
      </c>
      <c r="B62" s="8">
        <v>2</v>
      </c>
      <c r="D62" t="s">
        <v>22</v>
      </c>
    </row>
    <row r="63" spans="1:5" x14ac:dyDescent="0.25">
      <c r="A63" s="8">
        <v>2</v>
      </c>
      <c r="B63" s="8">
        <v>3</v>
      </c>
    </row>
    <row r="64" spans="1:5" x14ac:dyDescent="0.25">
      <c r="A64" s="8">
        <v>3</v>
      </c>
      <c r="B64" s="8">
        <v>2</v>
      </c>
      <c r="D64" t="s">
        <v>23</v>
      </c>
    </row>
    <row r="65" spans="1:4" x14ac:dyDescent="0.25">
      <c r="A65" s="8">
        <v>1</v>
      </c>
      <c r="B65" s="8">
        <v>3</v>
      </c>
      <c r="D65" t="s">
        <v>24</v>
      </c>
    </row>
    <row r="66" spans="1:4" x14ac:dyDescent="0.25">
      <c r="A66" s="8">
        <v>1</v>
      </c>
      <c r="B66" s="8">
        <v>3</v>
      </c>
    </row>
    <row r="67" spans="1:4" x14ac:dyDescent="0.25">
      <c r="A67" s="8">
        <v>5</v>
      </c>
      <c r="B67" s="8">
        <v>3</v>
      </c>
    </row>
    <row r="68" spans="1:4" x14ac:dyDescent="0.25">
      <c r="A68" s="8">
        <v>2</v>
      </c>
      <c r="B68" s="8">
        <v>4</v>
      </c>
      <c r="D68" s="7" t="s">
        <v>25</v>
      </c>
    </row>
    <row r="69" spans="1:4" x14ac:dyDescent="0.25">
      <c r="A69" s="8">
        <v>5</v>
      </c>
      <c r="B69" s="8">
        <v>2</v>
      </c>
    </row>
    <row r="70" spans="1:4" x14ac:dyDescent="0.25">
      <c r="A70" s="8">
        <v>3</v>
      </c>
      <c r="B70" s="8">
        <v>4</v>
      </c>
      <c r="D70" t="s">
        <v>26</v>
      </c>
    </row>
    <row r="71" spans="1:4" x14ac:dyDescent="0.25">
      <c r="A71" s="8">
        <v>4</v>
      </c>
      <c r="B71" s="8">
        <v>5</v>
      </c>
      <c r="D71" t="s">
        <v>27</v>
      </c>
    </row>
    <row r="72" spans="1:4" x14ac:dyDescent="0.25">
      <c r="A72" s="8">
        <v>5</v>
      </c>
      <c r="B72" s="8">
        <v>3</v>
      </c>
      <c r="D72" t="s">
        <v>28</v>
      </c>
    </row>
    <row r="73" spans="1:4" x14ac:dyDescent="0.25">
      <c r="A73" s="8">
        <v>3</v>
      </c>
      <c r="B73" s="8">
        <v>5</v>
      </c>
    </row>
    <row r="74" spans="1:4" x14ac:dyDescent="0.25">
      <c r="A74" s="8">
        <v>1</v>
      </c>
      <c r="B74" s="8">
        <v>1</v>
      </c>
    </row>
    <row r="75" spans="1:4" x14ac:dyDescent="0.25">
      <c r="A75" s="8">
        <v>2</v>
      </c>
      <c r="B75" s="8">
        <v>1</v>
      </c>
      <c r="D75" s="7" t="s">
        <v>25</v>
      </c>
    </row>
    <row r="76" spans="1:4" x14ac:dyDescent="0.25">
      <c r="A76" s="8">
        <v>4</v>
      </c>
      <c r="B76" s="8">
        <v>2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C0A0D-0289-4E9A-AF96-3A85FFDFDA2C}">
  <dimension ref="A1:F88"/>
  <sheetViews>
    <sheetView zoomScale="70" zoomScaleNormal="70" workbookViewId="0">
      <selection activeCell="H22" sqref="H22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9.28515625" customWidth="1"/>
    <col min="5" max="5" width="21.5703125" customWidth="1"/>
    <col min="6" max="6" width="17.85546875" customWidth="1"/>
    <col min="7" max="7" width="20" customWidth="1"/>
  </cols>
  <sheetData>
    <row r="1" spans="1:5" ht="140.25" customHeight="1" x14ac:dyDescent="0.25">
      <c r="A1" s="10" t="s">
        <v>33</v>
      </c>
      <c r="B1" s="11" t="s">
        <v>32</v>
      </c>
    </row>
    <row r="2" spans="1:5" x14ac:dyDescent="0.25">
      <c r="A2" s="8">
        <v>3</v>
      </c>
      <c r="B2" s="8">
        <v>4</v>
      </c>
      <c r="D2" s="1" t="s">
        <v>52</v>
      </c>
      <c r="E2">
        <f>AVERAGE(A:A)</f>
        <v>2.9333333333333331</v>
      </c>
    </row>
    <row r="3" spans="1:5" x14ac:dyDescent="0.25">
      <c r="A3" s="8">
        <v>4</v>
      </c>
      <c r="B3" s="8">
        <v>2</v>
      </c>
      <c r="D3" s="1" t="s">
        <v>0</v>
      </c>
      <c r="E3">
        <f>MEDIAN(A:A)</f>
        <v>3</v>
      </c>
    </row>
    <row r="4" spans="1:5" x14ac:dyDescent="0.25">
      <c r="A4" s="8">
        <v>3</v>
      </c>
      <c r="B4" s="8">
        <v>3</v>
      </c>
      <c r="D4" s="1" t="s">
        <v>1</v>
      </c>
      <c r="E4">
        <f>MODE(A:A)</f>
        <v>3</v>
      </c>
    </row>
    <row r="5" spans="1:5" x14ac:dyDescent="0.25">
      <c r="A5" s="8">
        <v>2</v>
      </c>
      <c r="B5" s="8">
        <v>2</v>
      </c>
      <c r="D5" s="1" t="s">
        <v>15</v>
      </c>
      <c r="E5">
        <f>STDEV(A:A)</f>
        <v>1.1190407732751526</v>
      </c>
    </row>
    <row r="6" spans="1:5" x14ac:dyDescent="0.25">
      <c r="A6" s="8">
        <v>3</v>
      </c>
      <c r="B6" s="8">
        <v>3</v>
      </c>
      <c r="D6" s="4" t="s">
        <v>4</v>
      </c>
      <c r="E6">
        <f>COUNT(A:A)</f>
        <v>75</v>
      </c>
    </row>
    <row r="7" spans="1:5" x14ac:dyDescent="0.25">
      <c r="A7" s="8">
        <v>2</v>
      </c>
      <c r="B7" s="8">
        <v>5</v>
      </c>
    </row>
    <row r="8" spans="1:5" x14ac:dyDescent="0.25">
      <c r="A8" s="8">
        <v>5</v>
      </c>
      <c r="B8" s="8">
        <v>2</v>
      </c>
      <c r="D8" s="3" t="s">
        <v>53</v>
      </c>
      <c r="E8">
        <f>AVERAGE(B:B)</f>
        <v>3.1733333333333333</v>
      </c>
    </row>
    <row r="9" spans="1:5" x14ac:dyDescent="0.25">
      <c r="A9" s="8">
        <v>5</v>
      </c>
      <c r="B9" s="8">
        <v>2</v>
      </c>
      <c r="D9" s="3" t="s">
        <v>2</v>
      </c>
      <c r="E9">
        <f>MEDIAN(B:B)</f>
        <v>3</v>
      </c>
    </row>
    <row r="10" spans="1:5" x14ac:dyDescent="0.25">
      <c r="A10" s="8">
        <v>4</v>
      </c>
      <c r="B10" s="8">
        <v>3</v>
      </c>
      <c r="D10" s="3" t="s">
        <v>3</v>
      </c>
      <c r="E10">
        <f>MODE(B:B)</f>
        <v>3</v>
      </c>
    </row>
    <row r="11" spans="1:5" x14ac:dyDescent="0.25">
      <c r="A11" s="8">
        <v>5</v>
      </c>
      <c r="B11" s="8">
        <v>2</v>
      </c>
      <c r="D11" s="3" t="s">
        <v>14</v>
      </c>
      <c r="E11">
        <f>STDEV(B:B)</f>
        <v>1.1551685653680221</v>
      </c>
    </row>
    <row r="12" spans="1:5" x14ac:dyDescent="0.25">
      <c r="A12" s="8">
        <v>3</v>
      </c>
      <c r="B12" s="8">
        <v>3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3</v>
      </c>
    </row>
    <row r="14" spans="1:5" x14ac:dyDescent="0.25">
      <c r="A14" s="8">
        <v>2</v>
      </c>
      <c r="B14" s="8">
        <v>3</v>
      </c>
    </row>
    <row r="15" spans="1:5" x14ac:dyDescent="0.25">
      <c r="A15" s="8">
        <v>3</v>
      </c>
      <c r="B15" s="8">
        <v>5</v>
      </c>
    </row>
    <row r="16" spans="1:5" x14ac:dyDescent="0.25">
      <c r="A16" s="8">
        <v>1</v>
      </c>
      <c r="B16" s="8">
        <v>5</v>
      </c>
    </row>
    <row r="17" spans="1:5" x14ac:dyDescent="0.25">
      <c r="A17" s="8">
        <v>2</v>
      </c>
      <c r="B17" s="8">
        <v>5</v>
      </c>
      <c r="D17" s="2" t="s">
        <v>6</v>
      </c>
      <c r="E17" s="2"/>
    </row>
    <row r="18" spans="1:5" x14ac:dyDescent="0.25">
      <c r="A18" s="8">
        <v>2</v>
      </c>
      <c r="B18" s="8">
        <v>3</v>
      </c>
    </row>
    <row r="19" spans="1:5" x14ac:dyDescent="0.25">
      <c r="A19" s="8">
        <v>2</v>
      </c>
      <c r="B19" s="8">
        <v>4</v>
      </c>
    </row>
    <row r="20" spans="1:5" x14ac:dyDescent="0.25">
      <c r="A20" s="8">
        <v>3</v>
      </c>
      <c r="B20" s="8">
        <v>3</v>
      </c>
    </row>
    <row r="21" spans="1:5" x14ac:dyDescent="0.25">
      <c r="A21" s="8">
        <v>2</v>
      </c>
      <c r="B21" s="8">
        <v>2</v>
      </c>
    </row>
    <row r="22" spans="1:5" x14ac:dyDescent="0.25">
      <c r="A22" s="8">
        <v>3</v>
      </c>
      <c r="B22" s="8">
        <v>4</v>
      </c>
    </row>
    <row r="23" spans="1:5" x14ac:dyDescent="0.25">
      <c r="A23" s="8">
        <v>1</v>
      </c>
      <c r="B23" s="8">
        <v>3</v>
      </c>
    </row>
    <row r="24" spans="1:5" x14ac:dyDescent="0.25">
      <c r="A24" s="8">
        <v>2</v>
      </c>
      <c r="B24" s="8">
        <v>2</v>
      </c>
    </row>
    <row r="25" spans="1:5" x14ac:dyDescent="0.25">
      <c r="A25" s="8">
        <v>4</v>
      </c>
      <c r="B25" s="8">
        <v>4</v>
      </c>
    </row>
    <row r="26" spans="1:5" x14ac:dyDescent="0.25">
      <c r="A26" s="8">
        <v>3</v>
      </c>
      <c r="B26" s="8">
        <v>5</v>
      </c>
    </row>
    <row r="27" spans="1:5" x14ac:dyDescent="0.25">
      <c r="A27" s="8">
        <v>1</v>
      </c>
      <c r="B27" s="8">
        <v>4</v>
      </c>
    </row>
    <row r="28" spans="1:5" x14ac:dyDescent="0.25">
      <c r="A28" s="8">
        <v>3</v>
      </c>
      <c r="B28" s="8">
        <v>4</v>
      </c>
    </row>
    <row r="29" spans="1:5" x14ac:dyDescent="0.25">
      <c r="A29" s="8">
        <v>3</v>
      </c>
      <c r="B29" s="8">
        <v>1</v>
      </c>
      <c r="D29" t="s">
        <v>11</v>
      </c>
      <c r="E29">
        <f>(E2-E8)/SQRT(((E5^2)/E6)+((E11^2)/E12))</f>
        <v>-1.2923246855119299</v>
      </c>
    </row>
    <row r="30" spans="1:5" x14ac:dyDescent="0.25">
      <c r="A30" s="8">
        <v>4</v>
      </c>
      <c r="B30" s="8">
        <v>2</v>
      </c>
    </row>
    <row r="31" spans="1:5" x14ac:dyDescent="0.25">
      <c r="A31" s="8">
        <v>3</v>
      </c>
      <c r="B31" s="8">
        <v>3</v>
      </c>
      <c r="D31" s="2" t="s">
        <v>7</v>
      </c>
      <c r="E31" s="2"/>
    </row>
    <row r="32" spans="1:5" x14ac:dyDescent="0.25">
      <c r="A32" s="8">
        <v>2</v>
      </c>
      <c r="B32" s="8">
        <v>2</v>
      </c>
    </row>
    <row r="33" spans="1:6" x14ac:dyDescent="0.25">
      <c r="A33" s="8">
        <v>3</v>
      </c>
      <c r="B33" s="8">
        <v>2</v>
      </c>
    </row>
    <row r="34" spans="1:6" x14ac:dyDescent="0.25">
      <c r="A34" s="8">
        <v>3</v>
      </c>
      <c r="B34" s="8">
        <v>4</v>
      </c>
    </row>
    <row r="35" spans="1:6" x14ac:dyDescent="0.25">
      <c r="A35" s="8">
        <v>2</v>
      </c>
      <c r="B35" s="8">
        <v>2</v>
      </c>
    </row>
    <row r="36" spans="1:6" x14ac:dyDescent="0.25">
      <c r="A36" s="8">
        <v>5</v>
      </c>
      <c r="B36" s="8">
        <v>3</v>
      </c>
    </row>
    <row r="37" spans="1:6" x14ac:dyDescent="0.25">
      <c r="A37" s="8">
        <v>2</v>
      </c>
      <c r="B37" s="8">
        <v>2</v>
      </c>
    </row>
    <row r="38" spans="1:6" x14ac:dyDescent="0.25">
      <c r="A38" s="8">
        <v>1</v>
      </c>
      <c r="B38" s="8">
        <v>2</v>
      </c>
    </row>
    <row r="39" spans="1:6" x14ac:dyDescent="0.25">
      <c r="A39" s="8">
        <v>5</v>
      </c>
      <c r="B39" s="8">
        <v>4</v>
      </c>
    </row>
    <row r="40" spans="1:6" x14ac:dyDescent="0.25">
      <c r="A40" s="8">
        <v>4</v>
      </c>
      <c r="B40" s="8">
        <v>5</v>
      </c>
    </row>
    <row r="41" spans="1:6" ht="29.25" customHeight="1" x14ac:dyDescent="0.25">
      <c r="A41" s="8">
        <v>2</v>
      </c>
      <c r="B41" s="8">
        <v>4</v>
      </c>
      <c r="D41" t="s">
        <v>8</v>
      </c>
      <c r="E41">
        <f>(((E5^2)/E6)+((E11^2)/E12))^2</f>
        <v>1.1894834567901229E-3</v>
      </c>
    </row>
    <row r="42" spans="1:6" ht="47.25" customHeight="1" x14ac:dyDescent="0.25">
      <c r="A42" s="8">
        <v>4</v>
      </c>
      <c r="B42" s="8">
        <v>3</v>
      </c>
      <c r="D42" t="s">
        <v>9</v>
      </c>
      <c r="E42">
        <f>(((E5^2)/E6)^2)/(E6-1)</f>
        <v>3.7672929808308388E-6</v>
      </c>
    </row>
    <row r="43" spans="1:6" ht="43.5" customHeight="1" x14ac:dyDescent="0.25">
      <c r="A43" s="8">
        <v>2</v>
      </c>
      <c r="B43" s="8">
        <v>2</v>
      </c>
      <c r="D43" t="s">
        <v>10</v>
      </c>
      <c r="E43">
        <f>(((E11^2)/E12)^2)/(E12-1)</f>
        <v>4.2778662568095252E-6</v>
      </c>
    </row>
    <row r="44" spans="1:6" x14ac:dyDescent="0.25">
      <c r="A44" s="8">
        <v>2</v>
      </c>
      <c r="B44" s="8">
        <v>2</v>
      </c>
    </row>
    <row r="45" spans="1:6" x14ac:dyDescent="0.25">
      <c r="A45" s="8">
        <v>4</v>
      </c>
      <c r="B45" s="8">
        <v>5</v>
      </c>
      <c r="D45" t="s">
        <v>7</v>
      </c>
      <c r="E45">
        <f>E41/(E42+E43)</f>
        <v>147.8508282626606</v>
      </c>
      <c r="F45" s="6" t="s">
        <v>12</v>
      </c>
    </row>
    <row r="46" spans="1:6" x14ac:dyDescent="0.25">
      <c r="A46" s="8">
        <v>3</v>
      </c>
      <c r="B46" s="8">
        <v>3</v>
      </c>
    </row>
    <row r="47" spans="1:6" x14ac:dyDescent="0.25">
      <c r="A47" s="8">
        <v>3</v>
      </c>
      <c r="B47" s="8">
        <v>3</v>
      </c>
      <c r="D47" t="s">
        <v>13</v>
      </c>
      <c r="E47">
        <v>0.05</v>
      </c>
      <c r="F47" s="6" t="s">
        <v>12</v>
      </c>
    </row>
    <row r="48" spans="1:6" x14ac:dyDescent="0.25">
      <c r="A48" s="8">
        <v>3</v>
      </c>
      <c r="B48" s="8">
        <v>4</v>
      </c>
    </row>
    <row r="49" spans="1:5" x14ac:dyDescent="0.25">
      <c r="A49" s="8">
        <v>1</v>
      </c>
      <c r="B49" s="8">
        <v>5</v>
      </c>
    </row>
    <row r="50" spans="1:5" x14ac:dyDescent="0.25">
      <c r="A50" s="8">
        <v>4</v>
      </c>
      <c r="B50" s="8">
        <v>4</v>
      </c>
    </row>
    <row r="51" spans="1:5" x14ac:dyDescent="0.25">
      <c r="A51" s="8">
        <v>2</v>
      </c>
      <c r="B51" s="8">
        <v>1</v>
      </c>
      <c r="D51" s="5"/>
      <c r="E51" s="5"/>
    </row>
    <row r="52" spans="1:5" x14ac:dyDescent="0.25">
      <c r="A52" s="8">
        <v>2</v>
      </c>
      <c r="B52" s="8">
        <v>4</v>
      </c>
      <c r="D52" t="s">
        <v>16</v>
      </c>
      <c r="E52">
        <f>_xlfn.T.INV.2T(E47,E45)</f>
        <v>1.9762333088953288</v>
      </c>
    </row>
    <row r="53" spans="1:5" x14ac:dyDescent="0.25">
      <c r="A53" s="8">
        <v>3</v>
      </c>
      <c r="B53" s="8">
        <v>3</v>
      </c>
      <c r="D53" t="s">
        <v>17</v>
      </c>
      <c r="E53">
        <f>_xlfn.T.INV(E47, E45)</f>
        <v>-1.6552854366095326</v>
      </c>
    </row>
    <row r="54" spans="1:5" x14ac:dyDescent="0.25">
      <c r="A54" s="8">
        <v>4</v>
      </c>
      <c r="B54" s="8">
        <v>3</v>
      </c>
    </row>
    <row r="55" spans="1:5" x14ac:dyDescent="0.25">
      <c r="A55" s="8">
        <v>4</v>
      </c>
      <c r="B55" s="8">
        <v>3</v>
      </c>
      <c r="D55" t="s">
        <v>18</v>
      </c>
      <c r="E55">
        <f>TTEST(A:A,B:B,2,2)</f>
        <v>0.19825884200737048</v>
      </c>
    </row>
    <row r="56" spans="1:5" x14ac:dyDescent="0.25">
      <c r="A56" s="8">
        <v>2</v>
      </c>
      <c r="B56" s="8">
        <v>1</v>
      </c>
      <c r="D56" t="s">
        <v>19</v>
      </c>
      <c r="E56">
        <f>TTEST(A:A,B:B,1,2)</f>
        <v>9.9129421003685242E-2</v>
      </c>
    </row>
    <row r="57" spans="1:5" x14ac:dyDescent="0.25">
      <c r="A57" s="8">
        <v>5</v>
      </c>
      <c r="B57" s="8">
        <v>1</v>
      </c>
    </row>
    <row r="58" spans="1:5" x14ac:dyDescent="0.25">
      <c r="A58" s="8">
        <v>4</v>
      </c>
      <c r="B58" s="8">
        <v>4</v>
      </c>
    </row>
    <row r="59" spans="1:5" x14ac:dyDescent="0.25">
      <c r="A59" s="8">
        <v>3</v>
      </c>
      <c r="B59" s="8">
        <v>3</v>
      </c>
      <c r="D59" s="5" t="s">
        <v>20</v>
      </c>
      <c r="E59" s="5"/>
    </row>
    <row r="60" spans="1:5" x14ac:dyDescent="0.25">
      <c r="A60" s="8">
        <v>4</v>
      </c>
      <c r="B60" s="8">
        <v>4</v>
      </c>
    </row>
    <row r="61" spans="1:5" x14ac:dyDescent="0.25">
      <c r="A61" s="8">
        <v>4</v>
      </c>
      <c r="B61" s="8">
        <v>4</v>
      </c>
      <c r="D61" t="s">
        <v>21</v>
      </c>
    </row>
    <row r="62" spans="1:5" x14ac:dyDescent="0.25">
      <c r="A62" s="8">
        <v>1</v>
      </c>
      <c r="B62" s="8">
        <v>5</v>
      </c>
      <c r="D62" t="s">
        <v>22</v>
      </c>
    </row>
    <row r="63" spans="1:5" x14ac:dyDescent="0.25">
      <c r="A63" s="8">
        <v>2</v>
      </c>
      <c r="B63" s="8">
        <v>3</v>
      </c>
    </row>
    <row r="64" spans="1:5" x14ac:dyDescent="0.25">
      <c r="A64" s="8">
        <v>3</v>
      </c>
      <c r="B64" s="8">
        <v>3</v>
      </c>
      <c r="D64" t="s">
        <v>23</v>
      </c>
    </row>
    <row r="65" spans="1:4" x14ac:dyDescent="0.25">
      <c r="A65" s="8">
        <v>4</v>
      </c>
      <c r="B65" s="8">
        <v>5</v>
      </c>
      <c r="D65" t="s">
        <v>24</v>
      </c>
    </row>
    <row r="66" spans="1:4" x14ac:dyDescent="0.25">
      <c r="A66" s="8">
        <v>3</v>
      </c>
      <c r="B66" s="8">
        <v>4</v>
      </c>
    </row>
    <row r="67" spans="1:4" x14ac:dyDescent="0.25">
      <c r="A67" s="8">
        <v>2</v>
      </c>
      <c r="B67" s="8">
        <v>2</v>
      </c>
    </row>
    <row r="68" spans="1:4" x14ac:dyDescent="0.25">
      <c r="A68" s="8">
        <v>3</v>
      </c>
      <c r="B68" s="8">
        <v>4</v>
      </c>
      <c r="D68" s="7" t="s">
        <v>25</v>
      </c>
    </row>
    <row r="69" spans="1:4" x14ac:dyDescent="0.25">
      <c r="A69" s="8">
        <v>2</v>
      </c>
      <c r="B69" s="8">
        <v>5</v>
      </c>
    </row>
    <row r="70" spans="1:4" x14ac:dyDescent="0.25">
      <c r="A70" s="8">
        <v>3</v>
      </c>
      <c r="B70" s="8">
        <v>3</v>
      </c>
      <c r="D70" t="s">
        <v>26</v>
      </c>
    </row>
    <row r="71" spans="1:4" x14ac:dyDescent="0.25">
      <c r="A71" s="8">
        <v>4</v>
      </c>
      <c r="B71" s="8">
        <v>1</v>
      </c>
      <c r="D71" t="s">
        <v>27</v>
      </c>
    </row>
    <row r="72" spans="1:4" x14ac:dyDescent="0.25">
      <c r="A72" s="8">
        <v>3</v>
      </c>
      <c r="B72" s="8">
        <v>4</v>
      </c>
      <c r="D72" t="s">
        <v>28</v>
      </c>
    </row>
    <row r="73" spans="1:4" x14ac:dyDescent="0.25">
      <c r="A73" s="8">
        <v>1</v>
      </c>
      <c r="B73" s="8">
        <v>3</v>
      </c>
    </row>
    <row r="74" spans="1:4" x14ac:dyDescent="0.25">
      <c r="A74" s="8">
        <v>2</v>
      </c>
      <c r="B74" s="8">
        <v>2</v>
      </c>
    </row>
    <row r="75" spans="1:4" x14ac:dyDescent="0.25">
      <c r="A75" s="8">
        <v>4</v>
      </c>
      <c r="B75" s="8">
        <v>4</v>
      </c>
      <c r="D75" s="7" t="s">
        <v>25</v>
      </c>
    </row>
    <row r="76" spans="1:4" x14ac:dyDescent="0.25">
      <c r="A76" s="8">
        <v>5</v>
      </c>
      <c r="B76" s="8">
        <v>2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8"/>
  <sheetViews>
    <sheetView tabSelected="1" zoomScale="70" zoomScaleNormal="70" workbookViewId="0">
      <selection activeCell="I22" sqref="I22"/>
    </sheetView>
  </sheetViews>
  <sheetFormatPr baseColWidth="10" defaultColWidth="9.140625" defaultRowHeight="15" x14ac:dyDescent="0.25"/>
  <cols>
    <col min="1" max="1" width="21.7109375" customWidth="1"/>
    <col min="2" max="2" width="24.42578125" customWidth="1"/>
    <col min="4" max="4" width="39.140625" customWidth="1"/>
    <col min="5" max="5" width="21.5703125" customWidth="1"/>
    <col min="6" max="6" width="17.85546875" customWidth="1"/>
    <col min="7" max="7" width="20" customWidth="1"/>
  </cols>
  <sheetData>
    <row r="1" spans="1:5" ht="154.5" customHeight="1" x14ac:dyDescent="0.25">
      <c r="A1" s="10" t="s">
        <v>30</v>
      </c>
      <c r="B1" s="11" t="s">
        <v>31</v>
      </c>
    </row>
    <row r="2" spans="1:5" x14ac:dyDescent="0.25">
      <c r="A2" s="8">
        <v>2</v>
      </c>
      <c r="B2" s="8">
        <v>5</v>
      </c>
      <c r="D2" s="1" t="s">
        <v>52</v>
      </c>
      <c r="E2">
        <f>AVERAGE(A:A)</f>
        <v>3.12</v>
      </c>
    </row>
    <row r="3" spans="1:5" x14ac:dyDescent="0.25">
      <c r="A3" s="8">
        <v>2</v>
      </c>
      <c r="B3" s="8">
        <v>2</v>
      </c>
      <c r="D3" s="1" t="s">
        <v>0</v>
      </c>
      <c r="E3">
        <f>MEDIAN(A:A)</f>
        <v>3</v>
      </c>
    </row>
    <row r="4" spans="1:5" x14ac:dyDescent="0.25">
      <c r="A4" s="8">
        <v>4</v>
      </c>
      <c r="B4" s="8">
        <v>3</v>
      </c>
      <c r="D4" s="1" t="s">
        <v>1</v>
      </c>
      <c r="E4">
        <f>MODE(A:A)</f>
        <v>3</v>
      </c>
    </row>
    <row r="5" spans="1:5" x14ac:dyDescent="0.25">
      <c r="A5" s="8">
        <v>1</v>
      </c>
      <c r="B5" s="8">
        <v>2</v>
      </c>
      <c r="D5" s="1" t="s">
        <v>15</v>
      </c>
      <c r="E5">
        <f>STDEV(A:A)</f>
        <v>1.2940612793042663</v>
      </c>
    </row>
    <row r="6" spans="1:5" x14ac:dyDescent="0.25">
      <c r="A6" s="8">
        <v>3</v>
      </c>
      <c r="B6" s="8">
        <v>5</v>
      </c>
      <c r="D6" s="4" t="s">
        <v>4</v>
      </c>
      <c r="E6">
        <f>COUNT(A:A)</f>
        <v>75</v>
      </c>
    </row>
    <row r="7" spans="1:5" x14ac:dyDescent="0.25">
      <c r="A7" s="8">
        <v>5</v>
      </c>
      <c r="B7" s="8">
        <v>1</v>
      </c>
    </row>
    <row r="8" spans="1:5" x14ac:dyDescent="0.25">
      <c r="A8" s="8">
        <v>4</v>
      </c>
      <c r="B8" s="8">
        <v>2</v>
      </c>
      <c r="D8" s="3" t="s">
        <v>53</v>
      </c>
      <c r="E8">
        <f>AVERAGE(B:B)</f>
        <v>3.2533333333333334</v>
      </c>
    </row>
    <row r="9" spans="1:5" x14ac:dyDescent="0.25">
      <c r="A9" s="8">
        <v>5</v>
      </c>
      <c r="B9" s="8">
        <v>4</v>
      </c>
      <c r="D9" s="3" t="s">
        <v>2</v>
      </c>
      <c r="E9">
        <f>MEDIAN(B:B)</f>
        <v>3</v>
      </c>
    </row>
    <row r="10" spans="1:5" x14ac:dyDescent="0.25">
      <c r="A10" s="8">
        <v>4</v>
      </c>
      <c r="B10" s="8">
        <v>4</v>
      </c>
      <c r="D10" s="3" t="s">
        <v>3</v>
      </c>
      <c r="E10">
        <f>MODE(B:B)</f>
        <v>4</v>
      </c>
    </row>
    <row r="11" spans="1:5" x14ac:dyDescent="0.25">
      <c r="A11" s="8">
        <v>4</v>
      </c>
      <c r="B11" s="8">
        <v>4</v>
      </c>
      <c r="D11" s="3" t="s">
        <v>14</v>
      </c>
      <c r="E11">
        <f>STDEV(B:B)</f>
        <v>1.2744191399002698</v>
      </c>
    </row>
    <row r="12" spans="1:5" x14ac:dyDescent="0.25">
      <c r="A12" s="8">
        <v>2</v>
      </c>
      <c r="B12" s="8">
        <v>4</v>
      </c>
      <c r="D12" s="5" t="s">
        <v>5</v>
      </c>
      <c r="E12">
        <f>COUNT(B:B)</f>
        <v>75</v>
      </c>
    </row>
    <row r="13" spans="1:5" x14ac:dyDescent="0.25">
      <c r="A13" s="8">
        <v>3</v>
      </c>
      <c r="B13" s="8">
        <v>3</v>
      </c>
    </row>
    <row r="14" spans="1:5" x14ac:dyDescent="0.25">
      <c r="A14" s="8">
        <v>3</v>
      </c>
      <c r="B14" s="8">
        <v>3</v>
      </c>
    </row>
    <row r="15" spans="1:5" x14ac:dyDescent="0.25">
      <c r="A15" s="8">
        <v>3</v>
      </c>
      <c r="B15" s="8">
        <v>4</v>
      </c>
    </row>
    <row r="16" spans="1:5" x14ac:dyDescent="0.25">
      <c r="A16" s="8">
        <v>2</v>
      </c>
      <c r="B16" s="8">
        <v>3</v>
      </c>
    </row>
    <row r="17" spans="1:5" x14ac:dyDescent="0.25">
      <c r="A17" s="8">
        <v>4</v>
      </c>
      <c r="B17" s="8">
        <v>5</v>
      </c>
      <c r="D17" s="2" t="s">
        <v>6</v>
      </c>
      <c r="E17" s="2"/>
    </row>
    <row r="18" spans="1:5" x14ac:dyDescent="0.25">
      <c r="A18" s="8">
        <v>5</v>
      </c>
      <c r="B18" s="8">
        <v>4</v>
      </c>
    </row>
    <row r="19" spans="1:5" x14ac:dyDescent="0.25">
      <c r="A19" s="8">
        <v>4</v>
      </c>
      <c r="B19" s="8">
        <v>4</v>
      </c>
    </row>
    <row r="20" spans="1:5" x14ac:dyDescent="0.25">
      <c r="A20" s="8">
        <v>3</v>
      </c>
      <c r="B20" s="8">
        <v>3</v>
      </c>
    </row>
    <row r="21" spans="1:5" x14ac:dyDescent="0.25">
      <c r="A21" s="8">
        <v>4</v>
      </c>
      <c r="B21" s="8">
        <v>2</v>
      </c>
    </row>
    <row r="22" spans="1:5" x14ac:dyDescent="0.25">
      <c r="A22" s="8">
        <v>5</v>
      </c>
      <c r="B22" s="8">
        <v>4</v>
      </c>
    </row>
    <row r="23" spans="1:5" x14ac:dyDescent="0.25">
      <c r="A23" s="8">
        <v>4</v>
      </c>
      <c r="B23" s="8">
        <v>3</v>
      </c>
    </row>
    <row r="24" spans="1:5" x14ac:dyDescent="0.25">
      <c r="A24" s="8">
        <v>3</v>
      </c>
      <c r="B24" s="8">
        <v>3</v>
      </c>
    </row>
    <row r="25" spans="1:5" x14ac:dyDescent="0.25">
      <c r="A25" s="8">
        <v>2</v>
      </c>
      <c r="B25" s="8">
        <v>5</v>
      </c>
    </row>
    <row r="26" spans="1:5" x14ac:dyDescent="0.25">
      <c r="A26" s="8">
        <v>1</v>
      </c>
      <c r="B26" s="8">
        <v>3</v>
      </c>
    </row>
    <row r="27" spans="1:5" x14ac:dyDescent="0.25">
      <c r="A27" s="8">
        <v>1</v>
      </c>
      <c r="B27" s="8">
        <v>4</v>
      </c>
    </row>
    <row r="28" spans="1:5" x14ac:dyDescent="0.25">
      <c r="A28" s="8">
        <v>4</v>
      </c>
      <c r="B28" s="8">
        <v>5</v>
      </c>
    </row>
    <row r="29" spans="1:5" x14ac:dyDescent="0.25">
      <c r="A29" s="8">
        <v>3</v>
      </c>
      <c r="B29" s="8">
        <v>1</v>
      </c>
      <c r="D29" t="s">
        <v>11</v>
      </c>
      <c r="E29">
        <f>(E2-E8)/SQRT(((E5^2)/E6)+((E11^2)/E12))</f>
        <v>-0.63576323224993325</v>
      </c>
    </row>
    <row r="30" spans="1:5" x14ac:dyDescent="0.25">
      <c r="A30" s="8">
        <v>1</v>
      </c>
      <c r="B30" s="8">
        <v>1</v>
      </c>
    </row>
    <row r="31" spans="1:5" x14ac:dyDescent="0.25">
      <c r="A31" s="8">
        <v>5</v>
      </c>
      <c r="B31" s="8">
        <v>2</v>
      </c>
      <c r="D31" s="2" t="s">
        <v>7</v>
      </c>
      <c r="E31" s="2"/>
    </row>
    <row r="32" spans="1:5" x14ac:dyDescent="0.25">
      <c r="A32" s="8">
        <v>3</v>
      </c>
      <c r="B32" s="8">
        <v>4</v>
      </c>
    </row>
    <row r="33" spans="1:6" x14ac:dyDescent="0.25">
      <c r="A33" s="8">
        <v>4</v>
      </c>
      <c r="B33" s="8">
        <v>5</v>
      </c>
    </row>
    <row r="34" spans="1:6" x14ac:dyDescent="0.25">
      <c r="A34" s="8">
        <v>3</v>
      </c>
      <c r="B34" s="8">
        <v>2</v>
      </c>
    </row>
    <row r="35" spans="1:6" x14ac:dyDescent="0.25">
      <c r="A35" s="8">
        <v>4</v>
      </c>
      <c r="B35" s="8">
        <v>3</v>
      </c>
    </row>
    <row r="36" spans="1:6" x14ac:dyDescent="0.25">
      <c r="A36" s="8">
        <v>1</v>
      </c>
      <c r="B36" s="8">
        <v>5</v>
      </c>
    </row>
    <row r="37" spans="1:6" x14ac:dyDescent="0.25">
      <c r="A37" s="8">
        <v>1</v>
      </c>
      <c r="B37" s="8">
        <v>3</v>
      </c>
    </row>
    <row r="38" spans="1:6" x14ac:dyDescent="0.25">
      <c r="A38" s="8">
        <v>3</v>
      </c>
      <c r="B38" s="8">
        <v>5</v>
      </c>
    </row>
    <row r="39" spans="1:6" x14ac:dyDescent="0.25">
      <c r="A39" s="8">
        <v>3</v>
      </c>
      <c r="B39" s="8">
        <v>2</v>
      </c>
    </row>
    <row r="40" spans="1:6" x14ac:dyDescent="0.25">
      <c r="A40" s="8">
        <v>2</v>
      </c>
      <c r="B40" s="8">
        <v>4</v>
      </c>
    </row>
    <row r="41" spans="1:6" ht="29.25" customHeight="1" x14ac:dyDescent="0.25">
      <c r="A41" s="8">
        <v>2</v>
      </c>
      <c r="B41" s="8">
        <v>3</v>
      </c>
      <c r="D41" t="s">
        <v>8</v>
      </c>
      <c r="E41">
        <f>(((E5^2)/E6)+((E11^2)/E12))^2</f>
        <v>1.934520402925447E-3</v>
      </c>
    </row>
    <row r="42" spans="1:6" ht="47.25" customHeight="1" x14ac:dyDescent="0.25">
      <c r="A42" s="8">
        <v>4</v>
      </c>
      <c r="B42" s="8">
        <v>4</v>
      </c>
      <c r="D42" t="s">
        <v>9</v>
      </c>
      <c r="E42">
        <f>(((E5^2)/E6)^2)/(E6-1)</f>
        <v>6.7369779129019439E-6</v>
      </c>
    </row>
    <row r="43" spans="1:6" ht="43.5" customHeight="1" x14ac:dyDescent="0.25">
      <c r="A43" s="8">
        <v>2</v>
      </c>
      <c r="B43" s="8">
        <v>3</v>
      </c>
      <c r="D43" t="s">
        <v>10</v>
      </c>
      <c r="E43">
        <f>(((E11^2)/E12)^2)/(E12-1)</f>
        <v>6.3371632455440531E-6</v>
      </c>
    </row>
    <row r="44" spans="1:6" x14ac:dyDescent="0.25">
      <c r="A44" s="8">
        <v>5</v>
      </c>
      <c r="B44" s="8">
        <v>3</v>
      </c>
    </row>
    <row r="45" spans="1:6" x14ac:dyDescent="0.25">
      <c r="A45" s="8">
        <v>3</v>
      </c>
      <c r="B45" s="8">
        <v>4</v>
      </c>
      <c r="D45" t="s">
        <v>7</v>
      </c>
      <c r="E45">
        <f>E41/(E42+E43)</f>
        <v>147.96539057372283</v>
      </c>
      <c r="F45" s="6" t="s">
        <v>12</v>
      </c>
    </row>
    <row r="46" spans="1:6" x14ac:dyDescent="0.25">
      <c r="A46" s="8">
        <v>1</v>
      </c>
      <c r="B46" s="8">
        <v>1</v>
      </c>
    </row>
    <row r="47" spans="1:6" x14ac:dyDescent="0.25">
      <c r="A47" s="8">
        <v>3</v>
      </c>
      <c r="B47" s="8">
        <v>2</v>
      </c>
      <c r="D47" t="s">
        <v>13</v>
      </c>
      <c r="E47">
        <v>0.05</v>
      </c>
      <c r="F47" s="6" t="s">
        <v>12</v>
      </c>
    </row>
    <row r="48" spans="1:6" x14ac:dyDescent="0.25">
      <c r="A48" s="8">
        <v>5</v>
      </c>
      <c r="B48" s="8">
        <v>1</v>
      </c>
    </row>
    <row r="49" spans="1:5" x14ac:dyDescent="0.25">
      <c r="A49" s="8">
        <v>3</v>
      </c>
      <c r="B49" s="8">
        <v>2</v>
      </c>
    </row>
    <row r="50" spans="1:5" x14ac:dyDescent="0.25">
      <c r="A50" s="8">
        <v>5</v>
      </c>
      <c r="B50" s="8">
        <v>3</v>
      </c>
    </row>
    <row r="51" spans="1:5" x14ac:dyDescent="0.25">
      <c r="A51" s="8">
        <v>2</v>
      </c>
      <c r="B51" s="8">
        <v>1</v>
      </c>
      <c r="D51" s="5"/>
      <c r="E51" s="5"/>
    </row>
    <row r="52" spans="1:5" x14ac:dyDescent="0.25">
      <c r="A52" s="8">
        <v>3</v>
      </c>
      <c r="B52" s="8">
        <v>5</v>
      </c>
      <c r="D52" t="s">
        <v>16</v>
      </c>
      <c r="E52">
        <f>_xlfn.T.INV.2T(E47,E45)</f>
        <v>1.9762333088953288</v>
      </c>
    </row>
    <row r="53" spans="1:5" x14ac:dyDescent="0.25">
      <c r="A53" s="8">
        <v>4</v>
      </c>
      <c r="B53" s="8">
        <v>4</v>
      </c>
      <c r="D53" t="s">
        <v>17</v>
      </c>
      <c r="E53">
        <f>_xlfn.T.INV(E47, E45)</f>
        <v>-1.6552854366095326</v>
      </c>
    </row>
    <row r="54" spans="1:5" x14ac:dyDescent="0.25">
      <c r="A54" s="8">
        <v>5</v>
      </c>
      <c r="B54" s="8">
        <v>5</v>
      </c>
    </row>
    <row r="55" spans="1:5" x14ac:dyDescent="0.25">
      <c r="A55" s="8">
        <v>2</v>
      </c>
      <c r="B55" s="8">
        <v>4</v>
      </c>
      <c r="D55" t="s">
        <v>18</v>
      </c>
      <c r="E55">
        <f>TTEST(A:A,B:B,2,2)</f>
        <v>0.52591261505257192</v>
      </c>
    </row>
    <row r="56" spans="1:5" x14ac:dyDescent="0.25">
      <c r="A56" s="8">
        <v>2</v>
      </c>
      <c r="B56" s="8">
        <v>3</v>
      </c>
      <c r="D56" t="s">
        <v>19</v>
      </c>
      <c r="E56">
        <f>TTEST(A:A,B:B,1,2)</f>
        <v>0.26295630752628596</v>
      </c>
    </row>
    <row r="57" spans="1:5" x14ac:dyDescent="0.25">
      <c r="A57" s="8">
        <v>5</v>
      </c>
      <c r="B57" s="8">
        <v>4</v>
      </c>
    </row>
    <row r="58" spans="1:5" x14ac:dyDescent="0.25">
      <c r="A58" s="8">
        <v>3</v>
      </c>
      <c r="B58" s="8">
        <v>2</v>
      </c>
    </row>
    <row r="59" spans="1:5" x14ac:dyDescent="0.25">
      <c r="A59" s="8">
        <v>5</v>
      </c>
      <c r="B59" s="8">
        <v>4</v>
      </c>
      <c r="D59" s="5" t="s">
        <v>20</v>
      </c>
      <c r="E59" s="5"/>
    </row>
    <row r="60" spans="1:5" x14ac:dyDescent="0.25">
      <c r="A60" s="8">
        <v>5</v>
      </c>
      <c r="B60" s="8">
        <v>4</v>
      </c>
    </row>
    <row r="61" spans="1:5" x14ac:dyDescent="0.25">
      <c r="A61" s="8">
        <v>4</v>
      </c>
      <c r="B61" s="8">
        <v>3</v>
      </c>
      <c r="D61" t="s">
        <v>21</v>
      </c>
    </row>
    <row r="62" spans="1:5" x14ac:dyDescent="0.25">
      <c r="A62" s="8">
        <v>1</v>
      </c>
      <c r="B62" s="8">
        <v>5</v>
      </c>
      <c r="D62" t="s">
        <v>22</v>
      </c>
    </row>
    <row r="63" spans="1:5" x14ac:dyDescent="0.25">
      <c r="A63" s="8">
        <v>3</v>
      </c>
      <c r="B63" s="8">
        <v>2</v>
      </c>
    </row>
    <row r="64" spans="1:5" x14ac:dyDescent="0.25">
      <c r="A64" s="8">
        <v>3</v>
      </c>
      <c r="B64" s="8">
        <v>5</v>
      </c>
      <c r="D64" t="s">
        <v>23</v>
      </c>
    </row>
    <row r="65" spans="1:4" x14ac:dyDescent="0.25">
      <c r="A65" s="8">
        <v>5</v>
      </c>
      <c r="B65" s="8">
        <v>1</v>
      </c>
      <c r="D65" t="s">
        <v>24</v>
      </c>
    </row>
    <row r="66" spans="1:4" x14ac:dyDescent="0.25">
      <c r="A66" s="8">
        <v>3</v>
      </c>
      <c r="B66" s="8">
        <v>2</v>
      </c>
    </row>
    <row r="67" spans="1:4" x14ac:dyDescent="0.25">
      <c r="A67" s="8">
        <v>3</v>
      </c>
      <c r="B67" s="8">
        <v>4</v>
      </c>
    </row>
    <row r="68" spans="1:4" x14ac:dyDescent="0.25">
      <c r="A68" s="8">
        <v>2</v>
      </c>
      <c r="B68" s="8">
        <v>5</v>
      </c>
      <c r="D68" s="7" t="s">
        <v>25</v>
      </c>
    </row>
    <row r="69" spans="1:4" x14ac:dyDescent="0.25">
      <c r="A69" s="8">
        <v>2</v>
      </c>
      <c r="B69" s="8">
        <v>2</v>
      </c>
    </row>
    <row r="70" spans="1:4" x14ac:dyDescent="0.25">
      <c r="A70" s="8">
        <v>3</v>
      </c>
      <c r="B70" s="8">
        <v>2</v>
      </c>
      <c r="D70" t="s">
        <v>26</v>
      </c>
    </row>
    <row r="71" spans="1:4" x14ac:dyDescent="0.25">
      <c r="A71" s="8">
        <v>1</v>
      </c>
      <c r="B71" s="8">
        <v>2</v>
      </c>
      <c r="D71" t="s">
        <v>27</v>
      </c>
    </row>
    <row r="72" spans="1:4" x14ac:dyDescent="0.25">
      <c r="A72" s="8">
        <v>5</v>
      </c>
      <c r="B72" s="8">
        <v>2</v>
      </c>
      <c r="D72" t="s">
        <v>28</v>
      </c>
    </row>
    <row r="73" spans="1:4" x14ac:dyDescent="0.25">
      <c r="A73" s="8">
        <v>2</v>
      </c>
      <c r="B73" s="8">
        <v>5</v>
      </c>
    </row>
    <row r="74" spans="1:4" x14ac:dyDescent="0.25">
      <c r="A74" s="8">
        <v>1</v>
      </c>
      <c r="B74" s="8">
        <v>4</v>
      </c>
    </row>
    <row r="75" spans="1:4" x14ac:dyDescent="0.25">
      <c r="A75" s="8">
        <v>3</v>
      </c>
      <c r="B75" s="8">
        <v>5</v>
      </c>
      <c r="D75" s="7" t="s">
        <v>25</v>
      </c>
    </row>
    <row r="76" spans="1:4" x14ac:dyDescent="0.25">
      <c r="A76" s="8">
        <v>4</v>
      </c>
      <c r="B76" s="8">
        <v>2</v>
      </c>
    </row>
    <row r="77" spans="1:4" x14ac:dyDescent="0.25">
      <c r="A77" s="8"/>
      <c r="B77" s="9"/>
    </row>
    <row r="78" spans="1:4" x14ac:dyDescent="0.25">
      <c r="A78" s="8"/>
      <c r="B78" s="9"/>
    </row>
    <row r="79" spans="1:4" x14ac:dyDescent="0.25">
      <c r="A79" s="8"/>
      <c r="B79" s="9"/>
    </row>
    <row r="80" spans="1:4" x14ac:dyDescent="0.25">
      <c r="A80" s="8"/>
      <c r="B80" s="9"/>
    </row>
    <row r="81" spans="1:4" x14ac:dyDescent="0.25">
      <c r="A81" s="8"/>
      <c r="B81" s="9"/>
    </row>
    <row r="82" spans="1:4" x14ac:dyDescent="0.25">
      <c r="A82" s="8"/>
      <c r="B82" s="9"/>
      <c r="D82" t="s">
        <v>29</v>
      </c>
    </row>
    <row r="83" spans="1:4" x14ac:dyDescent="0.25">
      <c r="A83" s="8"/>
      <c r="B83" s="9"/>
      <c r="D83" t="s">
        <v>28</v>
      </c>
    </row>
    <row r="84" spans="1:4" x14ac:dyDescent="0.25">
      <c r="A84" s="8"/>
      <c r="B84" s="9"/>
      <c r="D84" t="s">
        <v>29</v>
      </c>
    </row>
    <row r="85" spans="1:4" x14ac:dyDescent="0.25">
      <c r="A85" s="8"/>
      <c r="B85" s="9"/>
      <c r="D85" t="s">
        <v>28</v>
      </c>
    </row>
    <row r="86" spans="1:4" x14ac:dyDescent="0.25">
      <c r="A86" s="8"/>
      <c r="B86" s="9"/>
    </row>
    <row r="87" spans="1:4" x14ac:dyDescent="0.25">
      <c r="A87" s="8"/>
      <c r="B87" s="9"/>
    </row>
    <row r="88" spans="1:4" x14ac:dyDescent="0.25">
      <c r="A88" s="8"/>
      <c r="B88" s="9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Motivación_asignatura</vt:lpstr>
      <vt:lpstr>Resolución_autónoma</vt:lpstr>
      <vt:lpstr>Desarrollo_habilidades</vt:lpstr>
      <vt:lpstr>Nivel_comprensión_programación</vt:lpstr>
      <vt:lpstr>Calificación_programación</vt:lpstr>
      <vt:lpstr>Esfuerzo_objetivos_comunes</vt:lpstr>
      <vt:lpstr>Cumplimiento_tareas</vt:lpstr>
      <vt:lpstr>Valoró_aportes</vt:lpstr>
      <vt:lpstr>Contribución_equilibrada</vt:lpstr>
      <vt:lpstr>Expresó_ideas_clara</vt:lpstr>
      <vt:lpstr>Participó_activamente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2025-11-13T20:52:37Z</dcterms:modified>
</cp:coreProperties>
</file>
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30D61C7-EC79-47AB-92FD-BA68A83FA5A2}" xr6:coauthVersionLast="47" xr6:coauthVersionMax="47" xr10:uidLastSave="{00000000-0000-0000-0000-000000000000}"/>
  <bookViews>
    <workbookView xWindow="12450" yWindow="0" windowWidth="7950" windowHeight="11070" firstSheet="4" activeTab="4" xr2:uid="{00000000-000D-0000-FFFF-FFFF00000000}"/>
  </bookViews>
  <sheets>
    <sheet name="Motivación_asignatura" sheetId="11" r:id="rId1"/>
    <sheet name="Resolución_autónoma" sheetId="10" r:id="rId2"/>
    <sheet name="Desarrollo_habilidades" sheetId="9" r:id="rId3"/>
    <sheet name="Nivel_comprensión_programación" sheetId="8" r:id="rId4"/>
    <sheet name="Calificación_programación" sheetId="7" r:id="rId5"/>
    <sheet name="Esfuerzo_objetivos_comunes" sheetId="6" r:id="rId6"/>
    <sheet name="Cumplimiento_tareas" sheetId="5" r:id="rId7"/>
    <sheet name="Valoró_aportes" sheetId="4" r:id="rId8"/>
    <sheet name="Contribución_equilibrada" sheetId="3" r:id="rId9"/>
    <sheet name="Expresó_ideas_clara" sheetId="2" r:id="rId10"/>
    <sheet name="Participó_activamente" sheetId="1" r:id="rId11"/>
  </sheets>
  <calcPr calcId="191029"/>
</workbook>
</file>

<file path=xl/calcChain.xml><?xml version="1.0" encoding="utf-8"?>
<calcChain xmlns="http://schemas.openxmlformats.org/spreadsheetml/2006/main">
  <c r="C76" i="11" l="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G42" i="11"/>
  <c r="C42" i="11"/>
  <c r="G41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G4" i="11"/>
  <c r="G18" i="11" s="1"/>
  <c r="C4" i="11"/>
  <c r="C3" i="11"/>
  <c r="C2" i="11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G42" i="10"/>
  <c r="C42" i="10"/>
  <c r="G41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G4" i="10"/>
  <c r="G18" i="10" s="1"/>
  <c r="C4" i="10"/>
  <c r="C3" i="10"/>
  <c r="C2" i="10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G42" i="9"/>
  <c r="C42" i="9"/>
  <c r="G41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G4" i="9"/>
  <c r="G18" i="9" s="1"/>
  <c r="C4" i="9"/>
  <c r="C3" i="9"/>
  <c r="C2" i="9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G42" i="8"/>
  <c r="C42" i="8"/>
  <c r="G41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G4" i="8"/>
  <c r="G18" i="8" s="1"/>
  <c r="C4" i="8"/>
  <c r="C3" i="8"/>
  <c r="C2" i="8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G42" i="7"/>
  <c r="C42" i="7"/>
  <c r="G41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G4" i="7"/>
  <c r="G18" i="7" s="1"/>
  <c r="C4" i="7"/>
  <c r="C3" i="7"/>
  <c r="C2" i="7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G42" i="6"/>
  <c r="C42" i="6"/>
  <c r="G41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G4" i="6"/>
  <c r="G18" i="6" s="1"/>
  <c r="C4" i="6"/>
  <c r="C3" i="6"/>
  <c r="C2" i="6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G42" i="5"/>
  <c r="C42" i="5"/>
  <c r="G41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G4" i="5"/>
  <c r="G18" i="5" s="1"/>
  <c r="C4" i="5"/>
  <c r="C3" i="5"/>
  <c r="C2" i="5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G42" i="4"/>
  <c r="C42" i="4"/>
  <c r="G41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G4" i="4"/>
  <c r="G18" i="4" s="1"/>
  <c r="C4" i="4"/>
  <c r="C3" i="4"/>
  <c r="C2" i="4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G42" i="3"/>
  <c r="C42" i="3"/>
  <c r="G41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G4" i="3"/>
  <c r="G18" i="3" s="1"/>
  <c r="C4" i="3"/>
  <c r="C3" i="3"/>
  <c r="C2" i="3"/>
  <c r="G5" i="11" l="1"/>
  <c r="G6" i="11" s="1"/>
  <c r="D45" i="11" s="1"/>
  <c r="G24" i="11"/>
  <c r="G23" i="11"/>
  <c r="D52" i="11"/>
  <c r="G5" i="10"/>
  <c r="G6" i="10" s="1"/>
  <c r="G24" i="10"/>
  <c r="G23" i="10"/>
  <c r="G5" i="9"/>
  <c r="G6" i="9" s="1"/>
  <c r="D61" i="9" s="1"/>
  <c r="G24" i="9"/>
  <c r="G23" i="9"/>
  <c r="G5" i="8"/>
  <c r="G6" i="8" s="1"/>
  <c r="G24" i="8"/>
  <c r="G23" i="8"/>
  <c r="G5" i="7"/>
  <c r="G6" i="7" s="1"/>
  <c r="G24" i="7"/>
  <c r="G23" i="7"/>
  <c r="G5" i="6"/>
  <c r="G6" i="6" s="1"/>
  <c r="G24" i="6"/>
  <c r="G23" i="6"/>
  <c r="G5" i="5"/>
  <c r="G6" i="5" s="1"/>
  <c r="D61" i="5" s="1"/>
  <c r="G24" i="5"/>
  <c r="G23" i="5"/>
  <c r="G5" i="4"/>
  <c r="G6" i="4" s="1"/>
  <c r="D26" i="4" s="1"/>
  <c r="G24" i="4"/>
  <c r="G23" i="4"/>
  <c r="D33" i="4"/>
  <c r="D67" i="4"/>
  <c r="G23" i="3"/>
  <c r="G24" i="3"/>
  <c r="G5" i="3"/>
  <c r="G6" i="3" s="1"/>
  <c r="D45" i="3" s="1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G42" i="2"/>
  <c r="C42" i="2"/>
  <c r="G41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G4" i="2"/>
  <c r="G18" i="2" s="1"/>
  <c r="C4" i="2"/>
  <c r="C3" i="2"/>
  <c r="C2" i="2"/>
  <c r="G4" i="1"/>
  <c r="D45" i="7" l="1"/>
  <c r="D14" i="7"/>
  <c r="D39" i="7"/>
  <c r="D31" i="7"/>
  <c r="D72" i="7"/>
  <c r="D6" i="7"/>
  <c r="D68" i="7"/>
  <c r="D65" i="7"/>
  <c r="D22" i="7"/>
  <c r="D37" i="7"/>
  <c r="D30" i="7"/>
  <c r="D38" i="11"/>
  <c r="D8" i="11"/>
  <c r="D2" i="11"/>
  <c r="D75" i="11"/>
  <c r="D35" i="11"/>
  <c r="D72" i="11"/>
  <c r="D51" i="11"/>
  <c r="D20" i="11"/>
  <c r="D48" i="11"/>
  <c r="D43" i="11"/>
  <c r="D31" i="11"/>
  <c r="D61" i="11"/>
  <c r="D37" i="11"/>
  <c r="D27" i="11"/>
  <c r="D46" i="11"/>
  <c r="D21" i="11"/>
  <c r="D50" i="11"/>
  <c r="D23" i="11"/>
  <c r="D76" i="11"/>
  <c r="D16" i="11"/>
  <c r="D5" i="11"/>
  <c r="D7" i="11"/>
  <c r="D39" i="9"/>
  <c r="D25" i="7"/>
  <c r="D76" i="7"/>
  <c r="D3" i="7"/>
  <c r="D15" i="7"/>
  <c r="D43" i="7"/>
  <c r="D50" i="7"/>
  <c r="D41" i="7"/>
  <c r="D7" i="7"/>
  <c r="D52" i="7"/>
  <c r="D42" i="7"/>
  <c r="D18" i="7"/>
  <c r="D21" i="7"/>
  <c r="D57" i="7"/>
  <c r="D56" i="7"/>
  <c r="D44" i="7"/>
  <c r="D2" i="7"/>
  <c r="D9" i="7"/>
  <c r="D12" i="7"/>
  <c r="D19" i="7"/>
  <c r="D48" i="7"/>
  <c r="D5" i="7"/>
  <c r="D11" i="7"/>
  <c r="D70" i="7"/>
  <c r="D26" i="7"/>
  <c r="D62" i="7"/>
  <c r="D67" i="7"/>
  <c r="D20" i="7"/>
  <c r="D75" i="7"/>
  <c r="D74" i="7"/>
  <c r="D10" i="7"/>
  <c r="D40" i="7"/>
  <c r="D29" i="7"/>
  <c r="D27" i="7"/>
  <c r="D51" i="7"/>
  <c r="D66" i="7"/>
  <c r="D55" i="7"/>
  <c r="D32" i="7"/>
  <c r="D58" i="4"/>
  <c r="D8" i="4"/>
  <c r="D20" i="4"/>
  <c r="D55" i="4"/>
  <c r="D31" i="4"/>
  <c r="D39" i="4"/>
  <c r="D38" i="4"/>
  <c r="D35" i="4"/>
  <c r="D6" i="4"/>
  <c r="D29" i="4"/>
  <c r="D36" i="11"/>
  <c r="D4" i="11"/>
  <c r="D73" i="11"/>
  <c r="D63" i="11"/>
  <c r="D19" i="11"/>
  <c r="D54" i="11"/>
  <c r="D70" i="11"/>
  <c r="D17" i="11"/>
  <c r="D28" i="11"/>
  <c r="D34" i="11"/>
  <c r="D25" i="11"/>
  <c r="D44" i="11"/>
  <c r="D13" i="11"/>
  <c r="D14" i="11"/>
  <c r="D49" i="11"/>
  <c r="D26" i="11"/>
  <c r="D24" i="11"/>
  <c r="D22" i="11"/>
  <c r="D42" i="11"/>
  <c r="D74" i="11"/>
  <c r="D11" i="11"/>
  <c r="D71" i="11"/>
  <c r="D47" i="11"/>
  <c r="D33" i="11"/>
  <c r="D30" i="9"/>
  <c r="D49" i="9"/>
  <c r="D69" i="7"/>
  <c r="D65" i="4"/>
  <c r="D60" i="4"/>
  <c r="D19" i="4"/>
  <c r="D28" i="4"/>
  <c r="D44" i="4"/>
  <c r="D52" i="4"/>
  <c r="D59" i="4"/>
  <c r="D21" i="4"/>
  <c r="D15" i="4"/>
  <c r="D68" i="4"/>
  <c r="D46" i="4"/>
  <c r="D50" i="4"/>
  <c r="D25" i="4"/>
  <c r="D57" i="4"/>
  <c r="D62" i="4"/>
  <c r="D14" i="4"/>
  <c r="D12" i="4"/>
  <c r="D5" i="4"/>
  <c r="D64" i="4"/>
  <c r="D10" i="4"/>
  <c r="D40" i="4"/>
  <c r="D4" i="4"/>
  <c r="D61" i="4"/>
  <c r="D63" i="4"/>
  <c r="D75" i="4"/>
  <c r="D74" i="4"/>
  <c r="D9" i="4"/>
  <c r="D41" i="4"/>
  <c r="D49" i="4"/>
  <c r="D71" i="4"/>
  <c r="D22" i="4"/>
  <c r="D56" i="4"/>
  <c r="D42" i="4"/>
  <c r="D47" i="4"/>
  <c r="D32" i="4"/>
  <c r="D30" i="4"/>
  <c r="D36" i="4"/>
  <c r="D2" i="4"/>
  <c r="D37" i="4"/>
  <c r="D72" i="4"/>
  <c r="D18" i="4"/>
  <c r="D3" i="4"/>
  <c r="D30" i="11"/>
  <c r="D29" i="11"/>
  <c r="D39" i="11"/>
  <c r="D18" i="11"/>
  <c r="D12" i="11"/>
  <c r="D10" i="11"/>
  <c r="D62" i="11"/>
  <c r="D41" i="11"/>
  <c r="D68" i="11"/>
  <c r="D67" i="11"/>
  <c r="D3" i="11"/>
  <c r="D15" i="11"/>
  <c r="D66" i="11"/>
  <c r="D65" i="11"/>
  <c r="D64" i="11"/>
  <c r="D55" i="11"/>
  <c r="D40" i="11"/>
  <c r="D53" i="11"/>
  <c r="D60" i="11"/>
  <c r="D59" i="11"/>
  <c r="D6" i="11"/>
  <c r="D9" i="11"/>
  <c r="D58" i="11"/>
  <c r="D57" i="11"/>
  <c r="D56" i="11"/>
  <c r="D69" i="11"/>
  <c r="D32" i="11"/>
  <c r="D7" i="10"/>
  <c r="D20" i="10"/>
  <c r="D15" i="10"/>
  <c r="D70" i="10"/>
  <c r="D71" i="10"/>
  <c r="D64" i="10"/>
  <c r="D73" i="10"/>
  <c r="D21" i="10"/>
  <c r="D12" i="10"/>
  <c r="D52" i="10"/>
  <c r="D29" i="10"/>
  <c r="D58" i="10"/>
  <c r="D23" i="10"/>
  <c r="D9" i="10"/>
  <c r="D8" i="10"/>
  <c r="D17" i="10"/>
  <c r="D24" i="10"/>
  <c r="D72" i="10"/>
  <c r="D45" i="10"/>
  <c r="D18" i="10"/>
  <c r="D42" i="10"/>
  <c r="D25" i="10"/>
  <c r="D62" i="10"/>
  <c r="D4" i="10"/>
  <c r="D53" i="10"/>
  <c r="D14" i="10"/>
  <c r="D16" i="10"/>
  <c r="D33" i="10"/>
  <c r="D10" i="10"/>
  <c r="D11" i="10"/>
  <c r="D28" i="10"/>
  <c r="D43" i="10"/>
  <c r="D74" i="10"/>
  <c r="D76" i="10"/>
  <c r="D31" i="10"/>
  <c r="D6" i="10"/>
  <c r="D41" i="10"/>
  <c r="D26" i="10"/>
  <c r="D19" i="10"/>
  <c r="D50" i="10"/>
  <c r="D51" i="10"/>
  <c r="D22" i="10"/>
  <c r="D69" i="10"/>
  <c r="D37" i="10"/>
  <c r="D32" i="10"/>
  <c r="D35" i="10"/>
  <c r="D3" i="10"/>
  <c r="D47" i="10"/>
  <c r="D34" i="10"/>
  <c r="D49" i="10"/>
  <c r="D66" i="10"/>
  <c r="D59" i="10"/>
  <c r="D30" i="10"/>
  <c r="D46" i="10"/>
  <c r="D2" i="10"/>
  <c r="D40" i="10"/>
  <c r="D55" i="10"/>
  <c r="D48" i="10"/>
  <c r="D57" i="10"/>
  <c r="D5" i="10"/>
  <c r="D67" i="10"/>
  <c r="D38" i="10"/>
  <c r="D36" i="10"/>
  <c r="D27" i="10"/>
  <c r="D39" i="10"/>
  <c r="D54" i="10"/>
  <c r="D63" i="10"/>
  <c r="D56" i="10"/>
  <c r="D65" i="10"/>
  <c r="D13" i="10"/>
  <c r="D75" i="10"/>
  <c r="D44" i="10"/>
  <c r="D60" i="10"/>
  <c r="D68" i="10"/>
  <c r="D61" i="10"/>
  <c r="D43" i="9"/>
  <c r="D27" i="9"/>
  <c r="D29" i="9"/>
  <c r="D74" i="9"/>
  <c r="D55" i="9"/>
  <c r="D21" i="9"/>
  <c r="D50" i="9"/>
  <c r="D17" i="9"/>
  <c r="D15" i="9"/>
  <c r="D5" i="9"/>
  <c r="D54" i="9"/>
  <c r="D60" i="9"/>
  <c r="D9" i="9"/>
  <c r="D73" i="9"/>
  <c r="D40" i="9"/>
  <c r="D22" i="9"/>
  <c r="D8" i="9"/>
  <c r="D19" i="9"/>
  <c r="D45" i="9"/>
  <c r="D59" i="9"/>
  <c r="D14" i="9"/>
  <c r="D10" i="9"/>
  <c r="D72" i="9"/>
  <c r="D44" i="9"/>
  <c r="D6" i="9"/>
  <c r="D28" i="9"/>
  <c r="D41" i="9"/>
  <c r="D7" i="9"/>
  <c r="D25" i="9"/>
  <c r="D24" i="9"/>
  <c r="D56" i="9"/>
  <c r="D48" i="9"/>
  <c r="D76" i="9"/>
  <c r="D75" i="9"/>
  <c r="D13" i="9"/>
  <c r="D20" i="9"/>
  <c r="D66" i="9"/>
  <c r="D65" i="9"/>
  <c r="D71" i="9"/>
  <c r="D70" i="9"/>
  <c r="D34" i="9"/>
  <c r="D69" i="9"/>
  <c r="D68" i="9"/>
  <c r="D67" i="9"/>
  <c r="D2" i="9"/>
  <c r="D35" i="9"/>
  <c r="D58" i="9"/>
  <c r="D57" i="9"/>
  <c r="D63" i="9"/>
  <c r="D62" i="9"/>
  <c r="D26" i="9"/>
  <c r="D53" i="9"/>
  <c r="D52" i="9"/>
  <c r="D51" i="9"/>
  <c r="D3" i="9"/>
  <c r="D31" i="9"/>
  <c r="D36" i="9"/>
  <c r="D42" i="9"/>
  <c r="D47" i="9"/>
  <c r="D46" i="9"/>
  <c r="D4" i="9"/>
  <c r="D23" i="9"/>
  <c r="D38" i="9"/>
  <c r="D37" i="9"/>
  <c r="D16" i="9"/>
  <c r="D18" i="9"/>
  <c r="D12" i="9"/>
  <c r="D11" i="9"/>
  <c r="D33" i="9"/>
  <c r="D32" i="9"/>
  <c r="D64" i="9"/>
  <c r="D24" i="8"/>
  <c r="D10" i="8"/>
  <c r="D42" i="8"/>
  <c r="D13" i="8"/>
  <c r="D38" i="8"/>
  <c r="D16" i="8"/>
  <c r="D62" i="8"/>
  <c r="D72" i="8"/>
  <c r="D6" i="8"/>
  <c r="D12" i="8"/>
  <c r="D37" i="8"/>
  <c r="D60" i="8"/>
  <c r="D41" i="8"/>
  <c r="D29" i="8"/>
  <c r="D23" i="8"/>
  <c r="D14" i="8"/>
  <c r="D15" i="8"/>
  <c r="D36" i="8"/>
  <c r="D43" i="8"/>
  <c r="D68" i="8"/>
  <c r="D27" i="8"/>
  <c r="D58" i="8"/>
  <c r="D17" i="8"/>
  <c r="D31" i="8"/>
  <c r="D11" i="8"/>
  <c r="D50" i="8"/>
  <c r="D59" i="8"/>
  <c r="D76" i="8"/>
  <c r="D49" i="8"/>
  <c r="D67" i="8"/>
  <c r="D63" i="8"/>
  <c r="D20" i="8"/>
  <c r="D57" i="8"/>
  <c r="D74" i="8"/>
  <c r="D75" i="8"/>
  <c r="D44" i="8"/>
  <c r="D71" i="8"/>
  <c r="D35" i="8"/>
  <c r="D65" i="8"/>
  <c r="D5" i="8"/>
  <c r="D30" i="8"/>
  <c r="D48" i="8"/>
  <c r="D45" i="8"/>
  <c r="D4" i="8"/>
  <c r="D22" i="8"/>
  <c r="D21" i="8"/>
  <c r="D28" i="8"/>
  <c r="D19" i="8"/>
  <c r="D8" i="8"/>
  <c r="D18" i="8"/>
  <c r="D47" i="8"/>
  <c r="D70" i="8"/>
  <c r="D2" i="8"/>
  <c r="D9" i="8"/>
  <c r="D56" i="8"/>
  <c r="D33" i="8"/>
  <c r="D40" i="8"/>
  <c r="D32" i="8"/>
  <c r="D52" i="8"/>
  <c r="D51" i="8"/>
  <c r="D66" i="8"/>
  <c r="D73" i="8"/>
  <c r="D3" i="8"/>
  <c r="D39" i="8"/>
  <c r="D34" i="8"/>
  <c r="D69" i="8"/>
  <c r="D26" i="8"/>
  <c r="D25" i="8"/>
  <c r="D7" i="8"/>
  <c r="D61" i="8"/>
  <c r="D54" i="8"/>
  <c r="D64" i="8"/>
  <c r="D55" i="8"/>
  <c r="D53" i="8"/>
  <c r="D46" i="8"/>
  <c r="D71" i="7"/>
  <c r="D61" i="7"/>
  <c r="D60" i="7"/>
  <c r="D13" i="7"/>
  <c r="D8" i="7"/>
  <c r="D28" i="7"/>
  <c r="D73" i="7"/>
  <c r="D4" i="7"/>
  <c r="D17" i="7"/>
  <c r="D23" i="7"/>
  <c r="D38" i="7"/>
  <c r="D16" i="7"/>
  <c r="D35" i="7"/>
  <c r="D59" i="7"/>
  <c r="D63" i="7"/>
  <c r="D49" i="7"/>
  <c r="D33" i="7"/>
  <c r="D46" i="7"/>
  <c r="D47" i="7"/>
  <c r="D24" i="7"/>
  <c r="D53" i="7"/>
  <c r="D36" i="7"/>
  <c r="D58" i="7"/>
  <c r="D34" i="7"/>
  <c r="D64" i="7"/>
  <c r="D54" i="7"/>
  <c r="D7" i="6"/>
  <c r="D24" i="6"/>
  <c r="D15" i="6"/>
  <c r="D25" i="6"/>
  <c r="D39" i="6"/>
  <c r="D50" i="6"/>
  <c r="D29" i="6"/>
  <c r="D20" i="6"/>
  <c r="D76" i="6"/>
  <c r="D10" i="6"/>
  <c r="D38" i="6"/>
  <c r="D30" i="6"/>
  <c r="D65" i="6"/>
  <c r="D45" i="6"/>
  <c r="D67" i="6"/>
  <c r="D35" i="6"/>
  <c r="D6" i="6"/>
  <c r="D11" i="6"/>
  <c r="D43" i="6"/>
  <c r="D9" i="6"/>
  <c r="D5" i="6"/>
  <c r="D56" i="6"/>
  <c r="D59" i="6"/>
  <c r="D14" i="6"/>
  <c r="D72" i="6"/>
  <c r="D37" i="6"/>
  <c r="D27" i="6"/>
  <c r="D34" i="6"/>
  <c r="D47" i="6"/>
  <c r="D58" i="6"/>
  <c r="D46" i="6"/>
  <c r="D4" i="6"/>
  <c r="D57" i="6"/>
  <c r="D48" i="6"/>
  <c r="D3" i="6"/>
  <c r="D16" i="6"/>
  <c r="D60" i="6"/>
  <c r="D36" i="6"/>
  <c r="D17" i="6"/>
  <c r="D49" i="6"/>
  <c r="D71" i="6"/>
  <c r="D70" i="6"/>
  <c r="D69" i="6"/>
  <c r="D21" i="6"/>
  <c r="D52" i="6"/>
  <c r="D28" i="6"/>
  <c r="D74" i="6"/>
  <c r="D42" i="6"/>
  <c r="D63" i="6"/>
  <c r="D62" i="6"/>
  <c r="D61" i="6"/>
  <c r="D68" i="6"/>
  <c r="D18" i="6"/>
  <c r="D75" i="6"/>
  <c r="D13" i="6"/>
  <c r="D8" i="6"/>
  <c r="D44" i="6"/>
  <c r="D12" i="6"/>
  <c r="D66" i="6"/>
  <c r="D19" i="6"/>
  <c r="D55" i="6"/>
  <c r="D54" i="6"/>
  <c r="D53" i="6"/>
  <c r="D41" i="6"/>
  <c r="D40" i="6"/>
  <c r="D23" i="6"/>
  <c r="D51" i="6"/>
  <c r="D2" i="6"/>
  <c r="D31" i="6"/>
  <c r="D22" i="6"/>
  <c r="D26" i="6"/>
  <c r="D73" i="6"/>
  <c r="D64" i="6"/>
  <c r="D33" i="6"/>
  <c r="D32" i="6"/>
  <c r="D13" i="4"/>
  <c r="D54" i="4"/>
  <c r="D45" i="4"/>
  <c r="D51" i="4"/>
  <c r="D17" i="4"/>
  <c r="D7" i="4"/>
  <c r="D24" i="4"/>
  <c r="D53" i="4"/>
  <c r="D43" i="4"/>
  <c r="D16" i="4"/>
  <c r="D76" i="4"/>
  <c r="D66" i="4"/>
  <c r="D27" i="4"/>
  <c r="D11" i="4"/>
  <c r="D48" i="4"/>
  <c r="D73" i="4"/>
  <c r="D34" i="4"/>
  <c r="D23" i="4"/>
  <c r="D70" i="4"/>
  <c r="D69" i="4"/>
  <c r="D30" i="5"/>
  <c r="D29" i="5"/>
  <c r="D2" i="5"/>
  <c r="D26" i="5"/>
  <c r="D5" i="5"/>
  <c r="D66" i="5"/>
  <c r="D27" i="5"/>
  <c r="D62" i="5"/>
  <c r="D53" i="5"/>
  <c r="D37" i="5"/>
  <c r="D74" i="5"/>
  <c r="D21" i="5"/>
  <c r="D10" i="5"/>
  <c r="D34" i="5"/>
  <c r="D19" i="5"/>
  <c r="D54" i="5"/>
  <c r="D45" i="5"/>
  <c r="D16" i="5"/>
  <c r="D20" i="5"/>
  <c r="D35" i="5"/>
  <c r="D22" i="5"/>
  <c r="D8" i="5"/>
  <c r="D58" i="5"/>
  <c r="D76" i="5"/>
  <c r="D75" i="5"/>
  <c r="D13" i="5"/>
  <c r="D14" i="5"/>
  <c r="D63" i="5"/>
  <c r="D4" i="5"/>
  <c r="D50" i="5"/>
  <c r="D11" i="5"/>
  <c r="D46" i="5"/>
  <c r="D39" i="5"/>
  <c r="D38" i="5"/>
  <c r="D12" i="5"/>
  <c r="D70" i="5"/>
  <c r="D68" i="5"/>
  <c r="D67" i="5"/>
  <c r="D3" i="5"/>
  <c r="D18" i="5"/>
  <c r="D55" i="5"/>
  <c r="D71" i="5"/>
  <c r="D73" i="5"/>
  <c r="D72" i="5"/>
  <c r="D40" i="5"/>
  <c r="D31" i="5"/>
  <c r="D59" i="5"/>
  <c r="D23" i="5"/>
  <c r="D60" i="5"/>
  <c r="D33" i="5"/>
  <c r="D64" i="5"/>
  <c r="D52" i="5"/>
  <c r="D15" i="5"/>
  <c r="D17" i="5"/>
  <c r="D25" i="5"/>
  <c r="D57" i="5"/>
  <c r="D56" i="5"/>
  <c r="D24" i="5"/>
  <c r="D7" i="5"/>
  <c r="D42" i="5"/>
  <c r="D47" i="5"/>
  <c r="D65" i="5"/>
  <c r="D32" i="5"/>
  <c r="D51" i="5"/>
  <c r="D44" i="5"/>
  <c r="D43" i="5"/>
  <c r="D6" i="5"/>
  <c r="D28" i="5"/>
  <c r="D36" i="5"/>
  <c r="D9" i="5"/>
  <c r="D49" i="5"/>
  <c r="D48" i="5"/>
  <c r="D69" i="5"/>
  <c r="D41" i="5"/>
  <c r="D11" i="3"/>
  <c r="D17" i="3"/>
  <c r="D64" i="3"/>
  <c r="D30" i="3"/>
  <c r="D29" i="3"/>
  <c r="D48" i="3"/>
  <c r="D19" i="3"/>
  <c r="D65" i="3"/>
  <c r="D13" i="3"/>
  <c r="D34" i="3"/>
  <c r="D68" i="3"/>
  <c r="D72" i="3"/>
  <c r="D36" i="3"/>
  <c r="D10" i="3"/>
  <c r="D62" i="3"/>
  <c r="D31" i="3"/>
  <c r="D43" i="3"/>
  <c r="D70" i="3"/>
  <c r="D50" i="3"/>
  <c r="D39" i="3"/>
  <c r="D9" i="3"/>
  <c r="D75" i="3"/>
  <c r="D71" i="3"/>
  <c r="D67" i="3"/>
  <c r="D63" i="3"/>
  <c r="D59" i="3"/>
  <c r="D55" i="3"/>
  <c r="D51" i="3"/>
  <c r="D40" i="3"/>
  <c r="D28" i="3"/>
  <c r="D21" i="3"/>
  <c r="D54" i="3"/>
  <c r="D74" i="3"/>
  <c r="D42" i="3"/>
  <c r="D16" i="3"/>
  <c r="D6" i="3"/>
  <c r="D3" i="3"/>
  <c r="D32" i="3"/>
  <c r="D66" i="3"/>
  <c r="D27" i="3"/>
  <c r="D15" i="3"/>
  <c r="D8" i="3"/>
  <c r="D2" i="3"/>
  <c r="D47" i="3"/>
  <c r="D58" i="3"/>
  <c r="D46" i="3"/>
  <c r="D35" i="3"/>
  <c r="D20" i="3"/>
  <c r="D37" i="3"/>
  <c r="D57" i="3"/>
  <c r="D38" i="3"/>
  <c r="D23" i="3"/>
  <c r="D5" i="3"/>
  <c r="D26" i="3"/>
  <c r="D44" i="3"/>
  <c r="D56" i="3"/>
  <c r="D22" i="3"/>
  <c r="D33" i="3"/>
  <c r="D4" i="3"/>
  <c r="D69" i="3"/>
  <c r="D73" i="3"/>
  <c r="D18" i="3"/>
  <c r="D14" i="3"/>
  <c r="D25" i="3"/>
  <c r="D24" i="3"/>
  <c r="D49" i="3"/>
  <c r="D41" i="3"/>
  <c r="D12" i="3"/>
  <c r="D61" i="3"/>
  <c r="D53" i="3"/>
  <c r="D76" i="3"/>
  <c r="D7" i="3"/>
  <c r="D52" i="3"/>
  <c r="D60" i="3"/>
  <c r="G5" i="2"/>
  <c r="G6" i="2" s="1"/>
  <c r="G24" i="2"/>
  <c r="G23" i="2"/>
  <c r="G18" i="1"/>
  <c r="C2" i="1"/>
  <c r="G7" i="11" l="1"/>
  <c r="G8" i="11" s="1"/>
  <c r="G12" i="11" s="1"/>
  <c r="G7" i="4"/>
  <c r="G8" i="4" s="1"/>
  <c r="G12" i="4" s="1"/>
  <c r="G7" i="10"/>
  <c r="G8" i="10" s="1"/>
  <c r="G12" i="10" s="1"/>
  <c r="G7" i="9"/>
  <c r="G8" i="9" s="1"/>
  <c r="G12" i="9" s="1"/>
  <c r="G7" i="8"/>
  <c r="G8" i="8" s="1"/>
  <c r="G12" i="8" s="1"/>
  <c r="G7" i="7"/>
  <c r="G8" i="7" s="1"/>
  <c r="G12" i="7" s="1"/>
  <c r="G7" i="6"/>
  <c r="G8" i="6" s="1"/>
  <c r="G12" i="6" s="1"/>
  <c r="G7" i="5"/>
  <c r="G8" i="5" s="1"/>
  <c r="G12" i="5" s="1"/>
  <c r="G7" i="3"/>
  <c r="G8" i="3" s="1"/>
  <c r="G12" i="3" s="1"/>
  <c r="D53" i="2"/>
  <c r="D26" i="2"/>
  <c r="D37" i="2"/>
  <c r="D43" i="2"/>
  <c r="D27" i="2"/>
  <c r="D22" i="2"/>
  <c r="D7" i="2"/>
  <c r="D62" i="2"/>
  <c r="D46" i="2"/>
  <c r="D72" i="2"/>
  <c r="D76" i="2"/>
  <c r="D68" i="2"/>
  <c r="D51" i="2"/>
  <c r="D4" i="2"/>
  <c r="D35" i="2"/>
  <c r="D65" i="2"/>
  <c r="D33" i="2"/>
  <c r="D32" i="2"/>
  <c r="D2" i="2"/>
  <c r="D13" i="2"/>
  <c r="D11" i="2"/>
  <c r="D12" i="2"/>
  <c r="D14" i="2"/>
  <c r="D59" i="2"/>
  <c r="D70" i="2"/>
  <c r="D45" i="2"/>
  <c r="D50" i="2"/>
  <c r="D52" i="2"/>
  <c r="D47" i="2"/>
  <c r="D15" i="2"/>
  <c r="D10" i="2"/>
  <c r="D63" i="2"/>
  <c r="D41" i="2"/>
  <c r="D34" i="2"/>
  <c r="D23" i="2"/>
  <c r="D38" i="2"/>
  <c r="D39" i="2"/>
  <c r="D28" i="2"/>
  <c r="D8" i="2"/>
  <c r="D48" i="2"/>
  <c r="D18" i="2"/>
  <c r="D6" i="2"/>
  <c r="D66" i="2"/>
  <c r="D36" i="2"/>
  <c r="D9" i="2"/>
  <c r="D64" i="2"/>
  <c r="D73" i="2"/>
  <c r="D67" i="2"/>
  <c r="D25" i="2"/>
  <c r="D56" i="2"/>
  <c r="D5" i="2"/>
  <c r="D42" i="2"/>
  <c r="D24" i="2"/>
  <c r="D30" i="2"/>
  <c r="D31" i="2"/>
  <c r="D54" i="2"/>
  <c r="D40" i="2"/>
  <c r="D71" i="2"/>
  <c r="D29" i="2"/>
  <c r="D60" i="2"/>
  <c r="D57" i="2"/>
  <c r="D19" i="2"/>
  <c r="D3" i="2"/>
  <c r="D75" i="2"/>
  <c r="D58" i="2"/>
  <c r="D21" i="2"/>
  <c r="D55" i="2"/>
  <c r="D20" i="2"/>
  <c r="D44" i="2"/>
  <c r="D74" i="2"/>
  <c r="D49" i="2"/>
  <c r="D69" i="2"/>
  <c r="D16" i="2"/>
  <c r="D61" i="2"/>
  <c r="D17" i="2"/>
  <c r="G42" i="1"/>
  <c r="G7" i="2" l="1"/>
  <c r="G8" i="2" s="1"/>
  <c r="G12" i="2" s="1"/>
  <c r="G41" i="1"/>
  <c r="G23" i="1" l="1"/>
  <c r="G2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G5" i="1" l="1"/>
  <c r="G6" i="1" s="1"/>
  <c r="D71" i="1" s="1"/>
  <c r="D8" i="1" l="1"/>
  <c r="D24" i="1"/>
  <c r="D40" i="1"/>
  <c r="D56" i="1"/>
  <c r="D72" i="1"/>
  <c r="D13" i="1"/>
  <c r="D29" i="1"/>
  <c r="D45" i="1"/>
  <c r="D61" i="1"/>
  <c r="D18" i="1"/>
  <c r="D50" i="1"/>
  <c r="D16" i="1"/>
  <c r="D32" i="1"/>
  <c r="D48" i="1"/>
  <c r="D64" i="1"/>
  <c r="D5" i="1"/>
  <c r="D21" i="1"/>
  <c r="D37" i="1"/>
  <c r="D53" i="1"/>
  <c r="D69" i="1"/>
  <c r="D10" i="1"/>
  <c r="D26" i="1"/>
  <c r="D42" i="1"/>
  <c r="D58" i="1"/>
  <c r="D74" i="1"/>
  <c r="D3" i="1"/>
  <c r="D19" i="1"/>
  <c r="D35" i="1"/>
  <c r="D51" i="1"/>
  <c r="D67" i="1"/>
  <c r="D4" i="1"/>
  <c r="D20" i="1"/>
  <c r="D36" i="1"/>
  <c r="D52" i="1"/>
  <c r="D68" i="1"/>
  <c r="D9" i="1"/>
  <c r="D25" i="1"/>
  <c r="D41" i="1"/>
  <c r="D57" i="1"/>
  <c r="D73" i="1"/>
  <c r="D2" i="1"/>
  <c r="D14" i="1"/>
  <c r="D30" i="1"/>
  <c r="D46" i="1"/>
  <c r="D62" i="1"/>
  <c r="D7" i="1"/>
  <c r="D23" i="1"/>
  <c r="D39" i="1"/>
  <c r="D55" i="1"/>
  <c r="D34" i="1"/>
  <c r="D66" i="1"/>
  <c r="D11" i="1"/>
  <c r="D27" i="1"/>
  <c r="D43" i="1"/>
  <c r="D59" i="1"/>
  <c r="D75" i="1"/>
  <c r="D12" i="1"/>
  <c r="D28" i="1"/>
  <c r="D44" i="1"/>
  <c r="D60" i="1"/>
  <c r="D76" i="1"/>
  <c r="D17" i="1"/>
  <c r="D33" i="1"/>
  <c r="D49" i="1"/>
  <c r="D65" i="1"/>
  <c r="D6" i="1"/>
  <c r="D22" i="1"/>
  <c r="D38" i="1"/>
  <c r="D54" i="1"/>
  <c r="D70" i="1"/>
  <c r="D15" i="1"/>
  <c r="D31" i="1"/>
  <c r="D47" i="1"/>
  <c r="D63" i="1"/>
  <c r="G7" i="1" l="1"/>
  <c r="G8" i="1" s="1"/>
  <c r="G12" i="1" s="1"/>
</calcChain>
</file>

<file path=xl/sharedStrings.xml><?xml version="1.0" encoding="utf-8"?>
<sst xmlns="http://schemas.openxmlformats.org/spreadsheetml/2006/main" count="385" uniqueCount="50">
  <si>
    <t>Diferencia</t>
  </si>
  <si>
    <t>Media de las diferencias</t>
  </si>
  <si>
    <t>Sumatoria Diferencias</t>
  </si>
  <si>
    <t>numero de datos</t>
  </si>
  <si>
    <t>desviación estándar de las diferencias</t>
  </si>
  <si>
    <t>nivel de significancia (α)</t>
  </si>
  <si>
    <t>grados de libertad   (DF)</t>
  </si>
  <si>
    <t>Valor critico t</t>
  </si>
  <si>
    <t>t crítico: te dice si tu t calculado cae en la zona de rechazo.</t>
  </si>
  <si>
    <t>Si t calculado &gt; valor critico el aumento de calificaciones es estadísticamente significativo.</t>
  </si>
  <si>
    <t>t calculado (estadistico t):</t>
  </si>
  <si>
    <t>p valor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</si>
  <si>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</si>
  <si>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</si>
  <si>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>Hipotesis</t>
  </si>
  <si>
    <t>Datos</t>
  </si>
  <si>
    <t>si te calculado &gt; a t critico (de tabla) ---&gt; se rechaza la hipotesis nula y se acepta la hipotesis alternativa ?</t>
  </si>
  <si>
    <t>y si p valor &lt; 0.05 ---&gt; se rechaza la hipotesis nula y se acepta la hipotesis alternativa ?</t>
  </si>
  <si>
    <t>La diferencia observada es lo suficientemente grande como para que no sea atribuible al azar.</t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</si>
  <si>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</si>
  <si>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r>
      <t xml:space="preserve">Se </t>
    </r>
    <r>
      <rPr>
        <sz val="11"/>
        <color rgb="FFC00000"/>
        <rFont val="Calibri"/>
        <family val="2"/>
        <scheme val="minor"/>
      </rPr>
      <t>rechaza</t>
    </r>
    <r>
      <rPr>
        <sz val="11"/>
        <color theme="1"/>
        <rFont val="Calibri"/>
        <family val="2"/>
        <scheme val="minor"/>
      </rPr>
      <t xml:space="preserve"> la hipotesis nula </t>
    </r>
    <r>
      <rPr>
        <sz val="11"/>
        <color rgb="FFC00000"/>
        <rFont val="Calibri"/>
        <family val="2"/>
        <scheme val="minor"/>
      </rPr>
      <t>Ho</t>
    </r>
    <r>
      <rPr>
        <sz val="11"/>
        <color theme="1"/>
        <rFont val="Calibri"/>
        <family val="2"/>
        <scheme val="minor"/>
      </rPr>
      <t xml:space="preserve"> y se </t>
    </r>
    <r>
      <rPr>
        <sz val="11"/>
        <color rgb="FF00B050"/>
        <rFont val="Calibri"/>
        <family val="2"/>
        <scheme val="minor"/>
      </rPr>
      <t>acepta</t>
    </r>
    <r>
      <rPr>
        <sz val="11"/>
        <color theme="1"/>
        <rFont val="Calibri"/>
        <family val="2"/>
        <scheme val="minor"/>
      </rPr>
      <t xml:space="preserve"> la hipotesis alternativa </t>
    </r>
    <r>
      <rPr>
        <sz val="11"/>
        <color rgb="FF00B050"/>
        <rFont val="Calibri"/>
        <family val="2"/>
        <scheme val="minor"/>
      </rPr>
      <t>H1</t>
    </r>
  </si>
  <si>
    <t>Concluciones</t>
  </si>
  <si>
    <t xml:space="preserve">Como p valor es menor que  el nivel de significancia  </t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</si>
  <si>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dos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</si>
  <si>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</si>
  <si>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- 1 colas</t>
    </r>
  </si>
  <si>
    <t>Sumatoria de diferencias</t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</si>
  <si>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una colas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</si>
  <si>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Expresó_ideas_clara                              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</si>
  <si>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Expresó_ideas_clara                              a) Siempre = 5
b) Frecuente = 4
c) A veces = 3
d) Raro = 2
e) Nunca = 1
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</si>
  <si>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Contribución_equilibrada                    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</si>
  <si>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Contribución_equilibrada                    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</si>
  <si>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Valoró_aportes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</si>
  <si>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Valoró_aportes
a) Siempre = 5
b) Frecuente = 4
c) A veces = 3
d) Raro = 2
e) Nunca = 1
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</si>
  <si>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Cumplimiento_tareas
a) Siempre = 5
b) Muchas veces = 4
c) A veces = 3
d) Pocas veces = 2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</si>
  <si>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Cumplimiento_tareas
a) Siempre = 5
b) Muchas veces = 4
c) A veces = 3
d) Pocas veces = 2
e) Nunca = 1
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</si>
  <si>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Esfuerzo_objetivos_comunes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</si>
  <si>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Esfuerzo_objetivos_comunes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</si>
  <si>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Calificación_programación
a) 81 - 100 = 5
b) 61 - 80 = 4
c) 41 - 60 = 3
d) 21 - 40 = 2
e) 0 - 20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</si>
  <si>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Calificación_programación
a) 81 - 100 = 5
b) 61 - 80 = 4
c) 41 - 60 = 3
d) 21 - 40 = 2
e) 0 - 20 = 1
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</si>
  <si>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Nivel_comprensión_programación
a) Muy Bueno = 5
b) bueno = 4
c) Regular = 3
d) Malo = 2
e) Muy malo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</si>
  <si>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Nivel_comprensión_programación
a) Muy Bueno = 5
b) bueno = 4
c) Regular = 3
d) Malo = 2
e) Muy malo = 1
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</si>
  <si>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Desarrollo_habilidades
a) Siempre = 5
b) Muchas veces = 4
c) A veces = 3
d) Pocas veces = 2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</si>
  <si>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Desarrollo_habilidades
a) Siempre = 5
b) Muchas veces = 4
c) A veces = 3
d) Pocas veces = 2
e) Nunca = 1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</si>
  <si>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Resolución_autónoma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</si>
  <si>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Resolución_autónoma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</si>
  <si>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Motivación_asignatura
a) Muy Alta = 5
b) Alta = 4
c) Regular = 3
d) Baja = 2
e) Muy Baja = 1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</si>
  <si>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Motivación_asignatura
a) Muy Alta = 5
b) Alta = 4
c) Regular = 3
d) Baja = 2
e) Muy Baja = 1
</t>
    </r>
  </si>
  <si>
    <r>
      <rPr>
        <sz val="11"/>
        <color rgb="FFC00000"/>
        <rFont val="Calibri"/>
        <family val="2"/>
        <scheme val="minor"/>
      </rPr>
      <t>(Sin Aprendizaje colaborativo) Pre-test</t>
    </r>
    <r>
      <rPr>
        <sz val="11"/>
        <color theme="1"/>
        <rFont val="Calibri"/>
        <family val="2"/>
        <scheme val="minor"/>
      </rPr>
      <t xml:space="preserve">
Participó_activamente
a) Siempre = 5
b) Muchas veces = 4
c) A veces = 3
d) Pocas veces = 2 
e) Nunca = 1
</t>
    </r>
  </si>
  <si>
    <r>
      <rPr>
        <sz val="11"/>
        <color rgb="FFC00000"/>
        <rFont val="Calibri"/>
        <family val="2"/>
        <scheme val="minor"/>
      </rPr>
      <t>(Con Aprendizaje colaborativo) Post-test</t>
    </r>
    <r>
      <rPr>
        <sz val="11"/>
        <color theme="1"/>
        <rFont val="Calibri"/>
        <family val="2"/>
        <scheme val="minor"/>
      </rPr>
      <t xml:space="preserve">
Participó_activamente
a) Siempre = 5
b) Muchas veces = 4
c) A veces = 3
d) Pocas veces = 2 
e) Nunca =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</si>
</sst>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6" fillId="4" borderId="0" applyNumberFormat="0" applyBorder="0" applyAlignment="0" applyProtection="0"/>
    <xf numFmtId="0" fontId="9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2" applyAlignment="1">
      <alignment horizontal="center"/>
    </xf>
    <xf numFmtId="0" fontId="0" fillId="0" borderId="1" xfId="0" applyBorder="1" applyAlignment="1">
      <alignment horizontal="center" vertical="top" wrapText="1"/>
    </xf>
    <xf numFmtId="0" fontId="1" fillId="3" borderId="1" xfId="1" applyFill="1" applyBorder="1" applyAlignment="1">
      <alignment horizontal="center" vertical="center" wrapText="1"/>
    </xf>
    <xf numFmtId="0" fontId="0" fillId="3" borderId="1" xfId="1" applyFont="1" applyFill="1" applyBorder="1" applyAlignment="1">
      <alignment horizontal="center" vertical="center" wrapText="1"/>
    </xf>
    <xf numFmtId="0" fontId="6" fillId="4" borderId="0" xfId="6"/>
    <xf numFmtId="0" fontId="0" fillId="0" borderId="0" xfId="0" applyAlignment="1">
      <alignment wrapText="1"/>
    </xf>
    <xf numFmtId="0" fontId="9" fillId="0" borderId="0" xfId="7" applyAlignment="1">
      <alignment horizontal="center"/>
    </xf>
  </cellXfs>
  <cellStyles count="8">
    <cellStyle name="Bueno" xfId="1" builtinId="26"/>
    <cellStyle name="Neutral" xfId="6" builtinId="28"/>
    <cellStyle name="Normal" xfId="0" builtinId="0"/>
    <cellStyle name="Normal 2" xfId="3" xr:uid="{00000000-0005-0000-0000-000003000000}"/>
    <cellStyle name="Normal 2 2" xfId="5" xr:uid="{00000000-0005-0000-0000-000004000000}"/>
    <cellStyle name="Normal 3" xfId="2" xr:uid="{00000000-0005-0000-0000-000005000000}"/>
    <cellStyle name="Normal 3 2" xfId="4" xr:uid="{00000000-0005-0000-0000-000006000000}"/>
    <cellStyle name="Normal 4" xfId="7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5972" y="5867294"/>
          <a:ext cx="4593436" cy="137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41229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36022" y="11687168"/>
          <a:ext cx="1301894" cy="31746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43400" y="13365187"/>
          <a:ext cx="2942785" cy="7787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5972" y="5867294"/>
          <a:ext cx="4593436" cy="137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604157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36022" y="11687168"/>
          <a:ext cx="1301894" cy="31746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352426</xdr:colOff>
      <xdr:row>69</xdr:row>
      <xdr:rowOff>168847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43400" y="13365187"/>
          <a:ext cx="2942785" cy="7787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5972" y="5867294"/>
          <a:ext cx="4593436" cy="137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36022" y="11687168"/>
          <a:ext cx="1301894" cy="31746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43400" y="13365187"/>
          <a:ext cx="2942785" cy="7787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5972" y="5867294"/>
          <a:ext cx="4593436" cy="137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36022" y="11687168"/>
          <a:ext cx="1301894" cy="31746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43400" y="13365187"/>
          <a:ext cx="2942785" cy="7787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5972" y="5867294"/>
          <a:ext cx="4593436" cy="137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36022" y="11687168"/>
          <a:ext cx="1301894" cy="31746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43400" y="13365187"/>
          <a:ext cx="2942785" cy="7787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5972" y="5867294"/>
          <a:ext cx="4593436" cy="137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604157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36022" y="11687168"/>
          <a:ext cx="1301894" cy="31746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352426</xdr:colOff>
      <xdr:row>69</xdr:row>
      <xdr:rowOff>168847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43400" y="13365187"/>
          <a:ext cx="2942785" cy="7787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5972" y="5867294"/>
          <a:ext cx="4593436" cy="137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604157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36022" y="11687168"/>
          <a:ext cx="1301894" cy="31746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352426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43400" y="13365187"/>
          <a:ext cx="2942785" cy="7787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5972" y="5867294"/>
          <a:ext cx="4593436" cy="137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36022" y="11687168"/>
          <a:ext cx="1301894" cy="31746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43400" y="13365187"/>
          <a:ext cx="2942785" cy="7787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5972" y="5867294"/>
          <a:ext cx="4593436" cy="137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36022" y="11687168"/>
          <a:ext cx="1301894" cy="31746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43400" y="13365187"/>
          <a:ext cx="2942785" cy="7787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32979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062948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24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52642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215616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96939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71111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90161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64356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59606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6046364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604156</xdr:colOff>
      <xdr:row>58</xdr:row>
      <xdr:rowOff>41230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707" y="121100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352425</xdr:colOff>
      <xdr:row>69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3856677"/>
          <a:ext cx="2868490" cy="8092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2072309" y="1884623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064309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0683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1623579" y="2081255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1920914" y="1710999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2059837" y="1524229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26567" y="2265948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76447" y="2456449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71698" y="3198396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45566" y="4722394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4</xdr:col>
      <xdr:colOff>709792</xdr:colOff>
      <xdr:row>24</xdr:row>
      <xdr:rowOff>121814</xdr:rowOff>
    </xdr:from>
    <xdr:to>
      <xdr:col>7</xdr:col>
      <xdr:colOff>502628</xdr:colOff>
      <xdr:row>32</xdr:row>
      <xdr:rowOff>30182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517" y="5598689"/>
          <a:ext cx="4460086" cy="143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1976882</xdr:colOff>
      <xdr:row>56</xdr:row>
      <xdr:rowOff>89528</xdr:rowOff>
    </xdr:from>
    <xdr:to>
      <xdr:col>6</xdr:col>
      <xdr:colOff>604157</xdr:colOff>
      <xdr:row>58</xdr:row>
      <xdr:rowOff>41230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654282" y="13756542"/>
          <a:ext cx="1228960" cy="332702"/>
        </a:xfrm>
        <a:prstGeom prst="rect">
          <a:avLst/>
        </a:prstGeom>
      </xdr:spPr>
    </xdr:pic>
    <xdr:clientData/>
  </xdr:twoCellAnchor>
  <xdr:twoCellAnchor editAs="oneCell">
    <xdr:from>
      <xdr:col>5</xdr:col>
      <xdr:colOff>84260</xdr:colOff>
      <xdr:row>65</xdr:row>
      <xdr:rowOff>121627</xdr:rowOff>
    </xdr:from>
    <xdr:to>
      <xdr:col>6</xdr:col>
      <xdr:colOff>352426</xdr:colOff>
      <xdr:row>69</xdr:row>
      <xdr:rowOff>168847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9085" y="15504502"/>
          <a:ext cx="2868490" cy="809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zoomScale="70" zoomScaleNormal="70" workbookViewId="0">
      <selection activeCell="B1" sqref="B1"/>
    </sheetView>
  </sheetViews>
  <sheetFormatPr baseColWidth="10" defaultColWidth="9.140625" defaultRowHeight="15" x14ac:dyDescent="0.25"/>
  <cols>
    <col min="1" max="1" width="29.140625" style="1" customWidth="1"/>
    <col min="2" max="2" width="30.5703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5.9" customHeight="1" x14ac:dyDescent="0.25">
      <c r="A1" s="3" t="s">
        <v>47</v>
      </c>
      <c r="B1" s="4" t="s">
        <v>46</v>
      </c>
      <c r="C1" s="5" t="s">
        <v>0</v>
      </c>
      <c r="D1" s="5"/>
    </row>
    <row r="2" spans="1:7" x14ac:dyDescent="0.25">
      <c r="A2" s="1">
        <v>2</v>
      </c>
      <c r="B2" s="1">
        <v>3</v>
      </c>
      <c r="C2" s="2">
        <f>B2-A2</f>
        <v>1</v>
      </c>
      <c r="D2" s="1">
        <f>(C2-$G$6)^2</f>
        <v>0.29884444444444441</v>
      </c>
    </row>
    <row r="3" spans="1:7" x14ac:dyDescent="0.25">
      <c r="A3" s="1">
        <v>5</v>
      </c>
      <c r="B3" s="1">
        <v>5</v>
      </c>
      <c r="C3" s="2">
        <f t="shared" ref="C3:C66" si="0">B3-A3</f>
        <v>0</v>
      </c>
      <c r="D3" s="1">
        <f>(C3-$G$6)^2</f>
        <v>0.20551111111111109</v>
      </c>
      <c r="F3" s="6" t="s">
        <v>15</v>
      </c>
      <c r="G3" s="6"/>
    </row>
    <row r="4" spans="1:7" x14ac:dyDescent="0.25">
      <c r="A4" s="1">
        <v>4</v>
      </c>
      <c r="B4" s="1">
        <v>5</v>
      </c>
      <c r="C4" s="2">
        <f t="shared" si="0"/>
        <v>1</v>
      </c>
      <c r="D4" s="1">
        <f>(C4-$G$6)^2</f>
        <v>0.29884444444444441</v>
      </c>
      <c r="F4" t="s">
        <v>3</v>
      </c>
      <c r="G4">
        <f>COUNT(A:A)</f>
        <v>75</v>
      </c>
    </row>
    <row r="5" spans="1:7" x14ac:dyDescent="0.25">
      <c r="A5" s="1">
        <v>4</v>
      </c>
      <c r="B5" s="1">
        <v>4</v>
      </c>
      <c r="C5" s="2">
        <f t="shared" si="0"/>
        <v>0</v>
      </c>
      <c r="D5" s="1">
        <f t="shared" ref="D5:D68" si="1">(C5-$G$6)^2</f>
        <v>0.20551111111111109</v>
      </c>
      <c r="F5" t="s">
        <v>2</v>
      </c>
      <c r="G5">
        <f>SUM(C:C)</f>
        <v>34</v>
      </c>
    </row>
    <row r="6" spans="1:7" x14ac:dyDescent="0.25">
      <c r="A6" s="1">
        <v>3</v>
      </c>
      <c r="B6" s="1">
        <v>3</v>
      </c>
      <c r="C6" s="2">
        <f t="shared" si="0"/>
        <v>0</v>
      </c>
      <c r="D6" s="1">
        <f t="shared" si="1"/>
        <v>0.20551111111111109</v>
      </c>
      <c r="F6" t="s">
        <v>1</v>
      </c>
      <c r="G6">
        <f>G5/G4</f>
        <v>0.45333333333333331</v>
      </c>
    </row>
    <row r="7" spans="1:7" x14ac:dyDescent="0.25">
      <c r="A7" s="1">
        <v>1</v>
      </c>
      <c r="B7" s="1">
        <v>2</v>
      </c>
      <c r="C7" s="2">
        <f t="shared" si="0"/>
        <v>1</v>
      </c>
      <c r="D7" s="1">
        <f t="shared" si="1"/>
        <v>0.29884444444444441</v>
      </c>
      <c r="F7" t="s">
        <v>26</v>
      </c>
      <c r="G7">
        <f>SUM(D:D)</f>
        <v>20.586666666666666</v>
      </c>
    </row>
    <row r="8" spans="1:7" x14ac:dyDescent="0.25">
      <c r="A8" s="1">
        <v>4</v>
      </c>
      <c r="B8" s="1">
        <v>4</v>
      </c>
      <c r="C8" s="2">
        <f t="shared" si="0"/>
        <v>0</v>
      </c>
      <c r="D8" s="1">
        <f t="shared" si="1"/>
        <v>0.20551111111111109</v>
      </c>
      <c r="F8" t="s">
        <v>4</v>
      </c>
      <c r="G8">
        <f>SQRT(G7/(G4-1))</f>
        <v>0.52744497172520111</v>
      </c>
    </row>
    <row r="9" spans="1:7" x14ac:dyDescent="0.25">
      <c r="A9" s="1">
        <v>4</v>
      </c>
      <c r="B9" s="1">
        <v>4</v>
      </c>
      <c r="C9" s="2">
        <f t="shared" si="0"/>
        <v>0</v>
      </c>
      <c r="D9" s="1">
        <f t="shared" si="1"/>
        <v>0.20551111111111109</v>
      </c>
    </row>
    <row r="10" spans="1:7" x14ac:dyDescent="0.25">
      <c r="A10" s="1">
        <v>2</v>
      </c>
      <c r="B10" s="1">
        <v>3</v>
      </c>
      <c r="C10" s="2">
        <f t="shared" si="0"/>
        <v>1</v>
      </c>
      <c r="D10" s="1">
        <f t="shared" si="1"/>
        <v>0.29884444444444441</v>
      </c>
    </row>
    <row r="11" spans="1:7" x14ac:dyDescent="0.25">
      <c r="A11" s="1">
        <v>3</v>
      </c>
      <c r="B11" s="1">
        <v>4</v>
      </c>
      <c r="C11" s="2">
        <f t="shared" si="0"/>
        <v>1</v>
      </c>
      <c r="D11" s="1">
        <f t="shared" si="1"/>
        <v>0.29884444444444441</v>
      </c>
    </row>
    <row r="12" spans="1:7" x14ac:dyDescent="0.25">
      <c r="A12" s="1">
        <v>4</v>
      </c>
      <c r="B12" s="1">
        <v>5</v>
      </c>
      <c r="C12" s="2">
        <f t="shared" si="0"/>
        <v>1</v>
      </c>
      <c r="D12" s="1">
        <f t="shared" si="1"/>
        <v>0.29884444444444441</v>
      </c>
      <c r="F12" t="s">
        <v>10</v>
      </c>
      <c r="G12">
        <f>G6/(G8/SQRT(G4))</f>
        <v>7.443396071533491</v>
      </c>
    </row>
    <row r="13" spans="1:7" x14ac:dyDescent="0.25">
      <c r="A13" s="1">
        <v>3</v>
      </c>
      <c r="B13" s="1">
        <v>3</v>
      </c>
      <c r="C13" s="2">
        <f t="shared" si="0"/>
        <v>0</v>
      </c>
      <c r="D13" s="1">
        <f t="shared" si="1"/>
        <v>0.20551111111111109</v>
      </c>
    </row>
    <row r="14" spans="1:7" x14ac:dyDescent="0.25">
      <c r="A14" s="1">
        <v>5</v>
      </c>
      <c r="B14" s="1">
        <v>5</v>
      </c>
      <c r="C14" s="2">
        <f t="shared" si="0"/>
        <v>0</v>
      </c>
      <c r="D14" s="1">
        <f t="shared" si="1"/>
        <v>0.20551111111111109</v>
      </c>
    </row>
    <row r="15" spans="1:7" x14ac:dyDescent="0.25">
      <c r="A15" s="1">
        <v>4</v>
      </c>
      <c r="B15" s="1">
        <v>4</v>
      </c>
      <c r="C15" s="2">
        <f t="shared" si="0"/>
        <v>0</v>
      </c>
      <c r="D15" s="1">
        <f t="shared" si="1"/>
        <v>0.20551111111111109</v>
      </c>
    </row>
    <row r="16" spans="1:7" x14ac:dyDescent="0.25">
      <c r="A16" s="1">
        <v>3</v>
      </c>
      <c r="B16" s="1">
        <v>4</v>
      </c>
      <c r="C16" s="2">
        <f t="shared" si="0"/>
        <v>1</v>
      </c>
      <c r="D16" s="1">
        <f t="shared" si="1"/>
        <v>0.29884444444444441</v>
      </c>
    </row>
    <row r="17" spans="1:7" x14ac:dyDescent="0.25">
      <c r="A17" s="1">
        <v>4</v>
      </c>
      <c r="B17" s="1">
        <v>5</v>
      </c>
      <c r="C17" s="2">
        <f t="shared" si="0"/>
        <v>1</v>
      </c>
      <c r="D17" s="1">
        <f t="shared" si="1"/>
        <v>0.29884444444444441</v>
      </c>
      <c r="F17" t="s">
        <v>5</v>
      </c>
      <c r="G17">
        <v>0.05</v>
      </c>
    </row>
    <row r="18" spans="1:7" x14ac:dyDescent="0.25">
      <c r="A18" s="1">
        <v>1</v>
      </c>
      <c r="B18" s="1">
        <v>2</v>
      </c>
      <c r="C18" s="2">
        <f t="shared" si="0"/>
        <v>1</v>
      </c>
      <c r="D18" s="1">
        <f t="shared" si="1"/>
        <v>0.29884444444444441</v>
      </c>
      <c r="F18" t="s">
        <v>6</v>
      </c>
      <c r="G18">
        <f>G4-1</f>
        <v>74</v>
      </c>
    </row>
    <row r="19" spans="1:7" x14ac:dyDescent="0.25">
      <c r="A19" s="1">
        <v>4</v>
      </c>
      <c r="B19" s="1">
        <v>5</v>
      </c>
      <c r="C19" s="2">
        <f t="shared" si="0"/>
        <v>1</v>
      </c>
      <c r="D19" s="1">
        <f t="shared" si="1"/>
        <v>0.29884444444444441</v>
      </c>
    </row>
    <row r="20" spans="1:7" x14ac:dyDescent="0.25">
      <c r="A20" s="1">
        <v>3</v>
      </c>
      <c r="B20" s="1">
        <v>3</v>
      </c>
      <c r="C20" s="2">
        <f t="shared" si="0"/>
        <v>0</v>
      </c>
      <c r="D20" s="1">
        <f t="shared" si="1"/>
        <v>0.20551111111111109</v>
      </c>
    </row>
    <row r="21" spans="1:7" x14ac:dyDescent="0.25">
      <c r="A21" s="1">
        <v>3</v>
      </c>
      <c r="B21" s="1">
        <v>3</v>
      </c>
      <c r="C21" s="2">
        <f t="shared" si="0"/>
        <v>0</v>
      </c>
      <c r="D21" s="1">
        <f t="shared" si="1"/>
        <v>0.20551111111111109</v>
      </c>
    </row>
    <row r="22" spans="1:7" x14ac:dyDescent="0.25">
      <c r="A22" s="1">
        <v>5</v>
      </c>
      <c r="B22" s="1">
        <v>5</v>
      </c>
      <c r="C22" s="2">
        <f t="shared" si="0"/>
        <v>0</v>
      </c>
      <c r="D22" s="1">
        <f t="shared" si="1"/>
        <v>0.20551111111111109</v>
      </c>
      <c r="F22" s="6" t="s">
        <v>7</v>
      </c>
      <c r="G22" s="6"/>
    </row>
    <row r="23" spans="1:7" x14ac:dyDescent="0.25">
      <c r="A23" s="1">
        <v>3</v>
      </c>
      <c r="B23" s="1">
        <v>4</v>
      </c>
      <c r="C23" s="2">
        <f t="shared" si="0"/>
        <v>1</v>
      </c>
      <c r="D23" s="1">
        <f t="shared" si="1"/>
        <v>0.29884444444444441</v>
      </c>
      <c r="F23" t="s">
        <v>24</v>
      </c>
      <c r="G23">
        <f>_xlfn.T.INV.2T(G17,G18)</f>
        <v>1.992543495180934</v>
      </c>
    </row>
    <row r="24" spans="1:7" x14ac:dyDescent="0.25">
      <c r="A24" s="1">
        <v>4</v>
      </c>
      <c r="B24" s="1">
        <v>4</v>
      </c>
      <c r="C24" s="2">
        <f t="shared" si="0"/>
        <v>0</v>
      </c>
      <c r="D24" s="1">
        <f t="shared" si="1"/>
        <v>0.20551111111111109</v>
      </c>
      <c r="F24" t="s">
        <v>25</v>
      </c>
      <c r="G24">
        <f>_xlfn.T.INV(G17,G18)</f>
        <v>-1.6657068927340244</v>
      </c>
    </row>
    <row r="25" spans="1:7" x14ac:dyDescent="0.25">
      <c r="A25" s="1">
        <v>1</v>
      </c>
      <c r="B25" s="1">
        <v>1</v>
      </c>
      <c r="C25" s="2">
        <f t="shared" si="0"/>
        <v>0</v>
      </c>
      <c r="D25" s="1">
        <f t="shared" si="1"/>
        <v>0.20551111111111109</v>
      </c>
    </row>
    <row r="26" spans="1:7" x14ac:dyDescent="0.25">
      <c r="A26" s="1">
        <v>4</v>
      </c>
      <c r="B26" s="1">
        <v>4</v>
      </c>
      <c r="C26" s="2">
        <f t="shared" si="0"/>
        <v>0</v>
      </c>
      <c r="D26" s="1">
        <f t="shared" si="1"/>
        <v>0.20551111111111109</v>
      </c>
    </row>
    <row r="27" spans="1:7" x14ac:dyDescent="0.25">
      <c r="A27" s="1">
        <v>4</v>
      </c>
      <c r="B27" s="1">
        <v>4</v>
      </c>
      <c r="C27" s="2">
        <f t="shared" si="0"/>
        <v>0</v>
      </c>
      <c r="D27" s="1">
        <f t="shared" si="1"/>
        <v>0.20551111111111109</v>
      </c>
    </row>
    <row r="28" spans="1:7" x14ac:dyDescent="0.25">
      <c r="A28" s="1">
        <v>5</v>
      </c>
      <c r="B28" s="1">
        <v>5</v>
      </c>
      <c r="C28" s="2">
        <f t="shared" si="0"/>
        <v>0</v>
      </c>
      <c r="D28" s="1">
        <f t="shared" si="1"/>
        <v>0.20551111111111109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0.29884444444444441</v>
      </c>
    </row>
    <row r="30" spans="1:7" x14ac:dyDescent="0.25">
      <c r="A30" s="1">
        <v>3</v>
      </c>
      <c r="B30" s="1">
        <v>4</v>
      </c>
      <c r="C30" s="2">
        <f t="shared" si="0"/>
        <v>1</v>
      </c>
      <c r="D30" s="1">
        <f t="shared" si="1"/>
        <v>0.29884444444444441</v>
      </c>
    </row>
    <row r="31" spans="1:7" x14ac:dyDescent="0.25">
      <c r="A31" s="1">
        <v>3</v>
      </c>
      <c r="B31" s="1">
        <v>4</v>
      </c>
      <c r="C31" s="2">
        <f t="shared" si="0"/>
        <v>1</v>
      </c>
      <c r="D31" s="1">
        <f t="shared" si="1"/>
        <v>0.29884444444444441</v>
      </c>
    </row>
    <row r="32" spans="1:7" x14ac:dyDescent="0.25">
      <c r="A32" s="1">
        <v>5</v>
      </c>
      <c r="B32" s="1">
        <v>5</v>
      </c>
      <c r="C32" s="2">
        <f t="shared" si="0"/>
        <v>0</v>
      </c>
      <c r="D32" s="1">
        <f t="shared" si="1"/>
        <v>0.20551111111111109</v>
      </c>
    </row>
    <row r="33" spans="1:7" x14ac:dyDescent="0.25">
      <c r="A33" s="1">
        <v>2</v>
      </c>
      <c r="B33" s="1">
        <v>2</v>
      </c>
      <c r="C33" s="2">
        <f t="shared" si="0"/>
        <v>0</v>
      </c>
      <c r="D33" s="1">
        <f t="shared" si="1"/>
        <v>0.20551111111111109</v>
      </c>
    </row>
    <row r="34" spans="1:7" x14ac:dyDescent="0.25">
      <c r="A34" s="1">
        <v>4</v>
      </c>
      <c r="B34" s="1">
        <v>5</v>
      </c>
      <c r="C34" s="2">
        <f t="shared" si="0"/>
        <v>1</v>
      </c>
      <c r="D34" s="1">
        <f t="shared" si="1"/>
        <v>0.29884444444444441</v>
      </c>
      <c r="F34" t="s">
        <v>8</v>
      </c>
    </row>
    <row r="35" spans="1:7" x14ac:dyDescent="0.25">
      <c r="A35" s="1">
        <v>2</v>
      </c>
      <c r="B35" s="1">
        <v>2</v>
      </c>
      <c r="C35" s="2">
        <f t="shared" si="0"/>
        <v>0</v>
      </c>
      <c r="D35" s="1">
        <f t="shared" si="1"/>
        <v>0.20551111111111109</v>
      </c>
      <c r="F35" t="s">
        <v>9</v>
      </c>
    </row>
    <row r="36" spans="1:7" x14ac:dyDescent="0.25">
      <c r="A36" s="1">
        <v>4</v>
      </c>
      <c r="B36" s="1">
        <v>5</v>
      </c>
      <c r="C36" s="2">
        <f t="shared" si="0"/>
        <v>1</v>
      </c>
      <c r="D36" s="1">
        <f t="shared" si="1"/>
        <v>0.29884444444444441</v>
      </c>
    </row>
    <row r="37" spans="1:7" x14ac:dyDescent="0.25">
      <c r="A37" s="1">
        <v>4</v>
      </c>
      <c r="B37" s="1">
        <v>4</v>
      </c>
      <c r="C37" s="2">
        <f t="shared" si="0"/>
        <v>0</v>
      </c>
      <c r="D37" s="1">
        <f t="shared" si="1"/>
        <v>0.20551111111111109</v>
      </c>
    </row>
    <row r="38" spans="1:7" x14ac:dyDescent="0.25">
      <c r="A38" s="1">
        <v>5</v>
      </c>
      <c r="B38" s="1">
        <v>5</v>
      </c>
      <c r="C38" s="2">
        <f t="shared" si="0"/>
        <v>0</v>
      </c>
      <c r="D38" s="1">
        <f t="shared" si="1"/>
        <v>0.20551111111111109</v>
      </c>
    </row>
    <row r="39" spans="1:7" x14ac:dyDescent="0.25">
      <c r="A39" s="1">
        <v>3</v>
      </c>
      <c r="B39" s="1">
        <v>3</v>
      </c>
      <c r="C39" s="2">
        <f t="shared" si="0"/>
        <v>0</v>
      </c>
      <c r="D39" s="1">
        <f t="shared" si="1"/>
        <v>0.20551111111111109</v>
      </c>
      <c r="F39" s="6" t="s">
        <v>11</v>
      </c>
      <c r="G39" s="6"/>
    </row>
    <row r="40" spans="1:7" x14ac:dyDescent="0.25">
      <c r="A40" s="1">
        <v>3</v>
      </c>
      <c r="B40" s="1">
        <v>4</v>
      </c>
      <c r="C40" s="2">
        <f t="shared" si="0"/>
        <v>1</v>
      </c>
      <c r="D40" s="1">
        <f t="shared" si="1"/>
        <v>0.29884444444444441</v>
      </c>
      <c r="F40" t="s">
        <v>11</v>
      </c>
    </row>
    <row r="41" spans="1:7" x14ac:dyDescent="0.25">
      <c r="A41" s="1">
        <v>5</v>
      </c>
      <c r="B41" s="1">
        <v>5</v>
      </c>
      <c r="C41" s="2">
        <f t="shared" si="0"/>
        <v>0</v>
      </c>
      <c r="D41" s="1">
        <f t="shared" si="1"/>
        <v>0.20551111111111109</v>
      </c>
      <c r="F41" t="s">
        <v>23</v>
      </c>
      <c r="G41">
        <f>TTEST(A:A,B:B,2,1)</f>
        <v>1.4528453503864952E-10</v>
      </c>
    </row>
    <row r="42" spans="1:7" x14ac:dyDescent="0.25">
      <c r="A42" s="1">
        <v>2</v>
      </c>
      <c r="B42" s="1">
        <v>2</v>
      </c>
      <c r="C42" s="2">
        <f t="shared" si="0"/>
        <v>0</v>
      </c>
      <c r="D42" s="1">
        <f t="shared" si="1"/>
        <v>0.20551111111111109</v>
      </c>
      <c r="F42" t="s">
        <v>27</v>
      </c>
      <c r="G42">
        <f>TTEST(A:A,B:B,1,1)</f>
        <v>7.2642267519324762E-11</v>
      </c>
    </row>
    <row r="43" spans="1:7" x14ac:dyDescent="0.25">
      <c r="A43" s="1">
        <v>3</v>
      </c>
      <c r="B43" s="1">
        <v>4</v>
      </c>
      <c r="C43" s="2">
        <f t="shared" si="0"/>
        <v>1</v>
      </c>
      <c r="D43" s="1">
        <f t="shared" si="1"/>
        <v>0.29884444444444441</v>
      </c>
    </row>
    <row r="44" spans="1:7" x14ac:dyDescent="0.25">
      <c r="A44" s="1">
        <v>3</v>
      </c>
      <c r="B44" s="1">
        <v>3</v>
      </c>
      <c r="C44" s="2">
        <f t="shared" si="0"/>
        <v>0</v>
      </c>
      <c r="D44" s="1">
        <f t="shared" si="1"/>
        <v>0.20551111111111109</v>
      </c>
    </row>
    <row r="45" spans="1:7" x14ac:dyDescent="0.25">
      <c r="A45" s="1">
        <v>3</v>
      </c>
      <c r="B45" s="1">
        <v>3</v>
      </c>
      <c r="C45" s="2">
        <f t="shared" si="0"/>
        <v>0</v>
      </c>
      <c r="D45" s="1">
        <f t="shared" si="1"/>
        <v>0.20551111111111109</v>
      </c>
      <c r="F45" s="6" t="s">
        <v>14</v>
      </c>
      <c r="G45" s="6"/>
    </row>
    <row r="46" spans="1:7" x14ac:dyDescent="0.25">
      <c r="A46" s="1">
        <v>4</v>
      </c>
      <c r="B46" s="1">
        <v>4</v>
      </c>
      <c r="C46" s="2">
        <f t="shared" si="0"/>
        <v>0</v>
      </c>
      <c r="D46" s="1">
        <f t="shared" si="1"/>
        <v>0.20551111111111109</v>
      </c>
    </row>
    <row r="47" spans="1:7" x14ac:dyDescent="0.25">
      <c r="A47" s="1">
        <v>3</v>
      </c>
      <c r="B47" s="1">
        <v>4</v>
      </c>
      <c r="C47" s="2">
        <f t="shared" si="0"/>
        <v>1</v>
      </c>
      <c r="D47" s="1">
        <f t="shared" si="1"/>
        <v>0.29884444444444441</v>
      </c>
      <c r="F47" t="s">
        <v>12</v>
      </c>
    </row>
    <row r="48" spans="1:7" x14ac:dyDescent="0.25">
      <c r="A48" s="1">
        <v>4</v>
      </c>
      <c r="B48" s="1">
        <v>4</v>
      </c>
      <c r="C48" s="2">
        <f t="shared" si="0"/>
        <v>0</v>
      </c>
      <c r="D48" s="1">
        <f t="shared" si="1"/>
        <v>0.20551111111111109</v>
      </c>
      <c r="F48" t="s">
        <v>13</v>
      </c>
    </row>
    <row r="49" spans="1:6" x14ac:dyDescent="0.25">
      <c r="A49" s="1">
        <v>4</v>
      </c>
      <c r="B49" s="1">
        <v>5</v>
      </c>
      <c r="C49" s="2">
        <f t="shared" si="0"/>
        <v>1</v>
      </c>
      <c r="D49" s="1">
        <f t="shared" si="1"/>
        <v>0.29884444444444441</v>
      </c>
    </row>
    <row r="50" spans="1:6" x14ac:dyDescent="0.25">
      <c r="A50" s="1">
        <v>2</v>
      </c>
      <c r="B50" s="1">
        <v>2</v>
      </c>
      <c r="C50" s="2">
        <f t="shared" si="0"/>
        <v>0</v>
      </c>
      <c r="D50" s="1">
        <f t="shared" si="1"/>
        <v>0.20551111111111109</v>
      </c>
      <c r="F50" t="s">
        <v>16</v>
      </c>
    </row>
    <row r="51" spans="1:6" x14ac:dyDescent="0.25">
      <c r="A51" s="1">
        <v>1</v>
      </c>
      <c r="B51" s="1">
        <v>1</v>
      </c>
      <c r="C51" s="2">
        <f t="shared" si="0"/>
        <v>0</v>
      </c>
      <c r="D51" s="1">
        <f t="shared" si="1"/>
        <v>0.20551111111111109</v>
      </c>
      <c r="F51" t="s">
        <v>17</v>
      </c>
    </row>
    <row r="52" spans="1:6" x14ac:dyDescent="0.25">
      <c r="A52" s="1">
        <v>4</v>
      </c>
      <c r="B52" s="1">
        <v>5</v>
      </c>
      <c r="C52" s="2">
        <f t="shared" si="0"/>
        <v>1</v>
      </c>
      <c r="D52" s="1">
        <f t="shared" si="1"/>
        <v>0.29884444444444441</v>
      </c>
    </row>
    <row r="53" spans="1:6" x14ac:dyDescent="0.25">
      <c r="A53" s="1">
        <v>4</v>
      </c>
      <c r="B53" s="1">
        <v>5</v>
      </c>
      <c r="C53" s="2">
        <f t="shared" si="0"/>
        <v>1</v>
      </c>
      <c r="D53" s="1">
        <f t="shared" si="1"/>
        <v>0.29884444444444441</v>
      </c>
    </row>
    <row r="54" spans="1:6" x14ac:dyDescent="0.25">
      <c r="A54" s="1">
        <v>3</v>
      </c>
      <c r="B54" s="1">
        <v>3</v>
      </c>
      <c r="C54" s="2">
        <f t="shared" si="0"/>
        <v>0</v>
      </c>
      <c r="D54" s="1">
        <f t="shared" si="1"/>
        <v>0.20551111111111109</v>
      </c>
    </row>
    <row r="55" spans="1:6" x14ac:dyDescent="0.25">
      <c r="A55" s="1">
        <v>4</v>
      </c>
      <c r="B55" s="1">
        <v>5</v>
      </c>
      <c r="C55" s="2">
        <f t="shared" si="0"/>
        <v>1</v>
      </c>
      <c r="D55" s="1">
        <f t="shared" si="1"/>
        <v>0.29884444444444441</v>
      </c>
    </row>
    <row r="56" spans="1:6" x14ac:dyDescent="0.25">
      <c r="A56" s="1">
        <v>5</v>
      </c>
      <c r="B56" s="1">
        <v>5</v>
      </c>
      <c r="C56" s="2">
        <f t="shared" si="0"/>
        <v>0</v>
      </c>
      <c r="D56" s="1">
        <f t="shared" si="1"/>
        <v>0.20551111111111109</v>
      </c>
      <c r="F56" s="6" t="s">
        <v>21</v>
      </c>
    </row>
    <row r="57" spans="1:6" x14ac:dyDescent="0.25">
      <c r="A57" s="1">
        <v>4</v>
      </c>
      <c r="B57" s="1">
        <v>4</v>
      </c>
      <c r="C57" s="2">
        <f t="shared" si="0"/>
        <v>0</v>
      </c>
      <c r="D57" s="1">
        <f t="shared" si="1"/>
        <v>0.20551111111111109</v>
      </c>
    </row>
    <row r="58" spans="1:6" x14ac:dyDescent="0.25">
      <c r="A58" s="1">
        <v>2</v>
      </c>
      <c r="B58" s="1">
        <v>3</v>
      </c>
      <c r="C58" s="2">
        <f t="shared" si="0"/>
        <v>1</v>
      </c>
      <c r="D58" s="1">
        <f t="shared" si="1"/>
        <v>0.29884444444444441</v>
      </c>
      <c r="F58" t="s">
        <v>19</v>
      </c>
    </row>
    <row r="59" spans="1:6" x14ac:dyDescent="0.25">
      <c r="A59" s="1">
        <v>3</v>
      </c>
      <c r="B59" s="1">
        <v>4</v>
      </c>
      <c r="C59" s="2">
        <f t="shared" si="0"/>
        <v>1</v>
      </c>
      <c r="D59" s="1">
        <f t="shared" si="1"/>
        <v>0.29884444444444441</v>
      </c>
      <c r="F59" t="s">
        <v>18</v>
      </c>
    </row>
    <row r="60" spans="1:6" x14ac:dyDescent="0.25">
      <c r="A60" s="1">
        <v>5</v>
      </c>
      <c r="B60" s="1">
        <v>5</v>
      </c>
      <c r="C60" s="2">
        <f t="shared" si="0"/>
        <v>0</v>
      </c>
      <c r="D60" s="1">
        <f t="shared" si="1"/>
        <v>0.20551111111111109</v>
      </c>
      <c r="F60" t="s">
        <v>20</v>
      </c>
    </row>
    <row r="61" spans="1:6" x14ac:dyDescent="0.25">
      <c r="A61" s="1">
        <v>4</v>
      </c>
      <c r="B61" s="1">
        <v>4</v>
      </c>
      <c r="C61" s="2">
        <f t="shared" si="0"/>
        <v>0</v>
      </c>
      <c r="D61" s="1">
        <f t="shared" si="1"/>
        <v>0.20551111111111109</v>
      </c>
    </row>
    <row r="62" spans="1:6" x14ac:dyDescent="0.25">
      <c r="A62" s="1">
        <v>4</v>
      </c>
      <c r="B62" s="1">
        <v>5</v>
      </c>
      <c r="C62" s="2">
        <f t="shared" si="0"/>
        <v>1</v>
      </c>
      <c r="D62" s="1">
        <f t="shared" si="1"/>
        <v>0.29884444444444441</v>
      </c>
    </row>
    <row r="63" spans="1:6" x14ac:dyDescent="0.25">
      <c r="A63" s="1">
        <v>2</v>
      </c>
      <c r="B63" s="1">
        <v>2</v>
      </c>
      <c r="C63" s="2">
        <f t="shared" si="0"/>
        <v>0</v>
      </c>
      <c r="D63" s="1">
        <f t="shared" si="1"/>
        <v>0.20551111111111109</v>
      </c>
    </row>
    <row r="64" spans="1:6" x14ac:dyDescent="0.25">
      <c r="A64" s="1">
        <v>5</v>
      </c>
      <c r="B64" s="1">
        <v>5</v>
      </c>
      <c r="C64" s="2">
        <f t="shared" si="0"/>
        <v>0</v>
      </c>
      <c r="D64" s="1">
        <f t="shared" si="1"/>
        <v>0.20551111111111109</v>
      </c>
    </row>
    <row r="65" spans="1:6" x14ac:dyDescent="0.25">
      <c r="A65" s="1">
        <v>5</v>
      </c>
      <c r="B65" s="1">
        <v>5</v>
      </c>
      <c r="C65" s="2">
        <f t="shared" si="0"/>
        <v>0</v>
      </c>
      <c r="D65" s="1">
        <f t="shared" si="1"/>
        <v>0.20551111111111109</v>
      </c>
      <c r="F65" s="6" t="s">
        <v>21</v>
      </c>
    </row>
    <row r="66" spans="1:6" x14ac:dyDescent="0.25">
      <c r="A66" s="1">
        <v>2</v>
      </c>
      <c r="B66" s="1">
        <v>3</v>
      </c>
      <c r="C66" s="2">
        <f t="shared" si="0"/>
        <v>1</v>
      </c>
      <c r="D66" s="1">
        <f t="shared" si="1"/>
        <v>0.29884444444444441</v>
      </c>
    </row>
    <row r="67" spans="1:6" x14ac:dyDescent="0.25">
      <c r="A67" s="1">
        <v>4</v>
      </c>
      <c r="B67" s="1">
        <v>5</v>
      </c>
      <c r="C67" s="2">
        <f t="shared" ref="C67:C76" si="2">B67-A67</f>
        <v>1</v>
      </c>
      <c r="D67" s="1">
        <f t="shared" si="1"/>
        <v>0.29884444444444441</v>
      </c>
    </row>
    <row r="68" spans="1:6" x14ac:dyDescent="0.25">
      <c r="A68" s="1">
        <v>3</v>
      </c>
      <c r="B68" s="1">
        <v>3</v>
      </c>
      <c r="C68" s="2">
        <f t="shared" si="2"/>
        <v>0</v>
      </c>
      <c r="D68" s="1">
        <f t="shared" si="1"/>
        <v>0.20551111111111109</v>
      </c>
    </row>
    <row r="69" spans="1:6" x14ac:dyDescent="0.25">
      <c r="A69" s="1">
        <v>4</v>
      </c>
      <c r="B69" s="1">
        <v>5</v>
      </c>
      <c r="C69" s="2">
        <f t="shared" si="2"/>
        <v>1</v>
      </c>
      <c r="D69" s="1">
        <f t="shared" ref="D69:D76" si="3">(C69-$G$6)^2</f>
        <v>0.29884444444444441</v>
      </c>
    </row>
    <row r="70" spans="1:6" x14ac:dyDescent="0.25">
      <c r="A70" s="1">
        <v>5</v>
      </c>
      <c r="B70" s="1">
        <v>5</v>
      </c>
      <c r="C70" s="2">
        <f t="shared" si="2"/>
        <v>0</v>
      </c>
      <c r="D70" s="1">
        <f t="shared" si="3"/>
        <v>0.20551111111111109</v>
      </c>
    </row>
    <row r="71" spans="1:6" x14ac:dyDescent="0.25">
      <c r="A71" s="1">
        <v>4</v>
      </c>
      <c r="B71" s="1">
        <v>5</v>
      </c>
      <c r="C71" s="2">
        <f t="shared" si="2"/>
        <v>1</v>
      </c>
      <c r="D71" s="1">
        <f t="shared" si="3"/>
        <v>0.29884444444444441</v>
      </c>
    </row>
    <row r="72" spans="1:6" x14ac:dyDescent="0.25">
      <c r="A72" s="1">
        <v>2</v>
      </c>
      <c r="B72" s="1">
        <v>2</v>
      </c>
      <c r="C72" s="2">
        <f t="shared" si="2"/>
        <v>0</v>
      </c>
      <c r="D72" s="1">
        <f t="shared" si="3"/>
        <v>0.20551111111111109</v>
      </c>
      <c r="F72" t="s">
        <v>22</v>
      </c>
    </row>
    <row r="73" spans="1:6" x14ac:dyDescent="0.25">
      <c r="A73" s="1">
        <v>2</v>
      </c>
      <c r="B73" s="1">
        <v>2</v>
      </c>
      <c r="C73" s="2">
        <f t="shared" si="2"/>
        <v>0</v>
      </c>
      <c r="D73" s="1">
        <f t="shared" si="3"/>
        <v>0.20551111111111109</v>
      </c>
      <c r="F73" t="s">
        <v>20</v>
      </c>
    </row>
    <row r="74" spans="1:6" x14ac:dyDescent="0.25">
      <c r="A74" s="1">
        <v>2</v>
      </c>
      <c r="B74" s="1">
        <v>4</v>
      </c>
      <c r="C74" s="2">
        <f t="shared" si="2"/>
        <v>2</v>
      </c>
      <c r="D74" s="1">
        <f t="shared" si="3"/>
        <v>2.3921777777777775</v>
      </c>
      <c r="F74" t="s">
        <v>22</v>
      </c>
    </row>
    <row r="75" spans="1:6" x14ac:dyDescent="0.25">
      <c r="A75" s="1">
        <v>4</v>
      </c>
      <c r="B75" s="1">
        <v>5</v>
      </c>
      <c r="C75" s="2">
        <f t="shared" si="2"/>
        <v>1</v>
      </c>
      <c r="D75" s="1">
        <f t="shared" si="3"/>
        <v>0.29884444444444441</v>
      </c>
      <c r="F75" t="s">
        <v>20</v>
      </c>
    </row>
    <row r="76" spans="1:6" x14ac:dyDescent="0.25">
      <c r="A76" s="1">
        <v>2</v>
      </c>
      <c r="B76" s="1">
        <v>3</v>
      </c>
      <c r="C76" s="2">
        <f t="shared" si="2"/>
        <v>1</v>
      </c>
      <c r="D76" s="1">
        <f t="shared" si="3"/>
        <v>0.29884444444444441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"/>
  <sheetViews>
    <sheetView zoomScale="70" zoomScaleNormal="70" workbookViewId="0">
      <selection activeCell="A7" sqref="A7"/>
    </sheetView>
  </sheetViews>
  <sheetFormatPr baseColWidth="10" defaultColWidth="9.140625" defaultRowHeight="15" x14ac:dyDescent="0.25"/>
  <cols>
    <col min="1" max="1" width="30.28515625" style="1" customWidth="1"/>
    <col min="2" max="2" width="30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1" customHeight="1" x14ac:dyDescent="0.25">
      <c r="A1" s="3" t="s">
        <v>45</v>
      </c>
      <c r="B1" s="4" t="s">
        <v>44</v>
      </c>
      <c r="C1" s="5" t="s">
        <v>0</v>
      </c>
      <c r="D1" s="5"/>
    </row>
    <row r="2" spans="1:7" x14ac:dyDescent="0.25">
      <c r="A2" s="1">
        <v>2</v>
      </c>
      <c r="B2" s="1">
        <v>3</v>
      </c>
      <c r="C2" s="2">
        <f>B2-A2</f>
        <v>1</v>
      </c>
      <c r="D2" s="1">
        <f>(C2-$G$6)^2</f>
        <v>0.32871111111111101</v>
      </c>
    </row>
    <row r="3" spans="1:7" x14ac:dyDescent="0.25">
      <c r="A3" s="1">
        <v>4</v>
      </c>
      <c r="B3" s="1">
        <v>5</v>
      </c>
      <c r="C3" s="2">
        <f t="shared" ref="C3:C66" si="0">B3-A3</f>
        <v>1</v>
      </c>
      <c r="D3" s="1">
        <f>(C3-$G$6)^2</f>
        <v>0.32871111111111101</v>
      </c>
      <c r="F3" s="6" t="s">
        <v>15</v>
      </c>
      <c r="G3" s="6"/>
    </row>
    <row r="4" spans="1:7" x14ac:dyDescent="0.25">
      <c r="A4" s="1">
        <v>2</v>
      </c>
      <c r="B4" s="1">
        <v>2</v>
      </c>
      <c r="C4" s="2">
        <f t="shared" si="0"/>
        <v>0</v>
      </c>
      <c r="D4" s="1">
        <f>(C4-$G$6)^2</f>
        <v>0.18204444444444448</v>
      </c>
      <c r="F4" t="s">
        <v>3</v>
      </c>
      <c r="G4">
        <f>COUNT(A:A)</f>
        <v>75</v>
      </c>
    </row>
    <row r="5" spans="1:7" x14ac:dyDescent="0.25">
      <c r="A5" s="1">
        <v>3</v>
      </c>
      <c r="B5" s="1">
        <v>3</v>
      </c>
      <c r="C5" s="2">
        <f t="shared" si="0"/>
        <v>0</v>
      </c>
      <c r="D5" s="1">
        <f t="shared" ref="D5:D68" si="1">(C5-$G$6)^2</f>
        <v>0.18204444444444448</v>
      </c>
      <c r="F5" t="s">
        <v>2</v>
      </c>
      <c r="G5">
        <f>SUM(C:C)</f>
        <v>32</v>
      </c>
    </row>
    <row r="6" spans="1:7" x14ac:dyDescent="0.25">
      <c r="A6" s="1">
        <v>4</v>
      </c>
      <c r="B6" s="1">
        <v>5</v>
      </c>
      <c r="C6" s="2">
        <f t="shared" si="0"/>
        <v>1</v>
      </c>
      <c r="D6" s="1">
        <f t="shared" si="1"/>
        <v>0.32871111111111101</v>
      </c>
      <c r="F6" t="s">
        <v>1</v>
      </c>
      <c r="G6">
        <f>G5/G4</f>
        <v>0.42666666666666669</v>
      </c>
    </row>
    <row r="7" spans="1:7" x14ac:dyDescent="0.25">
      <c r="A7" s="1">
        <v>3</v>
      </c>
      <c r="B7" s="1">
        <v>3</v>
      </c>
      <c r="C7" s="2">
        <f t="shared" si="0"/>
        <v>0</v>
      </c>
      <c r="D7" s="1">
        <f t="shared" si="1"/>
        <v>0.18204444444444448</v>
      </c>
      <c r="F7" t="s">
        <v>26</v>
      </c>
      <c r="G7">
        <f>SUM(D:D)</f>
        <v>18.346666666666675</v>
      </c>
    </row>
    <row r="8" spans="1:7" x14ac:dyDescent="0.25">
      <c r="A8" s="1">
        <v>4</v>
      </c>
      <c r="B8" s="1">
        <v>5</v>
      </c>
      <c r="C8" s="2">
        <f t="shared" si="0"/>
        <v>1</v>
      </c>
      <c r="D8" s="1">
        <f t="shared" si="1"/>
        <v>0.32871111111111101</v>
      </c>
      <c r="F8" t="s">
        <v>4</v>
      </c>
      <c r="G8">
        <f>SQRT(G7/(G4-1))</f>
        <v>0.49792361655973705</v>
      </c>
    </row>
    <row r="9" spans="1:7" x14ac:dyDescent="0.25">
      <c r="A9" s="1">
        <v>3</v>
      </c>
      <c r="B9" s="1">
        <v>4</v>
      </c>
      <c r="C9" s="2">
        <f t="shared" si="0"/>
        <v>1</v>
      </c>
      <c r="D9" s="1">
        <f t="shared" si="1"/>
        <v>0.32871111111111101</v>
      </c>
    </row>
    <row r="10" spans="1:7" x14ac:dyDescent="0.25">
      <c r="A10" s="1">
        <v>3</v>
      </c>
      <c r="B10" s="1">
        <v>4</v>
      </c>
      <c r="C10" s="2">
        <f t="shared" si="0"/>
        <v>1</v>
      </c>
      <c r="D10" s="1">
        <f t="shared" si="1"/>
        <v>0.32871111111111101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0.18204444444444448</v>
      </c>
    </row>
    <row r="12" spans="1:7" x14ac:dyDescent="0.25">
      <c r="A12" s="1">
        <v>1</v>
      </c>
      <c r="B12" s="1">
        <v>2</v>
      </c>
      <c r="C12" s="2">
        <f t="shared" si="0"/>
        <v>1</v>
      </c>
      <c r="D12" s="1">
        <f t="shared" si="1"/>
        <v>0.32871111111111101</v>
      </c>
      <c r="F12" t="s">
        <v>10</v>
      </c>
      <c r="G12">
        <f>G6/(G8/SQRT(G4))</f>
        <v>7.4209007163457228</v>
      </c>
    </row>
    <row r="13" spans="1:7" x14ac:dyDescent="0.25">
      <c r="A13" s="1">
        <v>4</v>
      </c>
      <c r="B13" s="1">
        <v>5</v>
      </c>
      <c r="C13" s="2">
        <f t="shared" si="0"/>
        <v>1</v>
      </c>
      <c r="D13" s="1">
        <f t="shared" si="1"/>
        <v>0.32871111111111101</v>
      </c>
    </row>
    <row r="14" spans="1:7" x14ac:dyDescent="0.25">
      <c r="A14" s="1">
        <v>3</v>
      </c>
      <c r="B14" s="1">
        <v>4</v>
      </c>
      <c r="C14" s="2">
        <f t="shared" si="0"/>
        <v>1</v>
      </c>
      <c r="D14" s="1">
        <f t="shared" si="1"/>
        <v>0.32871111111111101</v>
      </c>
    </row>
    <row r="15" spans="1:7" x14ac:dyDescent="0.25">
      <c r="A15" s="1">
        <v>1</v>
      </c>
      <c r="B15" s="1">
        <v>2</v>
      </c>
      <c r="C15" s="2">
        <f t="shared" si="0"/>
        <v>1</v>
      </c>
      <c r="D15" s="1">
        <f t="shared" si="1"/>
        <v>0.32871111111111101</v>
      </c>
    </row>
    <row r="16" spans="1:7" x14ac:dyDescent="0.25">
      <c r="A16" s="1">
        <v>3</v>
      </c>
      <c r="B16" s="1">
        <v>3</v>
      </c>
      <c r="C16" s="2">
        <f t="shared" si="0"/>
        <v>0</v>
      </c>
      <c r="D16" s="1">
        <f t="shared" si="1"/>
        <v>0.18204444444444448</v>
      </c>
    </row>
    <row r="17" spans="1:7" x14ac:dyDescent="0.25">
      <c r="A17" s="1">
        <v>5</v>
      </c>
      <c r="B17" s="1">
        <v>5</v>
      </c>
      <c r="C17" s="2">
        <f t="shared" si="0"/>
        <v>0</v>
      </c>
      <c r="D17" s="1">
        <f t="shared" si="1"/>
        <v>0.18204444444444448</v>
      </c>
      <c r="F17" t="s">
        <v>5</v>
      </c>
      <c r="G17">
        <v>0.05</v>
      </c>
    </row>
    <row r="18" spans="1:7" x14ac:dyDescent="0.25">
      <c r="A18" s="1">
        <v>1</v>
      </c>
      <c r="B18" s="1">
        <v>1</v>
      </c>
      <c r="C18" s="2">
        <f t="shared" si="0"/>
        <v>0</v>
      </c>
      <c r="D18" s="1">
        <f t="shared" si="1"/>
        <v>0.18204444444444448</v>
      </c>
      <c r="F18" t="s">
        <v>6</v>
      </c>
      <c r="G18">
        <f>G4-1</f>
        <v>74</v>
      </c>
    </row>
    <row r="19" spans="1:7" x14ac:dyDescent="0.25">
      <c r="A19" s="1">
        <v>3</v>
      </c>
      <c r="B19" s="1">
        <v>3</v>
      </c>
      <c r="C19" s="2">
        <f t="shared" si="0"/>
        <v>0</v>
      </c>
      <c r="D19" s="1">
        <f t="shared" si="1"/>
        <v>0.18204444444444448</v>
      </c>
    </row>
    <row r="20" spans="1:7" x14ac:dyDescent="0.25">
      <c r="A20" s="1">
        <v>4</v>
      </c>
      <c r="B20" s="1">
        <v>4</v>
      </c>
      <c r="C20" s="2">
        <f t="shared" si="0"/>
        <v>0</v>
      </c>
      <c r="D20" s="1">
        <f t="shared" si="1"/>
        <v>0.18204444444444448</v>
      </c>
    </row>
    <row r="21" spans="1:7" x14ac:dyDescent="0.25">
      <c r="A21" s="1">
        <v>5</v>
      </c>
      <c r="B21" s="1">
        <v>5</v>
      </c>
      <c r="C21" s="2">
        <f t="shared" si="0"/>
        <v>0</v>
      </c>
      <c r="D21" s="1">
        <f t="shared" si="1"/>
        <v>0.18204444444444448</v>
      </c>
    </row>
    <row r="22" spans="1:7" x14ac:dyDescent="0.25">
      <c r="A22" s="1">
        <v>2</v>
      </c>
      <c r="B22" s="1">
        <v>3</v>
      </c>
      <c r="C22" s="2">
        <f t="shared" si="0"/>
        <v>1</v>
      </c>
      <c r="D22" s="1">
        <f t="shared" si="1"/>
        <v>0.32871111111111101</v>
      </c>
      <c r="F22" s="6" t="s">
        <v>7</v>
      </c>
      <c r="G22" s="6"/>
    </row>
    <row r="23" spans="1:7" x14ac:dyDescent="0.25">
      <c r="A23" s="1">
        <v>3</v>
      </c>
      <c r="B23" s="1">
        <v>4</v>
      </c>
      <c r="C23" s="2">
        <f t="shared" si="0"/>
        <v>1</v>
      </c>
      <c r="D23" s="1">
        <f t="shared" si="1"/>
        <v>0.32871111111111101</v>
      </c>
      <c r="F23" t="s">
        <v>24</v>
      </c>
      <c r="G23">
        <f>_xlfn.T.INV.2T(G17,G18)</f>
        <v>1.992543495180934</v>
      </c>
    </row>
    <row r="24" spans="1:7" x14ac:dyDescent="0.25">
      <c r="A24" s="1">
        <v>3</v>
      </c>
      <c r="B24" s="1">
        <v>4</v>
      </c>
      <c r="C24" s="2">
        <f t="shared" si="0"/>
        <v>1</v>
      </c>
      <c r="D24" s="1">
        <f t="shared" si="1"/>
        <v>0.32871111111111101</v>
      </c>
      <c r="F24" t="s">
        <v>25</v>
      </c>
      <c r="G24">
        <f>_xlfn.T.INV(G17,G18)</f>
        <v>-1.6657068927340244</v>
      </c>
    </row>
    <row r="25" spans="1:7" x14ac:dyDescent="0.25">
      <c r="A25" s="1">
        <v>1</v>
      </c>
      <c r="B25" s="1">
        <v>1</v>
      </c>
      <c r="C25" s="2">
        <f t="shared" si="0"/>
        <v>0</v>
      </c>
      <c r="D25" s="1">
        <f t="shared" si="1"/>
        <v>0.18204444444444448</v>
      </c>
    </row>
    <row r="26" spans="1:7" x14ac:dyDescent="0.25">
      <c r="A26" s="1">
        <v>2</v>
      </c>
      <c r="B26" s="1">
        <v>2</v>
      </c>
      <c r="C26" s="2">
        <f t="shared" si="0"/>
        <v>0</v>
      </c>
      <c r="D26" s="1">
        <f t="shared" si="1"/>
        <v>0.18204444444444448</v>
      </c>
    </row>
    <row r="27" spans="1:7" x14ac:dyDescent="0.25">
      <c r="A27" s="1">
        <v>4</v>
      </c>
      <c r="B27" s="1">
        <v>4</v>
      </c>
      <c r="C27" s="2">
        <f t="shared" si="0"/>
        <v>0</v>
      </c>
      <c r="D27" s="1">
        <f t="shared" si="1"/>
        <v>0.18204444444444448</v>
      </c>
    </row>
    <row r="28" spans="1:7" x14ac:dyDescent="0.25">
      <c r="A28" s="1">
        <v>4</v>
      </c>
      <c r="B28" s="1">
        <v>5</v>
      </c>
      <c r="C28" s="2">
        <f t="shared" si="0"/>
        <v>1</v>
      </c>
      <c r="D28" s="1">
        <f t="shared" si="1"/>
        <v>0.32871111111111101</v>
      </c>
    </row>
    <row r="29" spans="1:7" x14ac:dyDescent="0.25">
      <c r="A29" s="1">
        <v>4</v>
      </c>
      <c r="B29" s="1">
        <v>4</v>
      </c>
      <c r="C29" s="2">
        <f t="shared" si="0"/>
        <v>0</v>
      </c>
      <c r="D29" s="1">
        <f t="shared" si="1"/>
        <v>0.18204444444444448</v>
      </c>
    </row>
    <row r="30" spans="1:7" x14ac:dyDescent="0.25">
      <c r="A30" s="1">
        <v>3</v>
      </c>
      <c r="B30" s="1">
        <v>4</v>
      </c>
      <c r="C30" s="2">
        <f t="shared" si="0"/>
        <v>1</v>
      </c>
      <c r="D30" s="1">
        <f t="shared" si="1"/>
        <v>0.32871111111111101</v>
      </c>
    </row>
    <row r="31" spans="1:7" x14ac:dyDescent="0.25">
      <c r="A31" s="1">
        <v>5</v>
      </c>
      <c r="B31" s="1">
        <v>5</v>
      </c>
      <c r="C31" s="2">
        <f t="shared" si="0"/>
        <v>0</v>
      </c>
      <c r="D31" s="1">
        <f t="shared" si="1"/>
        <v>0.18204444444444448</v>
      </c>
    </row>
    <row r="32" spans="1:7" x14ac:dyDescent="0.25">
      <c r="A32" s="1">
        <v>3</v>
      </c>
      <c r="B32" s="1">
        <v>3</v>
      </c>
      <c r="C32" s="2">
        <f t="shared" si="0"/>
        <v>0</v>
      </c>
      <c r="D32" s="1">
        <f t="shared" si="1"/>
        <v>0.18204444444444448</v>
      </c>
    </row>
    <row r="33" spans="1:7" x14ac:dyDescent="0.25">
      <c r="A33" s="1">
        <v>2</v>
      </c>
      <c r="B33" s="1">
        <v>2</v>
      </c>
      <c r="C33" s="2">
        <f t="shared" si="0"/>
        <v>0</v>
      </c>
      <c r="D33" s="1">
        <f t="shared" si="1"/>
        <v>0.18204444444444448</v>
      </c>
    </row>
    <row r="34" spans="1:7" x14ac:dyDescent="0.25">
      <c r="A34" s="1">
        <v>2</v>
      </c>
      <c r="B34" s="1">
        <v>2</v>
      </c>
      <c r="C34" s="2">
        <f t="shared" si="0"/>
        <v>0</v>
      </c>
      <c r="D34" s="1">
        <f t="shared" si="1"/>
        <v>0.18204444444444448</v>
      </c>
      <c r="F34" t="s">
        <v>8</v>
      </c>
    </row>
    <row r="35" spans="1:7" x14ac:dyDescent="0.25">
      <c r="A35" s="1">
        <v>4</v>
      </c>
      <c r="B35" s="1">
        <v>4</v>
      </c>
      <c r="C35" s="2">
        <f t="shared" si="0"/>
        <v>0</v>
      </c>
      <c r="D35" s="1">
        <f t="shared" si="1"/>
        <v>0.18204444444444448</v>
      </c>
      <c r="F35" t="s">
        <v>9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0.18204444444444448</v>
      </c>
    </row>
    <row r="37" spans="1:7" x14ac:dyDescent="0.25">
      <c r="A37" s="1">
        <v>5</v>
      </c>
      <c r="B37" s="1">
        <v>5</v>
      </c>
      <c r="C37" s="2">
        <f t="shared" si="0"/>
        <v>0</v>
      </c>
      <c r="D37" s="1">
        <f t="shared" si="1"/>
        <v>0.18204444444444448</v>
      </c>
    </row>
    <row r="38" spans="1:7" x14ac:dyDescent="0.25">
      <c r="A38" s="1">
        <v>2</v>
      </c>
      <c r="B38" s="1">
        <v>3</v>
      </c>
      <c r="C38" s="2">
        <f t="shared" si="0"/>
        <v>1</v>
      </c>
      <c r="D38" s="1">
        <f t="shared" si="1"/>
        <v>0.32871111111111101</v>
      </c>
    </row>
    <row r="39" spans="1:7" x14ac:dyDescent="0.25">
      <c r="A39" s="1">
        <v>5</v>
      </c>
      <c r="B39" s="1">
        <v>5</v>
      </c>
      <c r="C39" s="2">
        <f t="shared" si="0"/>
        <v>0</v>
      </c>
      <c r="D39" s="1">
        <f t="shared" si="1"/>
        <v>0.18204444444444448</v>
      </c>
      <c r="F39" s="6" t="s">
        <v>11</v>
      </c>
      <c r="G39" s="6"/>
    </row>
    <row r="40" spans="1:7" x14ac:dyDescent="0.25">
      <c r="A40" s="1">
        <v>4</v>
      </c>
      <c r="B40" s="1">
        <v>4</v>
      </c>
      <c r="C40" s="2">
        <f t="shared" si="0"/>
        <v>0</v>
      </c>
      <c r="D40" s="1">
        <f t="shared" si="1"/>
        <v>0.18204444444444448</v>
      </c>
      <c r="F40" t="s">
        <v>11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0.32871111111111101</v>
      </c>
      <c r="F41" t="s">
        <v>23</v>
      </c>
      <c r="G41">
        <f>TTEST(A:A,B:B,2,1)</f>
        <v>1.6014179433411571E-10</v>
      </c>
    </row>
    <row r="42" spans="1:7" x14ac:dyDescent="0.25">
      <c r="A42" s="1">
        <v>4</v>
      </c>
      <c r="B42" s="1">
        <v>4</v>
      </c>
      <c r="C42" s="2">
        <f t="shared" si="0"/>
        <v>0</v>
      </c>
      <c r="D42" s="1">
        <f t="shared" si="1"/>
        <v>0.18204444444444448</v>
      </c>
      <c r="F42" t="s">
        <v>27</v>
      </c>
      <c r="G42">
        <f>TTEST(A:A,B:B,1,1)</f>
        <v>8.0070897167057857E-11</v>
      </c>
    </row>
    <row r="43" spans="1:7" x14ac:dyDescent="0.25">
      <c r="A43" s="1">
        <v>4</v>
      </c>
      <c r="B43" s="1">
        <v>4</v>
      </c>
      <c r="C43" s="2">
        <f t="shared" si="0"/>
        <v>0</v>
      </c>
      <c r="D43" s="1">
        <f t="shared" si="1"/>
        <v>0.18204444444444448</v>
      </c>
    </row>
    <row r="44" spans="1:7" x14ac:dyDescent="0.25">
      <c r="A44" s="1">
        <v>3</v>
      </c>
      <c r="B44" s="1">
        <v>3</v>
      </c>
      <c r="C44" s="2">
        <f t="shared" si="0"/>
        <v>0</v>
      </c>
      <c r="D44" s="1">
        <f t="shared" si="1"/>
        <v>0.18204444444444448</v>
      </c>
    </row>
    <row r="45" spans="1:7" x14ac:dyDescent="0.25">
      <c r="A45" s="1">
        <v>3</v>
      </c>
      <c r="B45" s="1">
        <v>4</v>
      </c>
      <c r="C45" s="2">
        <f t="shared" si="0"/>
        <v>1</v>
      </c>
      <c r="D45" s="1">
        <f t="shared" si="1"/>
        <v>0.32871111111111101</v>
      </c>
      <c r="F45" s="6" t="s">
        <v>14</v>
      </c>
      <c r="G45" s="6"/>
    </row>
    <row r="46" spans="1:7" x14ac:dyDescent="0.25">
      <c r="A46" s="1">
        <v>3</v>
      </c>
      <c r="B46" s="1">
        <v>4</v>
      </c>
      <c r="C46" s="2">
        <f t="shared" si="0"/>
        <v>1</v>
      </c>
      <c r="D46" s="1">
        <f t="shared" si="1"/>
        <v>0.32871111111111101</v>
      </c>
    </row>
    <row r="47" spans="1:7" x14ac:dyDescent="0.25">
      <c r="A47" s="1">
        <v>3</v>
      </c>
      <c r="B47" s="1">
        <v>3</v>
      </c>
      <c r="C47" s="2">
        <f t="shared" si="0"/>
        <v>0</v>
      </c>
      <c r="D47" s="1">
        <f t="shared" si="1"/>
        <v>0.18204444444444448</v>
      </c>
      <c r="F47" t="s">
        <v>12</v>
      </c>
    </row>
    <row r="48" spans="1:7" x14ac:dyDescent="0.25">
      <c r="A48" s="1">
        <v>3</v>
      </c>
      <c r="B48" s="1">
        <v>3</v>
      </c>
      <c r="C48" s="2">
        <f t="shared" si="0"/>
        <v>0</v>
      </c>
      <c r="D48" s="1">
        <f t="shared" si="1"/>
        <v>0.18204444444444448</v>
      </c>
      <c r="F48" t="s">
        <v>13</v>
      </c>
    </row>
    <row r="49" spans="1:6" x14ac:dyDescent="0.25">
      <c r="A49" s="1">
        <v>4</v>
      </c>
      <c r="B49" s="1">
        <v>4</v>
      </c>
      <c r="C49" s="2">
        <f t="shared" si="0"/>
        <v>0</v>
      </c>
      <c r="D49" s="1">
        <f t="shared" si="1"/>
        <v>0.18204444444444448</v>
      </c>
    </row>
    <row r="50" spans="1:6" x14ac:dyDescent="0.25">
      <c r="A50" s="1">
        <v>4</v>
      </c>
      <c r="B50" s="1">
        <v>4</v>
      </c>
      <c r="C50" s="2">
        <f t="shared" si="0"/>
        <v>0</v>
      </c>
      <c r="D50" s="1">
        <f t="shared" si="1"/>
        <v>0.18204444444444448</v>
      </c>
      <c r="F50" t="s">
        <v>16</v>
      </c>
    </row>
    <row r="51" spans="1:6" x14ac:dyDescent="0.25">
      <c r="A51" s="1">
        <v>4</v>
      </c>
      <c r="B51" s="1">
        <v>4</v>
      </c>
      <c r="C51" s="2">
        <f t="shared" si="0"/>
        <v>0</v>
      </c>
      <c r="D51" s="1">
        <f t="shared" si="1"/>
        <v>0.18204444444444448</v>
      </c>
      <c r="F51" t="s">
        <v>17</v>
      </c>
    </row>
    <row r="52" spans="1:6" x14ac:dyDescent="0.25">
      <c r="A52" s="1">
        <v>1</v>
      </c>
      <c r="B52" s="1">
        <v>1</v>
      </c>
      <c r="C52" s="2">
        <f t="shared" si="0"/>
        <v>0</v>
      </c>
      <c r="D52" s="1">
        <f t="shared" si="1"/>
        <v>0.18204444444444448</v>
      </c>
    </row>
    <row r="53" spans="1:6" x14ac:dyDescent="0.25">
      <c r="A53" s="1">
        <v>3</v>
      </c>
      <c r="B53" s="1">
        <v>3</v>
      </c>
      <c r="C53" s="2">
        <f t="shared" si="0"/>
        <v>0</v>
      </c>
      <c r="D53" s="1">
        <f t="shared" si="1"/>
        <v>0.18204444444444448</v>
      </c>
    </row>
    <row r="54" spans="1:6" x14ac:dyDescent="0.25">
      <c r="A54" s="1">
        <v>4</v>
      </c>
      <c r="B54" s="1">
        <v>5</v>
      </c>
      <c r="C54" s="2">
        <f t="shared" si="0"/>
        <v>1</v>
      </c>
      <c r="D54" s="1">
        <f t="shared" si="1"/>
        <v>0.32871111111111101</v>
      </c>
    </row>
    <row r="55" spans="1:6" x14ac:dyDescent="0.25">
      <c r="A55" s="1">
        <v>3</v>
      </c>
      <c r="B55" s="1">
        <v>4</v>
      </c>
      <c r="C55" s="2">
        <f t="shared" si="0"/>
        <v>1</v>
      </c>
      <c r="D55" s="1">
        <f t="shared" si="1"/>
        <v>0.32871111111111101</v>
      </c>
    </row>
    <row r="56" spans="1:6" x14ac:dyDescent="0.25">
      <c r="A56" s="1">
        <v>1</v>
      </c>
      <c r="B56" s="1">
        <v>2</v>
      </c>
      <c r="C56" s="2">
        <f t="shared" si="0"/>
        <v>1</v>
      </c>
      <c r="D56" s="1">
        <f t="shared" si="1"/>
        <v>0.32871111111111101</v>
      </c>
      <c r="F56" s="6" t="s">
        <v>21</v>
      </c>
    </row>
    <row r="57" spans="1:6" x14ac:dyDescent="0.25">
      <c r="A57" s="1">
        <v>4</v>
      </c>
      <c r="B57" s="1">
        <v>5</v>
      </c>
      <c r="C57" s="2">
        <f t="shared" si="0"/>
        <v>1</v>
      </c>
      <c r="D57" s="1">
        <f t="shared" si="1"/>
        <v>0.32871111111111101</v>
      </c>
    </row>
    <row r="58" spans="1:6" x14ac:dyDescent="0.25">
      <c r="A58" s="1">
        <v>3</v>
      </c>
      <c r="B58" s="1">
        <v>4</v>
      </c>
      <c r="C58" s="2">
        <f t="shared" si="0"/>
        <v>1</v>
      </c>
      <c r="D58" s="1">
        <f t="shared" si="1"/>
        <v>0.32871111111111101</v>
      </c>
      <c r="F58" t="s">
        <v>19</v>
      </c>
    </row>
    <row r="59" spans="1:6" x14ac:dyDescent="0.25">
      <c r="A59" s="1">
        <v>3</v>
      </c>
      <c r="B59" s="1">
        <v>4</v>
      </c>
      <c r="C59" s="2">
        <f t="shared" si="0"/>
        <v>1</v>
      </c>
      <c r="D59" s="1">
        <f t="shared" si="1"/>
        <v>0.32871111111111101</v>
      </c>
      <c r="F59" t="s">
        <v>18</v>
      </c>
    </row>
    <row r="60" spans="1:6" x14ac:dyDescent="0.25">
      <c r="A60" s="1">
        <v>3</v>
      </c>
      <c r="B60" s="1">
        <v>4</v>
      </c>
      <c r="C60" s="2">
        <f t="shared" si="0"/>
        <v>1</v>
      </c>
      <c r="D60" s="1">
        <f t="shared" si="1"/>
        <v>0.32871111111111101</v>
      </c>
      <c r="F60" t="s">
        <v>20</v>
      </c>
    </row>
    <row r="61" spans="1:6" x14ac:dyDescent="0.25">
      <c r="A61" s="1">
        <v>5</v>
      </c>
      <c r="B61" s="1">
        <v>5</v>
      </c>
      <c r="C61" s="2">
        <f t="shared" si="0"/>
        <v>0</v>
      </c>
      <c r="D61" s="1">
        <f t="shared" si="1"/>
        <v>0.18204444444444448</v>
      </c>
    </row>
    <row r="62" spans="1:6" x14ac:dyDescent="0.25">
      <c r="A62" s="1">
        <v>2</v>
      </c>
      <c r="B62" s="1">
        <v>3</v>
      </c>
      <c r="C62" s="2">
        <f t="shared" si="0"/>
        <v>1</v>
      </c>
      <c r="D62" s="1">
        <f t="shared" si="1"/>
        <v>0.32871111111111101</v>
      </c>
    </row>
    <row r="63" spans="1:6" x14ac:dyDescent="0.25">
      <c r="A63" s="1">
        <v>1</v>
      </c>
      <c r="B63" s="1">
        <v>2</v>
      </c>
      <c r="C63" s="2">
        <f t="shared" si="0"/>
        <v>1</v>
      </c>
      <c r="D63" s="1">
        <f t="shared" si="1"/>
        <v>0.32871111111111101</v>
      </c>
    </row>
    <row r="64" spans="1:6" x14ac:dyDescent="0.25">
      <c r="A64" s="1">
        <v>3</v>
      </c>
      <c r="B64" s="1">
        <v>4</v>
      </c>
      <c r="C64" s="2">
        <f t="shared" si="0"/>
        <v>1</v>
      </c>
      <c r="D64" s="1">
        <f t="shared" si="1"/>
        <v>0.32871111111111101</v>
      </c>
    </row>
    <row r="65" spans="1:6" x14ac:dyDescent="0.25">
      <c r="A65" s="1">
        <v>3</v>
      </c>
      <c r="B65" s="1">
        <v>3</v>
      </c>
      <c r="C65" s="2">
        <f t="shared" si="0"/>
        <v>0</v>
      </c>
      <c r="D65" s="1">
        <f t="shared" si="1"/>
        <v>0.18204444444444448</v>
      </c>
      <c r="F65" s="6" t="s">
        <v>21</v>
      </c>
    </row>
    <row r="66" spans="1:6" x14ac:dyDescent="0.25">
      <c r="A66" s="1">
        <v>1</v>
      </c>
      <c r="B66" s="1">
        <v>1</v>
      </c>
      <c r="C66" s="2">
        <f t="shared" si="0"/>
        <v>0</v>
      </c>
      <c r="D66" s="1">
        <f t="shared" si="1"/>
        <v>0.18204444444444448</v>
      </c>
    </row>
    <row r="67" spans="1:6" x14ac:dyDescent="0.25">
      <c r="A67" s="1">
        <v>3</v>
      </c>
      <c r="B67" s="1">
        <v>3</v>
      </c>
      <c r="C67" s="2">
        <f t="shared" ref="C67:C76" si="2">B67-A67</f>
        <v>0</v>
      </c>
      <c r="D67" s="1">
        <f t="shared" si="1"/>
        <v>0.18204444444444448</v>
      </c>
    </row>
    <row r="68" spans="1:6" x14ac:dyDescent="0.25">
      <c r="A68" s="1">
        <v>4</v>
      </c>
      <c r="B68" s="1">
        <v>5</v>
      </c>
      <c r="C68" s="2">
        <f t="shared" si="2"/>
        <v>1</v>
      </c>
      <c r="D68" s="1">
        <f t="shared" si="1"/>
        <v>0.32871111111111101</v>
      </c>
    </row>
    <row r="69" spans="1:6" x14ac:dyDescent="0.25">
      <c r="A69" s="1">
        <v>3</v>
      </c>
      <c r="B69" s="1">
        <v>4</v>
      </c>
      <c r="C69" s="2">
        <f t="shared" si="2"/>
        <v>1</v>
      </c>
      <c r="D69" s="1">
        <f t="shared" ref="D69:D76" si="3">(C69-$G$6)^2</f>
        <v>0.32871111111111101</v>
      </c>
    </row>
    <row r="70" spans="1:6" x14ac:dyDescent="0.25">
      <c r="A70" s="1">
        <v>3</v>
      </c>
      <c r="B70" s="1">
        <v>3</v>
      </c>
      <c r="C70" s="2">
        <f t="shared" si="2"/>
        <v>0</v>
      </c>
      <c r="D70" s="1">
        <f t="shared" si="3"/>
        <v>0.18204444444444448</v>
      </c>
    </row>
    <row r="71" spans="1:6" x14ac:dyDescent="0.25">
      <c r="A71" s="1">
        <v>3</v>
      </c>
      <c r="B71" s="1">
        <v>4</v>
      </c>
      <c r="C71" s="2">
        <f t="shared" si="2"/>
        <v>1</v>
      </c>
      <c r="D71" s="1">
        <f t="shared" si="3"/>
        <v>0.32871111111111101</v>
      </c>
    </row>
    <row r="72" spans="1:6" x14ac:dyDescent="0.25">
      <c r="A72" s="1">
        <v>3</v>
      </c>
      <c r="B72" s="1">
        <v>3</v>
      </c>
      <c r="C72" s="2">
        <f t="shared" si="2"/>
        <v>0</v>
      </c>
      <c r="D72" s="1">
        <f t="shared" si="3"/>
        <v>0.18204444444444448</v>
      </c>
      <c r="F72" t="s">
        <v>22</v>
      </c>
    </row>
    <row r="73" spans="1:6" x14ac:dyDescent="0.25">
      <c r="A73" s="1">
        <v>1</v>
      </c>
      <c r="B73" s="1">
        <v>1</v>
      </c>
      <c r="C73" s="2">
        <f t="shared" si="2"/>
        <v>0</v>
      </c>
      <c r="D73" s="1">
        <f t="shared" si="3"/>
        <v>0.18204444444444448</v>
      </c>
      <c r="F73" t="s">
        <v>20</v>
      </c>
    </row>
    <row r="74" spans="1:6" x14ac:dyDescent="0.25">
      <c r="A74" s="1">
        <v>1</v>
      </c>
      <c r="B74" s="1">
        <v>1</v>
      </c>
      <c r="C74" s="2">
        <f t="shared" si="2"/>
        <v>0</v>
      </c>
      <c r="D74" s="1">
        <f t="shared" si="3"/>
        <v>0.18204444444444448</v>
      </c>
      <c r="F74" t="s">
        <v>22</v>
      </c>
    </row>
    <row r="75" spans="1:6" x14ac:dyDescent="0.25">
      <c r="A75" s="1">
        <v>3</v>
      </c>
      <c r="B75" s="1">
        <v>3</v>
      </c>
      <c r="C75" s="2">
        <f t="shared" si="2"/>
        <v>0</v>
      </c>
      <c r="D75" s="1">
        <f t="shared" si="3"/>
        <v>0.18204444444444448</v>
      </c>
      <c r="F75" t="s">
        <v>20</v>
      </c>
    </row>
    <row r="76" spans="1:6" x14ac:dyDescent="0.25">
      <c r="A76" s="1">
        <v>5</v>
      </c>
      <c r="B76" s="1">
        <v>5</v>
      </c>
      <c r="C76" s="2">
        <f t="shared" si="2"/>
        <v>0</v>
      </c>
      <c r="D76" s="1">
        <f t="shared" si="3"/>
        <v>0.18204444444444448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3"/>
  <sheetViews>
    <sheetView zoomScale="70" zoomScaleNormal="70" workbookViewId="0">
      <selection activeCell="A6" sqref="A6"/>
    </sheetView>
  </sheetViews>
  <sheetFormatPr baseColWidth="10" defaultColWidth="9.140625" defaultRowHeight="15" x14ac:dyDescent="0.25"/>
  <cols>
    <col min="1" max="1" width="30" style="1" customWidth="1"/>
    <col min="2" max="2" width="30.710937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1.15" customHeight="1" x14ac:dyDescent="0.25">
      <c r="A1" s="3" t="s">
        <v>43</v>
      </c>
      <c r="B1" s="4" t="s">
        <v>42</v>
      </c>
      <c r="C1" s="5" t="s">
        <v>0</v>
      </c>
      <c r="D1" s="5"/>
    </row>
    <row r="2" spans="1:7" x14ac:dyDescent="0.25">
      <c r="A2" s="1">
        <v>4</v>
      </c>
      <c r="B2" s="1">
        <v>5</v>
      </c>
      <c r="C2" s="2">
        <f>B2-A2</f>
        <v>1</v>
      </c>
      <c r="D2" s="1">
        <f>(C2-$G$6)^2</f>
        <v>0.36</v>
      </c>
    </row>
    <row r="3" spans="1:7" x14ac:dyDescent="0.25">
      <c r="A3" s="1">
        <v>4</v>
      </c>
      <c r="B3" s="1">
        <v>4</v>
      </c>
      <c r="C3" s="2">
        <f t="shared" ref="C3:C66" si="0">B3-A3</f>
        <v>0</v>
      </c>
      <c r="D3" s="1">
        <f>(C3-$G$6)^2</f>
        <v>0.16000000000000003</v>
      </c>
      <c r="F3" s="6" t="s">
        <v>15</v>
      </c>
      <c r="G3" s="6"/>
    </row>
    <row r="4" spans="1:7" x14ac:dyDescent="0.25">
      <c r="A4" s="1">
        <v>3</v>
      </c>
      <c r="B4" s="1">
        <v>4</v>
      </c>
      <c r="C4" s="2">
        <f t="shared" si="0"/>
        <v>1</v>
      </c>
      <c r="D4" s="1">
        <f>(C4-$G$6)^2</f>
        <v>0.36</v>
      </c>
      <c r="F4" t="s">
        <v>3</v>
      </c>
      <c r="G4">
        <f>COUNT(A:A)</f>
        <v>75</v>
      </c>
    </row>
    <row r="5" spans="1:7" x14ac:dyDescent="0.25">
      <c r="A5" s="1">
        <v>3</v>
      </c>
      <c r="B5" s="1">
        <v>3</v>
      </c>
      <c r="C5" s="2">
        <f t="shared" si="0"/>
        <v>0</v>
      </c>
      <c r="D5" s="1">
        <f t="shared" ref="D5:D68" si="1">(C5-$G$6)^2</f>
        <v>0.16000000000000003</v>
      </c>
      <c r="F5" t="s">
        <v>2</v>
      </c>
      <c r="G5">
        <f>SUM(C:C)</f>
        <v>30</v>
      </c>
    </row>
    <row r="6" spans="1:7" x14ac:dyDescent="0.25">
      <c r="A6" s="1">
        <v>4</v>
      </c>
      <c r="B6" s="1">
        <v>5</v>
      </c>
      <c r="C6" s="2">
        <f t="shared" si="0"/>
        <v>1</v>
      </c>
      <c r="D6" s="1">
        <f t="shared" si="1"/>
        <v>0.36</v>
      </c>
      <c r="F6" t="s">
        <v>1</v>
      </c>
      <c r="G6">
        <f>G5/G4</f>
        <v>0.4</v>
      </c>
    </row>
    <row r="7" spans="1:7" x14ac:dyDescent="0.25">
      <c r="A7" s="1">
        <v>1</v>
      </c>
      <c r="B7" s="1">
        <v>1</v>
      </c>
      <c r="C7" s="2">
        <f t="shared" si="0"/>
        <v>0</v>
      </c>
      <c r="D7" s="1">
        <f t="shared" si="1"/>
        <v>0.16000000000000003</v>
      </c>
      <c r="F7" t="s">
        <v>26</v>
      </c>
      <c r="G7">
        <f>SUM(D:D)</f>
        <v>23.999999999999996</v>
      </c>
    </row>
    <row r="8" spans="1:7" x14ac:dyDescent="0.25">
      <c r="A8" s="1">
        <v>3</v>
      </c>
      <c r="B8" s="1">
        <v>5</v>
      </c>
      <c r="C8" s="2">
        <f t="shared" si="0"/>
        <v>2</v>
      </c>
      <c r="D8" s="1">
        <f t="shared" si="1"/>
        <v>2.5600000000000005</v>
      </c>
      <c r="F8" t="s">
        <v>4</v>
      </c>
      <c r="G8">
        <f>SQRT(G7/(G4-1))</f>
        <v>0.56949479745149933</v>
      </c>
    </row>
    <row r="9" spans="1:7" x14ac:dyDescent="0.25">
      <c r="A9" s="1">
        <v>4</v>
      </c>
      <c r="B9" s="1">
        <v>5</v>
      </c>
      <c r="C9" s="2">
        <f t="shared" si="0"/>
        <v>1</v>
      </c>
      <c r="D9" s="1">
        <f t="shared" si="1"/>
        <v>0.36</v>
      </c>
    </row>
    <row r="10" spans="1:7" x14ac:dyDescent="0.25">
      <c r="A10" s="1">
        <v>5</v>
      </c>
      <c r="B10" s="1">
        <v>5</v>
      </c>
      <c r="C10" s="2">
        <f t="shared" si="0"/>
        <v>0</v>
      </c>
      <c r="D10" s="1">
        <f t="shared" si="1"/>
        <v>0.16000000000000003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0.16000000000000003</v>
      </c>
    </row>
    <row r="12" spans="1:7" x14ac:dyDescent="0.25">
      <c r="A12" s="1">
        <v>4</v>
      </c>
      <c r="B12" s="1">
        <v>5</v>
      </c>
      <c r="C12" s="2">
        <f t="shared" si="0"/>
        <v>1</v>
      </c>
      <c r="D12" s="1">
        <f t="shared" si="1"/>
        <v>0.36</v>
      </c>
      <c r="F12" t="s">
        <v>10</v>
      </c>
      <c r="G12">
        <f>G6/(G8/SQRT(G4))</f>
        <v>6.0827625302982211</v>
      </c>
    </row>
    <row r="13" spans="1:7" x14ac:dyDescent="0.25">
      <c r="A13" s="1">
        <v>4</v>
      </c>
      <c r="B13" s="1">
        <v>4</v>
      </c>
      <c r="C13" s="2">
        <f t="shared" si="0"/>
        <v>0</v>
      </c>
      <c r="D13" s="1">
        <f t="shared" si="1"/>
        <v>0.16000000000000003</v>
      </c>
    </row>
    <row r="14" spans="1:7" x14ac:dyDescent="0.25">
      <c r="A14" s="1">
        <v>4</v>
      </c>
      <c r="B14" s="1">
        <v>5</v>
      </c>
      <c r="C14" s="2">
        <f t="shared" si="0"/>
        <v>1</v>
      </c>
      <c r="D14" s="1">
        <f t="shared" si="1"/>
        <v>0.36</v>
      </c>
    </row>
    <row r="15" spans="1:7" x14ac:dyDescent="0.25">
      <c r="A15" s="1">
        <v>4</v>
      </c>
      <c r="B15" s="1">
        <v>4</v>
      </c>
      <c r="C15" s="2">
        <f t="shared" si="0"/>
        <v>0</v>
      </c>
      <c r="D15" s="1">
        <f t="shared" si="1"/>
        <v>0.16000000000000003</v>
      </c>
    </row>
    <row r="16" spans="1:7" x14ac:dyDescent="0.25">
      <c r="A16" s="1">
        <v>4</v>
      </c>
      <c r="B16" s="1">
        <v>4</v>
      </c>
      <c r="C16" s="2">
        <f t="shared" si="0"/>
        <v>0</v>
      </c>
      <c r="D16" s="1">
        <f t="shared" si="1"/>
        <v>0.16000000000000003</v>
      </c>
    </row>
    <row r="17" spans="1:7" x14ac:dyDescent="0.25">
      <c r="A17" s="1">
        <v>2</v>
      </c>
      <c r="B17" s="1">
        <v>2</v>
      </c>
      <c r="C17" s="2">
        <f t="shared" si="0"/>
        <v>0</v>
      </c>
      <c r="D17" s="1">
        <f t="shared" si="1"/>
        <v>0.16000000000000003</v>
      </c>
      <c r="F17" t="s">
        <v>5</v>
      </c>
      <c r="G17">
        <v>0.05</v>
      </c>
    </row>
    <row r="18" spans="1:7" x14ac:dyDescent="0.25">
      <c r="A18" s="1">
        <v>5</v>
      </c>
      <c r="B18" s="1">
        <v>5</v>
      </c>
      <c r="C18" s="2">
        <f t="shared" si="0"/>
        <v>0</v>
      </c>
      <c r="D18" s="1">
        <f t="shared" si="1"/>
        <v>0.16000000000000003</v>
      </c>
      <c r="F18" t="s">
        <v>6</v>
      </c>
      <c r="G18">
        <f>G4-1</f>
        <v>74</v>
      </c>
    </row>
    <row r="19" spans="1:7" x14ac:dyDescent="0.25">
      <c r="A19" s="1">
        <v>3</v>
      </c>
      <c r="B19" s="1">
        <v>3</v>
      </c>
      <c r="C19" s="2">
        <f t="shared" si="0"/>
        <v>0</v>
      </c>
      <c r="D19" s="1">
        <f t="shared" si="1"/>
        <v>0.16000000000000003</v>
      </c>
    </row>
    <row r="20" spans="1:7" x14ac:dyDescent="0.25">
      <c r="A20" s="1">
        <v>3</v>
      </c>
      <c r="B20" s="1">
        <v>3</v>
      </c>
      <c r="C20" s="2">
        <f t="shared" si="0"/>
        <v>0</v>
      </c>
      <c r="D20" s="1">
        <f t="shared" si="1"/>
        <v>0.16000000000000003</v>
      </c>
    </row>
    <row r="21" spans="1:7" x14ac:dyDescent="0.25">
      <c r="A21" s="1">
        <v>1</v>
      </c>
      <c r="B21" s="1">
        <v>2</v>
      </c>
      <c r="C21" s="2">
        <f t="shared" si="0"/>
        <v>1</v>
      </c>
      <c r="D21" s="1">
        <f t="shared" si="1"/>
        <v>0.36</v>
      </c>
    </row>
    <row r="22" spans="1:7" x14ac:dyDescent="0.25">
      <c r="A22" s="1">
        <v>5</v>
      </c>
      <c r="B22" s="1">
        <v>5</v>
      </c>
      <c r="C22" s="2">
        <f t="shared" si="0"/>
        <v>0</v>
      </c>
      <c r="D22" s="1">
        <f t="shared" si="1"/>
        <v>0.16000000000000003</v>
      </c>
      <c r="F22" s="6" t="s">
        <v>7</v>
      </c>
      <c r="G22" s="6"/>
    </row>
    <row r="23" spans="1:7" x14ac:dyDescent="0.25">
      <c r="A23" s="1">
        <v>3</v>
      </c>
      <c r="B23" s="1">
        <v>4</v>
      </c>
      <c r="C23" s="2">
        <f t="shared" si="0"/>
        <v>1</v>
      </c>
      <c r="D23" s="1">
        <f t="shared" si="1"/>
        <v>0.36</v>
      </c>
      <c r="F23" t="s">
        <v>24</v>
      </c>
      <c r="G23">
        <f>_xlfn.T.INV.2T(G17,G18)</f>
        <v>1.992543495180934</v>
      </c>
    </row>
    <row r="24" spans="1:7" x14ac:dyDescent="0.25">
      <c r="A24" s="1">
        <v>1</v>
      </c>
      <c r="B24" s="1">
        <v>1</v>
      </c>
      <c r="C24" s="2">
        <f t="shared" si="0"/>
        <v>0</v>
      </c>
      <c r="D24" s="1">
        <f t="shared" si="1"/>
        <v>0.16000000000000003</v>
      </c>
      <c r="F24" t="s">
        <v>25</v>
      </c>
      <c r="G24">
        <f>_xlfn.T.INV(G17,G18)</f>
        <v>-1.6657068927340244</v>
      </c>
    </row>
    <row r="25" spans="1:7" x14ac:dyDescent="0.25">
      <c r="A25" s="1">
        <v>2</v>
      </c>
      <c r="B25" s="1">
        <v>2</v>
      </c>
      <c r="C25" s="2">
        <f t="shared" si="0"/>
        <v>0</v>
      </c>
      <c r="D25" s="1">
        <f t="shared" si="1"/>
        <v>0.16000000000000003</v>
      </c>
    </row>
    <row r="26" spans="1:7" x14ac:dyDescent="0.25">
      <c r="A26" s="1">
        <v>2</v>
      </c>
      <c r="B26" s="1">
        <v>2</v>
      </c>
      <c r="C26" s="2">
        <f t="shared" si="0"/>
        <v>0</v>
      </c>
      <c r="D26" s="1">
        <f t="shared" si="1"/>
        <v>0.16000000000000003</v>
      </c>
    </row>
    <row r="27" spans="1:7" x14ac:dyDescent="0.25">
      <c r="A27" s="1">
        <v>4</v>
      </c>
      <c r="B27" s="1">
        <v>5</v>
      </c>
      <c r="C27" s="2">
        <f t="shared" si="0"/>
        <v>1</v>
      </c>
      <c r="D27" s="1">
        <f t="shared" si="1"/>
        <v>0.36</v>
      </c>
    </row>
    <row r="28" spans="1:7" x14ac:dyDescent="0.25">
      <c r="A28" s="1">
        <v>4</v>
      </c>
      <c r="B28" s="1">
        <v>5</v>
      </c>
      <c r="C28" s="2">
        <f t="shared" si="0"/>
        <v>1</v>
      </c>
      <c r="D28" s="1">
        <f t="shared" si="1"/>
        <v>0.36</v>
      </c>
    </row>
    <row r="29" spans="1:7" x14ac:dyDescent="0.25">
      <c r="A29" s="1">
        <v>3</v>
      </c>
      <c r="B29" s="1">
        <v>3</v>
      </c>
      <c r="C29" s="2">
        <f t="shared" si="0"/>
        <v>0</v>
      </c>
      <c r="D29" s="1">
        <f t="shared" si="1"/>
        <v>0.16000000000000003</v>
      </c>
    </row>
    <row r="30" spans="1:7" x14ac:dyDescent="0.25">
      <c r="A30" s="1">
        <v>2</v>
      </c>
      <c r="B30" s="1">
        <v>2</v>
      </c>
      <c r="C30" s="2">
        <f t="shared" si="0"/>
        <v>0</v>
      </c>
      <c r="D30" s="1">
        <f t="shared" si="1"/>
        <v>0.16000000000000003</v>
      </c>
    </row>
    <row r="31" spans="1:7" x14ac:dyDescent="0.25">
      <c r="A31" s="1">
        <v>3</v>
      </c>
      <c r="B31" s="1">
        <v>3</v>
      </c>
      <c r="C31" s="2">
        <f t="shared" si="0"/>
        <v>0</v>
      </c>
      <c r="D31" s="1">
        <f t="shared" si="1"/>
        <v>0.16000000000000003</v>
      </c>
    </row>
    <row r="32" spans="1:7" x14ac:dyDescent="0.25">
      <c r="A32" s="1">
        <v>3</v>
      </c>
      <c r="B32" s="1">
        <v>4</v>
      </c>
      <c r="C32" s="2">
        <f t="shared" si="0"/>
        <v>1</v>
      </c>
      <c r="D32" s="1">
        <f t="shared" si="1"/>
        <v>0.36</v>
      </c>
    </row>
    <row r="33" spans="1:7" x14ac:dyDescent="0.25">
      <c r="A33" s="1">
        <v>4</v>
      </c>
      <c r="B33" s="1">
        <v>4</v>
      </c>
      <c r="C33" s="2">
        <f t="shared" si="0"/>
        <v>0</v>
      </c>
      <c r="D33" s="1">
        <f t="shared" si="1"/>
        <v>0.16000000000000003</v>
      </c>
    </row>
    <row r="34" spans="1:7" x14ac:dyDescent="0.25">
      <c r="A34" s="1">
        <v>2</v>
      </c>
      <c r="B34" s="1">
        <v>2</v>
      </c>
      <c r="C34" s="2">
        <f t="shared" si="0"/>
        <v>0</v>
      </c>
      <c r="D34" s="1">
        <f t="shared" si="1"/>
        <v>0.16000000000000003</v>
      </c>
      <c r="F34" t="s">
        <v>8</v>
      </c>
    </row>
    <row r="35" spans="1:7" x14ac:dyDescent="0.25">
      <c r="A35" s="1">
        <v>4</v>
      </c>
      <c r="B35" s="1">
        <v>5</v>
      </c>
      <c r="C35" s="2">
        <f t="shared" si="0"/>
        <v>1</v>
      </c>
      <c r="D35" s="1">
        <f t="shared" si="1"/>
        <v>0.36</v>
      </c>
      <c r="F35" t="s">
        <v>9</v>
      </c>
    </row>
    <row r="36" spans="1:7" x14ac:dyDescent="0.25">
      <c r="A36" s="1">
        <v>4</v>
      </c>
      <c r="B36" s="1">
        <v>4</v>
      </c>
      <c r="C36" s="2">
        <f t="shared" si="0"/>
        <v>0</v>
      </c>
      <c r="D36" s="1">
        <f t="shared" si="1"/>
        <v>0.16000000000000003</v>
      </c>
    </row>
    <row r="37" spans="1:7" x14ac:dyDescent="0.25">
      <c r="A37" s="1">
        <v>3</v>
      </c>
      <c r="B37" s="1">
        <v>4</v>
      </c>
      <c r="C37" s="2">
        <f t="shared" si="0"/>
        <v>1</v>
      </c>
      <c r="D37" s="1">
        <f t="shared" si="1"/>
        <v>0.36</v>
      </c>
    </row>
    <row r="38" spans="1:7" x14ac:dyDescent="0.25">
      <c r="A38" s="1">
        <v>3</v>
      </c>
      <c r="B38" s="1">
        <v>3</v>
      </c>
      <c r="C38" s="2">
        <f t="shared" si="0"/>
        <v>0</v>
      </c>
      <c r="D38" s="1">
        <f t="shared" si="1"/>
        <v>0.16000000000000003</v>
      </c>
    </row>
    <row r="39" spans="1:7" x14ac:dyDescent="0.25">
      <c r="A39" s="1">
        <v>4</v>
      </c>
      <c r="B39" s="1">
        <v>4</v>
      </c>
      <c r="C39" s="2">
        <f t="shared" si="0"/>
        <v>0</v>
      </c>
      <c r="D39" s="1">
        <f t="shared" si="1"/>
        <v>0.16000000000000003</v>
      </c>
      <c r="F39" s="6" t="s">
        <v>11</v>
      </c>
      <c r="G39" s="6"/>
    </row>
    <row r="40" spans="1:7" x14ac:dyDescent="0.25">
      <c r="A40" s="1">
        <v>5</v>
      </c>
      <c r="B40" s="1">
        <v>5</v>
      </c>
      <c r="C40" s="2">
        <f t="shared" si="0"/>
        <v>0</v>
      </c>
      <c r="D40" s="1">
        <f t="shared" si="1"/>
        <v>0.16000000000000003</v>
      </c>
      <c r="F40" t="s">
        <v>11</v>
      </c>
    </row>
    <row r="41" spans="1:7" x14ac:dyDescent="0.25">
      <c r="A41" s="1">
        <v>3</v>
      </c>
      <c r="B41" s="1">
        <v>4</v>
      </c>
      <c r="C41" s="2">
        <f t="shared" si="0"/>
        <v>1</v>
      </c>
      <c r="D41" s="1">
        <f t="shared" si="1"/>
        <v>0.36</v>
      </c>
      <c r="F41" t="s">
        <v>23</v>
      </c>
      <c r="G41">
        <f>TTEST(A:A,B:B,2,1)</f>
        <v>4.7672118880017809E-8</v>
      </c>
    </row>
    <row r="42" spans="1:7" x14ac:dyDescent="0.25">
      <c r="A42" s="1">
        <v>4</v>
      </c>
      <c r="B42" s="1">
        <v>4</v>
      </c>
      <c r="C42" s="2">
        <f t="shared" si="0"/>
        <v>0</v>
      </c>
      <c r="D42" s="1">
        <f t="shared" si="1"/>
        <v>0.16000000000000003</v>
      </c>
      <c r="F42" t="s">
        <v>27</v>
      </c>
      <c r="G42">
        <f>TTEST(A:A,B:B,1,1)</f>
        <v>2.3836059440008905E-8</v>
      </c>
    </row>
    <row r="43" spans="1:7" x14ac:dyDescent="0.25">
      <c r="A43" s="1">
        <v>3</v>
      </c>
      <c r="B43" s="1">
        <v>3</v>
      </c>
      <c r="C43" s="2">
        <f t="shared" si="0"/>
        <v>0</v>
      </c>
      <c r="D43" s="1">
        <f t="shared" si="1"/>
        <v>0.16000000000000003</v>
      </c>
    </row>
    <row r="44" spans="1:7" x14ac:dyDescent="0.25">
      <c r="A44" s="1">
        <v>4</v>
      </c>
      <c r="B44" s="1">
        <v>4</v>
      </c>
      <c r="C44" s="2">
        <f t="shared" si="0"/>
        <v>0</v>
      </c>
      <c r="D44" s="1">
        <f t="shared" si="1"/>
        <v>0.16000000000000003</v>
      </c>
    </row>
    <row r="45" spans="1:7" x14ac:dyDescent="0.25">
      <c r="A45" s="1">
        <v>3</v>
      </c>
      <c r="B45" s="1">
        <v>3</v>
      </c>
      <c r="C45" s="2">
        <f t="shared" si="0"/>
        <v>0</v>
      </c>
      <c r="D45" s="1">
        <f t="shared" si="1"/>
        <v>0.16000000000000003</v>
      </c>
      <c r="F45" s="6" t="s">
        <v>14</v>
      </c>
      <c r="G45" s="6"/>
    </row>
    <row r="46" spans="1:7" x14ac:dyDescent="0.25">
      <c r="A46" s="1">
        <v>3</v>
      </c>
      <c r="B46" s="1">
        <v>4</v>
      </c>
      <c r="C46" s="2">
        <f t="shared" si="0"/>
        <v>1</v>
      </c>
      <c r="D46" s="1">
        <f t="shared" si="1"/>
        <v>0.36</v>
      </c>
    </row>
    <row r="47" spans="1:7" x14ac:dyDescent="0.25">
      <c r="A47" s="1">
        <v>5</v>
      </c>
      <c r="B47" s="1">
        <v>5</v>
      </c>
      <c r="C47" s="2">
        <f t="shared" si="0"/>
        <v>0</v>
      </c>
      <c r="D47" s="1">
        <f t="shared" si="1"/>
        <v>0.16000000000000003</v>
      </c>
      <c r="F47" t="s">
        <v>12</v>
      </c>
    </row>
    <row r="48" spans="1:7" x14ac:dyDescent="0.25">
      <c r="A48" s="1">
        <v>4</v>
      </c>
      <c r="B48" s="1">
        <v>4</v>
      </c>
      <c r="C48" s="2">
        <f t="shared" si="0"/>
        <v>0</v>
      </c>
      <c r="D48" s="1">
        <f t="shared" si="1"/>
        <v>0.16000000000000003</v>
      </c>
      <c r="F48" t="s">
        <v>13</v>
      </c>
    </row>
    <row r="49" spans="1:6" x14ac:dyDescent="0.25">
      <c r="A49" s="1">
        <v>5</v>
      </c>
      <c r="B49" s="1">
        <v>5</v>
      </c>
      <c r="C49" s="2">
        <f t="shared" si="0"/>
        <v>0</v>
      </c>
      <c r="D49" s="1">
        <f t="shared" si="1"/>
        <v>0.16000000000000003</v>
      </c>
    </row>
    <row r="50" spans="1:6" x14ac:dyDescent="0.25">
      <c r="A50" s="1">
        <v>5</v>
      </c>
      <c r="B50" s="1">
        <v>5</v>
      </c>
      <c r="C50" s="2">
        <f t="shared" si="0"/>
        <v>0</v>
      </c>
      <c r="D50" s="1">
        <f t="shared" si="1"/>
        <v>0.16000000000000003</v>
      </c>
      <c r="F50" t="s">
        <v>16</v>
      </c>
    </row>
    <row r="51" spans="1:6" x14ac:dyDescent="0.25">
      <c r="A51" s="1">
        <v>1</v>
      </c>
      <c r="B51" s="1">
        <v>2</v>
      </c>
      <c r="C51" s="2">
        <f t="shared" si="0"/>
        <v>1</v>
      </c>
      <c r="D51" s="1">
        <f t="shared" si="1"/>
        <v>0.36</v>
      </c>
      <c r="F51" t="s">
        <v>17</v>
      </c>
    </row>
    <row r="52" spans="1:6" x14ac:dyDescent="0.25">
      <c r="A52" s="1">
        <v>4</v>
      </c>
      <c r="B52" s="1">
        <v>5</v>
      </c>
      <c r="C52" s="2">
        <f t="shared" si="0"/>
        <v>1</v>
      </c>
      <c r="D52" s="1">
        <f t="shared" si="1"/>
        <v>0.36</v>
      </c>
    </row>
    <row r="53" spans="1:6" x14ac:dyDescent="0.25">
      <c r="A53" s="1">
        <v>2</v>
      </c>
      <c r="B53" s="1">
        <v>2</v>
      </c>
      <c r="C53" s="2">
        <f t="shared" si="0"/>
        <v>0</v>
      </c>
      <c r="D53" s="1">
        <f t="shared" si="1"/>
        <v>0.16000000000000003</v>
      </c>
    </row>
    <row r="54" spans="1:6" x14ac:dyDescent="0.25">
      <c r="A54" s="1">
        <v>4</v>
      </c>
      <c r="B54" s="1">
        <v>5</v>
      </c>
      <c r="C54" s="2">
        <f t="shared" si="0"/>
        <v>1</v>
      </c>
      <c r="D54" s="1">
        <f t="shared" si="1"/>
        <v>0.36</v>
      </c>
    </row>
    <row r="55" spans="1:6" x14ac:dyDescent="0.25">
      <c r="A55" s="1">
        <v>3</v>
      </c>
      <c r="B55" s="1">
        <v>4</v>
      </c>
      <c r="C55" s="2">
        <f t="shared" si="0"/>
        <v>1</v>
      </c>
      <c r="D55" s="1">
        <f t="shared" si="1"/>
        <v>0.36</v>
      </c>
    </row>
    <row r="56" spans="1:6" x14ac:dyDescent="0.25">
      <c r="A56" s="1">
        <v>2</v>
      </c>
      <c r="B56" s="1">
        <v>2</v>
      </c>
      <c r="C56" s="2">
        <f t="shared" si="0"/>
        <v>0</v>
      </c>
      <c r="D56" s="1">
        <f t="shared" si="1"/>
        <v>0.16000000000000003</v>
      </c>
      <c r="F56" s="6" t="s">
        <v>21</v>
      </c>
    </row>
    <row r="57" spans="1:6" x14ac:dyDescent="0.25">
      <c r="A57" s="1">
        <v>3</v>
      </c>
      <c r="B57" s="1">
        <v>3</v>
      </c>
      <c r="C57" s="2">
        <f t="shared" si="0"/>
        <v>0</v>
      </c>
      <c r="D57" s="1">
        <f t="shared" si="1"/>
        <v>0.16000000000000003</v>
      </c>
    </row>
    <row r="58" spans="1:6" x14ac:dyDescent="0.25">
      <c r="A58" s="1">
        <v>3</v>
      </c>
      <c r="B58" s="1">
        <v>4</v>
      </c>
      <c r="C58" s="2">
        <f t="shared" si="0"/>
        <v>1</v>
      </c>
      <c r="D58" s="1">
        <f t="shared" si="1"/>
        <v>0.36</v>
      </c>
      <c r="F58" t="s">
        <v>19</v>
      </c>
    </row>
    <row r="59" spans="1:6" x14ac:dyDescent="0.25">
      <c r="A59" s="1">
        <v>3</v>
      </c>
      <c r="B59" s="1">
        <v>4</v>
      </c>
      <c r="C59" s="2">
        <f t="shared" si="0"/>
        <v>1</v>
      </c>
      <c r="D59" s="1">
        <f t="shared" si="1"/>
        <v>0.36</v>
      </c>
      <c r="F59" t="s">
        <v>18</v>
      </c>
    </row>
    <row r="60" spans="1:6" x14ac:dyDescent="0.25">
      <c r="A60" s="1">
        <v>4</v>
      </c>
      <c r="B60" s="1">
        <v>4</v>
      </c>
      <c r="C60" s="2">
        <f t="shared" si="0"/>
        <v>0</v>
      </c>
      <c r="D60" s="1">
        <f t="shared" si="1"/>
        <v>0.16000000000000003</v>
      </c>
      <c r="F60" t="s">
        <v>20</v>
      </c>
    </row>
    <row r="61" spans="1:6" x14ac:dyDescent="0.25">
      <c r="A61" s="1">
        <v>2</v>
      </c>
      <c r="B61" s="1">
        <v>2</v>
      </c>
      <c r="C61" s="2">
        <f t="shared" si="0"/>
        <v>0</v>
      </c>
      <c r="D61" s="1">
        <f t="shared" si="1"/>
        <v>0.16000000000000003</v>
      </c>
    </row>
    <row r="62" spans="1:6" x14ac:dyDescent="0.25">
      <c r="A62" s="1">
        <v>2</v>
      </c>
      <c r="B62" s="1">
        <v>2</v>
      </c>
      <c r="C62" s="2">
        <f t="shared" si="0"/>
        <v>0</v>
      </c>
      <c r="D62" s="1">
        <f t="shared" si="1"/>
        <v>0.16000000000000003</v>
      </c>
    </row>
    <row r="63" spans="1:6" x14ac:dyDescent="0.25">
      <c r="A63" s="1">
        <v>1</v>
      </c>
      <c r="B63" s="1">
        <v>1</v>
      </c>
      <c r="C63" s="2">
        <f t="shared" si="0"/>
        <v>0</v>
      </c>
      <c r="D63" s="1">
        <f t="shared" si="1"/>
        <v>0.16000000000000003</v>
      </c>
    </row>
    <row r="64" spans="1:6" x14ac:dyDescent="0.25">
      <c r="A64" s="1">
        <v>5</v>
      </c>
      <c r="B64" s="1">
        <v>5</v>
      </c>
      <c r="C64" s="2">
        <f t="shared" si="0"/>
        <v>0</v>
      </c>
      <c r="D64" s="1">
        <f t="shared" si="1"/>
        <v>0.16000000000000003</v>
      </c>
    </row>
    <row r="65" spans="1:6" x14ac:dyDescent="0.25">
      <c r="A65" s="1">
        <v>2</v>
      </c>
      <c r="B65" s="1">
        <v>2</v>
      </c>
      <c r="C65" s="2">
        <f t="shared" si="0"/>
        <v>0</v>
      </c>
      <c r="D65" s="1">
        <f t="shared" si="1"/>
        <v>0.16000000000000003</v>
      </c>
      <c r="F65" s="6" t="s">
        <v>21</v>
      </c>
    </row>
    <row r="66" spans="1:6" x14ac:dyDescent="0.25">
      <c r="A66" s="1">
        <v>1</v>
      </c>
      <c r="B66" s="1">
        <v>3</v>
      </c>
      <c r="C66" s="2">
        <f t="shared" si="0"/>
        <v>2</v>
      </c>
      <c r="D66" s="1">
        <f t="shared" si="1"/>
        <v>2.5600000000000005</v>
      </c>
    </row>
    <row r="67" spans="1:6" x14ac:dyDescent="0.25">
      <c r="A67" s="1">
        <v>4</v>
      </c>
      <c r="B67" s="1">
        <v>4</v>
      </c>
      <c r="C67" s="2">
        <f t="shared" ref="C67:C76" si="2">B67-A67</f>
        <v>0</v>
      </c>
      <c r="D67" s="1">
        <f t="shared" si="1"/>
        <v>0.16000000000000003</v>
      </c>
    </row>
    <row r="68" spans="1:6" x14ac:dyDescent="0.25">
      <c r="A68" s="1">
        <v>5</v>
      </c>
      <c r="B68" s="1">
        <v>5</v>
      </c>
      <c r="C68" s="2">
        <f t="shared" si="2"/>
        <v>0</v>
      </c>
      <c r="D68" s="1">
        <f t="shared" si="1"/>
        <v>0.16000000000000003</v>
      </c>
    </row>
    <row r="69" spans="1:6" x14ac:dyDescent="0.25">
      <c r="A69" s="1">
        <v>2</v>
      </c>
      <c r="B69" s="1">
        <v>3</v>
      </c>
      <c r="C69" s="2">
        <f t="shared" si="2"/>
        <v>1</v>
      </c>
      <c r="D69" s="1">
        <f t="shared" ref="D69:D76" si="3">(C69-$G$6)^2</f>
        <v>0.36</v>
      </c>
    </row>
    <row r="70" spans="1:6" x14ac:dyDescent="0.25">
      <c r="A70" s="1">
        <v>3</v>
      </c>
      <c r="B70" s="1">
        <v>3</v>
      </c>
      <c r="C70" s="2">
        <f t="shared" si="2"/>
        <v>0</v>
      </c>
      <c r="D70" s="1">
        <f t="shared" si="3"/>
        <v>0.16000000000000003</v>
      </c>
    </row>
    <row r="71" spans="1:6" x14ac:dyDescent="0.25">
      <c r="A71" s="1">
        <v>2</v>
      </c>
      <c r="B71" s="1">
        <v>2</v>
      </c>
      <c r="C71" s="2">
        <f t="shared" si="2"/>
        <v>0</v>
      </c>
      <c r="D71" s="1">
        <f t="shared" si="3"/>
        <v>0.16000000000000003</v>
      </c>
    </row>
    <row r="72" spans="1:6" x14ac:dyDescent="0.25">
      <c r="A72" s="1">
        <v>5</v>
      </c>
      <c r="B72" s="1">
        <v>5</v>
      </c>
      <c r="C72" s="2">
        <f t="shared" si="2"/>
        <v>0</v>
      </c>
      <c r="D72" s="1">
        <f t="shared" si="3"/>
        <v>0.16000000000000003</v>
      </c>
      <c r="F72" t="s">
        <v>22</v>
      </c>
    </row>
    <row r="73" spans="1:6" x14ac:dyDescent="0.25">
      <c r="A73" s="1">
        <v>2</v>
      </c>
      <c r="B73" s="1">
        <v>4</v>
      </c>
      <c r="C73" s="2">
        <f t="shared" si="2"/>
        <v>2</v>
      </c>
      <c r="D73" s="1">
        <f t="shared" si="3"/>
        <v>2.5600000000000005</v>
      </c>
      <c r="F73" t="s">
        <v>20</v>
      </c>
    </row>
    <row r="74" spans="1:6" x14ac:dyDescent="0.25">
      <c r="A74" s="1">
        <v>4</v>
      </c>
      <c r="B74" s="1">
        <v>5</v>
      </c>
      <c r="C74" s="2">
        <f t="shared" si="2"/>
        <v>1</v>
      </c>
      <c r="D74" s="1">
        <f t="shared" si="3"/>
        <v>0.36</v>
      </c>
      <c r="F74" t="s">
        <v>22</v>
      </c>
    </row>
    <row r="75" spans="1:6" x14ac:dyDescent="0.25">
      <c r="A75" s="1">
        <v>4</v>
      </c>
      <c r="B75" s="1">
        <v>5</v>
      </c>
      <c r="C75" s="2">
        <f t="shared" si="2"/>
        <v>1</v>
      </c>
      <c r="D75" s="1">
        <f t="shared" si="3"/>
        <v>0.36</v>
      </c>
      <c r="F75" t="s">
        <v>20</v>
      </c>
    </row>
    <row r="76" spans="1:6" x14ac:dyDescent="0.25">
      <c r="A76" s="1">
        <v>4</v>
      </c>
      <c r="B76" s="1">
        <v>4</v>
      </c>
      <c r="C76" s="2">
        <f t="shared" si="2"/>
        <v>0</v>
      </c>
      <c r="D76" s="1">
        <f t="shared" si="3"/>
        <v>0.16000000000000003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3"/>
  <sheetViews>
    <sheetView zoomScale="70" zoomScaleNormal="70" workbookViewId="0">
      <selection activeCell="A7" sqref="A7"/>
    </sheetView>
  </sheetViews>
  <sheetFormatPr baseColWidth="10" defaultColWidth="9.140625" defaultRowHeight="15" x14ac:dyDescent="0.25"/>
  <cols>
    <col min="1" max="1" width="30.140625" style="1" customWidth="1"/>
    <col min="2" max="2" width="30.1406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8.9" customHeight="1" x14ac:dyDescent="0.25">
      <c r="A1" s="3" t="s">
        <v>41</v>
      </c>
      <c r="B1" s="4" t="s">
        <v>40</v>
      </c>
      <c r="C1" s="5" t="s">
        <v>0</v>
      </c>
      <c r="D1" s="5"/>
    </row>
    <row r="2" spans="1:7" x14ac:dyDescent="0.25">
      <c r="A2" s="1">
        <v>1</v>
      </c>
      <c r="B2" s="1">
        <v>2</v>
      </c>
      <c r="C2" s="2">
        <f>B2-A2</f>
        <v>1</v>
      </c>
      <c r="D2" s="1">
        <f>(C2-$G$6)^2</f>
        <v>0.31360000000000005</v>
      </c>
    </row>
    <row r="3" spans="1:7" x14ac:dyDescent="0.25">
      <c r="A3" s="1">
        <v>4</v>
      </c>
      <c r="B3" s="1">
        <v>4</v>
      </c>
      <c r="C3" s="2">
        <f t="shared" ref="C3:C66" si="0">B3-A3</f>
        <v>0</v>
      </c>
      <c r="D3" s="1">
        <f>(C3-$G$6)^2</f>
        <v>0.19359999999999999</v>
      </c>
      <c r="F3" s="6" t="s">
        <v>15</v>
      </c>
      <c r="G3" s="6"/>
    </row>
    <row r="4" spans="1:7" x14ac:dyDescent="0.25">
      <c r="A4" s="1">
        <v>1</v>
      </c>
      <c r="B4" s="1">
        <v>2</v>
      </c>
      <c r="C4" s="2">
        <f t="shared" si="0"/>
        <v>1</v>
      </c>
      <c r="D4" s="1">
        <f>(C4-$G$6)^2</f>
        <v>0.31360000000000005</v>
      </c>
      <c r="F4" t="s">
        <v>3</v>
      </c>
      <c r="G4">
        <f>COUNT(A:A)</f>
        <v>75</v>
      </c>
    </row>
    <row r="5" spans="1:7" x14ac:dyDescent="0.25">
      <c r="A5" s="1">
        <v>3</v>
      </c>
      <c r="B5" s="1">
        <v>4</v>
      </c>
      <c r="C5" s="2">
        <f t="shared" si="0"/>
        <v>1</v>
      </c>
      <c r="D5" s="1">
        <f t="shared" ref="D5:D68" si="1">(C5-$G$6)^2</f>
        <v>0.31360000000000005</v>
      </c>
      <c r="F5" t="s">
        <v>2</v>
      </c>
      <c r="G5">
        <f>SUM(C:C)</f>
        <v>33</v>
      </c>
    </row>
    <row r="6" spans="1:7" x14ac:dyDescent="0.25">
      <c r="A6" s="1">
        <v>4</v>
      </c>
      <c r="B6" s="1">
        <v>4</v>
      </c>
      <c r="C6" s="2">
        <f t="shared" si="0"/>
        <v>0</v>
      </c>
      <c r="D6" s="1">
        <f t="shared" si="1"/>
        <v>0.19359999999999999</v>
      </c>
      <c r="F6" t="s">
        <v>1</v>
      </c>
      <c r="G6">
        <f>G5/G4</f>
        <v>0.44</v>
      </c>
    </row>
    <row r="7" spans="1:7" x14ac:dyDescent="0.25">
      <c r="A7" s="1">
        <v>3</v>
      </c>
      <c r="B7" s="1">
        <v>3</v>
      </c>
      <c r="C7" s="2">
        <f t="shared" si="0"/>
        <v>0</v>
      </c>
      <c r="D7" s="1">
        <f t="shared" si="1"/>
        <v>0.19359999999999999</v>
      </c>
      <c r="F7" t="s">
        <v>26</v>
      </c>
      <c r="G7">
        <f>SUM(D:D)</f>
        <v>18.479999999999997</v>
      </c>
    </row>
    <row r="8" spans="1:7" x14ac:dyDescent="0.25">
      <c r="A8" s="1">
        <v>1</v>
      </c>
      <c r="B8" s="1">
        <v>2</v>
      </c>
      <c r="C8" s="2">
        <f t="shared" si="0"/>
        <v>1</v>
      </c>
      <c r="D8" s="1">
        <f t="shared" si="1"/>
        <v>0.31360000000000005</v>
      </c>
      <c r="F8" t="s">
        <v>4</v>
      </c>
      <c r="G8">
        <f>SQRT(G7/(G4-1))</f>
        <v>0.49972965664419966</v>
      </c>
    </row>
    <row r="9" spans="1:7" x14ac:dyDescent="0.25">
      <c r="A9" s="1">
        <v>3</v>
      </c>
      <c r="B9" s="1">
        <v>4</v>
      </c>
      <c r="C9" s="2">
        <f t="shared" si="0"/>
        <v>1</v>
      </c>
      <c r="D9" s="1">
        <f t="shared" si="1"/>
        <v>0.31360000000000005</v>
      </c>
    </row>
    <row r="10" spans="1:7" x14ac:dyDescent="0.25">
      <c r="A10" s="1">
        <v>4</v>
      </c>
      <c r="B10" s="1">
        <v>5</v>
      </c>
      <c r="C10" s="2">
        <f t="shared" si="0"/>
        <v>1</v>
      </c>
      <c r="D10" s="1">
        <f t="shared" si="1"/>
        <v>0.31360000000000005</v>
      </c>
    </row>
    <row r="11" spans="1:7" x14ac:dyDescent="0.25">
      <c r="A11" s="1">
        <v>3</v>
      </c>
      <c r="B11" s="1">
        <v>4</v>
      </c>
      <c r="C11" s="2">
        <f t="shared" si="0"/>
        <v>1</v>
      </c>
      <c r="D11" s="1">
        <f t="shared" si="1"/>
        <v>0.31360000000000005</v>
      </c>
    </row>
    <row r="12" spans="1:7" x14ac:dyDescent="0.25">
      <c r="A12" s="1">
        <v>4</v>
      </c>
      <c r="B12" s="1">
        <v>4</v>
      </c>
      <c r="C12" s="2">
        <f t="shared" si="0"/>
        <v>0</v>
      </c>
      <c r="D12" s="1">
        <f t="shared" si="1"/>
        <v>0.19359999999999999</v>
      </c>
      <c r="F12" t="s">
        <v>10</v>
      </c>
      <c r="G12">
        <f>G6/(G8/SQRT(G4))</f>
        <v>7.6251463686185827</v>
      </c>
    </row>
    <row r="13" spans="1:7" x14ac:dyDescent="0.25">
      <c r="A13" s="1">
        <v>5</v>
      </c>
      <c r="B13" s="1">
        <v>5</v>
      </c>
      <c r="C13" s="2">
        <f t="shared" si="0"/>
        <v>0</v>
      </c>
      <c r="D13" s="1">
        <f t="shared" si="1"/>
        <v>0.19359999999999999</v>
      </c>
    </row>
    <row r="14" spans="1:7" x14ac:dyDescent="0.25">
      <c r="A14" s="1">
        <v>4</v>
      </c>
      <c r="B14" s="1">
        <v>5</v>
      </c>
      <c r="C14" s="2">
        <f t="shared" si="0"/>
        <v>1</v>
      </c>
      <c r="D14" s="1">
        <f t="shared" si="1"/>
        <v>0.31360000000000005</v>
      </c>
    </row>
    <row r="15" spans="1:7" x14ac:dyDescent="0.25">
      <c r="A15" s="1">
        <v>4</v>
      </c>
      <c r="B15" s="1">
        <v>5</v>
      </c>
      <c r="C15" s="2">
        <f t="shared" si="0"/>
        <v>1</v>
      </c>
      <c r="D15" s="1">
        <f t="shared" si="1"/>
        <v>0.31360000000000005</v>
      </c>
    </row>
    <row r="16" spans="1:7" x14ac:dyDescent="0.25">
      <c r="A16" s="1">
        <v>4</v>
      </c>
      <c r="B16" s="1">
        <v>4</v>
      </c>
      <c r="C16" s="2">
        <f t="shared" si="0"/>
        <v>0</v>
      </c>
      <c r="D16" s="1">
        <f t="shared" si="1"/>
        <v>0.19359999999999999</v>
      </c>
    </row>
    <row r="17" spans="1:7" x14ac:dyDescent="0.25">
      <c r="A17" s="1">
        <v>4</v>
      </c>
      <c r="B17" s="1">
        <v>5</v>
      </c>
      <c r="C17" s="2">
        <f t="shared" si="0"/>
        <v>1</v>
      </c>
      <c r="D17" s="1">
        <f t="shared" si="1"/>
        <v>0.31360000000000005</v>
      </c>
      <c r="F17" t="s">
        <v>5</v>
      </c>
      <c r="G17">
        <v>0.05</v>
      </c>
    </row>
    <row r="18" spans="1:7" x14ac:dyDescent="0.25">
      <c r="A18" s="1">
        <v>3</v>
      </c>
      <c r="B18" s="1">
        <v>4</v>
      </c>
      <c r="C18" s="2">
        <f t="shared" si="0"/>
        <v>1</v>
      </c>
      <c r="D18" s="1">
        <f t="shared" si="1"/>
        <v>0.31360000000000005</v>
      </c>
      <c r="F18" t="s">
        <v>6</v>
      </c>
      <c r="G18">
        <f>G4-1</f>
        <v>74</v>
      </c>
    </row>
    <row r="19" spans="1:7" x14ac:dyDescent="0.25">
      <c r="A19" s="1">
        <v>4</v>
      </c>
      <c r="B19" s="1">
        <v>4</v>
      </c>
      <c r="C19" s="2">
        <f t="shared" si="0"/>
        <v>0</v>
      </c>
      <c r="D19" s="1">
        <f t="shared" si="1"/>
        <v>0.19359999999999999</v>
      </c>
    </row>
    <row r="20" spans="1:7" x14ac:dyDescent="0.25">
      <c r="A20" s="1">
        <v>4</v>
      </c>
      <c r="B20" s="1">
        <v>5</v>
      </c>
      <c r="C20" s="2">
        <f t="shared" si="0"/>
        <v>1</v>
      </c>
      <c r="D20" s="1">
        <f t="shared" si="1"/>
        <v>0.31360000000000005</v>
      </c>
    </row>
    <row r="21" spans="1:7" x14ac:dyDescent="0.25">
      <c r="A21" s="1">
        <v>1</v>
      </c>
      <c r="B21" s="1">
        <v>1</v>
      </c>
      <c r="C21" s="2">
        <f t="shared" si="0"/>
        <v>0</v>
      </c>
      <c r="D21" s="1">
        <f t="shared" si="1"/>
        <v>0.19359999999999999</v>
      </c>
    </row>
    <row r="22" spans="1:7" x14ac:dyDescent="0.25">
      <c r="A22" s="1">
        <v>3</v>
      </c>
      <c r="B22" s="1">
        <v>3</v>
      </c>
      <c r="C22" s="2">
        <f t="shared" si="0"/>
        <v>0</v>
      </c>
      <c r="D22" s="1">
        <f t="shared" si="1"/>
        <v>0.19359999999999999</v>
      </c>
      <c r="F22" s="6" t="s">
        <v>7</v>
      </c>
      <c r="G22" s="6"/>
    </row>
    <row r="23" spans="1:7" x14ac:dyDescent="0.25">
      <c r="A23" s="1">
        <v>3</v>
      </c>
      <c r="B23" s="1">
        <v>3</v>
      </c>
      <c r="C23" s="2">
        <f t="shared" si="0"/>
        <v>0</v>
      </c>
      <c r="D23" s="1">
        <f t="shared" si="1"/>
        <v>0.19359999999999999</v>
      </c>
      <c r="F23" t="s">
        <v>24</v>
      </c>
      <c r="G23">
        <f>_xlfn.T.INV.2T(G17,G18)</f>
        <v>1.992543495180934</v>
      </c>
    </row>
    <row r="24" spans="1:7" x14ac:dyDescent="0.25">
      <c r="A24" s="1">
        <v>4</v>
      </c>
      <c r="B24" s="1">
        <v>5</v>
      </c>
      <c r="C24" s="2">
        <f t="shared" si="0"/>
        <v>1</v>
      </c>
      <c r="D24" s="1">
        <f t="shared" si="1"/>
        <v>0.31360000000000005</v>
      </c>
      <c r="F24" t="s">
        <v>25</v>
      </c>
      <c r="G24">
        <f>_xlfn.T.INV(G17,G18)</f>
        <v>-1.6657068927340244</v>
      </c>
    </row>
    <row r="25" spans="1:7" x14ac:dyDescent="0.25">
      <c r="A25" s="1">
        <v>4</v>
      </c>
      <c r="B25" s="1">
        <v>5</v>
      </c>
      <c r="C25" s="2">
        <f t="shared" si="0"/>
        <v>1</v>
      </c>
      <c r="D25" s="1">
        <f t="shared" si="1"/>
        <v>0.31360000000000005</v>
      </c>
    </row>
    <row r="26" spans="1:7" x14ac:dyDescent="0.25">
      <c r="A26" s="1">
        <v>5</v>
      </c>
      <c r="B26" s="1">
        <v>5</v>
      </c>
      <c r="C26" s="2">
        <f t="shared" si="0"/>
        <v>0</v>
      </c>
      <c r="D26" s="1">
        <f t="shared" si="1"/>
        <v>0.19359999999999999</v>
      </c>
    </row>
    <row r="27" spans="1:7" x14ac:dyDescent="0.25">
      <c r="A27" s="1">
        <v>4</v>
      </c>
      <c r="B27" s="1">
        <v>5</v>
      </c>
      <c r="C27" s="2">
        <f t="shared" si="0"/>
        <v>1</v>
      </c>
      <c r="D27" s="1">
        <f t="shared" si="1"/>
        <v>0.31360000000000005</v>
      </c>
    </row>
    <row r="28" spans="1:7" x14ac:dyDescent="0.25">
      <c r="A28" s="1">
        <v>4</v>
      </c>
      <c r="B28" s="1">
        <v>5</v>
      </c>
      <c r="C28" s="2">
        <f t="shared" si="0"/>
        <v>1</v>
      </c>
      <c r="D28" s="1">
        <f t="shared" si="1"/>
        <v>0.31360000000000005</v>
      </c>
    </row>
    <row r="29" spans="1:7" x14ac:dyDescent="0.25">
      <c r="A29" s="1">
        <v>4</v>
      </c>
      <c r="B29" s="1">
        <v>4</v>
      </c>
      <c r="C29" s="2">
        <f t="shared" si="0"/>
        <v>0</v>
      </c>
      <c r="D29" s="1">
        <f t="shared" si="1"/>
        <v>0.19359999999999999</v>
      </c>
    </row>
    <row r="30" spans="1:7" x14ac:dyDescent="0.25">
      <c r="A30" s="1">
        <v>5</v>
      </c>
      <c r="B30" s="1">
        <v>5</v>
      </c>
      <c r="C30" s="2">
        <f t="shared" si="0"/>
        <v>0</v>
      </c>
      <c r="D30" s="1">
        <f t="shared" si="1"/>
        <v>0.19359999999999999</v>
      </c>
    </row>
    <row r="31" spans="1:7" x14ac:dyDescent="0.25">
      <c r="A31" s="1">
        <v>5</v>
      </c>
      <c r="B31" s="1">
        <v>5</v>
      </c>
      <c r="C31" s="2">
        <f t="shared" si="0"/>
        <v>0</v>
      </c>
      <c r="D31" s="1">
        <f t="shared" si="1"/>
        <v>0.19359999999999999</v>
      </c>
    </row>
    <row r="32" spans="1:7" x14ac:dyDescent="0.25">
      <c r="A32" s="1">
        <v>3</v>
      </c>
      <c r="B32" s="1">
        <v>4</v>
      </c>
      <c r="C32" s="2">
        <f t="shared" si="0"/>
        <v>1</v>
      </c>
      <c r="D32" s="1">
        <f t="shared" si="1"/>
        <v>0.31360000000000005</v>
      </c>
    </row>
    <row r="33" spans="1:7" x14ac:dyDescent="0.25">
      <c r="A33" s="1">
        <v>4</v>
      </c>
      <c r="B33" s="1">
        <v>5</v>
      </c>
      <c r="C33" s="2">
        <f t="shared" si="0"/>
        <v>1</v>
      </c>
      <c r="D33" s="1">
        <f t="shared" si="1"/>
        <v>0.31360000000000005</v>
      </c>
    </row>
    <row r="34" spans="1:7" x14ac:dyDescent="0.25">
      <c r="A34" s="1">
        <v>3</v>
      </c>
      <c r="B34" s="1">
        <v>4</v>
      </c>
      <c r="C34" s="2">
        <f t="shared" si="0"/>
        <v>1</v>
      </c>
      <c r="D34" s="1">
        <f t="shared" si="1"/>
        <v>0.31360000000000005</v>
      </c>
      <c r="F34" t="s">
        <v>8</v>
      </c>
    </row>
    <row r="35" spans="1:7" x14ac:dyDescent="0.25">
      <c r="A35" s="1">
        <v>3</v>
      </c>
      <c r="B35" s="1">
        <v>3</v>
      </c>
      <c r="C35" s="2">
        <f t="shared" si="0"/>
        <v>0</v>
      </c>
      <c r="D35" s="1">
        <f t="shared" si="1"/>
        <v>0.19359999999999999</v>
      </c>
      <c r="F35" t="s">
        <v>9</v>
      </c>
    </row>
    <row r="36" spans="1:7" x14ac:dyDescent="0.25">
      <c r="A36" s="1">
        <v>2</v>
      </c>
      <c r="B36" s="1">
        <v>2</v>
      </c>
      <c r="C36" s="2">
        <f t="shared" si="0"/>
        <v>0</v>
      </c>
      <c r="D36" s="1">
        <f t="shared" si="1"/>
        <v>0.19359999999999999</v>
      </c>
    </row>
    <row r="37" spans="1:7" x14ac:dyDescent="0.25">
      <c r="A37" s="1">
        <v>5</v>
      </c>
      <c r="B37" s="1">
        <v>5</v>
      </c>
      <c r="C37" s="2">
        <f t="shared" si="0"/>
        <v>0</v>
      </c>
      <c r="D37" s="1">
        <f t="shared" si="1"/>
        <v>0.19359999999999999</v>
      </c>
    </row>
    <row r="38" spans="1:7" x14ac:dyDescent="0.25">
      <c r="A38" s="1">
        <v>2</v>
      </c>
      <c r="B38" s="1">
        <v>2</v>
      </c>
      <c r="C38" s="2">
        <f t="shared" si="0"/>
        <v>0</v>
      </c>
      <c r="D38" s="1">
        <f t="shared" si="1"/>
        <v>0.19359999999999999</v>
      </c>
    </row>
    <row r="39" spans="1:7" x14ac:dyDescent="0.25">
      <c r="A39" s="1">
        <v>3</v>
      </c>
      <c r="B39" s="1">
        <v>4</v>
      </c>
      <c r="C39" s="2">
        <f t="shared" si="0"/>
        <v>1</v>
      </c>
      <c r="D39" s="1">
        <f t="shared" si="1"/>
        <v>0.31360000000000005</v>
      </c>
      <c r="F39" s="6" t="s">
        <v>11</v>
      </c>
      <c r="G39" s="6"/>
    </row>
    <row r="40" spans="1:7" x14ac:dyDescent="0.25">
      <c r="A40" s="1">
        <v>5</v>
      </c>
      <c r="B40" s="1">
        <v>5</v>
      </c>
      <c r="C40" s="2">
        <f t="shared" si="0"/>
        <v>0</v>
      </c>
      <c r="D40" s="1">
        <f t="shared" si="1"/>
        <v>0.19359999999999999</v>
      </c>
      <c r="F40" t="s">
        <v>11</v>
      </c>
    </row>
    <row r="41" spans="1:7" x14ac:dyDescent="0.25">
      <c r="A41" s="1">
        <v>2</v>
      </c>
      <c r="B41" s="1">
        <v>3</v>
      </c>
      <c r="C41" s="2">
        <f t="shared" si="0"/>
        <v>1</v>
      </c>
      <c r="D41" s="1">
        <f t="shared" si="1"/>
        <v>0.31360000000000005</v>
      </c>
      <c r="F41" t="s">
        <v>23</v>
      </c>
      <c r="G41">
        <f>TTEST(A:A,B:B,2,1)</f>
        <v>6.6082907716657312E-11</v>
      </c>
    </row>
    <row r="42" spans="1:7" x14ac:dyDescent="0.25">
      <c r="A42" s="1">
        <v>1</v>
      </c>
      <c r="B42" s="1">
        <v>1</v>
      </c>
      <c r="C42" s="2">
        <f t="shared" si="0"/>
        <v>0</v>
      </c>
      <c r="D42" s="1">
        <f t="shared" si="1"/>
        <v>0.19359999999999999</v>
      </c>
      <c r="F42" t="s">
        <v>27</v>
      </c>
      <c r="G42">
        <f>TTEST(A:A,B:B,1,1)</f>
        <v>3.3041453858328656E-11</v>
      </c>
    </row>
    <row r="43" spans="1:7" x14ac:dyDescent="0.25">
      <c r="A43" s="1">
        <v>5</v>
      </c>
      <c r="B43" s="1">
        <v>5</v>
      </c>
      <c r="C43" s="2">
        <f t="shared" si="0"/>
        <v>0</v>
      </c>
      <c r="D43" s="1">
        <f t="shared" si="1"/>
        <v>0.19359999999999999</v>
      </c>
    </row>
    <row r="44" spans="1:7" x14ac:dyDescent="0.25">
      <c r="A44" s="1">
        <v>4</v>
      </c>
      <c r="B44" s="1">
        <v>4</v>
      </c>
      <c r="C44" s="2">
        <f t="shared" si="0"/>
        <v>0</v>
      </c>
      <c r="D44" s="1">
        <f t="shared" si="1"/>
        <v>0.19359999999999999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0.19359999999999999</v>
      </c>
      <c r="F45" s="6" t="s">
        <v>14</v>
      </c>
      <c r="G45" s="6"/>
    </row>
    <row r="46" spans="1:7" x14ac:dyDescent="0.25">
      <c r="A46" s="1">
        <v>2</v>
      </c>
      <c r="B46" s="1">
        <v>2</v>
      </c>
      <c r="C46" s="2">
        <f t="shared" si="0"/>
        <v>0</v>
      </c>
      <c r="D46" s="1">
        <f t="shared" si="1"/>
        <v>0.19359999999999999</v>
      </c>
    </row>
    <row r="47" spans="1:7" x14ac:dyDescent="0.25">
      <c r="A47" s="1">
        <v>4</v>
      </c>
      <c r="B47" s="1">
        <v>5</v>
      </c>
      <c r="C47" s="2">
        <f t="shared" si="0"/>
        <v>1</v>
      </c>
      <c r="D47" s="1">
        <f t="shared" si="1"/>
        <v>0.31360000000000005</v>
      </c>
      <c r="F47" t="s">
        <v>12</v>
      </c>
    </row>
    <row r="48" spans="1:7" x14ac:dyDescent="0.25">
      <c r="A48" s="1">
        <v>4</v>
      </c>
      <c r="B48" s="1">
        <v>4</v>
      </c>
      <c r="C48" s="2">
        <f t="shared" si="0"/>
        <v>0</v>
      </c>
      <c r="D48" s="1">
        <f t="shared" si="1"/>
        <v>0.19359999999999999</v>
      </c>
      <c r="F48" t="s">
        <v>13</v>
      </c>
    </row>
    <row r="49" spans="1:6" x14ac:dyDescent="0.25">
      <c r="A49" s="1">
        <v>3</v>
      </c>
      <c r="B49" s="1">
        <v>4</v>
      </c>
      <c r="C49" s="2">
        <f t="shared" si="0"/>
        <v>1</v>
      </c>
      <c r="D49" s="1">
        <f t="shared" si="1"/>
        <v>0.31360000000000005</v>
      </c>
    </row>
    <row r="50" spans="1:6" x14ac:dyDescent="0.25">
      <c r="A50" s="1">
        <v>3</v>
      </c>
      <c r="B50" s="1">
        <v>3</v>
      </c>
      <c r="C50" s="2">
        <f t="shared" si="0"/>
        <v>0</v>
      </c>
      <c r="D50" s="1">
        <f t="shared" si="1"/>
        <v>0.19359999999999999</v>
      </c>
      <c r="F50" t="s">
        <v>16</v>
      </c>
    </row>
    <row r="51" spans="1:6" x14ac:dyDescent="0.25">
      <c r="A51" s="1">
        <v>3</v>
      </c>
      <c r="B51" s="1">
        <v>3</v>
      </c>
      <c r="C51" s="2">
        <f t="shared" si="0"/>
        <v>0</v>
      </c>
      <c r="D51" s="1">
        <f t="shared" si="1"/>
        <v>0.19359999999999999</v>
      </c>
      <c r="F51" t="s">
        <v>17</v>
      </c>
    </row>
    <row r="52" spans="1:6" x14ac:dyDescent="0.25">
      <c r="A52" s="1">
        <v>3</v>
      </c>
      <c r="B52" s="1">
        <v>4</v>
      </c>
      <c r="C52" s="2">
        <f t="shared" si="0"/>
        <v>1</v>
      </c>
      <c r="D52" s="1">
        <f t="shared" si="1"/>
        <v>0.31360000000000005</v>
      </c>
    </row>
    <row r="53" spans="1:6" x14ac:dyDescent="0.25">
      <c r="A53" s="1">
        <v>3</v>
      </c>
      <c r="B53" s="1">
        <v>4</v>
      </c>
      <c r="C53" s="2">
        <f t="shared" si="0"/>
        <v>1</v>
      </c>
      <c r="D53" s="1">
        <f t="shared" si="1"/>
        <v>0.31360000000000005</v>
      </c>
    </row>
    <row r="54" spans="1:6" x14ac:dyDescent="0.25">
      <c r="A54" s="1">
        <v>2</v>
      </c>
      <c r="B54" s="1">
        <v>3</v>
      </c>
      <c r="C54" s="2">
        <f t="shared" si="0"/>
        <v>1</v>
      </c>
      <c r="D54" s="1">
        <f t="shared" si="1"/>
        <v>0.31360000000000005</v>
      </c>
    </row>
    <row r="55" spans="1:6" x14ac:dyDescent="0.25">
      <c r="A55" s="1">
        <v>5</v>
      </c>
      <c r="B55" s="1">
        <v>5</v>
      </c>
      <c r="C55" s="2">
        <f t="shared" si="0"/>
        <v>0</v>
      </c>
      <c r="D55" s="1">
        <f t="shared" si="1"/>
        <v>0.19359999999999999</v>
      </c>
    </row>
    <row r="56" spans="1:6" x14ac:dyDescent="0.25">
      <c r="A56" s="1">
        <v>4</v>
      </c>
      <c r="B56" s="1">
        <v>4</v>
      </c>
      <c r="C56" s="2">
        <f t="shared" si="0"/>
        <v>0</v>
      </c>
      <c r="D56" s="1">
        <f t="shared" si="1"/>
        <v>0.19359999999999999</v>
      </c>
      <c r="F56" s="6" t="s">
        <v>21</v>
      </c>
    </row>
    <row r="57" spans="1:6" x14ac:dyDescent="0.25">
      <c r="A57" s="1">
        <v>2</v>
      </c>
      <c r="B57" s="1">
        <v>3</v>
      </c>
      <c r="C57" s="2">
        <f t="shared" si="0"/>
        <v>1</v>
      </c>
      <c r="D57" s="1">
        <f t="shared" si="1"/>
        <v>0.31360000000000005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0.19359999999999999</v>
      </c>
      <c r="F58" t="s">
        <v>19</v>
      </c>
    </row>
    <row r="59" spans="1:6" x14ac:dyDescent="0.25">
      <c r="A59" s="1">
        <v>3</v>
      </c>
      <c r="B59" s="1">
        <v>3</v>
      </c>
      <c r="C59" s="2">
        <f t="shared" si="0"/>
        <v>0</v>
      </c>
      <c r="D59" s="1">
        <f t="shared" si="1"/>
        <v>0.19359999999999999</v>
      </c>
      <c r="F59" t="s">
        <v>18</v>
      </c>
    </row>
    <row r="60" spans="1:6" x14ac:dyDescent="0.25">
      <c r="A60" s="1">
        <v>3</v>
      </c>
      <c r="B60" s="1">
        <v>4</v>
      </c>
      <c r="C60" s="2">
        <f t="shared" si="0"/>
        <v>1</v>
      </c>
      <c r="D60" s="1">
        <f t="shared" si="1"/>
        <v>0.31360000000000005</v>
      </c>
      <c r="F60" t="s">
        <v>20</v>
      </c>
    </row>
    <row r="61" spans="1:6" x14ac:dyDescent="0.25">
      <c r="A61" s="1">
        <v>5</v>
      </c>
      <c r="B61" s="1">
        <v>5</v>
      </c>
      <c r="C61" s="2">
        <f t="shared" si="0"/>
        <v>0</v>
      </c>
      <c r="D61" s="1">
        <f t="shared" si="1"/>
        <v>0.19359999999999999</v>
      </c>
    </row>
    <row r="62" spans="1:6" x14ac:dyDescent="0.25">
      <c r="A62" s="1">
        <v>3</v>
      </c>
      <c r="B62" s="1">
        <v>3</v>
      </c>
      <c r="C62" s="2">
        <f t="shared" si="0"/>
        <v>0</v>
      </c>
      <c r="D62" s="1">
        <f t="shared" si="1"/>
        <v>0.19359999999999999</v>
      </c>
    </row>
    <row r="63" spans="1:6" x14ac:dyDescent="0.25">
      <c r="A63" s="1">
        <v>3</v>
      </c>
      <c r="B63" s="1">
        <v>4</v>
      </c>
      <c r="C63" s="2">
        <f t="shared" si="0"/>
        <v>1</v>
      </c>
      <c r="D63" s="1">
        <f t="shared" si="1"/>
        <v>0.31360000000000005</v>
      </c>
    </row>
    <row r="64" spans="1:6" x14ac:dyDescent="0.25">
      <c r="A64" s="1">
        <v>4</v>
      </c>
      <c r="B64" s="1">
        <v>4</v>
      </c>
      <c r="C64" s="2">
        <f t="shared" si="0"/>
        <v>0</v>
      </c>
      <c r="D64" s="1">
        <f t="shared" si="1"/>
        <v>0.19359999999999999</v>
      </c>
    </row>
    <row r="65" spans="1:6" x14ac:dyDescent="0.25">
      <c r="A65" s="1">
        <v>4</v>
      </c>
      <c r="B65" s="1">
        <v>4</v>
      </c>
      <c r="C65" s="2">
        <f t="shared" si="0"/>
        <v>0</v>
      </c>
      <c r="D65" s="1">
        <f t="shared" si="1"/>
        <v>0.19359999999999999</v>
      </c>
      <c r="F65" s="6" t="s">
        <v>21</v>
      </c>
    </row>
    <row r="66" spans="1:6" x14ac:dyDescent="0.25">
      <c r="A66" s="1">
        <v>3</v>
      </c>
      <c r="B66" s="1">
        <v>3</v>
      </c>
      <c r="C66" s="2">
        <f t="shared" si="0"/>
        <v>0</v>
      </c>
      <c r="D66" s="1">
        <f t="shared" si="1"/>
        <v>0.19359999999999999</v>
      </c>
    </row>
    <row r="67" spans="1:6" x14ac:dyDescent="0.25">
      <c r="A67" s="1">
        <v>5</v>
      </c>
      <c r="B67" s="1">
        <v>5</v>
      </c>
      <c r="C67" s="2">
        <f t="shared" ref="C67:C76" si="2">B67-A67</f>
        <v>0</v>
      </c>
      <c r="D67" s="1">
        <f t="shared" si="1"/>
        <v>0.19359999999999999</v>
      </c>
    </row>
    <row r="68" spans="1:6" x14ac:dyDescent="0.25">
      <c r="A68" s="1">
        <v>4</v>
      </c>
      <c r="B68" s="1">
        <v>5</v>
      </c>
      <c r="C68" s="2">
        <f t="shared" si="2"/>
        <v>1</v>
      </c>
      <c r="D68" s="1">
        <f t="shared" si="1"/>
        <v>0.31360000000000005</v>
      </c>
    </row>
    <row r="69" spans="1:6" x14ac:dyDescent="0.25">
      <c r="A69" s="1">
        <v>4</v>
      </c>
      <c r="B69" s="1">
        <v>4</v>
      </c>
      <c r="C69" s="2">
        <f t="shared" si="2"/>
        <v>0</v>
      </c>
      <c r="D69" s="1">
        <f t="shared" ref="D69:D76" si="3">(C69-$G$6)^2</f>
        <v>0.19359999999999999</v>
      </c>
    </row>
    <row r="70" spans="1:6" x14ac:dyDescent="0.25">
      <c r="A70" s="1">
        <v>4</v>
      </c>
      <c r="B70" s="1">
        <v>5</v>
      </c>
      <c r="C70" s="2">
        <f t="shared" si="2"/>
        <v>1</v>
      </c>
      <c r="D70" s="1">
        <f t="shared" si="3"/>
        <v>0.31360000000000005</v>
      </c>
    </row>
    <row r="71" spans="1:6" x14ac:dyDescent="0.25">
      <c r="A71" s="1">
        <v>5</v>
      </c>
      <c r="B71" s="1">
        <v>5</v>
      </c>
      <c r="C71" s="2">
        <f t="shared" si="2"/>
        <v>0</v>
      </c>
      <c r="D71" s="1">
        <f t="shared" si="3"/>
        <v>0.19359999999999999</v>
      </c>
    </row>
    <row r="72" spans="1:6" x14ac:dyDescent="0.25">
      <c r="A72" s="1">
        <v>2</v>
      </c>
      <c r="B72" s="1">
        <v>3</v>
      </c>
      <c r="C72" s="2">
        <f t="shared" si="2"/>
        <v>1</v>
      </c>
      <c r="D72" s="1">
        <f t="shared" si="3"/>
        <v>0.31360000000000005</v>
      </c>
      <c r="F72" t="s">
        <v>22</v>
      </c>
    </row>
    <row r="73" spans="1:6" x14ac:dyDescent="0.25">
      <c r="A73" s="1">
        <v>3</v>
      </c>
      <c r="B73" s="1">
        <v>4</v>
      </c>
      <c r="C73" s="2">
        <f t="shared" si="2"/>
        <v>1</v>
      </c>
      <c r="D73" s="1">
        <f t="shared" si="3"/>
        <v>0.31360000000000005</v>
      </c>
      <c r="F73" t="s">
        <v>20</v>
      </c>
    </row>
    <row r="74" spans="1:6" x14ac:dyDescent="0.25">
      <c r="A74" s="1">
        <v>2</v>
      </c>
      <c r="B74" s="1">
        <v>2</v>
      </c>
      <c r="C74" s="2">
        <f t="shared" si="2"/>
        <v>0</v>
      </c>
      <c r="D74" s="1">
        <f t="shared" si="3"/>
        <v>0.19359999999999999</v>
      </c>
      <c r="F74" t="s">
        <v>22</v>
      </c>
    </row>
    <row r="75" spans="1:6" x14ac:dyDescent="0.25">
      <c r="A75" s="1">
        <v>2</v>
      </c>
      <c r="B75" s="1">
        <v>2</v>
      </c>
      <c r="C75" s="2">
        <f t="shared" si="2"/>
        <v>0</v>
      </c>
      <c r="D75" s="1">
        <f t="shared" si="3"/>
        <v>0.19359999999999999</v>
      </c>
      <c r="F75" t="s">
        <v>20</v>
      </c>
    </row>
    <row r="76" spans="1:6" x14ac:dyDescent="0.25">
      <c r="A76" s="1">
        <v>3</v>
      </c>
      <c r="B76" s="1">
        <v>3</v>
      </c>
      <c r="C76" s="2">
        <f t="shared" si="2"/>
        <v>0</v>
      </c>
      <c r="D76" s="1">
        <f t="shared" si="3"/>
        <v>0.19359999999999999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3"/>
  <sheetViews>
    <sheetView tabSelected="1" zoomScale="70" zoomScaleNormal="70" workbookViewId="0"/>
  </sheetViews>
  <sheetFormatPr baseColWidth="10" defaultColWidth="9.140625" defaultRowHeight="15" x14ac:dyDescent="0.25"/>
  <cols>
    <col min="1" max="1" width="28.7109375" style="1" customWidth="1"/>
    <col min="2" max="2" width="30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3" customHeight="1" x14ac:dyDescent="0.25">
      <c r="A1" s="3" t="s">
        <v>39</v>
      </c>
      <c r="B1" s="4" t="s">
        <v>38</v>
      </c>
      <c r="C1" s="5" t="s">
        <v>0</v>
      </c>
      <c r="D1" s="5"/>
    </row>
    <row r="2" spans="1:7" x14ac:dyDescent="0.25">
      <c r="A2" s="1">
        <v>3</v>
      </c>
      <c r="B2" s="1">
        <v>3</v>
      </c>
      <c r="C2" s="2">
        <f>B2-A2</f>
        <v>0</v>
      </c>
      <c r="D2" s="1">
        <f>(C2-$G$6)^2</f>
        <v>0.12017777777777779</v>
      </c>
    </row>
    <row r="3" spans="1:7" x14ac:dyDescent="0.25">
      <c r="A3" s="1">
        <v>5</v>
      </c>
      <c r="B3" s="1">
        <v>5</v>
      </c>
      <c r="C3" s="2">
        <f t="shared" ref="C3:C66" si="0">B3-A3</f>
        <v>0</v>
      </c>
      <c r="D3" s="1">
        <f>(C3-$G$6)^2</f>
        <v>0.12017777777777779</v>
      </c>
      <c r="F3" s="6" t="s">
        <v>15</v>
      </c>
      <c r="G3" s="6"/>
    </row>
    <row r="4" spans="1:7" x14ac:dyDescent="0.25">
      <c r="A4" s="1">
        <v>1</v>
      </c>
      <c r="B4" s="1">
        <v>1</v>
      </c>
      <c r="C4" s="2">
        <f t="shared" si="0"/>
        <v>0</v>
      </c>
      <c r="D4" s="1">
        <f>(C4-$G$6)^2</f>
        <v>0.12017777777777779</v>
      </c>
      <c r="F4" t="s">
        <v>3</v>
      </c>
      <c r="G4">
        <f>COUNT(A:A)</f>
        <v>75</v>
      </c>
    </row>
    <row r="5" spans="1:7" x14ac:dyDescent="0.25">
      <c r="A5" s="1">
        <v>1</v>
      </c>
      <c r="B5" s="1">
        <v>1</v>
      </c>
      <c r="C5" s="2">
        <f t="shared" si="0"/>
        <v>0</v>
      </c>
      <c r="D5" s="1">
        <f t="shared" ref="D5:D68" si="1">(C5-$G$6)^2</f>
        <v>0.12017777777777779</v>
      </c>
      <c r="F5" t="s">
        <v>2</v>
      </c>
      <c r="G5">
        <f>SUM(C:C)</f>
        <v>26</v>
      </c>
    </row>
    <row r="6" spans="1:7" x14ac:dyDescent="0.25">
      <c r="A6" s="1">
        <v>3</v>
      </c>
      <c r="B6" s="1">
        <v>4</v>
      </c>
      <c r="C6" s="2">
        <f t="shared" si="0"/>
        <v>1</v>
      </c>
      <c r="D6" s="1">
        <f t="shared" si="1"/>
        <v>0.42684444444444442</v>
      </c>
      <c r="F6" t="s">
        <v>1</v>
      </c>
      <c r="G6">
        <f>G5/G4</f>
        <v>0.34666666666666668</v>
      </c>
    </row>
    <row r="7" spans="1:7" x14ac:dyDescent="0.25">
      <c r="A7" s="1">
        <v>3</v>
      </c>
      <c r="B7" s="1">
        <v>4</v>
      </c>
      <c r="C7" s="2">
        <f t="shared" si="0"/>
        <v>1</v>
      </c>
      <c r="D7" s="1">
        <f t="shared" si="1"/>
        <v>0.42684444444444442</v>
      </c>
      <c r="F7" t="s">
        <v>26</v>
      </c>
      <c r="G7">
        <f>SUM(D:D)</f>
        <v>16.986666666666679</v>
      </c>
    </row>
    <row r="8" spans="1:7" x14ac:dyDescent="0.25">
      <c r="A8" s="1">
        <v>4</v>
      </c>
      <c r="B8" s="1">
        <v>4</v>
      </c>
      <c r="C8" s="2">
        <f t="shared" si="0"/>
        <v>0</v>
      </c>
      <c r="D8" s="1">
        <f t="shared" si="1"/>
        <v>0.12017777777777779</v>
      </c>
      <c r="F8" t="s">
        <v>4</v>
      </c>
      <c r="G8">
        <f>SQRT(G7/(G4-1))</f>
        <v>0.47911329510831746</v>
      </c>
    </row>
    <row r="9" spans="1:7" x14ac:dyDescent="0.25">
      <c r="A9" s="1">
        <v>2</v>
      </c>
      <c r="B9" s="1">
        <v>2</v>
      </c>
      <c r="C9" s="2">
        <f t="shared" si="0"/>
        <v>0</v>
      </c>
      <c r="D9" s="1">
        <f t="shared" si="1"/>
        <v>0.12017777777777779</v>
      </c>
    </row>
    <row r="10" spans="1:7" x14ac:dyDescent="0.25">
      <c r="A10" s="1">
        <v>3</v>
      </c>
      <c r="B10" s="1">
        <v>4</v>
      </c>
      <c r="C10" s="2">
        <f t="shared" si="0"/>
        <v>1</v>
      </c>
      <c r="D10" s="1">
        <f t="shared" si="1"/>
        <v>0.42684444444444442</v>
      </c>
    </row>
    <row r="11" spans="1:7" x14ac:dyDescent="0.25">
      <c r="A11" s="1">
        <v>5</v>
      </c>
      <c r="B11" s="1">
        <v>5</v>
      </c>
      <c r="C11" s="2">
        <f t="shared" si="0"/>
        <v>0</v>
      </c>
      <c r="D11" s="1">
        <f t="shared" si="1"/>
        <v>0.12017777777777779</v>
      </c>
    </row>
    <row r="12" spans="1:7" x14ac:dyDescent="0.25">
      <c r="A12" s="1">
        <v>2</v>
      </c>
      <c r="B12" s="1">
        <v>3</v>
      </c>
      <c r="C12" s="2">
        <f t="shared" si="0"/>
        <v>1</v>
      </c>
      <c r="D12" s="1">
        <f t="shared" si="1"/>
        <v>0.42684444444444442</v>
      </c>
      <c r="F12" t="s">
        <v>10</v>
      </c>
      <c r="G12">
        <f>G6/(G8/SQRT(G4))</f>
        <v>6.2662034855603723</v>
      </c>
    </row>
    <row r="13" spans="1:7" x14ac:dyDescent="0.25">
      <c r="A13" s="1">
        <v>2</v>
      </c>
      <c r="B13" s="1">
        <v>2</v>
      </c>
      <c r="C13" s="2">
        <f t="shared" si="0"/>
        <v>0</v>
      </c>
      <c r="D13" s="1">
        <f t="shared" si="1"/>
        <v>0.12017777777777779</v>
      </c>
    </row>
    <row r="14" spans="1:7" x14ac:dyDescent="0.25">
      <c r="A14" s="1">
        <v>2</v>
      </c>
      <c r="B14" s="1">
        <v>2</v>
      </c>
      <c r="C14" s="2">
        <f t="shared" si="0"/>
        <v>0</v>
      </c>
      <c r="D14" s="1">
        <f t="shared" si="1"/>
        <v>0.12017777777777779</v>
      </c>
    </row>
    <row r="15" spans="1:7" x14ac:dyDescent="0.25">
      <c r="A15" s="1">
        <v>3</v>
      </c>
      <c r="B15" s="1">
        <v>4</v>
      </c>
      <c r="C15" s="2">
        <f t="shared" si="0"/>
        <v>1</v>
      </c>
      <c r="D15" s="1">
        <f t="shared" si="1"/>
        <v>0.42684444444444442</v>
      </c>
    </row>
    <row r="16" spans="1:7" x14ac:dyDescent="0.25">
      <c r="A16" s="1">
        <v>3</v>
      </c>
      <c r="B16" s="1">
        <v>3</v>
      </c>
      <c r="C16" s="2">
        <f t="shared" si="0"/>
        <v>0</v>
      </c>
      <c r="D16" s="1">
        <f t="shared" si="1"/>
        <v>0.12017777777777779</v>
      </c>
    </row>
    <row r="17" spans="1:7" x14ac:dyDescent="0.25">
      <c r="A17" s="1">
        <v>4</v>
      </c>
      <c r="B17" s="1">
        <v>4</v>
      </c>
      <c r="C17" s="2">
        <f t="shared" si="0"/>
        <v>0</v>
      </c>
      <c r="D17" s="1">
        <f t="shared" si="1"/>
        <v>0.12017777777777779</v>
      </c>
      <c r="F17" t="s">
        <v>5</v>
      </c>
      <c r="G17">
        <v>0.05</v>
      </c>
    </row>
    <row r="18" spans="1:7" x14ac:dyDescent="0.25">
      <c r="A18" s="1">
        <v>2</v>
      </c>
      <c r="B18" s="1">
        <v>3</v>
      </c>
      <c r="C18" s="2">
        <f t="shared" si="0"/>
        <v>1</v>
      </c>
      <c r="D18" s="1">
        <f t="shared" si="1"/>
        <v>0.42684444444444442</v>
      </c>
      <c r="F18" t="s">
        <v>6</v>
      </c>
      <c r="G18">
        <f>G4-1</f>
        <v>74</v>
      </c>
    </row>
    <row r="19" spans="1:7" x14ac:dyDescent="0.25">
      <c r="A19" s="1">
        <v>2</v>
      </c>
      <c r="B19" s="1">
        <v>3</v>
      </c>
      <c r="C19" s="2">
        <f t="shared" si="0"/>
        <v>1</v>
      </c>
      <c r="D19" s="1">
        <f t="shared" si="1"/>
        <v>0.42684444444444442</v>
      </c>
    </row>
    <row r="20" spans="1:7" x14ac:dyDescent="0.25">
      <c r="A20" s="1">
        <v>5</v>
      </c>
      <c r="B20" s="1">
        <v>5</v>
      </c>
      <c r="C20" s="2">
        <f t="shared" si="0"/>
        <v>0</v>
      </c>
      <c r="D20" s="1">
        <f t="shared" si="1"/>
        <v>0.12017777777777779</v>
      </c>
    </row>
    <row r="21" spans="1:7" x14ac:dyDescent="0.25">
      <c r="A21" s="1">
        <v>5</v>
      </c>
      <c r="B21" s="1">
        <v>5</v>
      </c>
      <c r="C21" s="2">
        <f t="shared" si="0"/>
        <v>0</v>
      </c>
      <c r="D21" s="1">
        <f t="shared" si="1"/>
        <v>0.12017777777777779</v>
      </c>
    </row>
    <row r="22" spans="1:7" x14ac:dyDescent="0.25">
      <c r="A22" s="1">
        <v>4</v>
      </c>
      <c r="B22" s="1">
        <v>5</v>
      </c>
      <c r="C22" s="2">
        <f t="shared" si="0"/>
        <v>1</v>
      </c>
      <c r="D22" s="1">
        <f t="shared" si="1"/>
        <v>0.42684444444444442</v>
      </c>
      <c r="F22" s="6" t="s">
        <v>7</v>
      </c>
      <c r="G22" s="6"/>
    </row>
    <row r="23" spans="1:7" x14ac:dyDescent="0.25">
      <c r="A23" s="1">
        <v>2</v>
      </c>
      <c r="B23" s="1">
        <v>2</v>
      </c>
      <c r="C23" s="2">
        <f t="shared" si="0"/>
        <v>0</v>
      </c>
      <c r="D23" s="1">
        <f t="shared" si="1"/>
        <v>0.12017777777777779</v>
      </c>
      <c r="F23" t="s">
        <v>24</v>
      </c>
      <c r="G23">
        <f>_xlfn.T.INV.2T(G17,G18)</f>
        <v>1.992543495180934</v>
      </c>
    </row>
    <row r="24" spans="1:7" x14ac:dyDescent="0.25">
      <c r="A24" s="1">
        <v>1</v>
      </c>
      <c r="B24" s="1">
        <v>1</v>
      </c>
      <c r="C24" s="2">
        <f t="shared" si="0"/>
        <v>0</v>
      </c>
      <c r="D24" s="1">
        <f t="shared" si="1"/>
        <v>0.12017777777777779</v>
      </c>
      <c r="F24" t="s">
        <v>25</v>
      </c>
      <c r="G24">
        <f>_xlfn.T.INV(G17,G18)</f>
        <v>-1.6657068927340244</v>
      </c>
    </row>
    <row r="25" spans="1:7" x14ac:dyDescent="0.25">
      <c r="A25" s="1">
        <v>5</v>
      </c>
      <c r="B25" s="1">
        <v>5</v>
      </c>
      <c r="C25" s="2">
        <f t="shared" si="0"/>
        <v>0</v>
      </c>
      <c r="D25" s="1">
        <f t="shared" si="1"/>
        <v>0.12017777777777779</v>
      </c>
    </row>
    <row r="26" spans="1:7" x14ac:dyDescent="0.25">
      <c r="A26" s="1">
        <v>3</v>
      </c>
      <c r="B26" s="1">
        <v>3</v>
      </c>
      <c r="C26" s="2">
        <f t="shared" si="0"/>
        <v>0</v>
      </c>
      <c r="D26" s="1">
        <f t="shared" si="1"/>
        <v>0.12017777777777779</v>
      </c>
    </row>
    <row r="27" spans="1:7" x14ac:dyDescent="0.25">
      <c r="A27" s="1">
        <v>4</v>
      </c>
      <c r="B27" s="1">
        <v>4</v>
      </c>
      <c r="C27" s="2">
        <f t="shared" si="0"/>
        <v>0</v>
      </c>
      <c r="D27" s="1">
        <f t="shared" si="1"/>
        <v>0.12017777777777779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0.12017777777777779</v>
      </c>
    </row>
    <row r="29" spans="1:7" x14ac:dyDescent="0.25">
      <c r="A29" s="1">
        <v>2</v>
      </c>
      <c r="B29" s="1">
        <v>3</v>
      </c>
      <c r="C29" s="2">
        <f t="shared" si="0"/>
        <v>1</v>
      </c>
      <c r="D29" s="1">
        <f t="shared" si="1"/>
        <v>0.42684444444444442</v>
      </c>
    </row>
    <row r="30" spans="1:7" x14ac:dyDescent="0.25">
      <c r="A30" s="1">
        <v>2</v>
      </c>
      <c r="B30" s="1">
        <v>2</v>
      </c>
      <c r="C30" s="2">
        <f t="shared" si="0"/>
        <v>0</v>
      </c>
      <c r="D30" s="1">
        <f t="shared" si="1"/>
        <v>0.12017777777777779</v>
      </c>
    </row>
    <row r="31" spans="1:7" x14ac:dyDescent="0.25">
      <c r="A31" s="1">
        <v>4</v>
      </c>
      <c r="B31" s="1">
        <v>5</v>
      </c>
      <c r="C31" s="2">
        <f t="shared" si="0"/>
        <v>1</v>
      </c>
      <c r="D31" s="1">
        <f t="shared" si="1"/>
        <v>0.42684444444444442</v>
      </c>
    </row>
    <row r="32" spans="1:7" x14ac:dyDescent="0.25">
      <c r="A32" s="1">
        <v>4</v>
      </c>
      <c r="B32" s="1">
        <v>5</v>
      </c>
      <c r="C32" s="2">
        <f t="shared" si="0"/>
        <v>1</v>
      </c>
      <c r="D32" s="1">
        <f t="shared" si="1"/>
        <v>0.42684444444444442</v>
      </c>
    </row>
    <row r="33" spans="1:7" x14ac:dyDescent="0.25">
      <c r="A33" s="1">
        <v>4</v>
      </c>
      <c r="B33" s="1">
        <v>5</v>
      </c>
      <c r="C33" s="2">
        <f t="shared" si="0"/>
        <v>1</v>
      </c>
      <c r="D33" s="1">
        <f t="shared" si="1"/>
        <v>0.42684444444444442</v>
      </c>
    </row>
    <row r="34" spans="1:7" x14ac:dyDescent="0.25">
      <c r="A34" s="1">
        <v>5</v>
      </c>
      <c r="B34" s="1">
        <v>5</v>
      </c>
      <c r="C34" s="2">
        <f t="shared" si="0"/>
        <v>0</v>
      </c>
      <c r="D34" s="1">
        <f t="shared" si="1"/>
        <v>0.12017777777777779</v>
      </c>
      <c r="F34" t="s">
        <v>8</v>
      </c>
    </row>
    <row r="35" spans="1:7" x14ac:dyDescent="0.25">
      <c r="A35" s="1">
        <v>2</v>
      </c>
      <c r="B35" s="1">
        <v>2</v>
      </c>
      <c r="C35" s="2">
        <f t="shared" si="0"/>
        <v>0</v>
      </c>
      <c r="D35" s="1">
        <f t="shared" si="1"/>
        <v>0.12017777777777779</v>
      </c>
      <c r="F35" t="s">
        <v>9</v>
      </c>
    </row>
    <row r="36" spans="1:7" x14ac:dyDescent="0.25">
      <c r="A36" s="1">
        <v>2</v>
      </c>
      <c r="B36" s="1">
        <v>3</v>
      </c>
      <c r="C36" s="2">
        <f t="shared" si="0"/>
        <v>1</v>
      </c>
      <c r="D36" s="1">
        <f t="shared" si="1"/>
        <v>0.42684444444444442</v>
      </c>
    </row>
    <row r="37" spans="1:7" x14ac:dyDescent="0.25">
      <c r="A37" s="1">
        <v>1</v>
      </c>
      <c r="B37" s="1">
        <v>1</v>
      </c>
      <c r="C37" s="2">
        <f t="shared" si="0"/>
        <v>0</v>
      </c>
      <c r="D37" s="1">
        <f t="shared" si="1"/>
        <v>0.12017777777777779</v>
      </c>
    </row>
    <row r="38" spans="1:7" x14ac:dyDescent="0.25">
      <c r="A38" s="1">
        <v>1</v>
      </c>
      <c r="B38" s="1">
        <v>1</v>
      </c>
      <c r="C38" s="2">
        <f t="shared" si="0"/>
        <v>0</v>
      </c>
      <c r="D38" s="1">
        <f t="shared" si="1"/>
        <v>0.12017777777777779</v>
      </c>
    </row>
    <row r="39" spans="1:7" x14ac:dyDescent="0.25">
      <c r="A39" s="1">
        <v>3</v>
      </c>
      <c r="B39" s="1">
        <v>3</v>
      </c>
      <c r="C39" s="2">
        <f t="shared" si="0"/>
        <v>0</v>
      </c>
      <c r="D39" s="1">
        <f t="shared" si="1"/>
        <v>0.12017777777777779</v>
      </c>
      <c r="F39" s="6" t="s">
        <v>11</v>
      </c>
      <c r="G39" s="6"/>
    </row>
    <row r="40" spans="1:7" x14ac:dyDescent="0.25">
      <c r="A40" s="1">
        <v>2</v>
      </c>
      <c r="B40" s="1">
        <v>2</v>
      </c>
      <c r="C40" s="2">
        <f t="shared" si="0"/>
        <v>0</v>
      </c>
      <c r="D40" s="1">
        <f t="shared" si="1"/>
        <v>0.12017777777777779</v>
      </c>
      <c r="F40" t="s">
        <v>11</v>
      </c>
    </row>
    <row r="41" spans="1:7" x14ac:dyDescent="0.25">
      <c r="A41" s="1">
        <v>2</v>
      </c>
      <c r="B41" s="1">
        <v>2</v>
      </c>
      <c r="C41" s="2">
        <f t="shared" si="0"/>
        <v>0</v>
      </c>
      <c r="D41" s="1">
        <f t="shared" si="1"/>
        <v>0.12017777777777779</v>
      </c>
      <c r="F41" t="s">
        <v>23</v>
      </c>
      <c r="G41">
        <f>TTEST(A:A,B:B,2,1)</f>
        <v>2.2166762303158968E-8</v>
      </c>
    </row>
    <row r="42" spans="1:7" x14ac:dyDescent="0.25">
      <c r="A42" s="1">
        <v>2</v>
      </c>
      <c r="B42" s="1">
        <v>3</v>
      </c>
      <c r="C42" s="2">
        <f t="shared" si="0"/>
        <v>1</v>
      </c>
      <c r="D42" s="1">
        <f t="shared" si="1"/>
        <v>0.42684444444444442</v>
      </c>
      <c r="F42" t="s">
        <v>27</v>
      </c>
      <c r="G42">
        <f>TTEST(A:A,B:B,1,1)</f>
        <v>1.1083381151579484E-8</v>
      </c>
    </row>
    <row r="43" spans="1:7" x14ac:dyDescent="0.25">
      <c r="A43" s="1">
        <v>4</v>
      </c>
      <c r="B43" s="1">
        <v>4</v>
      </c>
      <c r="C43" s="2">
        <f t="shared" si="0"/>
        <v>0</v>
      </c>
      <c r="D43" s="1">
        <f t="shared" si="1"/>
        <v>0.12017777777777779</v>
      </c>
    </row>
    <row r="44" spans="1:7" x14ac:dyDescent="0.25">
      <c r="A44" s="1">
        <v>4</v>
      </c>
      <c r="B44" s="1">
        <v>5</v>
      </c>
      <c r="C44" s="2">
        <f t="shared" si="0"/>
        <v>1</v>
      </c>
      <c r="D44" s="1">
        <f t="shared" si="1"/>
        <v>0.42684444444444442</v>
      </c>
    </row>
    <row r="45" spans="1:7" x14ac:dyDescent="0.25">
      <c r="A45" s="1">
        <v>5</v>
      </c>
      <c r="B45" s="1">
        <v>5</v>
      </c>
      <c r="C45" s="2">
        <f t="shared" si="0"/>
        <v>0</v>
      </c>
      <c r="D45" s="1">
        <f t="shared" si="1"/>
        <v>0.12017777777777779</v>
      </c>
      <c r="F45" s="6" t="s">
        <v>14</v>
      </c>
      <c r="G45" s="6"/>
    </row>
    <row r="46" spans="1:7" x14ac:dyDescent="0.25">
      <c r="A46" s="1">
        <v>2</v>
      </c>
      <c r="B46" s="1">
        <v>2</v>
      </c>
      <c r="C46" s="2">
        <f t="shared" si="0"/>
        <v>0</v>
      </c>
      <c r="D46" s="1">
        <f t="shared" si="1"/>
        <v>0.12017777777777779</v>
      </c>
    </row>
    <row r="47" spans="1:7" x14ac:dyDescent="0.25">
      <c r="A47" s="1">
        <v>3</v>
      </c>
      <c r="B47" s="1">
        <v>3</v>
      </c>
      <c r="C47" s="2">
        <f t="shared" si="0"/>
        <v>0</v>
      </c>
      <c r="D47" s="1">
        <f t="shared" si="1"/>
        <v>0.12017777777777779</v>
      </c>
      <c r="F47" t="s">
        <v>12</v>
      </c>
    </row>
    <row r="48" spans="1:7" x14ac:dyDescent="0.25">
      <c r="A48" s="1">
        <v>5</v>
      </c>
      <c r="B48" s="1">
        <v>5</v>
      </c>
      <c r="C48" s="2">
        <f t="shared" si="0"/>
        <v>0</v>
      </c>
      <c r="D48" s="1">
        <f t="shared" si="1"/>
        <v>0.12017777777777779</v>
      </c>
      <c r="F48" t="s">
        <v>13</v>
      </c>
    </row>
    <row r="49" spans="1:6" x14ac:dyDescent="0.25">
      <c r="A49" s="1">
        <v>3</v>
      </c>
      <c r="B49" s="1">
        <v>4</v>
      </c>
      <c r="C49" s="2">
        <f t="shared" si="0"/>
        <v>1</v>
      </c>
      <c r="D49" s="1">
        <f t="shared" si="1"/>
        <v>0.42684444444444442</v>
      </c>
    </row>
    <row r="50" spans="1:6" x14ac:dyDescent="0.25">
      <c r="A50" s="1">
        <v>3</v>
      </c>
      <c r="B50" s="1">
        <v>4</v>
      </c>
      <c r="C50" s="2">
        <f t="shared" si="0"/>
        <v>1</v>
      </c>
      <c r="D50" s="1">
        <f t="shared" si="1"/>
        <v>0.42684444444444442</v>
      </c>
      <c r="F50" t="s">
        <v>16</v>
      </c>
    </row>
    <row r="51" spans="1:6" x14ac:dyDescent="0.25">
      <c r="A51" s="1">
        <v>4</v>
      </c>
      <c r="B51" s="1">
        <v>5</v>
      </c>
      <c r="C51" s="2">
        <f t="shared" si="0"/>
        <v>1</v>
      </c>
      <c r="D51" s="1">
        <f t="shared" si="1"/>
        <v>0.42684444444444442</v>
      </c>
      <c r="F51" t="s">
        <v>17</v>
      </c>
    </row>
    <row r="52" spans="1:6" x14ac:dyDescent="0.25">
      <c r="A52" s="1">
        <v>5</v>
      </c>
      <c r="B52" s="1">
        <v>5</v>
      </c>
      <c r="C52" s="2">
        <f t="shared" si="0"/>
        <v>0</v>
      </c>
      <c r="D52" s="1">
        <f t="shared" si="1"/>
        <v>0.12017777777777779</v>
      </c>
    </row>
    <row r="53" spans="1:6" x14ac:dyDescent="0.25">
      <c r="A53" s="1">
        <v>3</v>
      </c>
      <c r="B53" s="1">
        <v>3</v>
      </c>
      <c r="C53" s="2">
        <f t="shared" si="0"/>
        <v>0</v>
      </c>
      <c r="D53" s="1">
        <f t="shared" si="1"/>
        <v>0.12017777777777779</v>
      </c>
    </row>
    <row r="54" spans="1:6" x14ac:dyDescent="0.25">
      <c r="A54" s="1">
        <v>3</v>
      </c>
      <c r="B54" s="1">
        <v>3</v>
      </c>
      <c r="C54" s="2">
        <f t="shared" si="0"/>
        <v>0</v>
      </c>
      <c r="D54" s="1">
        <f t="shared" si="1"/>
        <v>0.12017777777777779</v>
      </c>
    </row>
    <row r="55" spans="1:6" x14ac:dyDescent="0.25">
      <c r="A55" s="1">
        <v>2</v>
      </c>
      <c r="B55" s="1">
        <v>2</v>
      </c>
      <c r="C55" s="2">
        <f t="shared" si="0"/>
        <v>0</v>
      </c>
      <c r="D55" s="1">
        <f t="shared" si="1"/>
        <v>0.12017777777777779</v>
      </c>
    </row>
    <row r="56" spans="1:6" x14ac:dyDescent="0.25">
      <c r="A56" s="1">
        <v>3</v>
      </c>
      <c r="B56" s="1">
        <v>3</v>
      </c>
      <c r="C56" s="2">
        <f t="shared" si="0"/>
        <v>0</v>
      </c>
      <c r="D56" s="1">
        <f t="shared" si="1"/>
        <v>0.12017777777777779</v>
      </c>
      <c r="F56" s="6" t="s">
        <v>21</v>
      </c>
    </row>
    <row r="57" spans="1:6" x14ac:dyDescent="0.25">
      <c r="A57" s="1">
        <v>2</v>
      </c>
      <c r="B57" s="1">
        <v>3</v>
      </c>
      <c r="C57" s="2">
        <f t="shared" si="0"/>
        <v>1</v>
      </c>
      <c r="D57" s="1">
        <f t="shared" si="1"/>
        <v>0.42684444444444442</v>
      </c>
    </row>
    <row r="58" spans="1:6" x14ac:dyDescent="0.25">
      <c r="A58" s="1">
        <v>3</v>
      </c>
      <c r="B58" s="1">
        <v>3</v>
      </c>
      <c r="C58" s="2">
        <f t="shared" si="0"/>
        <v>0</v>
      </c>
      <c r="D58" s="1">
        <f t="shared" si="1"/>
        <v>0.12017777777777779</v>
      </c>
      <c r="F58" t="s">
        <v>19</v>
      </c>
    </row>
    <row r="59" spans="1:6" x14ac:dyDescent="0.25">
      <c r="A59" s="1">
        <v>3</v>
      </c>
      <c r="B59" s="1">
        <v>4</v>
      </c>
      <c r="C59" s="2">
        <f t="shared" si="0"/>
        <v>1</v>
      </c>
      <c r="D59" s="1">
        <f t="shared" si="1"/>
        <v>0.42684444444444442</v>
      </c>
      <c r="F59" t="s">
        <v>18</v>
      </c>
    </row>
    <row r="60" spans="1:6" x14ac:dyDescent="0.25">
      <c r="A60" s="1">
        <v>2</v>
      </c>
      <c r="B60" s="1">
        <v>2</v>
      </c>
      <c r="C60" s="2">
        <f t="shared" si="0"/>
        <v>0</v>
      </c>
      <c r="D60" s="1">
        <f t="shared" si="1"/>
        <v>0.12017777777777779</v>
      </c>
      <c r="F60" t="s">
        <v>20</v>
      </c>
    </row>
    <row r="61" spans="1:6" x14ac:dyDescent="0.25">
      <c r="A61" s="1">
        <v>4</v>
      </c>
      <c r="B61" s="1">
        <v>5</v>
      </c>
      <c r="C61" s="2">
        <f t="shared" si="0"/>
        <v>1</v>
      </c>
      <c r="D61" s="1">
        <f t="shared" si="1"/>
        <v>0.42684444444444442</v>
      </c>
    </row>
    <row r="62" spans="1:6" x14ac:dyDescent="0.25">
      <c r="A62" s="1">
        <v>5</v>
      </c>
      <c r="B62" s="1">
        <v>5</v>
      </c>
      <c r="C62" s="2">
        <f t="shared" si="0"/>
        <v>0</v>
      </c>
      <c r="D62" s="1">
        <f t="shared" si="1"/>
        <v>0.12017777777777779</v>
      </c>
    </row>
    <row r="63" spans="1:6" x14ac:dyDescent="0.25">
      <c r="A63" s="1">
        <v>5</v>
      </c>
      <c r="B63" s="1">
        <v>5</v>
      </c>
      <c r="C63" s="2">
        <f t="shared" si="0"/>
        <v>0</v>
      </c>
      <c r="D63" s="1">
        <f t="shared" si="1"/>
        <v>0.12017777777777779</v>
      </c>
    </row>
    <row r="64" spans="1:6" x14ac:dyDescent="0.25">
      <c r="A64" s="1">
        <v>3</v>
      </c>
      <c r="B64" s="1">
        <v>4</v>
      </c>
      <c r="C64" s="2">
        <f t="shared" si="0"/>
        <v>1</v>
      </c>
      <c r="D64" s="1">
        <f t="shared" si="1"/>
        <v>0.42684444444444442</v>
      </c>
    </row>
    <row r="65" spans="1:6" x14ac:dyDescent="0.25">
      <c r="A65" s="1">
        <v>3</v>
      </c>
      <c r="B65" s="1">
        <v>4</v>
      </c>
      <c r="C65" s="2">
        <f t="shared" si="0"/>
        <v>1</v>
      </c>
      <c r="D65" s="1">
        <f t="shared" si="1"/>
        <v>0.42684444444444442</v>
      </c>
      <c r="F65" s="6" t="s">
        <v>21</v>
      </c>
    </row>
    <row r="66" spans="1:6" x14ac:dyDescent="0.25">
      <c r="A66" s="1">
        <v>3</v>
      </c>
      <c r="B66" s="1">
        <v>4</v>
      </c>
      <c r="C66" s="2">
        <f t="shared" si="0"/>
        <v>1</v>
      </c>
      <c r="D66" s="1">
        <f t="shared" si="1"/>
        <v>0.42684444444444442</v>
      </c>
    </row>
    <row r="67" spans="1:6" x14ac:dyDescent="0.25">
      <c r="A67" s="1">
        <v>5</v>
      </c>
      <c r="B67" s="1">
        <v>5</v>
      </c>
      <c r="C67" s="2">
        <f t="shared" ref="C67:C76" si="2">B67-A67</f>
        <v>0</v>
      </c>
      <c r="D67" s="1">
        <f t="shared" si="1"/>
        <v>0.12017777777777779</v>
      </c>
    </row>
    <row r="68" spans="1:6" x14ac:dyDescent="0.25">
      <c r="A68" s="1">
        <v>5</v>
      </c>
      <c r="B68" s="1">
        <v>5</v>
      </c>
      <c r="C68" s="2">
        <f t="shared" si="2"/>
        <v>0</v>
      </c>
      <c r="D68" s="1">
        <f t="shared" si="1"/>
        <v>0.12017777777777779</v>
      </c>
    </row>
    <row r="69" spans="1:6" x14ac:dyDescent="0.25">
      <c r="A69" s="1">
        <v>5</v>
      </c>
      <c r="B69" s="1">
        <v>5</v>
      </c>
      <c r="C69" s="2">
        <f t="shared" si="2"/>
        <v>0</v>
      </c>
      <c r="D69" s="1">
        <f t="shared" ref="D69:D76" si="3">(C69-$G$6)^2</f>
        <v>0.12017777777777779</v>
      </c>
    </row>
    <row r="70" spans="1:6" x14ac:dyDescent="0.25">
      <c r="A70" s="1">
        <v>4</v>
      </c>
      <c r="B70" s="1">
        <v>4</v>
      </c>
      <c r="C70" s="2">
        <f t="shared" si="2"/>
        <v>0</v>
      </c>
      <c r="D70" s="1">
        <f t="shared" si="3"/>
        <v>0.12017777777777779</v>
      </c>
    </row>
    <row r="71" spans="1:6" x14ac:dyDescent="0.25">
      <c r="A71" s="1">
        <v>3</v>
      </c>
      <c r="B71" s="1">
        <v>4</v>
      </c>
      <c r="C71" s="2">
        <f t="shared" si="2"/>
        <v>1</v>
      </c>
      <c r="D71" s="1">
        <f t="shared" si="3"/>
        <v>0.42684444444444442</v>
      </c>
    </row>
    <row r="72" spans="1:6" x14ac:dyDescent="0.25">
      <c r="A72" s="1">
        <v>4</v>
      </c>
      <c r="B72" s="1">
        <v>4</v>
      </c>
      <c r="C72" s="2">
        <f t="shared" si="2"/>
        <v>0</v>
      </c>
      <c r="D72" s="1">
        <f t="shared" si="3"/>
        <v>0.12017777777777779</v>
      </c>
      <c r="F72" t="s">
        <v>22</v>
      </c>
    </row>
    <row r="73" spans="1:6" x14ac:dyDescent="0.25">
      <c r="A73" s="1">
        <v>4</v>
      </c>
      <c r="B73" s="1">
        <v>4</v>
      </c>
      <c r="C73" s="2">
        <f t="shared" si="2"/>
        <v>0</v>
      </c>
      <c r="D73" s="1">
        <f t="shared" si="3"/>
        <v>0.12017777777777779</v>
      </c>
      <c r="F73" t="s">
        <v>20</v>
      </c>
    </row>
    <row r="74" spans="1:6" x14ac:dyDescent="0.25">
      <c r="A74" s="1">
        <v>2</v>
      </c>
      <c r="B74" s="1">
        <v>3</v>
      </c>
      <c r="C74" s="2">
        <f t="shared" si="2"/>
        <v>1</v>
      </c>
      <c r="D74" s="1">
        <f t="shared" si="3"/>
        <v>0.42684444444444442</v>
      </c>
      <c r="F74" t="s">
        <v>22</v>
      </c>
    </row>
    <row r="75" spans="1:6" x14ac:dyDescent="0.25">
      <c r="A75" s="1">
        <v>4</v>
      </c>
      <c r="B75" s="1">
        <v>4</v>
      </c>
      <c r="C75" s="2">
        <f t="shared" si="2"/>
        <v>0</v>
      </c>
      <c r="D75" s="1">
        <f t="shared" si="3"/>
        <v>0.12017777777777779</v>
      </c>
      <c r="F75" t="s">
        <v>20</v>
      </c>
    </row>
    <row r="76" spans="1:6" x14ac:dyDescent="0.25">
      <c r="A76" s="1">
        <v>3</v>
      </c>
      <c r="B76" s="1">
        <v>3</v>
      </c>
      <c r="C76" s="2">
        <f t="shared" si="2"/>
        <v>0</v>
      </c>
      <c r="D76" s="1">
        <f t="shared" si="3"/>
        <v>0.12017777777777779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3"/>
  <sheetViews>
    <sheetView topLeftCell="D21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9.7109375" style="1" customWidth="1"/>
    <col min="2" max="2" width="29.710937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6.45" customHeight="1" x14ac:dyDescent="0.25">
      <c r="A1" s="3" t="s">
        <v>37</v>
      </c>
      <c r="B1" s="4" t="s">
        <v>36</v>
      </c>
      <c r="C1" s="5" t="s">
        <v>0</v>
      </c>
      <c r="D1" s="5"/>
    </row>
    <row r="2" spans="1:7" x14ac:dyDescent="0.25">
      <c r="A2" s="1">
        <v>3</v>
      </c>
      <c r="B2" s="1">
        <v>3</v>
      </c>
      <c r="C2" s="2">
        <f>B2-A2</f>
        <v>0</v>
      </c>
      <c r="D2" s="1">
        <f>(C2-$G$6)^2</f>
        <v>0.16000000000000003</v>
      </c>
    </row>
    <row r="3" spans="1:7" x14ac:dyDescent="0.25">
      <c r="A3" s="1">
        <v>4</v>
      </c>
      <c r="B3" s="1">
        <v>5</v>
      </c>
      <c r="C3" s="2">
        <f t="shared" ref="C3:C66" si="0">B3-A3</f>
        <v>1</v>
      </c>
      <c r="D3" s="1">
        <f>(C3-$G$6)^2</f>
        <v>0.36</v>
      </c>
      <c r="F3" s="6" t="s">
        <v>15</v>
      </c>
      <c r="G3" s="6"/>
    </row>
    <row r="4" spans="1:7" x14ac:dyDescent="0.25">
      <c r="A4" s="1">
        <v>4</v>
      </c>
      <c r="B4" s="1">
        <v>5</v>
      </c>
      <c r="C4" s="2">
        <f t="shared" si="0"/>
        <v>1</v>
      </c>
      <c r="D4" s="1">
        <f>(C4-$G$6)^2</f>
        <v>0.36</v>
      </c>
      <c r="F4" t="s">
        <v>3</v>
      </c>
      <c r="G4">
        <f>COUNT(A:A)</f>
        <v>75</v>
      </c>
    </row>
    <row r="5" spans="1:7" x14ac:dyDescent="0.25">
      <c r="A5" s="1">
        <v>2</v>
      </c>
      <c r="B5" s="1">
        <v>2</v>
      </c>
      <c r="C5" s="2">
        <f t="shared" si="0"/>
        <v>0</v>
      </c>
      <c r="D5" s="1">
        <f t="shared" ref="D5:D68" si="1">(C5-$G$6)^2</f>
        <v>0.16000000000000003</v>
      </c>
      <c r="F5" t="s">
        <v>2</v>
      </c>
      <c r="G5">
        <f>SUM(C:C)</f>
        <v>30</v>
      </c>
    </row>
    <row r="6" spans="1:7" x14ac:dyDescent="0.25">
      <c r="A6" s="1">
        <v>2</v>
      </c>
      <c r="B6" s="1">
        <v>4</v>
      </c>
      <c r="C6" s="2">
        <f t="shared" si="0"/>
        <v>2</v>
      </c>
      <c r="D6" s="1">
        <f t="shared" si="1"/>
        <v>2.5600000000000005</v>
      </c>
      <c r="F6" t="s">
        <v>1</v>
      </c>
      <c r="G6">
        <f>G5/G4</f>
        <v>0.4</v>
      </c>
    </row>
    <row r="7" spans="1:7" x14ac:dyDescent="0.25">
      <c r="A7" s="1">
        <v>2</v>
      </c>
      <c r="B7" s="1">
        <v>2</v>
      </c>
      <c r="C7" s="2">
        <f t="shared" si="0"/>
        <v>0</v>
      </c>
      <c r="D7" s="1">
        <f t="shared" si="1"/>
        <v>0.16000000000000003</v>
      </c>
      <c r="F7" t="s">
        <v>26</v>
      </c>
      <c r="G7">
        <f>SUM(D:D)</f>
        <v>26.000000000000004</v>
      </c>
    </row>
    <row r="8" spans="1:7" x14ac:dyDescent="0.25">
      <c r="A8" s="1">
        <v>2</v>
      </c>
      <c r="B8" s="1">
        <v>2</v>
      </c>
      <c r="C8" s="2">
        <f t="shared" si="0"/>
        <v>0</v>
      </c>
      <c r="D8" s="1">
        <f t="shared" si="1"/>
        <v>0.16000000000000003</v>
      </c>
      <c r="F8" t="s">
        <v>4</v>
      </c>
      <c r="G8">
        <f>SQRT(G7/(G4-1))</f>
        <v>0.59274897836381923</v>
      </c>
    </row>
    <row r="9" spans="1:7" x14ac:dyDescent="0.25">
      <c r="A9" s="1">
        <v>5</v>
      </c>
      <c r="B9" s="1">
        <v>5</v>
      </c>
      <c r="C9" s="2">
        <f t="shared" si="0"/>
        <v>0</v>
      </c>
      <c r="D9" s="1">
        <f t="shared" si="1"/>
        <v>0.16000000000000003</v>
      </c>
    </row>
    <row r="10" spans="1:7" x14ac:dyDescent="0.25">
      <c r="A10" s="1">
        <v>3</v>
      </c>
      <c r="B10" s="1">
        <v>3</v>
      </c>
      <c r="C10" s="2">
        <f t="shared" si="0"/>
        <v>0</v>
      </c>
      <c r="D10" s="1">
        <f t="shared" si="1"/>
        <v>0.16000000000000003</v>
      </c>
    </row>
    <row r="11" spans="1:7" x14ac:dyDescent="0.25">
      <c r="A11" s="1">
        <v>5</v>
      </c>
      <c r="B11" s="1">
        <v>5</v>
      </c>
      <c r="C11" s="2">
        <f t="shared" si="0"/>
        <v>0</v>
      </c>
      <c r="D11" s="1">
        <f t="shared" si="1"/>
        <v>0.16000000000000003</v>
      </c>
    </row>
    <row r="12" spans="1:7" x14ac:dyDescent="0.25">
      <c r="A12" s="1">
        <v>3</v>
      </c>
      <c r="B12" s="1">
        <v>3</v>
      </c>
      <c r="C12" s="2">
        <f t="shared" si="0"/>
        <v>0</v>
      </c>
      <c r="D12" s="1">
        <f t="shared" si="1"/>
        <v>0.16000000000000003</v>
      </c>
      <c r="F12" t="s">
        <v>10</v>
      </c>
      <c r="G12">
        <f>G6/(G8/SQRT(G4))</f>
        <v>5.8441292040684854</v>
      </c>
    </row>
    <row r="13" spans="1:7" x14ac:dyDescent="0.25">
      <c r="A13" s="1">
        <v>3</v>
      </c>
      <c r="B13" s="1">
        <v>4</v>
      </c>
      <c r="C13" s="2">
        <f t="shared" si="0"/>
        <v>1</v>
      </c>
      <c r="D13" s="1">
        <f t="shared" si="1"/>
        <v>0.36</v>
      </c>
    </row>
    <row r="14" spans="1:7" x14ac:dyDescent="0.25">
      <c r="A14" s="1">
        <v>1</v>
      </c>
      <c r="B14" s="1">
        <v>2</v>
      </c>
      <c r="C14" s="2">
        <f t="shared" si="0"/>
        <v>1</v>
      </c>
      <c r="D14" s="1">
        <f t="shared" si="1"/>
        <v>0.36</v>
      </c>
    </row>
    <row r="15" spans="1:7" x14ac:dyDescent="0.25">
      <c r="A15" s="1">
        <v>4</v>
      </c>
      <c r="B15" s="1">
        <v>4</v>
      </c>
      <c r="C15" s="2">
        <f t="shared" si="0"/>
        <v>0</v>
      </c>
      <c r="D15" s="1">
        <f t="shared" si="1"/>
        <v>0.16000000000000003</v>
      </c>
    </row>
    <row r="16" spans="1:7" x14ac:dyDescent="0.25">
      <c r="A16" s="1">
        <v>5</v>
      </c>
      <c r="B16" s="1">
        <v>5</v>
      </c>
      <c r="C16" s="2">
        <f t="shared" si="0"/>
        <v>0</v>
      </c>
      <c r="D16" s="1">
        <f t="shared" si="1"/>
        <v>0.16000000000000003</v>
      </c>
    </row>
    <row r="17" spans="1:7" x14ac:dyDescent="0.25">
      <c r="A17" s="1">
        <v>4</v>
      </c>
      <c r="B17" s="1">
        <v>5</v>
      </c>
      <c r="C17" s="2">
        <f t="shared" si="0"/>
        <v>1</v>
      </c>
      <c r="D17" s="1">
        <f t="shared" si="1"/>
        <v>0.36</v>
      </c>
      <c r="F17" t="s">
        <v>5</v>
      </c>
      <c r="G17">
        <v>0.05</v>
      </c>
    </row>
    <row r="18" spans="1:7" x14ac:dyDescent="0.25">
      <c r="A18" s="1">
        <v>2</v>
      </c>
      <c r="B18" s="1">
        <v>2</v>
      </c>
      <c r="C18" s="2">
        <f t="shared" si="0"/>
        <v>0</v>
      </c>
      <c r="D18" s="1">
        <f t="shared" si="1"/>
        <v>0.16000000000000003</v>
      </c>
      <c r="F18" t="s">
        <v>6</v>
      </c>
      <c r="G18">
        <f>G4-1</f>
        <v>74</v>
      </c>
    </row>
    <row r="19" spans="1:7" x14ac:dyDescent="0.25">
      <c r="A19" s="1">
        <v>3</v>
      </c>
      <c r="B19" s="1">
        <v>4</v>
      </c>
      <c r="C19" s="2">
        <f t="shared" si="0"/>
        <v>1</v>
      </c>
      <c r="D19" s="1">
        <f t="shared" si="1"/>
        <v>0.36</v>
      </c>
    </row>
    <row r="20" spans="1:7" x14ac:dyDescent="0.25">
      <c r="A20" s="1">
        <v>5</v>
      </c>
      <c r="B20" s="1">
        <v>5</v>
      </c>
      <c r="C20" s="2">
        <f t="shared" si="0"/>
        <v>0</v>
      </c>
      <c r="D20" s="1">
        <f t="shared" si="1"/>
        <v>0.16000000000000003</v>
      </c>
    </row>
    <row r="21" spans="1:7" x14ac:dyDescent="0.25">
      <c r="A21" s="1">
        <v>5</v>
      </c>
      <c r="B21" s="1">
        <v>5</v>
      </c>
      <c r="C21" s="2">
        <f t="shared" si="0"/>
        <v>0</v>
      </c>
      <c r="D21" s="1">
        <f t="shared" si="1"/>
        <v>0.16000000000000003</v>
      </c>
    </row>
    <row r="22" spans="1:7" x14ac:dyDescent="0.25">
      <c r="A22" s="1">
        <v>2</v>
      </c>
      <c r="B22" s="1">
        <v>3</v>
      </c>
      <c r="C22" s="2">
        <f t="shared" si="0"/>
        <v>1</v>
      </c>
      <c r="D22" s="1">
        <f t="shared" si="1"/>
        <v>0.36</v>
      </c>
      <c r="F22" s="6" t="s">
        <v>7</v>
      </c>
      <c r="G22" s="6"/>
    </row>
    <row r="23" spans="1:7" x14ac:dyDescent="0.25">
      <c r="A23" s="1">
        <v>5</v>
      </c>
      <c r="B23" s="1">
        <v>5</v>
      </c>
      <c r="C23" s="2">
        <f t="shared" si="0"/>
        <v>0</v>
      </c>
      <c r="D23" s="1">
        <f t="shared" si="1"/>
        <v>0.16000000000000003</v>
      </c>
      <c r="F23" t="s">
        <v>24</v>
      </c>
      <c r="G23">
        <f>_xlfn.T.INV.2T(G17,G18)</f>
        <v>1.992543495180934</v>
      </c>
    </row>
    <row r="24" spans="1:7" x14ac:dyDescent="0.25">
      <c r="A24" s="1">
        <v>2</v>
      </c>
      <c r="B24" s="1">
        <v>2</v>
      </c>
      <c r="C24" s="2">
        <f t="shared" si="0"/>
        <v>0</v>
      </c>
      <c r="D24" s="1">
        <f t="shared" si="1"/>
        <v>0.16000000000000003</v>
      </c>
      <c r="F24" t="s">
        <v>25</v>
      </c>
      <c r="G24">
        <f>_xlfn.T.INV(G17,G18)</f>
        <v>-1.6657068927340244</v>
      </c>
    </row>
    <row r="25" spans="1:7" x14ac:dyDescent="0.25">
      <c r="A25" s="1">
        <v>2</v>
      </c>
      <c r="B25" s="1">
        <v>3</v>
      </c>
      <c r="C25" s="2">
        <f t="shared" si="0"/>
        <v>1</v>
      </c>
      <c r="D25" s="1">
        <f t="shared" si="1"/>
        <v>0.36</v>
      </c>
    </row>
    <row r="26" spans="1:7" x14ac:dyDescent="0.25">
      <c r="A26" s="1">
        <v>5</v>
      </c>
      <c r="B26" s="1">
        <v>5</v>
      </c>
      <c r="C26" s="2">
        <f t="shared" si="0"/>
        <v>0</v>
      </c>
      <c r="D26" s="1">
        <f t="shared" si="1"/>
        <v>0.16000000000000003</v>
      </c>
    </row>
    <row r="27" spans="1:7" x14ac:dyDescent="0.25">
      <c r="A27" s="1">
        <v>5</v>
      </c>
      <c r="B27" s="1">
        <v>5</v>
      </c>
      <c r="C27" s="2">
        <f t="shared" si="0"/>
        <v>0</v>
      </c>
      <c r="D27" s="1">
        <f t="shared" si="1"/>
        <v>0.16000000000000003</v>
      </c>
    </row>
    <row r="28" spans="1:7" x14ac:dyDescent="0.25">
      <c r="A28" s="1">
        <v>1</v>
      </c>
      <c r="B28" s="1">
        <v>2</v>
      </c>
      <c r="C28" s="2">
        <f t="shared" si="0"/>
        <v>1</v>
      </c>
      <c r="D28" s="1">
        <f t="shared" si="1"/>
        <v>0.36</v>
      </c>
    </row>
    <row r="29" spans="1:7" x14ac:dyDescent="0.25">
      <c r="A29" s="1">
        <v>3</v>
      </c>
      <c r="B29" s="1">
        <v>5</v>
      </c>
      <c r="C29" s="2">
        <f t="shared" si="0"/>
        <v>2</v>
      </c>
      <c r="D29" s="1">
        <f t="shared" si="1"/>
        <v>2.5600000000000005</v>
      </c>
    </row>
    <row r="30" spans="1:7" x14ac:dyDescent="0.25">
      <c r="A30" s="1">
        <v>3</v>
      </c>
      <c r="B30" s="1">
        <v>4</v>
      </c>
      <c r="C30" s="2">
        <f t="shared" si="0"/>
        <v>1</v>
      </c>
      <c r="D30" s="1">
        <f t="shared" si="1"/>
        <v>0.36</v>
      </c>
    </row>
    <row r="31" spans="1:7" x14ac:dyDescent="0.25">
      <c r="A31" s="1">
        <v>2</v>
      </c>
      <c r="B31" s="1">
        <v>2</v>
      </c>
      <c r="C31" s="2">
        <f t="shared" si="0"/>
        <v>0</v>
      </c>
      <c r="D31" s="1">
        <f t="shared" si="1"/>
        <v>0.16000000000000003</v>
      </c>
    </row>
    <row r="32" spans="1:7" x14ac:dyDescent="0.25">
      <c r="A32" s="1">
        <v>1</v>
      </c>
      <c r="B32" s="1">
        <v>2</v>
      </c>
      <c r="C32" s="2">
        <f t="shared" si="0"/>
        <v>1</v>
      </c>
      <c r="D32" s="1">
        <f t="shared" si="1"/>
        <v>0.36</v>
      </c>
    </row>
    <row r="33" spans="1:7" x14ac:dyDescent="0.25">
      <c r="A33" s="1">
        <v>1</v>
      </c>
      <c r="B33" s="1">
        <v>2</v>
      </c>
      <c r="C33" s="2">
        <f t="shared" si="0"/>
        <v>1</v>
      </c>
      <c r="D33" s="1">
        <f t="shared" si="1"/>
        <v>0.36</v>
      </c>
    </row>
    <row r="34" spans="1:7" x14ac:dyDescent="0.25">
      <c r="A34" s="1">
        <v>2</v>
      </c>
      <c r="B34" s="1">
        <v>2</v>
      </c>
      <c r="C34" s="2">
        <f t="shared" si="0"/>
        <v>0</v>
      </c>
      <c r="D34" s="1">
        <f t="shared" si="1"/>
        <v>0.16000000000000003</v>
      </c>
      <c r="F34" t="s">
        <v>8</v>
      </c>
    </row>
    <row r="35" spans="1:7" x14ac:dyDescent="0.25">
      <c r="A35" s="1">
        <v>3</v>
      </c>
      <c r="B35" s="1">
        <v>3</v>
      </c>
      <c r="C35" s="2">
        <f t="shared" si="0"/>
        <v>0</v>
      </c>
      <c r="D35" s="1">
        <f t="shared" si="1"/>
        <v>0.16000000000000003</v>
      </c>
      <c r="F35" t="s">
        <v>9</v>
      </c>
    </row>
    <row r="36" spans="1:7" x14ac:dyDescent="0.25">
      <c r="A36" s="1">
        <v>5</v>
      </c>
      <c r="B36" s="1">
        <v>5</v>
      </c>
      <c r="C36" s="2">
        <f t="shared" si="0"/>
        <v>0</v>
      </c>
      <c r="D36" s="1">
        <f t="shared" si="1"/>
        <v>0.16000000000000003</v>
      </c>
    </row>
    <row r="37" spans="1:7" x14ac:dyDescent="0.25">
      <c r="A37" s="1">
        <v>2</v>
      </c>
      <c r="B37" s="1">
        <v>4</v>
      </c>
      <c r="C37" s="2">
        <f t="shared" si="0"/>
        <v>2</v>
      </c>
      <c r="D37" s="1">
        <f t="shared" si="1"/>
        <v>2.5600000000000005</v>
      </c>
    </row>
    <row r="38" spans="1:7" x14ac:dyDescent="0.25">
      <c r="A38" s="1">
        <v>3</v>
      </c>
      <c r="B38" s="1">
        <v>3</v>
      </c>
      <c r="C38" s="2">
        <f t="shared" si="0"/>
        <v>0</v>
      </c>
      <c r="D38" s="1">
        <f t="shared" si="1"/>
        <v>0.16000000000000003</v>
      </c>
    </row>
    <row r="39" spans="1:7" x14ac:dyDescent="0.25">
      <c r="A39" s="1">
        <v>3</v>
      </c>
      <c r="B39" s="1">
        <v>5</v>
      </c>
      <c r="C39" s="2">
        <f t="shared" si="0"/>
        <v>2</v>
      </c>
      <c r="D39" s="1">
        <f t="shared" si="1"/>
        <v>2.5600000000000005</v>
      </c>
      <c r="F39" s="6" t="s">
        <v>11</v>
      </c>
      <c r="G39" s="6"/>
    </row>
    <row r="40" spans="1:7" x14ac:dyDescent="0.25">
      <c r="A40" s="1">
        <v>1</v>
      </c>
      <c r="B40" s="1">
        <v>1</v>
      </c>
      <c r="C40" s="2">
        <f t="shared" si="0"/>
        <v>0</v>
      </c>
      <c r="D40" s="1">
        <f t="shared" si="1"/>
        <v>0.16000000000000003</v>
      </c>
      <c r="F40" t="s">
        <v>11</v>
      </c>
    </row>
    <row r="41" spans="1:7" x14ac:dyDescent="0.25">
      <c r="A41" s="1">
        <v>5</v>
      </c>
      <c r="B41" s="1">
        <v>5</v>
      </c>
      <c r="C41" s="2">
        <f t="shared" si="0"/>
        <v>0</v>
      </c>
      <c r="D41" s="1">
        <f t="shared" si="1"/>
        <v>0.16000000000000003</v>
      </c>
      <c r="F41" t="s">
        <v>23</v>
      </c>
      <c r="G41">
        <f>TTEST(A:A,B:B,2,1)</f>
        <v>1.2780764591119451E-7</v>
      </c>
    </row>
    <row r="42" spans="1:7" x14ac:dyDescent="0.25">
      <c r="A42" s="1">
        <v>3</v>
      </c>
      <c r="B42" s="1">
        <v>3</v>
      </c>
      <c r="C42" s="2">
        <f t="shared" si="0"/>
        <v>0</v>
      </c>
      <c r="D42" s="1">
        <f t="shared" si="1"/>
        <v>0.16000000000000003</v>
      </c>
      <c r="F42" t="s">
        <v>27</v>
      </c>
      <c r="G42">
        <f>TTEST(A:A,B:B,1,1)</f>
        <v>6.3903822955597257E-8</v>
      </c>
    </row>
    <row r="43" spans="1:7" x14ac:dyDescent="0.25">
      <c r="A43" s="1">
        <v>5</v>
      </c>
      <c r="B43" s="1">
        <v>5</v>
      </c>
      <c r="C43" s="2">
        <f t="shared" si="0"/>
        <v>0</v>
      </c>
      <c r="D43" s="1">
        <f t="shared" si="1"/>
        <v>0.16000000000000003</v>
      </c>
    </row>
    <row r="44" spans="1:7" x14ac:dyDescent="0.25">
      <c r="A44" s="1">
        <v>3</v>
      </c>
      <c r="B44" s="1">
        <v>3</v>
      </c>
      <c r="C44" s="2">
        <f t="shared" si="0"/>
        <v>0</v>
      </c>
      <c r="D44" s="1">
        <f t="shared" si="1"/>
        <v>0.16000000000000003</v>
      </c>
    </row>
    <row r="45" spans="1:7" x14ac:dyDescent="0.25">
      <c r="A45" s="1">
        <v>5</v>
      </c>
      <c r="B45" s="1">
        <v>5</v>
      </c>
      <c r="C45" s="2">
        <f t="shared" si="0"/>
        <v>0</v>
      </c>
      <c r="D45" s="1">
        <f t="shared" si="1"/>
        <v>0.16000000000000003</v>
      </c>
      <c r="F45" s="6" t="s">
        <v>14</v>
      </c>
      <c r="G45" s="6"/>
    </row>
    <row r="46" spans="1:7" x14ac:dyDescent="0.25">
      <c r="A46" s="1">
        <v>5</v>
      </c>
      <c r="B46" s="1">
        <v>5</v>
      </c>
      <c r="C46" s="2">
        <f t="shared" si="0"/>
        <v>0</v>
      </c>
      <c r="D46" s="1">
        <f t="shared" si="1"/>
        <v>0.16000000000000003</v>
      </c>
    </row>
    <row r="47" spans="1:7" x14ac:dyDescent="0.25">
      <c r="A47" s="1">
        <v>5</v>
      </c>
      <c r="B47" s="1">
        <v>5</v>
      </c>
      <c r="C47" s="2">
        <f t="shared" si="0"/>
        <v>0</v>
      </c>
      <c r="D47" s="1">
        <f t="shared" si="1"/>
        <v>0.16000000000000003</v>
      </c>
      <c r="F47" t="s">
        <v>12</v>
      </c>
    </row>
    <row r="48" spans="1:7" x14ac:dyDescent="0.25">
      <c r="A48" s="1">
        <v>2</v>
      </c>
      <c r="B48" s="1">
        <v>3</v>
      </c>
      <c r="C48" s="2">
        <f t="shared" si="0"/>
        <v>1</v>
      </c>
      <c r="D48" s="1">
        <f t="shared" si="1"/>
        <v>0.36</v>
      </c>
      <c r="F48" t="s">
        <v>13</v>
      </c>
    </row>
    <row r="49" spans="1:6" x14ac:dyDescent="0.25">
      <c r="A49" s="1">
        <v>2</v>
      </c>
      <c r="B49" s="1">
        <v>2</v>
      </c>
      <c r="C49" s="2">
        <f t="shared" si="0"/>
        <v>0</v>
      </c>
      <c r="D49" s="1">
        <f t="shared" si="1"/>
        <v>0.16000000000000003</v>
      </c>
    </row>
    <row r="50" spans="1:6" x14ac:dyDescent="0.25">
      <c r="A50" s="1">
        <v>3</v>
      </c>
      <c r="B50" s="1">
        <v>3</v>
      </c>
      <c r="C50" s="2">
        <f t="shared" si="0"/>
        <v>0</v>
      </c>
      <c r="D50" s="1">
        <f t="shared" si="1"/>
        <v>0.16000000000000003</v>
      </c>
      <c r="F50" t="s">
        <v>16</v>
      </c>
    </row>
    <row r="51" spans="1:6" x14ac:dyDescent="0.25">
      <c r="A51" s="1">
        <v>1</v>
      </c>
      <c r="B51" s="1">
        <v>2</v>
      </c>
      <c r="C51" s="2">
        <f t="shared" si="0"/>
        <v>1</v>
      </c>
      <c r="D51" s="1">
        <f t="shared" si="1"/>
        <v>0.36</v>
      </c>
      <c r="F51" t="s">
        <v>17</v>
      </c>
    </row>
    <row r="52" spans="1:6" x14ac:dyDescent="0.25">
      <c r="A52" s="1">
        <v>3</v>
      </c>
      <c r="B52" s="1">
        <v>4</v>
      </c>
      <c r="C52" s="2">
        <f t="shared" si="0"/>
        <v>1</v>
      </c>
      <c r="D52" s="1">
        <f t="shared" si="1"/>
        <v>0.36</v>
      </c>
    </row>
    <row r="53" spans="1:6" x14ac:dyDescent="0.25">
      <c r="A53" s="1">
        <v>4</v>
      </c>
      <c r="B53" s="1">
        <v>4</v>
      </c>
      <c r="C53" s="2">
        <f t="shared" si="0"/>
        <v>0</v>
      </c>
      <c r="D53" s="1">
        <f t="shared" si="1"/>
        <v>0.16000000000000003</v>
      </c>
    </row>
    <row r="54" spans="1:6" x14ac:dyDescent="0.25">
      <c r="A54" s="1">
        <v>2</v>
      </c>
      <c r="B54" s="1">
        <v>3</v>
      </c>
      <c r="C54" s="2">
        <f t="shared" si="0"/>
        <v>1</v>
      </c>
      <c r="D54" s="1">
        <f t="shared" si="1"/>
        <v>0.36</v>
      </c>
    </row>
    <row r="55" spans="1:6" x14ac:dyDescent="0.25">
      <c r="A55" s="1">
        <v>4</v>
      </c>
      <c r="B55" s="1">
        <v>4</v>
      </c>
      <c r="C55" s="2">
        <f t="shared" si="0"/>
        <v>0</v>
      </c>
      <c r="D55" s="1">
        <f t="shared" si="1"/>
        <v>0.16000000000000003</v>
      </c>
    </row>
    <row r="56" spans="1:6" x14ac:dyDescent="0.25">
      <c r="A56" s="1">
        <v>1</v>
      </c>
      <c r="B56" s="1">
        <v>1</v>
      </c>
      <c r="C56" s="2">
        <f t="shared" si="0"/>
        <v>0</v>
      </c>
      <c r="D56" s="1">
        <f t="shared" si="1"/>
        <v>0.16000000000000003</v>
      </c>
      <c r="F56" s="6" t="s">
        <v>21</v>
      </c>
    </row>
    <row r="57" spans="1:6" x14ac:dyDescent="0.25">
      <c r="A57" s="1">
        <v>5</v>
      </c>
      <c r="B57" s="1">
        <v>5</v>
      </c>
      <c r="C57" s="2">
        <f t="shared" si="0"/>
        <v>0</v>
      </c>
      <c r="D57" s="1">
        <f t="shared" si="1"/>
        <v>0.16000000000000003</v>
      </c>
    </row>
    <row r="58" spans="1:6" x14ac:dyDescent="0.25">
      <c r="A58" s="1">
        <v>1</v>
      </c>
      <c r="B58" s="1">
        <v>2</v>
      </c>
      <c r="C58" s="2">
        <f t="shared" si="0"/>
        <v>1</v>
      </c>
      <c r="D58" s="1">
        <f t="shared" si="1"/>
        <v>0.36</v>
      </c>
      <c r="F58" t="s">
        <v>19</v>
      </c>
    </row>
    <row r="59" spans="1:6" x14ac:dyDescent="0.25">
      <c r="A59" s="1">
        <v>5</v>
      </c>
      <c r="B59" s="1">
        <v>5</v>
      </c>
      <c r="C59" s="2">
        <f t="shared" si="0"/>
        <v>0</v>
      </c>
      <c r="D59" s="1">
        <f t="shared" si="1"/>
        <v>0.16000000000000003</v>
      </c>
      <c r="F59" t="s">
        <v>18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0.16000000000000003</v>
      </c>
      <c r="F60" t="s">
        <v>20</v>
      </c>
    </row>
    <row r="61" spans="1:6" x14ac:dyDescent="0.25">
      <c r="A61" s="1">
        <v>3</v>
      </c>
      <c r="B61" s="1">
        <v>3</v>
      </c>
      <c r="C61" s="2">
        <f t="shared" si="0"/>
        <v>0</v>
      </c>
      <c r="D61" s="1">
        <f t="shared" si="1"/>
        <v>0.16000000000000003</v>
      </c>
    </row>
    <row r="62" spans="1:6" x14ac:dyDescent="0.25">
      <c r="A62" s="1">
        <v>1</v>
      </c>
      <c r="B62" s="1">
        <v>1</v>
      </c>
      <c r="C62" s="2">
        <f t="shared" si="0"/>
        <v>0</v>
      </c>
      <c r="D62" s="1">
        <f t="shared" si="1"/>
        <v>0.16000000000000003</v>
      </c>
    </row>
    <row r="63" spans="1:6" x14ac:dyDescent="0.25">
      <c r="A63" s="1">
        <v>5</v>
      </c>
      <c r="B63" s="1">
        <v>5</v>
      </c>
      <c r="C63" s="2">
        <f t="shared" si="0"/>
        <v>0</v>
      </c>
      <c r="D63" s="1">
        <f t="shared" si="1"/>
        <v>0.16000000000000003</v>
      </c>
    </row>
    <row r="64" spans="1:6" x14ac:dyDescent="0.25">
      <c r="A64" s="1">
        <v>3</v>
      </c>
      <c r="B64" s="1">
        <v>4</v>
      </c>
      <c r="C64" s="2">
        <f t="shared" si="0"/>
        <v>1</v>
      </c>
      <c r="D64" s="1">
        <f t="shared" si="1"/>
        <v>0.36</v>
      </c>
    </row>
    <row r="65" spans="1:6" x14ac:dyDescent="0.25">
      <c r="A65" s="1">
        <v>1</v>
      </c>
      <c r="B65" s="1">
        <v>1</v>
      </c>
      <c r="C65" s="2">
        <f t="shared" si="0"/>
        <v>0</v>
      </c>
      <c r="D65" s="1">
        <f t="shared" si="1"/>
        <v>0.16000000000000003</v>
      </c>
      <c r="F65" s="6" t="s">
        <v>21</v>
      </c>
    </row>
    <row r="66" spans="1:6" x14ac:dyDescent="0.25">
      <c r="A66" s="1">
        <v>3</v>
      </c>
      <c r="B66" s="1">
        <v>3</v>
      </c>
      <c r="C66" s="2">
        <f t="shared" si="0"/>
        <v>0</v>
      </c>
      <c r="D66" s="1">
        <f t="shared" si="1"/>
        <v>0.16000000000000003</v>
      </c>
    </row>
    <row r="67" spans="1:6" x14ac:dyDescent="0.25">
      <c r="A67" s="1">
        <v>2</v>
      </c>
      <c r="B67" s="1">
        <v>3</v>
      </c>
      <c r="C67" s="2">
        <f t="shared" ref="C67:C76" si="2">B67-A67</f>
        <v>1</v>
      </c>
      <c r="D67" s="1">
        <f t="shared" si="1"/>
        <v>0.36</v>
      </c>
    </row>
    <row r="68" spans="1:6" x14ac:dyDescent="0.25">
      <c r="A68" s="1">
        <v>2</v>
      </c>
      <c r="B68" s="1">
        <v>3</v>
      </c>
      <c r="C68" s="2">
        <f t="shared" si="2"/>
        <v>1</v>
      </c>
      <c r="D68" s="1">
        <f t="shared" si="1"/>
        <v>0.36</v>
      </c>
    </row>
    <row r="69" spans="1:6" x14ac:dyDescent="0.25">
      <c r="A69" s="1">
        <v>3</v>
      </c>
      <c r="B69" s="1">
        <v>3</v>
      </c>
      <c r="C69" s="2">
        <f t="shared" si="2"/>
        <v>0</v>
      </c>
      <c r="D69" s="1">
        <f t="shared" ref="D69:D76" si="3">(C69-$G$6)^2</f>
        <v>0.16000000000000003</v>
      </c>
    </row>
    <row r="70" spans="1:6" x14ac:dyDescent="0.25">
      <c r="A70" s="1">
        <v>2</v>
      </c>
      <c r="B70" s="1">
        <v>3</v>
      </c>
      <c r="C70" s="2">
        <f t="shared" si="2"/>
        <v>1</v>
      </c>
      <c r="D70" s="1">
        <f t="shared" si="3"/>
        <v>0.36</v>
      </c>
    </row>
    <row r="71" spans="1:6" x14ac:dyDescent="0.25">
      <c r="A71" s="1">
        <v>3</v>
      </c>
      <c r="B71" s="1">
        <v>3</v>
      </c>
      <c r="C71" s="2">
        <f t="shared" si="2"/>
        <v>0</v>
      </c>
      <c r="D71" s="1">
        <f t="shared" si="3"/>
        <v>0.16000000000000003</v>
      </c>
    </row>
    <row r="72" spans="1:6" x14ac:dyDescent="0.25">
      <c r="A72" s="1">
        <v>1</v>
      </c>
      <c r="B72" s="1">
        <v>1</v>
      </c>
      <c r="C72" s="2">
        <f t="shared" si="2"/>
        <v>0</v>
      </c>
      <c r="D72" s="1">
        <f t="shared" si="3"/>
        <v>0.16000000000000003</v>
      </c>
      <c r="F72" t="s">
        <v>22</v>
      </c>
    </row>
    <row r="73" spans="1:6" x14ac:dyDescent="0.25">
      <c r="A73" s="1">
        <v>5</v>
      </c>
      <c r="B73" s="1">
        <v>5</v>
      </c>
      <c r="C73" s="2">
        <f t="shared" si="2"/>
        <v>0</v>
      </c>
      <c r="D73" s="1">
        <f t="shared" si="3"/>
        <v>0.16000000000000003</v>
      </c>
      <c r="F73" t="s">
        <v>20</v>
      </c>
    </row>
    <row r="74" spans="1:6" x14ac:dyDescent="0.25">
      <c r="A74" s="1">
        <v>4</v>
      </c>
      <c r="B74" s="1">
        <v>4</v>
      </c>
      <c r="C74" s="2">
        <f t="shared" si="2"/>
        <v>0</v>
      </c>
      <c r="D74" s="1">
        <f t="shared" si="3"/>
        <v>0.16000000000000003</v>
      </c>
      <c r="F74" t="s">
        <v>22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0.16000000000000003</v>
      </c>
      <c r="F75" t="s">
        <v>20</v>
      </c>
    </row>
    <row r="76" spans="1:6" x14ac:dyDescent="0.25">
      <c r="A76" s="1">
        <v>1</v>
      </c>
      <c r="B76" s="1">
        <v>2</v>
      </c>
      <c r="C76" s="2">
        <f t="shared" si="2"/>
        <v>1</v>
      </c>
      <c r="D76" s="1">
        <f t="shared" si="3"/>
        <v>0.36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3"/>
  <sheetViews>
    <sheetView topLeftCell="D13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30.140625" style="1" customWidth="1"/>
    <col min="2" max="2" width="30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5.15" customHeight="1" x14ac:dyDescent="0.25">
      <c r="A1" s="3" t="s">
        <v>35</v>
      </c>
      <c r="B1" s="4" t="s">
        <v>34</v>
      </c>
      <c r="C1" s="5" t="s">
        <v>0</v>
      </c>
      <c r="D1" s="5"/>
    </row>
    <row r="2" spans="1:7" x14ac:dyDescent="0.25">
      <c r="A2" s="1">
        <v>5</v>
      </c>
      <c r="B2" s="1">
        <v>5</v>
      </c>
      <c r="C2" s="2">
        <f>B2-A2</f>
        <v>0</v>
      </c>
      <c r="D2" s="1">
        <f>(C2-$G$6)^2</f>
        <v>9.4044444444444431E-2</v>
      </c>
    </row>
    <row r="3" spans="1:7" x14ac:dyDescent="0.25">
      <c r="A3" s="1">
        <v>5</v>
      </c>
      <c r="B3" s="1">
        <v>5</v>
      </c>
      <c r="C3" s="2">
        <f t="shared" ref="C3:C66" si="0">B3-A3</f>
        <v>0</v>
      </c>
      <c r="D3" s="1">
        <f>(C3-$G$6)^2</f>
        <v>9.4044444444444431E-2</v>
      </c>
      <c r="F3" s="6" t="s">
        <v>15</v>
      </c>
      <c r="G3" s="6"/>
    </row>
    <row r="4" spans="1:7" x14ac:dyDescent="0.25">
      <c r="A4" s="1">
        <v>5</v>
      </c>
      <c r="B4" s="1">
        <v>5</v>
      </c>
      <c r="C4" s="2">
        <f t="shared" si="0"/>
        <v>0</v>
      </c>
      <c r="D4" s="1">
        <f>(C4-$G$6)^2</f>
        <v>9.4044444444444431E-2</v>
      </c>
      <c r="F4" t="s">
        <v>3</v>
      </c>
      <c r="G4">
        <f>COUNT(A:A)</f>
        <v>75</v>
      </c>
    </row>
    <row r="5" spans="1:7" x14ac:dyDescent="0.25">
      <c r="A5" s="1">
        <v>5</v>
      </c>
      <c r="B5" s="1">
        <v>5</v>
      </c>
      <c r="C5" s="2">
        <f t="shared" si="0"/>
        <v>0</v>
      </c>
      <c r="D5" s="1">
        <f t="shared" ref="D5:D68" si="1">(C5-$G$6)^2</f>
        <v>9.4044444444444431E-2</v>
      </c>
      <c r="F5" t="s">
        <v>2</v>
      </c>
      <c r="G5">
        <f>SUM(C:C)</f>
        <v>23</v>
      </c>
    </row>
    <row r="6" spans="1:7" x14ac:dyDescent="0.25">
      <c r="A6" s="1">
        <v>2</v>
      </c>
      <c r="B6" s="1">
        <v>2</v>
      </c>
      <c r="C6" s="2">
        <f t="shared" si="0"/>
        <v>0</v>
      </c>
      <c r="D6" s="1">
        <f t="shared" si="1"/>
        <v>9.4044444444444431E-2</v>
      </c>
      <c r="F6" t="s">
        <v>1</v>
      </c>
      <c r="G6">
        <f>G5/G4</f>
        <v>0.30666666666666664</v>
      </c>
    </row>
    <row r="7" spans="1:7" x14ac:dyDescent="0.25">
      <c r="A7" s="1">
        <v>2</v>
      </c>
      <c r="B7" s="1">
        <v>2</v>
      </c>
      <c r="C7" s="2">
        <f t="shared" si="0"/>
        <v>0</v>
      </c>
      <c r="D7" s="1">
        <f t="shared" si="1"/>
        <v>9.4044444444444431E-2</v>
      </c>
      <c r="F7" t="s">
        <v>26</v>
      </c>
      <c r="G7">
        <f>SUM(D:D)</f>
        <v>17.946666666666669</v>
      </c>
    </row>
    <row r="8" spans="1:7" x14ac:dyDescent="0.25">
      <c r="A8" s="1">
        <v>3</v>
      </c>
      <c r="B8" s="1">
        <v>3</v>
      </c>
      <c r="C8" s="2">
        <f t="shared" si="0"/>
        <v>0</v>
      </c>
      <c r="D8" s="1">
        <f t="shared" si="1"/>
        <v>9.4044444444444431E-2</v>
      </c>
      <c r="F8" t="s">
        <v>4</v>
      </c>
      <c r="G8">
        <f>SQRT(G7/(G4-1))</f>
        <v>0.49246575771572437</v>
      </c>
    </row>
    <row r="9" spans="1:7" x14ac:dyDescent="0.25">
      <c r="A9" s="1">
        <v>5</v>
      </c>
      <c r="B9" s="1">
        <v>5</v>
      </c>
      <c r="C9" s="2">
        <f t="shared" si="0"/>
        <v>0</v>
      </c>
      <c r="D9" s="1">
        <f t="shared" si="1"/>
        <v>9.4044444444444431E-2</v>
      </c>
    </row>
    <row r="10" spans="1:7" x14ac:dyDescent="0.25">
      <c r="A10" s="1">
        <v>3</v>
      </c>
      <c r="B10" s="1">
        <v>4</v>
      </c>
      <c r="C10" s="2">
        <f t="shared" si="0"/>
        <v>1</v>
      </c>
      <c r="D10" s="1">
        <f t="shared" si="1"/>
        <v>0.48071111111111114</v>
      </c>
    </row>
    <row r="11" spans="1:7" x14ac:dyDescent="0.25">
      <c r="A11" s="1">
        <v>3</v>
      </c>
      <c r="B11" s="1">
        <v>3</v>
      </c>
      <c r="C11" s="2">
        <f t="shared" si="0"/>
        <v>0</v>
      </c>
      <c r="D11" s="1">
        <f t="shared" si="1"/>
        <v>9.4044444444444431E-2</v>
      </c>
    </row>
    <row r="12" spans="1:7" x14ac:dyDescent="0.25">
      <c r="A12" s="1">
        <v>5</v>
      </c>
      <c r="B12" s="1">
        <v>5</v>
      </c>
      <c r="C12" s="2">
        <f t="shared" si="0"/>
        <v>0</v>
      </c>
      <c r="D12" s="1">
        <f t="shared" si="1"/>
        <v>9.4044444444444431E-2</v>
      </c>
      <c r="F12" t="s">
        <v>10</v>
      </c>
      <c r="G12">
        <f>G6/(G8/SQRT(G4))</f>
        <v>5.3928850821854386</v>
      </c>
    </row>
    <row r="13" spans="1:7" x14ac:dyDescent="0.25">
      <c r="A13" s="1">
        <v>4</v>
      </c>
      <c r="B13" s="1">
        <v>4</v>
      </c>
      <c r="C13" s="2">
        <f t="shared" si="0"/>
        <v>0</v>
      </c>
      <c r="D13" s="1">
        <f t="shared" si="1"/>
        <v>9.4044444444444431E-2</v>
      </c>
    </row>
    <row r="14" spans="1:7" x14ac:dyDescent="0.25">
      <c r="A14" s="1">
        <v>4</v>
      </c>
      <c r="B14" s="1">
        <v>4</v>
      </c>
      <c r="C14" s="2">
        <f t="shared" si="0"/>
        <v>0</v>
      </c>
      <c r="D14" s="1">
        <f t="shared" si="1"/>
        <v>9.4044444444444431E-2</v>
      </c>
    </row>
    <row r="15" spans="1:7" x14ac:dyDescent="0.25">
      <c r="A15" s="1">
        <v>3</v>
      </c>
      <c r="B15" s="1">
        <v>4</v>
      </c>
      <c r="C15" s="2">
        <f t="shared" si="0"/>
        <v>1</v>
      </c>
      <c r="D15" s="1">
        <f t="shared" si="1"/>
        <v>0.48071111111111114</v>
      </c>
    </row>
    <row r="16" spans="1:7" x14ac:dyDescent="0.25">
      <c r="A16" s="1">
        <v>3</v>
      </c>
      <c r="B16" s="1">
        <v>3</v>
      </c>
      <c r="C16" s="2">
        <f t="shared" si="0"/>
        <v>0</v>
      </c>
      <c r="D16" s="1">
        <f t="shared" si="1"/>
        <v>9.4044444444444431E-2</v>
      </c>
    </row>
    <row r="17" spans="1:7" x14ac:dyDescent="0.25">
      <c r="A17" s="1">
        <v>5</v>
      </c>
      <c r="B17" s="1">
        <v>5</v>
      </c>
      <c r="C17" s="2">
        <f t="shared" si="0"/>
        <v>0</v>
      </c>
      <c r="D17" s="1">
        <f t="shared" si="1"/>
        <v>9.4044444444444431E-2</v>
      </c>
      <c r="F17" t="s">
        <v>5</v>
      </c>
      <c r="G17">
        <v>0.05</v>
      </c>
    </row>
    <row r="18" spans="1:7" x14ac:dyDescent="0.25">
      <c r="A18" s="1">
        <v>4</v>
      </c>
      <c r="B18" s="1">
        <v>4</v>
      </c>
      <c r="C18" s="2">
        <f t="shared" si="0"/>
        <v>0</v>
      </c>
      <c r="D18" s="1">
        <f t="shared" si="1"/>
        <v>9.4044444444444431E-2</v>
      </c>
      <c r="F18" t="s">
        <v>6</v>
      </c>
      <c r="G18">
        <f>G4-1</f>
        <v>74</v>
      </c>
    </row>
    <row r="19" spans="1:7" x14ac:dyDescent="0.25">
      <c r="A19" s="1">
        <v>3</v>
      </c>
      <c r="B19" s="1">
        <v>3</v>
      </c>
      <c r="C19" s="2">
        <f t="shared" si="0"/>
        <v>0</v>
      </c>
      <c r="D19" s="1">
        <f t="shared" si="1"/>
        <v>9.4044444444444431E-2</v>
      </c>
    </row>
    <row r="20" spans="1:7" x14ac:dyDescent="0.25">
      <c r="A20" s="1">
        <v>3</v>
      </c>
      <c r="B20" s="1">
        <v>4</v>
      </c>
      <c r="C20" s="2">
        <f t="shared" si="0"/>
        <v>1</v>
      </c>
      <c r="D20" s="1">
        <f t="shared" si="1"/>
        <v>0.48071111111111114</v>
      </c>
    </row>
    <row r="21" spans="1:7" x14ac:dyDescent="0.25">
      <c r="A21" s="1">
        <v>2</v>
      </c>
      <c r="B21" s="1">
        <v>3</v>
      </c>
      <c r="C21" s="2">
        <f t="shared" si="0"/>
        <v>1</v>
      </c>
      <c r="D21" s="1">
        <f t="shared" si="1"/>
        <v>0.48071111111111114</v>
      </c>
    </row>
    <row r="22" spans="1:7" x14ac:dyDescent="0.25">
      <c r="A22" s="1">
        <v>3</v>
      </c>
      <c r="B22" s="1">
        <v>4</v>
      </c>
      <c r="C22" s="2">
        <f t="shared" si="0"/>
        <v>1</v>
      </c>
      <c r="D22" s="1">
        <f t="shared" si="1"/>
        <v>0.48071111111111114</v>
      </c>
      <c r="F22" s="6" t="s">
        <v>7</v>
      </c>
      <c r="G22" s="6"/>
    </row>
    <row r="23" spans="1:7" x14ac:dyDescent="0.25">
      <c r="A23" s="1">
        <v>5</v>
      </c>
      <c r="B23" s="1">
        <v>5</v>
      </c>
      <c r="C23" s="2">
        <f t="shared" si="0"/>
        <v>0</v>
      </c>
      <c r="D23" s="1">
        <f t="shared" si="1"/>
        <v>9.4044444444444431E-2</v>
      </c>
      <c r="F23" t="s">
        <v>24</v>
      </c>
      <c r="G23">
        <f>_xlfn.T.INV.2T(G17,G18)</f>
        <v>1.992543495180934</v>
      </c>
    </row>
    <row r="24" spans="1:7" x14ac:dyDescent="0.25">
      <c r="A24" s="1">
        <v>5</v>
      </c>
      <c r="B24" s="1">
        <v>5</v>
      </c>
      <c r="C24" s="2">
        <f t="shared" si="0"/>
        <v>0</v>
      </c>
      <c r="D24" s="1">
        <f t="shared" si="1"/>
        <v>9.4044444444444431E-2</v>
      </c>
      <c r="F24" t="s">
        <v>25</v>
      </c>
      <c r="G24">
        <f>_xlfn.T.INV(G17,G18)</f>
        <v>-1.6657068927340244</v>
      </c>
    </row>
    <row r="25" spans="1:7" x14ac:dyDescent="0.25">
      <c r="A25" s="1">
        <v>3</v>
      </c>
      <c r="B25" s="1">
        <v>3</v>
      </c>
      <c r="C25" s="2">
        <f t="shared" si="0"/>
        <v>0</v>
      </c>
      <c r="D25" s="1">
        <f t="shared" si="1"/>
        <v>9.4044444444444431E-2</v>
      </c>
    </row>
    <row r="26" spans="1:7" x14ac:dyDescent="0.25">
      <c r="A26" s="1">
        <v>5</v>
      </c>
      <c r="B26" s="1">
        <v>5</v>
      </c>
      <c r="C26" s="2">
        <f t="shared" si="0"/>
        <v>0</v>
      </c>
      <c r="D26" s="1">
        <f t="shared" si="1"/>
        <v>9.4044444444444431E-2</v>
      </c>
    </row>
    <row r="27" spans="1:7" x14ac:dyDescent="0.25">
      <c r="A27" s="1">
        <v>3</v>
      </c>
      <c r="B27" s="1">
        <v>4</v>
      </c>
      <c r="C27" s="2">
        <f t="shared" si="0"/>
        <v>1</v>
      </c>
      <c r="D27" s="1">
        <f t="shared" si="1"/>
        <v>0.48071111111111114</v>
      </c>
    </row>
    <row r="28" spans="1:7" x14ac:dyDescent="0.25">
      <c r="A28" s="1">
        <v>1</v>
      </c>
      <c r="B28" s="1">
        <v>1</v>
      </c>
      <c r="C28" s="2">
        <f t="shared" si="0"/>
        <v>0</v>
      </c>
      <c r="D28" s="1">
        <f t="shared" si="1"/>
        <v>9.4044444444444431E-2</v>
      </c>
    </row>
    <row r="29" spans="1:7" x14ac:dyDescent="0.25">
      <c r="A29" s="1">
        <v>3</v>
      </c>
      <c r="B29" s="1">
        <v>4</v>
      </c>
      <c r="C29" s="2">
        <f t="shared" si="0"/>
        <v>1</v>
      </c>
      <c r="D29" s="1">
        <f t="shared" si="1"/>
        <v>0.48071111111111114</v>
      </c>
    </row>
    <row r="30" spans="1:7" x14ac:dyDescent="0.25">
      <c r="A30" s="1">
        <v>4</v>
      </c>
      <c r="B30" s="1">
        <v>4</v>
      </c>
      <c r="C30" s="2">
        <f t="shared" si="0"/>
        <v>0</v>
      </c>
      <c r="D30" s="1">
        <f t="shared" si="1"/>
        <v>9.4044444444444431E-2</v>
      </c>
    </row>
    <row r="31" spans="1:7" x14ac:dyDescent="0.25">
      <c r="A31" s="1">
        <v>3</v>
      </c>
      <c r="B31" s="1">
        <v>4</v>
      </c>
      <c r="C31" s="2">
        <f t="shared" si="0"/>
        <v>1</v>
      </c>
      <c r="D31" s="1">
        <f t="shared" si="1"/>
        <v>0.48071111111111114</v>
      </c>
    </row>
    <row r="32" spans="1:7" x14ac:dyDescent="0.25">
      <c r="A32" s="1">
        <v>4</v>
      </c>
      <c r="B32" s="1">
        <v>4</v>
      </c>
      <c r="C32" s="2">
        <f t="shared" si="0"/>
        <v>0</v>
      </c>
      <c r="D32" s="1">
        <f t="shared" si="1"/>
        <v>9.4044444444444431E-2</v>
      </c>
    </row>
    <row r="33" spans="1:7" x14ac:dyDescent="0.25">
      <c r="A33" s="1">
        <v>3</v>
      </c>
      <c r="B33" s="1">
        <v>4</v>
      </c>
      <c r="C33" s="2">
        <f t="shared" si="0"/>
        <v>1</v>
      </c>
      <c r="D33" s="1">
        <f t="shared" si="1"/>
        <v>0.48071111111111114</v>
      </c>
    </row>
    <row r="34" spans="1:7" x14ac:dyDescent="0.25">
      <c r="A34" s="1">
        <v>1</v>
      </c>
      <c r="B34" s="1">
        <v>1</v>
      </c>
      <c r="C34" s="2">
        <f t="shared" si="0"/>
        <v>0</v>
      </c>
      <c r="D34" s="1">
        <f t="shared" si="1"/>
        <v>9.4044444444444431E-2</v>
      </c>
      <c r="F34" t="s">
        <v>8</v>
      </c>
    </row>
    <row r="35" spans="1:7" x14ac:dyDescent="0.25">
      <c r="A35" s="1">
        <v>4</v>
      </c>
      <c r="B35" s="1">
        <v>4</v>
      </c>
      <c r="C35" s="2">
        <f t="shared" si="0"/>
        <v>0</v>
      </c>
      <c r="D35" s="1">
        <f t="shared" si="1"/>
        <v>9.4044444444444431E-2</v>
      </c>
      <c r="F35" t="s">
        <v>9</v>
      </c>
    </row>
    <row r="36" spans="1:7" x14ac:dyDescent="0.25">
      <c r="A36" s="1">
        <v>1</v>
      </c>
      <c r="B36" s="1">
        <v>3</v>
      </c>
      <c r="C36" s="2">
        <f t="shared" si="0"/>
        <v>2</v>
      </c>
      <c r="D36" s="1">
        <f t="shared" si="1"/>
        <v>2.867377777777778</v>
      </c>
    </row>
    <row r="37" spans="1:7" x14ac:dyDescent="0.25">
      <c r="A37" s="1">
        <v>1</v>
      </c>
      <c r="B37" s="1">
        <v>2</v>
      </c>
      <c r="C37" s="2">
        <f t="shared" si="0"/>
        <v>1</v>
      </c>
      <c r="D37" s="1">
        <f t="shared" si="1"/>
        <v>0.48071111111111114</v>
      </c>
    </row>
    <row r="38" spans="1:7" x14ac:dyDescent="0.25">
      <c r="A38" s="1">
        <v>5</v>
      </c>
      <c r="B38" s="1">
        <v>5</v>
      </c>
      <c r="C38" s="2">
        <f t="shared" si="0"/>
        <v>0</v>
      </c>
      <c r="D38" s="1">
        <f t="shared" si="1"/>
        <v>9.4044444444444431E-2</v>
      </c>
    </row>
    <row r="39" spans="1:7" x14ac:dyDescent="0.25">
      <c r="A39" s="1">
        <v>5</v>
      </c>
      <c r="B39" s="1">
        <v>5</v>
      </c>
      <c r="C39" s="2">
        <f t="shared" si="0"/>
        <v>0</v>
      </c>
      <c r="D39" s="1">
        <f t="shared" si="1"/>
        <v>9.4044444444444431E-2</v>
      </c>
      <c r="F39" s="6" t="s">
        <v>11</v>
      </c>
      <c r="G39" s="6"/>
    </row>
    <row r="40" spans="1:7" x14ac:dyDescent="0.25">
      <c r="A40" s="1">
        <v>5</v>
      </c>
      <c r="B40" s="1">
        <v>5</v>
      </c>
      <c r="C40" s="2">
        <f t="shared" si="0"/>
        <v>0</v>
      </c>
      <c r="D40" s="1">
        <f t="shared" si="1"/>
        <v>9.4044444444444431E-2</v>
      </c>
      <c r="F40" t="s">
        <v>11</v>
      </c>
    </row>
    <row r="41" spans="1:7" x14ac:dyDescent="0.25">
      <c r="A41" s="1">
        <v>5</v>
      </c>
      <c r="B41" s="1">
        <v>5</v>
      </c>
      <c r="C41" s="2">
        <f t="shared" si="0"/>
        <v>0</v>
      </c>
      <c r="D41" s="1">
        <f t="shared" si="1"/>
        <v>9.4044444444444431E-2</v>
      </c>
      <c r="F41" t="s">
        <v>23</v>
      </c>
      <c r="G41">
        <f>TTEST(A:A,B:B,2,1)</f>
        <v>7.956785693550934E-7</v>
      </c>
    </row>
    <row r="42" spans="1:7" x14ac:dyDescent="0.25">
      <c r="A42" s="1">
        <v>5</v>
      </c>
      <c r="B42" s="1">
        <v>5</v>
      </c>
      <c r="C42" s="2">
        <f t="shared" si="0"/>
        <v>0</v>
      </c>
      <c r="D42" s="1">
        <f t="shared" si="1"/>
        <v>9.4044444444444431E-2</v>
      </c>
      <c r="F42" t="s">
        <v>27</v>
      </c>
      <c r="G42">
        <f>TTEST(A:A,B:B,1,1)</f>
        <v>3.978392846775467E-7</v>
      </c>
    </row>
    <row r="43" spans="1:7" x14ac:dyDescent="0.25">
      <c r="A43" s="1">
        <v>3</v>
      </c>
      <c r="B43" s="1">
        <v>3</v>
      </c>
      <c r="C43" s="2">
        <f t="shared" si="0"/>
        <v>0</v>
      </c>
      <c r="D43" s="1">
        <f t="shared" si="1"/>
        <v>9.4044444444444431E-2</v>
      </c>
    </row>
    <row r="44" spans="1:7" x14ac:dyDescent="0.25">
      <c r="A44" s="1">
        <v>5</v>
      </c>
      <c r="B44" s="1">
        <v>5</v>
      </c>
      <c r="C44" s="2">
        <f t="shared" si="0"/>
        <v>0</v>
      </c>
      <c r="D44" s="1">
        <f t="shared" si="1"/>
        <v>9.4044444444444431E-2</v>
      </c>
    </row>
    <row r="45" spans="1:7" x14ac:dyDescent="0.25">
      <c r="A45" s="1">
        <v>4</v>
      </c>
      <c r="B45" s="1">
        <v>4</v>
      </c>
      <c r="C45" s="2">
        <f t="shared" si="0"/>
        <v>0</v>
      </c>
      <c r="D45" s="1">
        <f t="shared" si="1"/>
        <v>9.4044444444444431E-2</v>
      </c>
      <c r="F45" s="6" t="s">
        <v>14</v>
      </c>
      <c r="G45" s="6"/>
    </row>
    <row r="46" spans="1:7" x14ac:dyDescent="0.25">
      <c r="A46" s="1">
        <v>2</v>
      </c>
      <c r="B46" s="1">
        <v>3</v>
      </c>
      <c r="C46" s="2">
        <f t="shared" si="0"/>
        <v>1</v>
      </c>
      <c r="D46" s="1">
        <f t="shared" si="1"/>
        <v>0.48071111111111114</v>
      </c>
    </row>
    <row r="47" spans="1:7" x14ac:dyDescent="0.25">
      <c r="A47" s="1">
        <v>5</v>
      </c>
      <c r="B47" s="1">
        <v>5</v>
      </c>
      <c r="C47" s="2">
        <f t="shared" si="0"/>
        <v>0</v>
      </c>
      <c r="D47" s="1">
        <f t="shared" si="1"/>
        <v>9.4044444444444431E-2</v>
      </c>
      <c r="F47" t="s">
        <v>12</v>
      </c>
    </row>
    <row r="48" spans="1:7" x14ac:dyDescent="0.25">
      <c r="A48" s="1">
        <v>2</v>
      </c>
      <c r="B48" s="1">
        <v>3</v>
      </c>
      <c r="C48" s="2">
        <f t="shared" si="0"/>
        <v>1</v>
      </c>
      <c r="D48" s="1">
        <f t="shared" si="1"/>
        <v>0.48071111111111114</v>
      </c>
      <c r="F48" t="s">
        <v>13</v>
      </c>
    </row>
    <row r="49" spans="1:6" x14ac:dyDescent="0.25">
      <c r="A49" s="1">
        <v>4</v>
      </c>
      <c r="B49" s="1">
        <v>4</v>
      </c>
      <c r="C49" s="2">
        <f t="shared" si="0"/>
        <v>0</v>
      </c>
      <c r="D49" s="1">
        <f t="shared" si="1"/>
        <v>9.4044444444444431E-2</v>
      </c>
    </row>
    <row r="50" spans="1:6" x14ac:dyDescent="0.25">
      <c r="A50" s="1">
        <v>5</v>
      </c>
      <c r="B50" s="1">
        <v>5</v>
      </c>
      <c r="C50" s="2">
        <f t="shared" si="0"/>
        <v>0</v>
      </c>
      <c r="D50" s="1">
        <f t="shared" si="1"/>
        <v>9.4044444444444431E-2</v>
      </c>
      <c r="F50" t="s">
        <v>16</v>
      </c>
    </row>
    <row r="51" spans="1:6" x14ac:dyDescent="0.25">
      <c r="A51" s="1">
        <v>3</v>
      </c>
      <c r="B51" s="1">
        <v>4</v>
      </c>
      <c r="C51" s="2">
        <f t="shared" si="0"/>
        <v>1</v>
      </c>
      <c r="D51" s="1">
        <f t="shared" si="1"/>
        <v>0.48071111111111114</v>
      </c>
      <c r="F51" t="s">
        <v>17</v>
      </c>
    </row>
    <row r="52" spans="1:6" x14ac:dyDescent="0.25">
      <c r="A52" s="1">
        <v>3</v>
      </c>
      <c r="B52" s="1">
        <v>3</v>
      </c>
      <c r="C52" s="2">
        <f t="shared" si="0"/>
        <v>0</v>
      </c>
      <c r="D52" s="1">
        <f t="shared" si="1"/>
        <v>9.4044444444444431E-2</v>
      </c>
    </row>
    <row r="53" spans="1:6" x14ac:dyDescent="0.25">
      <c r="A53" s="1">
        <v>1</v>
      </c>
      <c r="B53" s="1">
        <v>1</v>
      </c>
      <c r="C53" s="2">
        <f t="shared" si="0"/>
        <v>0</v>
      </c>
      <c r="D53" s="1">
        <f t="shared" si="1"/>
        <v>9.4044444444444431E-2</v>
      </c>
    </row>
    <row r="54" spans="1:6" x14ac:dyDescent="0.25">
      <c r="A54" s="1">
        <v>2</v>
      </c>
      <c r="B54" s="1">
        <v>2</v>
      </c>
      <c r="C54" s="2">
        <f t="shared" si="0"/>
        <v>0</v>
      </c>
      <c r="D54" s="1">
        <f t="shared" si="1"/>
        <v>9.4044444444444431E-2</v>
      </c>
    </row>
    <row r="55" spans="1:6" x14ac:dyDescent="0.25">
      <c r="A55" s="1">
        <v>2</v>
      </c>
      <c r="B55" s="1">
        <v>3</v>
      </c>
      <c r="C55" s="2">
        <f t="shared" si="0"/>
        <v>1</v>
      </c>
      <c r="D55" s="1">
        <f t="shared" si="1"/>
        <v>0.48071111111111114</v>
      </c>
    </row>
    <row r="56" spans="1:6" x14ac:dyDescent="0.25">
      <c r="A56" s="1">
        <v>4</v>
      </c>
      <c r="B56" s="1">
        <v>4</v>
      </c>
      <c r="C56" s="2">
        <f t="shared" si="0"/>
        <v>0</v>
      </c>
      <c r="D56" s="1">
        <f t="shared" si="1"/>
        <v>9.4044444444444431E-2</v>
      </c>
      <c r="F56" s="6" t="s">
        <v>21</v>
      </c>
    </row>
    <row r="57" spans="1:6" x14ac:dyDescent="0.25">
      <c r="A57" s="1">
        <v>5</v>
      </c>
      <c r="B57" s="1">
        <v>5</v>
      </c>
      <c r="C57" s="2">
        <f t="shared" si="0"/>
        <v>0</v>
      </c>
      <c r="D57" s="1">
        <f t="shared" si="1"/>
        <v>9.4044444444444431E-2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9.4044444444444431E-2</v>
      </c>
      <c r="F58" t="s">
        <v>19</v>
      </c>
    </row>
    <row r="59" spans="1:6" x14ac:dyDescent="0.25">
      <c r="A59" s="1">
        <v>2</v>
      </c>
      <c r="B59" s="1">
        <v>3</v>
      </c>
      <c r="C59" s="2">
        <f t="shared" si="0"/>
        <v>1</v>
      </c>
      <c r="D59" s="1">
        <f t="shared" si="1"/>
        <v>0.48071111111111114</v>
      </c>
      <c r="F59" t="s">
        <v>18</v>
      </c>
    </row>
    <row r="60" spans="1:6" x14ac:dyDescent="0.25">
      <c r="A60" s="1">
        <v>1</v>
      </c>
      <c r="B60" s="1">
        <v>2</v>
      </c>
      <c r="C60" s="2">
        <f t="shared" si="0"/>
        <v>1</v>
      </c>
      <c r="D60" s="1">
        <f t="shared" si="1"/>
        <v>0.48071111111111114</v>
      </c>
      <c r="F60" t="s">
        <v>20</v>
      </c>
    </row>
    <row r="61" spans="1:6" x14ac:dyDescent="0.25">
      <c r="A61" s="1">
        <v>4</v>
      </c>
      <c r="B61" s="1">
        <v>5</v>
      </c>
      <c r="C61" s="2">
        <f t="shared" si="0"/>
        <v>1</v>
      </c>
      <c r="D61" s="1">
        <f t="shared" si="1"/>
        <v>0.48071111111111114</v>
      </c>
    </row>
    <row r="62" spans="1:6" x14ac:dyDescent="0.25">
      <c r="A62" s="1">
        <v>4</v>
      </c>
      <c r="B62" s="1">
        <v>4</v>
      </c>
      <c r="C62" s="2">
        <f t="shared" si="0"/>
        <v>0</v>
      </c>
      <c r="D62" s="1">
        <f t="shared" si="1"/>
        <v>9.4044444444444431E-2</v>
      </c>
    </row>
    <row r="63" spans="1:6" x14ac:dyDescent="0.25">
      <c r="A63" s="1">
        <v>2</v>
      </c>
      <c r="B63" s="1">
        <v>2</v>
      </c>
      <c r="C63" s="2">
        <f t="shared" si="0"/>
        <v>0</v>
      </c>
      <c r="D63" s="1">
        <f t="shared" si="1"/>
        <v>9.4044444444444431E-2</v>
      </c>
    </row>
    <row r="64" spans="1:6" x14ac:dyDescent="0.25">
      <c r="A64" s="1">
        <v>4</v>
      </c>
      <c r="B64" s="1">
        <v>4</v>
      </c>
      <c r="C64" s="2">
        <f t="shared" si="0"/>
        <v>0</v>
      </c>
      <c r="D64" s="1">
        <f t="shared" si="1"/>
        <v>9.4044444444444431E-2</v>
      </c>
    </row>
    <row r="65" spans="1:6" x14ac:dyDescent="0.25">
      <c r="A65" s="1">
        <v>1</v>
      </c>
      <c r="B65" s="1">
        <v>2</v>
      </c>
      <c r="C65" s="2">
        <f t="shared" si="0"/>
        <v>1</v>
      </c>
      <c r="D65" s="1">
        <f t="shared" si="1"/>
        <v>0.48071111111111114</v>
      </c>
      <c r="F65" s="6" t="s">
        <v>21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9.4044444444444431E-2</v>
      </c>
    </row>
    <row r="67" spans="1:6" x14ac:dyDescent="0.25">
      <c r="A67" s="1">
        <v>4</v>
      </c>
      <c r="B67" s="1">
        <v>4</v>
      </c>
      <c r="C67" s="2">
        <f t="shared" ref="C67:C76" si="2">B67-A67</f>
        <v>0</v>
      </c>
      <c r="D67" s="1">
        <f t="shared" si="1"/>
        <v>9.4044444444444431E-2</v>
      </c>
    </row>
    <row r="68" spans="1:6" x14ac:dyDescent="0.25">
      <c r="A68" s="1">
        <v>2</v>
      </c>
      <c r="B68" s="1">
        <v>3</v>
      </c>
      <c r="C68" s="2">
        <f t="shared" si="2"/>
        <v>1</v>
      </c>
      <c r="D68" s="1">
        <f t="shared" si="1"/>
        <v>0.48071111111111114</v>
      </c>
    </row>
    <row r="69" spans="1:6" x14ac:dyDescent="0.25">
      <c r="A69" s="1">
        <v>2</v>
      </c>
      <c r="B69" s="1">
        <v>3</v>
      </c>
      <c r="C69" s="2">
        <f t="shared" si="2"/>
        <v>1</v>
      </c>
      <c r="D69" s="1">
        <f t="shared" ref="D69:D76" si="3">(C69-$G$6)^2</f>
        <v>0.48071111111111114</v>
      </c>
    </row>
    <row r="70" spans="1:6" x14ac:dyDescent="0.25">
      <c r="A70" s="1">
        <v>5</v>
      </c>
      <c r="B70" s="1">
        <v>5</v>
      </c>
      <c r="C70" s="2">
        <f t="shared" si="2"/>
        <v>0</v>
      </c>
      <c r="D70" s="1">
        <f t="shared" si="3"/>
        <v>9.4044444444444431E-2</v>
      </c>
    </row>
    <row r="71" spans="1:6" x14ac:dyDescent="0.25">
      <c r="A71" s="1">
        <v>1</v>
      </c>
      <c r="B71" s="1">
        <v>1</v>
      </c>
      <c r="C71" s="2">
        <f t="shared" si="2"/>
        <v>0</v>
      </c>
      <c r="D71" s="1">
        <f t="shared" si="3"/>
        <v>9.4044444444444431E-2</v>
      </c>
    </row>
    <row r="72" spans="1:6" x14ac:dyDescent="0.25">
      <c r="A72" s="1">
        <v>3</v>
      </c>
      <c r="B72" s="1">
        <v>4</v>
      </c>
      <c r="C72" s="2">
        <f t="shared" si="2"/>
        <v>1</v>
      </c>
      <c r="D72" s="1">
        <f t="shared" si="3"/>
        <v>0.48071111111111114</v>
      </c>
      <c r="F72" t="s">
        <v>22</v>
      </c>
    </row>
    <row r="73" spans="1:6" x14ac:dyDescent="0.25">
      <c r="A73" s="1">
        <v>2</v>
      </c>
      <c r="B73" s="1">
        <v>2</v>
      </c>
      <c r="C73" s="2">
        <f t="shared" si="2"/>
        <v>0</v>
      </c>
      <c r="D73" s="1">
        <f t="shared" si="3"/>
        <v>9.4044444444444431E-2</v>
      </c>
      <c r="F73" t="s">
        <v>20</v>
      </c>
    </row>
    <row r="74" spans="1:6" x14ac:dyDescent="0.25">
      <c r="A74" s="1">
        <v>4</v>
      </c>
      <c r="B74" s="1">
        <v>4</v>
      </c>
      <c r="C74" s="2">
        <f t="shared" si="2"/>
        <v>0</v>
      </c>
      <c r="D74" s="1">
        <f t="shared" si="3"/>
        <v>9.4044444444444431E-2</v>
      </c>
      <c r="F74" t="s">
        <v>22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9.4044444444444431E-2</v>
      </c>
      <c r="F75" t="s">
        <v>20</v>
      </c>
    </row>
    <row r="76" spans="1:6" x14ac:dyDescent="0.25">
      <c r="A76" s="1">
        <v>4</v>
      </c>
      <c r="B76" s="1">
        <v>4</v>
      </c>
      <c r="C76" s="2">
        <f t="shared" si="2"/>
        <v>0</v>
      </c>
      <c r="D76" s="1">
        <f t="shared" si="3"/>
        <v>9.4044444444444431E-2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3"/>
  <sheetViews>
    <sheetView topLeftCell="D17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30.140625" style="1" customWidth="1"/>
    <col min="2" max="2" width="30.285156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7.6" customHeight="1" x14ac:dyDescent="0.25">
      <c r="A1" s="3" t="s">
        <v>33</v>
      </c>
      <c r="B1" s="4" t="s">
        <v>32</v>
      </c>
      <c r="C1" s="5" t="s">
        <v>0</v>
      </c>
      <c r="D1" s="5"/>
    </row>
    <row r="2" spans="1:7" x14ac:dyDescent="0.25">
      <c r="A2" s="1">
        <v>3</v>
      </c>
      <c r="B2" s="1">
        <v>3</v>
      </c>
      <c r="C2" s="2">
        <f>B2-A2</f>
        <v>0</v>
      </c>
      <c r="D2" s="1">
        <f>(C2-$G$6)^2</f>
        <v>0.16000000000000003</v>
      </c>
    </row>
    <row r="3" spans="1:7" x14ac:dyDescent="0.25">
      <c r="A3" s="1">
        <v>2</v>
      </c>
      <c r="B3" s="1">
        <v>3</v>
      </c>
      <c r="C3" s="2">
        <f t="shared" ref="C3:C66" si="0">B3-A3</f>
        <v>1</v>
      </c>
      <c r="D3" s="1">
        <f>(C3-$G$6)^2</f>
        <v>0.36</v>
      </c>
      <c r="F3" s="6" t="s">
        <v>15</v>
      </c>
      <c r="G3" s="6"/>
    </row>
    <row r="4" spans="1:7" x14ac:dyDescent="0.25">
      <c r="A4" s="1">
        <v>4</v>
      </c>
      <c r="B4" s="1">
        <v>4</v>
      </c>
      <c r="C4" s="2">
        <f t="shared" si="0"/>
        <v>0</v>
      </c>
      <c r="D4" s="1">
        <f>(C4-$G$6)^2</f>
        <v>0.16000000000000003</v>
      </c>
      <c r="F4" t="s">
        <v>3</v>
      </c>
      <c r="G4">
        <f>COUNT(A:A)</f>
        <v>75</v>
      </c>
    </row>
    <row r="5" spans="1:7" x14ac:dyDescent="0.25">
      <c r="A5" s="1">
        <v>4</v>
      </c>
      <c r="B5" s="1">
        <v>5</v>
      </c>
      <c r="C5" s="2">
        <f t="shared" si="0"/>
        <v>1</v>
      </c>
      <c r="D5" s="1">
        <f t="shared" ref="D5:D68" si="1">(C5-$G$6)^2</f>
        <v>0.36</v>
      </c>
      <c r="F5" t="s">
        <v>2</v>
      </c>
      <c r="G5">
        <f>SUM(C:C)</f>
        <v>30</v>
      </c>
    </row>
    <row r="6" spans="1:7" x14ac:dyDescent="0.25">
      <c r="A6" s="1">
        <v>3</v>
      </c>
      <c r="B6" s="1">
        <v>3</v>
      </c>
      <c r="C6" s="2">
        <f t="shared" si="0"/>
        <v>0</v>
      </c>
      <c r="D6" s="1">
        <f t="shared" si="1"/>
        <v>0.16000000000000003</v>
      </c>
      <c r="F6" t="s">
        <v>1</v>
      </c>
      <c r="G6">
        <f>G5/G4</f>
        <v>0.4</v>
      </c>
    </row>
    <row r="7" spans="1:7" x14ac:dyDescent="0.25">
      <c r="A7" s="1">
        <v>1</v>
      </c>
      <c r="B7" s="1">
        <v>2</v>
      </c>
      <c r="C7" s="2">
        <f t="shared" si="0"/>
        <v>1</v>
      </c>
      <c r="D7" s="1">
        <f t="shared" si="1"/>
        <v>0.36</v>
      </c>
      <c r="F7" t="s">
        <v>26</v>
      </c>
      <c r="G7">
        <f>SUM(D:D)</f>
        <v>20</v>
      </c>
    </row>
    <row r="8" spans="1:7" x14ac:dyDescent="0.25">
      <c r="A8" s="1">
        <v>2</v>
      </c>
      <c r="B8" s="1">
        <v>3</v>
      </c>
      <c r="C8" s="2">
        <f t="shared" si="0"/>
        <v>1</v>
      </c>
      <c r="D8" s="1">
        <f t="shared" si="1"/>
        <v>0.36</v>
      </c>
      <c r="F8" t="s">
        <v>4</v>
      </c>
      <c r="G8">
        <f>SQRT(G7/(G4-1))</f>
        <v>0.51987524491003634</v>
      </c>
    </row>
    <row r="9" spans="1:7" x14ac:dyDescent="0.25">
      <c r="A9" s="1">
        <v>3</v>
      </c>
      <c r="B9" s="1">
        <v>4</v>
      </c>
      <c r="C9" s="2">
        <f t="shared" si="0"/>
        <v>1</v>
      </c>
      <c r="D9" s="1">
        <f t="shared" si="1"/>
        <v>0.36</v>
      </c>
    </row>
    <row r="10" spans="1:7" x14ac:dyDescent="0.25">
      <c r="A10" s="1">
        <v>5</v>
      </c>
      <c r="B10" s="1">
        <v>5</v>
      </c>
      <c r="C10" s="2">
        <f t="shared" si="0"/>
        <v>0</v>
      </c>
      <c r="D10" s="1">
        <f t="shared" si="1"/>
        <v>0.16000000000000003</v>
      </c>
    </row>
    <row r="11" spans="1:7" x14ac:dyDescent="0.25">
      <c r="A11" s="1">
        <v>3</v>
      </c>
      <c r="B11" s="1">
        <v>3</v>
      </c>
      <c r="C11" s="2">
        <f t="shared" si="0"/>
        <v>0</v>
      </c>
      <c r="D11" s="1">
        <f t="shared" si="1"/>
        <v>0.16000000000000003</v>
      </c>
    </row>
    <row r="12" spans="1:7" x14ac:dyDescent="0.25">
      <c r="A12" s="1">
        <v>1</v>
      </c>
      <c r="B12" s="1">
        <v>2</v>
      </c>
      <c r="C12" s="2">
        <f t="shared" si="0"/>
        <v>1</v>
      </c>
      <c r="D12" s="1">
        <f t="shared" si="1"/>
        <v>0.36</v>
      </c>
      <c r="F12" t="s">
        <v>10</v>
      </c>
      <c r="G12">
        <f>G6/(G8/SQRT(G4))</f>
        <v>6.6633324995830741</v>
      </c>
    </row>
    <row r="13" spans="1:7" x14ac:dyDescent="0.25">
      <c r="A13" s="1">
        <v>4</v>
      </c>
      <c r="B13" s="1">
        <v>4</v>
      </c>
      <c r="C13" s="2">
        <f t="shared" si="0"/>
        <v>0</v>
      </c>
      <c r="D13" s="1">
        <f t="shared" si="1"/>
        <v>0.16000000000000003</v>
      </c>
    </row>
    <row r="14" spans="1:7" x14ac:dyDescent="0.25">
      <c r="A14" s="1">
        <v>3</v>
      </c>
      <c r="B14" s="1">
        <v>4</v>
      </c>
      <c r="C14" s="2">
        <f t="shared" si="0"/>
        <v>1</v>
      </c>
      <c r="D14" s="1">
        <f t="shared" si="1"/>
        <v>0.36</v>
      </c>
    </row>
    <row r="15" spans="1:7" x14ac:dyDescent="0.25">
      <c r="A15" s="1">
        <v>2</v>
      </c>
      <c r="B15" s="1">
        <v>3</v>
      </c>
      <c r="C15" s="2">
        <f t="shared" si="0"/>
        <v>1</v>
      </c>
      <c r="D15" s="1">
        <f t="shared" si="1"/>
        <v>0.36</v>
      </c>
    </row>
    <row r="16" spans="1:7" x14ac:dyDescent="0.25">
      <c r="A16" s="1">
        <v>2</v>
      </c>
      <c r="B16" s="1">
        <v>2</v>
      </c>
      <c r="C16" s="2">
        <f t="shared" si="0"/>
        <v>0</v>
      </c>
      <c r="D16" s="1">
        <f t="shared" si="1"/>
        <v>0.16000000000000003</v>
      </c>
    </row>
    <row r="17" spans="1:7" x14ac:dyDescent="0.25">
      <c r="A17" s="1">
        <v>2</v>
      </c>
      <c r="B17" s="1">
        <v>2</v>
      </c>
      <c r="C17" s="2">
        <f t="shared" si="0"/>
        <v>0</v>
      </c>
      <c r="D17" s="1">
        <f t="shared" si="1"/>
        <v>0.16000000000000003</v>
      </c>
      <c r="F17" t="s">
        <v>5</v>
      </c>
      <c r="G17">
        <v>0.05</v>
      </c>
    </row>
    <row r="18" spans="1:7" x14ac:dyDescent="0.25">
      <c r="A18" s="1">
        <v>2</v>
      </c>
      <c r="B18" s="1">
        <v>3</v>
      </c>
      <c r="C18" s="2">
        <f t="shared" si="0"/>
        <v>1</v>
      </c>
      <c r="D18" s="1">
        <f t="shared" si="1"/>
        <v>0.36</v>
      </c>
      <c r="F18" t="s">
        <v>6</v>
      </c>
      <c r="G18">
        <f>G4-1</f>
        <v>74</v>
      </c>
    </row>
    <row r="19" spans="1:7" x14ac:dyDescent="0.25">
      <c r="A19" s="1">
        <v>4</v>
      </c>
      <c r="B19" s="1">
        <v>4</v>
      </c>
      <c r="C19" s="2">
        <f t="shared" si="0"/>
        <v>0</v>
      </c>
      <c r="D19" s="1">
        <f t="shared" si="1"/>
        <v>0.16000000000000003</v>
      </c>
    </row>
    <row r="20" spans="1:7" x14ac:dyDescent="0.25">
      <c r="A20" s="1">
        <v>4</v>
      </c>
      <c r="B20" s="1">
        <v>4</v>
      </c>
      <c r="C20" s="2">
        <f t="shared" si="0"/>
        <v>0</v>
      </c>
      <c r="D20" s="1">
        <f t="shared" si="1"/>
        <v>0.16000000000000003</v>
      </c>
    </row>
    <row r="21" spans="1:7" x14ac:dyDescent="0.25">
      <c r="A21" s="1">
        <v>2</v>
      </c>
      <c r="B21" s="1">
        <v>2</v>
      </c>
      <c r="C21" s="2">
        <f t="shared" si="0"/>
        <v>0</v>
      </c>
      <c r="D21" s="1">
        <f t="shared" si="1"/>
        <v>0.16000000000000003</v>
      </c>
    </row>
    <row r="22" spans="1:7" x14ac:dyDescent="0.25">
      <c r="A22" s="1">
        <v>2</v>
      </c>
      <c r="B22" s="1">
        <v>3</v>
      </c>
      <c r="C22" s="2">
        <f t="shared" si="0"/>
        <v>1</v>
      </c>
      <c r="D22" s="1">
        <f t="shared" si="1"/>
        <v>0.36</v>
      </c>
      <c r="F22" s="6" t="s">
        <v>7</v>
      </c>
      <c r="G22" s="6"/>
    </row>
    <row r="23" spans="1:7" x14ac:dyDescent="0.25">
      <c r="A23" s="1">
        <v>2</v>
      </c>
      <c r="B23" s="1">
        <v>3</v>
      </c>
      <c r="C23" s="2">
        <f t="shared" si="0"/>
        <v>1</v>
      </c>
      <c r="D23" s="1">
        <f t="shared" si="1"/>
        <v>0.36</v>
      </c>
      <c r="F23" t="s">
        <v>24</v>
      </c>
      <c r="G23">
        <f>_xlfn.T.INV.2T(G17,G18)</f>
        <v>1.992543495180934</v>
      </c>
    </row>
    <row r="24" spans="1:7" x14ac:dyDescent="0.25">
      <c r="A24" s="1">
        <v>1</v>
      </c>
      <c r="B24" s="1">
        <v>1</v>
      </c>
      <c r="C24" s="2">
        <f t="shared" si="0"/>
        <v>0</v>
      </c>
      <c r="D24" s="1">
        <f t="shared" si="1"/>
        <v>0.16000000000000003</v>
      </c>
      <c r="F24" t="s">
        <v>25</v>
      </c>
      <c r="G24">
        <f>_xlfn.T.INV(G17,G18)</f>
        <v>-1.6657068927340244</v>
      </c>
    </row>
    <row r="25" spans="1:7" x14ac:dyDescent="0.25">
      <c r="A25" s="1">
        <v>3</v>
      </c>
      <c r="B25" s="1">
        <v>3</v>
      </c>
      <c r="C25" s="2">
        <f t="shared" si="0"/>
        <v>0</v>
      </c>
      <c r="D25" s="1">
        <f t="shared" si="1"/>
        <v>0.16000000000000003</v>
      </c>
    </row>
    <row r="26" spans="1:7" x14ac:dyDescent="0.25">
      <c r="A26" s="1">
        <v>3</v>
      </c>
      <c r="B26" s="1">
        <v>3</v>
      </c>
      <c r="C26" s="2">
        <f t="shared" si="0"/>
        <v>0</v>
      </c>
      <c r="D26" s="1">
        <f t="shared" si="1"/>
        <v>0.16000000000000003</v>
      </c>
    </row>
    <row r="27" spans="1:7" x14ac:dyDescent="0.25">
      <c r="A27" s="1">
        <v>2</v>
      </c>
      <c r="B27" s="1">
        <v>3</v>
      </c>
      <c r="C27" s="2">
        <f t="shared" si="0"/>
        <v>1</v>
      </c>
      <c r="D27" s="1">
        <f t="shared" si="1"/>
        <v>0.36</v>
      </c>
    </row>
    <row r="28" spans="1:7" x14ac:dyDescent="0.25">
      <c r="A28" s="1">
        <v>3</v>
      </c>
      <c r="B28" s="1">
        <v>3</v>
      </c>
      <c r="C28" s="2">
        <f t="shared" si="0"/>
        <v>0</v>
      </c>
      <c r="D28" s="1">
        <f t="shared" si="1"/>
        <v>0.16000000000000003</v>
      </c>
    </row>
    <row r="29" spans="1:7" x14ac:dyDescent="0.25">
      <c r="A29" s="1">
        <v>2</v>
      </c>
      <c r="B29" s="1">
        <v>2</v>
      </c>
      <c r="C29" s="2">
        <f t="shared" si="0"/>
        <v>0</v>
      </c>
      <c r="D29" s="1">
        <f t="shared" si="1"/>
        <v>0.16000000000000003</v>
      </c>
    </row>
    <row r="30" spans="1:7" x14ac:dyDescent="0.25">
      <c r="A30" s="1">
        <v>2</v>
      </c>
      <c r="B30" s="1">
        <v>3</v>
      </c>
      <c r="C30" s="2">
        <f t="shared" si="0"/>
        <v>1</v>
      </c>
      <c r="D30" s="1">
        <f t="shared" si="1"/>
        <v>0.36</v>
      </c>
    </row>
    <row r="31" spans="1:7" x14ac:dyDescent="0.25">
      <c r="A31" s="1">
        <v>1</v>
      </c>
      <c r="B31" s="1">
        <v>2</v>
      </c>
      <c r="C31" s="2">
        <f t="shared" si="0"/>
        <v>1</v>
      </c>
      <c r="D31" s="1">
        <f t="shared" si="1"/>
        <v>0.36</v>
      </c>
    </row>
    <row r="32" spans="1:7" x14ac:dyDescent="0.25">
      <c r="A32" s="1">
        <v>4</v>
      </c>
      <c r="B32" s="1">
        <v>5</v>
      </c>
      <c r="C32" s="2">
        <f t="shared" si="0"/>
        <v>1</v>
      </c>
      <c r="D32" s="1">
        <f t="shared" si="1"/>
        <v>0.36</v>
      </c>
    </row>
    <row r="33" spans="1:7" x14ac:dyDescent="0.25">
      <c r="A33" s="1">
        <v>3</v>
      </c>
      <c r="B33" s="1">
        <v>4</v>
      </c>
      <c r="C33" s="2">
        <f t="shared" si="0"/>
        <v>1</v>
      </c>
      <c r="D33" s="1">
        <f t="shared" si="1"/>
        <v>0.36</v>
      </c>
    </row>
    <row r="34" spans="1:7" x14ac:dyDescent="0.25">
      <c r="A34" s="1">
        <v>5</v>
      </c>
      <c r="B34" s="1">
        <v>5</v>
      </c>
      <c r="C34" s="2">
        <f t="shared" si="0"/>
        <v>0</v>
      </c>
      <c r="D34" s="1">
        <f t="shared" si="1"/>
        <v>0.16000000000000003</v>
      </c>
      <c r="F34" t="s">
        <v>8</v>
      </c>
    </row>
    <row r="35" spans="1:7" x14ac:dyDescent="0.25">
      <c r="A35" s="1">
        <v>3</v>
      </c>
      <c r="B35" s="1">
        <v>4</v>
      </c>
      <c r="C35" s="2">
        <f t="shared" si="0"/>
        <v>1</v>
      </c>
      <c r="D35" s="1">
        <f t="shared" si="1"/>
        <v>0.36</v>
      </c>
      <c r="F35" t="s">
        <v>9</v>
      </c>
    </row>
    <row r="36" spans="1:7" x14ac:dyDescent="0.25">
      <c r="A36" s="1">
        <v>5</v>
      </c>
      <c r="B36" s="1">
        <v>5</v>
      </c>
      <c r="C36" s="2">
        <f t="shared" si="0"/>
        <v>0</v>
      </c>
      <c r="D36" s="1">
        <f t="shared" si="1"/>
        <v>0.16000000000000003</v>
      </c>
    </row>
    <row r="37" spans="1:7" x14ac:dyDescent="0.25">
      <c r="A37" s="1">
        <v>3</v>
      </c>
      <c r="B37" s="1">
        <v>3</v>
      </c>
      <c r="C37" s="2">
        <f t="shared" si="0"/>
        <v>0</v>
      </c>
      <c r="D37" s="1">
        <f t="shared" si="1"/>
        <v>0.16000000000000003</v>
      </c>
    </row>
    <row r="38" spans="1:7" x14ac:dyDescent="0.25">
      <c r="A38" s="1">
        <v>3</v>
      </c>
      <c r="B38" s="1">
        <v>3</v>
      </c>
      <c r="C38" s="2">
        <f t="shared" si="0"/>
        <v>0</v>
      </c>
      <c r="D38" s="1">
        <f t="shared" si="1"/>
        <v>0.16000000000000003</v>
      </c>
    </row>
    <row r="39" spans="1:7" x14ac:dyDescent="0.25">
      <c r="A39" s="1">
        <v>4</v>
      </c>
      <c r="B39" s="1">
        <v>4</v>
      </c>
      <c r="C39" s="2">
        <f t="shared" si="0"/>
        <v>0</v>
      </c>
      <c r="D39" s="1">
        <f t="shared" si="1"/>
        <v>0.16000000000000003</v>
      </c>
      <c r="F39" s="6" t="s">
        <v>11</v>
      </c>
      <c r="G39" s="6"/>
    </row>
    <row r="40" spans="1:7" x14ac:dyDescent="0.25">
      <c r="A40" s="1">
        <v>3</v>
      </c>
      <c r="B40" s="1">
        <v>4</v>
      </c>
      <c r="C40" s="2">
        <f t="shared" si="0"/>
        <v>1</v>
      </c>
      <c r="D40" s="1">
        <f t="shared" si="1"/>
        <v>0.36</v>
      </c>
      <c r="F40" t="s">
        <v>11</v>
      </c>
    </row>
    <row r="41" spans="1:7" x14ac:dyDescent="0.25">
      <c r="A41" s="1">
        <v>5</v>
      </c>
      <c r="B41" s="1">
        <v>5</v>
      </c>
      <c r="C41" s="2">
        <f t="shared" si="0"/>
        <v>0</v>
      </c>
      <c r="D41" s="1">
        <f t="shared" si="1"/>
        <v>0.16000000000000003</v>
      </c>
      <c r="F41" t="s">
        <v>23</v>
      </c>
      <c r="G41">
        <f>TTEST(A:A,B:B,2,1)</f>
        <v>4.1432272343713909E-9</v>
      </c>
    </row>
    <row r="42" spans="1:7" x14ac:dyDescent="0.25">
      <c r="A42" s="1">
        <v>5</v>
      </c>
      <c r="B42" s="1">
        <v>5</v>
      </c>
      <c r="C42" s="2">
        <f t="shared" si="0"/>
        <v>0</v>
      </c>
      <c r="D42" s="1">
        <f t="shared" si="1"/>
        <v>0.16000000000000003</v>
      </c>
      <c r="F42" t="s">
        <v>27</v>
      </c>
      <c r="G42">
        <f>TTEST(A:A,B:B,1,1)</f>
        <v>2.0716136171856954E-9</v>
      </c>
    </row>
    <row r="43" spans="1:7" x14ac:dyDescent="0.25">
      <c r="A43" s="1">
        <v>2</v>
      </c>
      <c r="B43" s="1">
        <v>2</v>
      </c>
      <c r="C43" s="2">
        <f t="shared" si="0"/>
        <v>0</v>
      </c>
      <c r="D43" s="1">
        <f t="shared" si="1"/>
        <v>0.16000000000000003</v>
      </c>
    </row>
    <row r="44" spans="1:7" x14ac:dyDescent="0.25">
      <c r="A44" s="1">
        <v>4</v>
      </c>
      <c r="B44" s="1">
        <v>4</v>
      </c>
      <c r="C44" s="2">
        <f t="shared" si="0"/>
        <v>0</v>
      </c>
      <c r="D44" s="1">
        <f t="shared" si="1"/>
        <v>0.16000000000000003</v>
      </c>
    </row>
    <row r="45" spans="1:7" x14ac:dyDescent="0.25">
      <c r="A45" s="1">
        <v>5</v>
      </c>
      <c r="B45" s="1">
        <v>5</v>
      </c>
      <c r="C45" s="2">
        <f t="shared" si="0"/>
        <v>0</v>
      </c>
      <c r="D45" s="1">
        <f t="shared" si="1"/>
        <v>0.16000000000000003</v>
      </c>
      <c r="F45" s="6" t="s">
        <v>14</v>
      </c>
      <c r="G45" s="6"/>
    </row>
    <row r="46" spans="1:7" x14ac:dyDescent="0.25">
      <c r="A46" s="1">
        <v>3</v>
      </c>
      <c r="B46" s="1">
        <v>3</v>
      </c>
      <c r="C46" s="2">
        <f t="shared" si="0"/>
        <v>0</v>
      </c>
      <c r="D46" s="1">
        <f t="shared" si="1"/>
        <v>0.16000000000000003</v>
      </c>
    </row>
    <row r="47" spans="1:7" x14ac:dyDescent="0.25">
      <c r="A47" s="1">
        <v>2</v>
      </c>
      <c r="B47" s="1">
        <v>3</v>
      </c>
      <c r="C47" s="2">
        <f t="shared" si="0"/>
        <v>1</v>
      </c>
      <c r="D47" s="1">
        <f t="shared" si="1"/>
        <v>0.36</v>
      </c>
      <c r="F47" t="s">
        <v>12</v>
      </c>
    </row>
    <row r="48" spans="1:7" x14ac:dyDescent="0.25">
      <c r="A48" s="1">
        <v>4</v>
      </c>
      <c r="B48" s="1">
        <v>4</v>
      </c>
      <c r="C48" s="2">
        <f t="shared" si="0"/>
        <v>0</v>
      </c>
      <c r="D48" s="1">
        <f t="shared" si="1"/>
        <v>0.16000000000000003</v>
      </c>
      <c r="F48" t="s">
        <v>13</v>
      </c>
    </row>
    <row r="49" spans="1:6" x14ac:dyDescent="0.25">
      <c r="A49" s="1">
        <v>3</v>
      </c>
      <c r="B49" s="1">
        <v>4</v>
      </c>
      <c r="C49" s="2">
        <f t="shared" si="0"/>
        <v>1</v>
      </c>
      <c r="D49" s="1">
        <f t="shared" si="1"/>
        <v>0.36</v>
      </c>
    </row>
    <row r="50" spans="1:6" x14ac:dyDescent="0.25">
      <c r="A50" s="1">
        <v>5</v>
      </c>
      <c r="B50" s="1">
        <v>5</v>
      </c>
      <c r="C50" s="2">
        <f t="shared" si="0"/>
        <v>0</v>
      </c>
      <c r="D50" s="1">
        <f t="shared" si="1"/>
        <v>0.16000000000000003</v>
      </c>
      <c r="F50" t="s">
        <v>16</v>
      </c>
    </row>
    <row r="51" spans="1:6" x14ac:dyDescent="0.25">
      <c r="A51" s="1">
        <v>5</v>
      </c>
      <c r="B51" s="1">
        <v>5</v>
      </c>
      <c r="C51" s="2">
        <f t="shared" si="0"/>
        <v>0</v>
      </c>
      <c r="D51" s="1">
        <f t="shared" si="1"/>
        <v>0.16000000000000003</v>
      </c>
      <c r="F51" t="s">
        <v>17</v>
      </c>
    </row>
    <row r="52" spans="1:6" x14ac:dyDescent="0.25">
      <c r="A52" s="1">
        <v>3</v>
      </c>
      <c r="B52" s="1">
        <v>3</v>
      </c>
      <c r="C52" s="2">
        <f t="shared" si="0"/>
        <v>0</v>
      </c>
      <c r="D52" s="1">
        <f t="shared" si="1"/>
        <v>0.16000000000000003</v>
      </c>
    </row>
    <row r="53" spans="1:6" x14ac:dyDescent="0.25">
      <c r="A53" s="1">
        <v>3</v>
      </c>
      <c r="B53" s="1">
        <v>4</v>
      </c>
      <c r="C53" s="2">
        <f t="shared" si="0"/>
        <v>1</v>
      </c>
      <c r="D53" s="1">
        <f t="shared" si="1"/>
        <v>0.36</v>
      </c>
    </row>
    <row r="54" spans="1:6" x14ac:dyDescent="0.25">
      <c r="A54" s="1">
        <v>3</v>
      </c>
      <c r="B54" s="1">
        <v>3</v>
      </c>
      <c r="C54" s="2">
        <f t="shared" si="0"/>
        <v>0</v>
      </c>
      <c r="D54" s="1">
        <f t="shared" si="1"/>
        <v>0.16000000000000003</v>
      </c>
    </row>
    <row r="55" spans="1:6" x14ac:dyDescent="0.25">
      <c r="A55" s="1">
        <v>2</v>
      </c>
      <c r="B55" s="1">
        <v>2</v>
      </c>
      <c r="C55" s="2">
        <f t="shared" si="0"/>
        <v>0</v>
      </c>
      <c r="D55" s="1">
        <f t="shared" si="1"/>
        <v>0.16000000000000003</v>
      </c>
    </row>
    <row r="56" spans="1:6" x14ac:dyDescent="0.25">
      <c r="A56" s="1">
        <v>1</v>
      </c>
      <c r="B56" s="1">
        <v>2</v>
      </c>
      <c r="C56" s="2">
        <f t="shared" si="0"/>
        <v>1</v>
      </c>
      <c r="D56" s="1">
        <f t="shared" si="1"/>
        <v>0.36</v>
      </c>
      <c r="F56" s="6" t="s">
        <v>21</v>
      </c>
    </row>
    <row r="57" spans="1:6" x14ac:dyDescent="0.25">
      <c r="A57" s="1">
        <v>3</v>
      </c>
      <c r="B57" s="1">
        <v>5</v>
      </c>
      <c r="C57" s="2">
        <f t="shared" si="0"/>
        <v>2</v>
      </c>
      <c r="D57" s="1">
        <f t="shared" si="1"/>
        <v>2.5600000000000005</v>
      </c>
    </row>
    <row r="58" spans="1:6" x14ac:dyDescent="0.25">
      <c r="A58" s="1">
        <v>4</v>
      </c>
      <c r="B58" s="1">
        <v>4</v>
      </c>
      <c r="C58" s="2">
        <f t="shared" si="0"/>
        <v>0</v>
      </c>
      <c r="D58" s="1">
        <f t="shared" si="1"/>
        <v>0.16000000000000003</v>
      </c>
      <c r="F58" t="s">
        <v>19</v>
      </c>
    </row>
    <row r="59" spans="1:6" x14ac:dyDescent="0.25">
      <c r="A59" s="1">
        <v>2</v>
      </c>
      <c r="B59" s="1">
        <v>2</v>
      </c>
      <c r="C59" s="2">
        <f t="shared" si="0"/>
        <v>0</v>
      </c>
      <c r="D59" s="1">
        <f t="shared" si="1"/>
        <v>0.16000000000000003</v>
      </c>
      <c r="F59" t="s">
        <v>18</v>
      </c>
    </row>
    <row r="60" spans="1:6" x14ac:dyDescent="0.25">
      <c r="A60" s="1">
        <v>4</v>
      </c>
      <c r="B60" s="1">
        <v>4</v>
      </c>
      <c r="C60" s="2">
        <f t="shared" si="0"/>
        <v>0</v>
      </c>
      <c r="D60" s="1">
        <f t="shared" si="1"/>
        <v>0.16000000000000003</v>
      </c>
      <c r="F60" t="s">
        <v>20</v>
      </c>
    </row>
    <row r="61" spans="1:6" x14ac:dyDescent="0.25">
      <c r="A61" s="1">
        <v>3</v>
      </c>
      <c r="B61" s="1">
        <v>3</v>
      </c>
      <c r="C61" s="2">
        <f t="shared" si="0"/>
        <v>0</v>
      </c>
      <c r="D61" s="1">
        <f t="shared" si="1"/>
        <v>0.16000000000000003</v>
      </c>
    </row>
    <row r="62" spans="1:6" x14ac:dyDescent="0.25">
      <c r="A62" s="1">
        <v>5</v>
      </c>
      <c r="B62" s="1">
        <v>5</v>
      </c>
      <c r="C62" s="2">
        <f t="shared" si="0"/>
        <v>0</v>
      </c>
      <c r="D62" s="1">
        <f t="shared" si="1"/>
        <v>0.16000000000000003</v>
      </c>
    </row>
    <row r="63" spans="1:6" x14ac:dyDescent="0.25">
      <c r="A63" s="1">
        <v>5</v>
      </c>
      <c r="B63" s="1">
        <v>5</v>
      </c>
      <c r="C63" s="2">
        <f t="shared" si="0"/>
        <v>0</v>
      </c>
      <c r="D63" s="1">
        <f t="shared" si="1"/>
        <v>0.16000000000000003</v>
      </c>
    </row>
    <row r="64" spans="1:6" x14ac:dyDescent="0.25">
      <c r="A64" s="1">
        <v>1</v>
      </c>
      <c r="B64" s="1">
        <v>2</v>
      </c>
      <c r="C64" s="2">
        <f t="shared" si="0"/>
        <v>1</v>
      </c>
      <c r="D64" s="1">
        <f t="shared" si="1"/>
        <v>0.36</v>
      </c>
    </row>
    <row r="65" spans="1:6" x14ac:dyDescent="0.25">
      <c r="A65" s="1">
        <v>2</v>
      </c>
      <c r="B65" s="1">
        <v>2</v>
      </c>
      <c r="C65" s="2">
        <f t="shared" si="0"/>
        <v>0</v>
      </c>
      <c r="D65" s="1">
        <f t="shared" si="1"/>
        <v>0.16000000000000003</v>
      </c>
      <c r="F65" s="6" t="s">
        <v>21</v>
      </c>
    </row>
    <row r="66" spans="1:6" x14ac:dyDescent="0.25">
      <c r="A66" s="1">
        <v>2</v>
      </c>
      <c r="B66" s="1">
        <v>2</v>
      </c>
      <c r="C66" s="2">
        <f t="shared" si="0"/>
        <v>0</v>
      </c>
      <c r="D66" s="1">
        <f t="shared" si="1"/>
        <v>0.16000000000000003</v>
      </c>
    </row>
    <row r="67" spans="1:6" x14ac:dyDescent="0.25">
      <c r="A67" s="1">
        <v>3</v>
      </c>
      <c r="B67" s="1">
        <v>4</v>
      </c>
      <c r="C67" s="2">
        <f t="shared" ref="C67:C76" si="2">B67-A67</f>
        <v>1</v>
      </c>
      <c r="D67" s="1">
        <f t="shared" si="1"/>
        <v>0.36</v>
      </c>
    </row>
    <row r="68" spans="1:6" x14ac:dyDescent="0.25">
      <c r="A68" s="1">
        <v>4</v>
      </c>
      <c r="B68" s="1">
        <v>5</v>
      </c>
      <c r="C68" s="2">
        <f t="shared" si="2"/>
        <v>1</v>
      </c>
      <c r="D68" s="1">
        <f t="shared" si="1"/>
        <v>0.36</v>
      </c>
    </row>
    <row r="69" spans="1:6" x14ac:dyDescent="0.25">
      <c r="A69" s="1">
        <v>4</v>
      </c>
      <c r="B69" s="1">
        <v>5</v>
      </c>
      <c r="C69" s="2">
        <f t="shared" si="2"/>
        <v>1</v>
      </c>
      <c r="D69" s="1">
        <f t="shared" ref="D69:D76" si="3">(C69-$G$6)^2</f>
        <v>0.36</v>
      </c>
    </row>
    <row r="70" spans="1:6" x14ac:dyDescent="0.25">
      <c r="A70" s="1">
        <v>4</v>
      </c>
      <c r="B70" s="1">
        <v>4</v>
      </c>
      <c r="C70" s="2">
        <f t="shared" si="2"/>
        <v>0</v>
      </c>
      <c r="D70" s="1">
        <f t="shared" si="3"/>
        <v>0.16000000000000003</v>
      </c>
    </row>
    <row r="71" spans="1:6" x14ac:dyDescent="0.25">
      <c r="A71" s="1">
        <v>3</v>
      </c>
      <c r="B71" s="1">
        <v>4</v>
      </c>
      <c r="C71" s="2">
        <f t="shared" si="2"/>
        <v>1</v>
      </c>
      <c r="D71" s="1">
        <f t="shared" si="3"/>
        <v>0.36</v>
      </c>
    </row>
    <row r="72" spans="1:6" x14ac:dyDescent="0.25">
      <c r="A72" s="1">
        <v>2</v>
      </c>
      <c r="B72" s="1">
        <v>3</v>
      </c>
      <c r="C72" s="2">
        <f t="shared" si="2"/>
        <v>1</v>
      </c>
      <c r="D72" s="1">
        <f t="shared" si="3"/>
        <v>0.36</v>
      </c>
      <c r="F72" t="s">
        <v>22</v>
      </c>
    </row>
    <row r="73" spans="1:6" x14ac:dyDescent="0.25">
      <c r="A73" s="1">
        <v>3</v>
      </c>
      <c r="B73" s="1">
        <v>3</v>
      </c>
      <c r="C73" s="2">
        <f t="shared" si="2"/>
        <v>0</v>
      </c>
      <c r="D73" s="1">
        <f t="shared" si="3"/>
        <v>0.16000000000000003</v>
      </c>
      <c r="F73" t="s">
        <v>20</v>
      </c>
    </row>
    <row r="74" spans="1:6" x14ac:dyDescent="0.25">
      <c r="A74" s="1">
        <v>4</v>
      </c>
      <c r="B74" s="1">
        <v>4</v>
      </c>
      <c r="C74" s="2">
        <f t="shared" si="2"/>
        <v>0</v>
      </c>
      <c r="D74" s="1">
        <f t="shared" si="3"/>
        <v>0.16000000000000003</v>
      </c>
      <c r="F74" t="s">
        <v>22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0.16000000000000003</v>
      </c>
      <c r="F75" t="s">
        <v>20</v>
      </c>
    </row>
    <row r="76" spans="1:6" x14ac:dyDescent="0.25">
      <c r="A76" s="1">
        <v>2</v>
      </c>
      <c r="B76" s="1">
        <v>2</v>
      </c>
      <c r="C76" s="2">
        <f t="shared" si="2"/>
        <v>0</v>
      </c>
      <c r="D76" s="1">
        <f t="shared" si="3"/>
        <v>0.16000000000000003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3"/>
  <sheetViews>
    <sheetView topLeftCell="D21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9.7109375" style="1" customWidth="1"/>
    <col min="2" max="2" width="31.1406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1.5" customHeight="1" x14ac:dyDescent="0.25">
      <c r="A1" s="3" t="s">
        <v>31</v>
      </c>
      <c r="B1" s="4" t="s">
        <v>30</v>
      </c>
      <c r="C1" s="5" t="s">
        <v>0</v>
      </c>
      <c r="D1" s="5"/>
    </row>
    <row r="2" spans="1:7" x14ac:dyDescent="0.25">
      <c r="A2" s="1">
        <v>5</v>
      </c>
      <c r="B2" s="1">
        <v>5</v>
      </c>
      <c r="C2" s="2">
        <f>B2-A2</f>
        <v>0</v>
      </c>
      <c r="D2" s="1">
        <f>(C2-$G$6)^2</f>
        <v>0.17084444444444444</v>
      </c>
    </row>
    <row r="3" spans="1:7" x14ac:dyDescent="0.25">
      <c r="A3" s="1">
        <v>3</v>
      </c>
      <c r="B3" s="1">
        <v>3</v>
      </c>
      <c r="C3" s="2">
        <f t="shared" ref="C3:C66" si="0">B3-A3</f>
        <v>0</v>
      </c>
      <c r="D3" s="1">
        <f>(C3-$G$6)^2</f>
        <v>0.17084444444444444</v>
      </c>
      <c r="F3" s="6" t="s">
        <v>15</v>
      </c>
      <c r="G3" s="6"/>
    </row>
    <row r="4" spans="1:7" x14ac:dyDescent="0.25">
      <c r="A4" s="1">
        <v>3</v>
      </c>
      <c r="B4" s="1">
        <v>3</v>
      </c>
      <c r="C4" s="2">
        <f t="shared" si="0"/>
        <v>0</v>
      </c>
      <c r="D4" s="1">
        <f>(C4-$G$6)^2</f>
        <v>0.17084444444444444</v>
      </c>
      <c r="F4" t="s">
        <v>3</v>
      </c>
      <c r="G4">
        <f>COUNT(A:A)</f>
        <v>75</v>
      </c>
    </row>
    <row r="5" spans="1:7" x14ac:dyDescent="0.25">
      <c r="A5" s="1">
        <v>5</v>
      </c>
      <c r="B5" s="1">
        <v>5</v>
      </c>
      <c r="C5" s="2">
        <f t="shared" si="0"/>
        <v>0</v>
      </c>
      <c r="D5" s="1">
        <f t="shared" ref="D5:D68" si="1">(C5-$G$6)^2</f>
        <v>0.17084444444444444</v>
      </c>
      <c r="F5" t="s">
        <v>2</v>
      </c>
      <c r="G5">
        <f>SUM(C:C)</f>
        <v>31</v>
      </c>
    </row>
    <row r="6" spans="1:7" x14ac:dyDescent="0.25">
      <c r="A6" s="1">
        <v>3</v>
      </c>
      <c r="B6" s="1">
        <v>3</v>
      </c>
      <c r="C6" s="2">
        <f t="shared" si="0"/>
        <v>0</v>
      </c>
      <c r="D6" s="1">
        <f t="shared" si="1"/>
        <v>0.17084444444444444</v>
      </c>
      <c r="F6" t="s">
        <v>1</v>
      </c>
      <c r="G6">
        <f>G5/G4</f>
        <v>0.41333333333333333</v>
      </c>
    </row>
    <row r="7" spans="1:7" x14ac:dyDescent="0.25">
      <c r="A7" s="1">
        <v>4</v>
      </c>
      <c r="B7" s="1">
        <v>5</v>
      </c>
      <c r="C7" s="2">
        <f t="shared" si="0"/>
        <v>1</v>
      </c>
      <c r="D7" s="1">
        <f t="shared" si="1"/>
        <v>0.3441777777777778</v>
      </c>
      <c r="F7" t="s">
        <v>26</v>
      </c>
      <c r="G7">
        <f>SUM(D:D)</f>
        <v>24.186666666666664</v>
      </c>
    </row>
    <row r="8" spans="1:7" x14ac:dyDescent="0.25">
      <c r="A8" s="1">
        <v>3</v>
      </c>
      <c r="B8" s="1">
        <v>3</v>
      </c>
      <c r="C8" s="2">
        <f t="shared" si="0"/>
        <v>0</v>
      </c>
      <c r="D8" s="1">
        <f t="shared" si="1"/>
        <v>0.17084444444444444</v>
      </c>
      <c r="F8" t="s">
        <v>4</v>
      </c>
      <c r="G8">
        <f>SQRT(G7/(G4-1))</f>
        <v>0.57170520974261441</v>
      </c>
    </row>
    <row r="9" spans="1:7" x14ac:dyDescent="0.25">
      <c r="A9" s="1">
        <v>5</v>
      </c>
      <c r="B9" s="1">
        <v>5</v>
      </c>
      <c r="C9" s="2">
        <f t="shared" si="0"/>
        <v>0</v>
      </c>
      <c r="D9" s="1">
        <f t="shared" si="1"/>
        <v>0.17084444444444444</v>
      </c>
    </row>
    <row r="10" spans="1:7" x14ac:dyDescent="0.25">
      <c r="A10" s="1">
        <v>2</v>
      </c>
      <c r="B10" s="1">
        <v>3</v>
      </c>
      <c r="C10" s="2">
        <f t="shared" si="0"/>
        <v>1</v>
      </c>
      <c r="D10" s="1">
        <f t="shared" si="1"/>
        <v>0.3441777777777778</v>
      </c>
    </row>
    <row r="11" spans="1:7" x14ac:dyDescent="0.25">
      <c r="A11" s="1">
        <v>3</v>
      </c>
      <c r="B11" s="1">
        <v>4</v>
      </c>
      <c r="C11" s="2">
        <f t="shared" si="0"/>
        <v>1</v>
      </c>
      <c r="D11" s="1">
        <f t="shared" si="1"/>
        <v>0.3441777777777778</v>
      </c>
    </row>
    <row r="12" spans="1:7" x14ac:dyDescent="0.25">
      <c r="A12" s="1">
        <v>1</v>
      </c>
      <c r="B12" s="1">
        <v>2</v>
      </c>
      <c r="C12" s="2">
        <f t="shared" si="0"/>
        <v>1</v>
      </c>
      <c r="D12" s="1">
        <f t="shared" si="1"/>
        <v>0.3441777777777778</v>
      </c>
      <c r="F12" t="s">
        <v>10</v>
      </c>
      <c r="G12">
        <f>G6/(G8/SQRT(G4))</f>
        <v>6.2612192577136527</v>
      </c>
    </row>
    <row r="13" spans="1:7" x14ac:dyDescent="0.25">
      <c r="A13" s="1">
        <v>5</v>
      </c>
      <c r="B13" s="1">
        <v>5</v>
      </c>
      <c r="C13" s="2">
        <f t="shared" si="0"/>
        <v>0</v>
      </c>
      <c r="D13" s="1">
        <f t="shared" si="1"/>
        <v>0.17084444444444444</v>
      </c>
    </row>
    <row r="14" spans="1:7" x14ac:dyDescent="0.25">
      <c r="A14" s="1">
        <v>4</v>
      </c>
      <c r="B14" s="1">
        <v>5</v>
      </c>
      <c r="C14" s="2">
        <f t="shared" si="0"/>
        <v>1</v>
      </c>
      <c r="D14" s="1">
        <f t="shared" si="1"/>
        <v>0.3441777777777778</v>
      </c>
    </row>
    <row r="15" spans="1:7" x14ac:dyDescent="0.25">
      <c r="A15" s="1">
        <v>5</v>
      </c>
      <c r="B15" s="1">
        <v>5</v>
      </c>
      <c r="C15" s="2">
        <f t="shared" si="0"/>
        <v>0</v>
      </c>
      <c r="D15" s="1">
        <f t="shared" si="1"/>
        <v>0.17084444444444444</v>
      </c>
    </row>
    <row r="16" spans="1:7" x14ac:dyDescent="0.25">
      <c r="A16" s="1">
        <v>2</v>
      </c>
      <c r="B16" s="1">
        <v>2</v>
      </c>
      <c r="C16" s="2">
        <f t="shared" si="0"/>
        <v>0</v>
      </c>
      <c r="D16" s="1">
        <f t="shared" si="1"/>
        <v>0.17084444444444444</v>
      </c>
    </row>
    <row r="17" spans="1:7" x14ac:dyDescent="0.25">
      <c r="A17" s="1">
        <v>2</v>
      </c>
      <c r="B17" s="1">
        <v>2</v>
      </c>
      <c r="C17" s="2">
        <f t="shared" si="0"/>
        <v>0</v>
      </c>
      <c r="D17" s="1">
        <f t="shared" si="1"/>
        <v>0.17084444444444444</v>
      </c>
      <c r="F17" t="s">
        <v>5</v>
      </c>
      <c r="G17">
        <v>0.05</v>
      </c>
    </row>
    <row r="18" spans="1:7" x14ac:dyDescent="0.25">
      <c r="A18" s="1">
        <v>4</v>
      </c>
      <c r="B18" s="1">
        <v>4</v>
      </c>
      <c r="C18" s="2">
        <f t="shared" si="0"/>
        <v>0</v>
      </c>
      <c r="D18" s="1">
        <f t="shared" si="1"/>
        <v>0.17084444444444444</v>
      </c>
      <c r="F18" t="s">
        <v>6</v>
      </c>
      <c r="G18">
        <f>G4-1</f>
        <v>74</v>
      </c>
    </row>
    <row r="19" spans="1:7" x14ac:dyDescent="0.25">
      <c r="A19" s="1">
        <v>3</v>
      </c>
      <c r="B19" s="1">
        <v>3</v>
      </c>
      <c r="C19" s="2">
        <f t="shared" si="0"/>
        <v>0</v>
      </c>
      <c r="D19" s="1">
        <f t="shared" si="1"/>
        <v>0.17084444444444444</v>
      </c>
    </row>
    <row r="20" spans="1:7" x14ac:dyDescent="0.25">
      <c r="A20" s="1">
        <v>2</v>
      </c>
      <c r="B20" s="1">
        <v>3</v>
      </c>
      <c r="C20" s="2">
        <f t="shared" si="0"/>
        <v>1</v>
      </c>
      <c r="D20" s="1">
        <f t="shared" si="1"/>
        <v>0.3441777777777778</v>
      </c>
    </row>
    <row r="21" spans="1:7" x14ac:dyDescent="0.25">
      <c r="A21" s="1">
        <v>3</v>
      </c>
      <c r="B21" s="1">
        <v>3</v>
      </c>
      <c r="C21" s="2">
        <f t="shared" si="0"/>
        <v>0</v>
      </c>
      <c r="D21" s="1">
        <f t="shared" si="1"/>
        <v>0.17084444444444444</v>
      </c>
    </row>
    <row r="22" spans="1:7" x14ac:dyDescent="0.25">
      <c r="A22" s="1">
        <v>3</v>
      </c>
      <c r="B22" s="1">
        <v>3</v>
      </c>
      <c r="C22" s="2">
        <f t="shared" si="0"/>
        <v>0</v>
      </c>
      <c r="D22" s="1">
        <f t="shared" si="1"/>
        <v>0.17084444444444444</v>
      </c>
      <c r="F22" s="6" t="s">
        <v>7</v>
      </c>
      <c r="G22" s="6"/>
    </row>
    <row r="23" spans="1:7" x14ac:dyDescent="0.25">
      <c r="A23" s="1">
        <v>4</v>
      </c>
      <c r="B23" s="1">
        <v>4</v>
      </c>
      <c r="C23" s="2">
        <f t="shared" si="0"/>
        <v>0</v>
      </c>
      <c r="D23" s="1">
        <f t="shared" si="1"/>
        <v>0.17084444444444444</v>
      </c>
      <c r="F23" t="s">
        <v>24</v>
      </c>
      <c r="G23">
        <f>_xlfn.T.INV.2T(G17,G18)</f>
        <v>1.992543495180934</v>
      </c>
    </row>
    <row r="24" spans="1:7" x14ac:dyDescent="0.25">
      <c r="A24" s="1">
        <v>5</v>
      </c>
      <c r="B24" s="1">
        <v>5</v>
      </c>
      <c r="C24" s="2">
        <f t="shared" si="0"/>
        <v>0</v>
      </c>
      <c r="D24" s="1">
        <f t="shared" si="1"/>
        <v>0.17084444444444444</v>
      </c>
      <c r="F24" t="s">
        <v>25</v>
      </c>
      <c r="G24">
        <f>_xlfn.T.INV(G17,G18)</f>
        <v>-1.6657068927340244</v>
      </c>
    </row>
    <row r="25" spans="1:7" x14ac:dyDescent="0.25">
      <c r="A25" s="1">
        <v>2</v>
      </c>
      <c r="B25" s="1">
        <v>3</v>
      </c>
      <c r="C25" s="2">
        <f t="shared" si="0"/>
        <v>1</v>
      </c>
      <c r="D25" s="1">
        <f t="shared" si="1"/>
        <v>0.3441777777777778</v>
      </c>
    </row>
    <row r="26" spans="1:7" x14ac:dyDescent="0.25">
      <c r="A26" s="1">
        <v>2</v>
      </c>
      <c r="B26" s="1">
        <v>3</v>
      </c>
      <c r="C26" s="2">
        <f t="shared" si="0"/>
        <v>1</v>
      </c>
      <c r="D26" s="1">
        <f t="shared" si="1"/>
        <v>0.3441777777777778</v>
      </c>
    </row>
    <row r="27" spans="1:7" x14ac:dyDescent="0.25">
      <c r="A27" s="1">
        <v>3</v>
      </c>
      <c r="B27" s="1">
        <v>4</v>
      </c>
      <c r="C27" s="2">
        <f t="shared" si="0"/>
        <v>1</v>
      </c>
      <c r="D27" s="1">
        <f t="shared" si="1"/>
        <v>0.3441777777777778</v>
      </c>
    </row>
    <row r="28" spans="1:7" x14ac:dyDescent="0.25">
      <c r="A28" s="1">
        <v>4</v>
      </c>
      <c r="B28" s="1">
        <v>5</v>
      </c>
      <c r="C28" s="2">
        <f t="shared" si="0"/>
        <v>1</v>
      </c>
      <c r="D28" s="1">
        <f t="shared" si="1"/>
        <v>0.3441777777777778</v>
      </c>
    </row>
    <row r="29" spans="1:7" x14ac:dyDescent="0.25">
      <c r="A29" s="1">
        <v>4</v>
      </c>
      <c r="B29" s="1">
        <v>4</v>
      </c>
      <c r="C29" s="2">
        <f t="shared" si="0"/>
        <v>0</v>
      </c>
      <c r="D29" s="1">
        <f t="shared" si="1"/>
        <v>0.17084444444444444</v>
      </c>
    </row>
    <row r="30" spans="1:7" x14ac:dyDescent="0.25">
      <c r="A30" s="1">
        <v>2</v>
      </c>
      <c r="B30" s="1">
        <v>3</v>
      </c>
      <c r="C30" s="2">
        <f t="shared" si="0"/>
        <v>1</v>
      </c>
      <c r="D30" s="1">
        <f t="shared" si="1"/>
        <v>0.3441777777777778</v>
      </c>
    </row>
    <row r="31" spans="1:7" x14ac:dyDescent="0.25">
      <c r="A31" s="1">
        <v>2</v>
      </c>
      <c r="B31" s="1">
        <v>3</v>
      </c>
      <c r="C31" s="2">
        <f t="shared" si="0"/>
        <v>1</v>
      </c>
      <c r="D31" s="1">
        <f t="shared" si="1"/>
        <v>0.3441777777777778</v>
      </c>
    </row>
    <row r="32" spans="1:7" x14ac:dyDescent="0.25">
      <c r="A32" s="1">
        <v>2</v>
      </c>
      <c r="B32" s="1">
        <v>3</v>
      </c>
      <c r="C32" s="2">
        <f t="shared" si="0"/>
        <v>1</v>
      </c>
      <c r="D32" s="1">
        <f t="shared" si="1"/>
        <v>0.3441777777777778</v>
      </c>
    </row>
    <row r="33" spans="1:7" x14ac:dyDescent="0.25">
      <c r="A33" s="1">
        <v>2</v>
      </c>
      <c r="B33" s="1">
        <v>2</v>
      </c>
      <c r="C33" s="2">
        <f t="shared" si="0"/>
        <v>0</v>
      </c>
      <c r="D33" s="1">
        <f t="shared" si="1"/>
        <v>0.17084444444444444</v>
      </c>
    </row>
    <row r="34" spans="1:7" x14ac:dyDescent="0.25">
      <c r="A34" s="1">
        <v>3</v>
      </c>
      <c r="B34" s="1">
        <v>3</v>
      </c>
      <c r="C34" s="2">
        <f t="shared" si="0"/>
        <v>0</v>
      </c>
      <c r="D34" s="1">
        <f t="shared" si="1"/>
        <v>0.17084444444444444</v>
      </c>
      <c r="F34" t="s">
        <v>8</v>
      </c>
    </row>
    <row r="35" spans="1:7" x14ac:dyDescent="0.25">
      <c r="A35" s="1">
        <v>5</v>
      </c>
      <c r="B35" s="1">
        <v>5</v>
      </c>
      <c r="C35" s="2">
        <f t="shared" si="0"/>
        <v>0</v>
      </c>
      <c r="D35" s="1">
        <f t="shared" si="1"/>
        <v>0.17084444444444444</v>
      </c>
      <c r="F35" t="s">
        <v>9</v>
      </c>
    </row>
    <row r="36" spans="1:7" x14ac:dyDescent="0.25">
      <c r="A36" s="1">
        <v>5</v>
      </c>
      <c r="B36" s="1">
        <v>5</v>
      </c>
      <c r="C36" s="2">
        <f t="shared" si="0"/>
        <v>0</v>
      </c>
      <c r="D36" s="1">
        <f t="shared" si="1"/>
        <v>0.17084444444444444</v>
      </c>
    </row>
    <row r="37" spans="1:7" x14ac:dyDescent="0.25">
      <c r="A37" s="1">
        <v>2</v>
      </c>
      <c r="B37" s="1">
        <v>3</v>
      </c>
      <c r="C37" s="2">
        <f t="shared" si="0"/>
        <v>1</v>
      </c>
      <c r="D37" s="1">
        <f t="shared" si="1"/>
        <v>0.3441777777777778</v>
      </c>
    </row>
    <row r="38" spans="1:7" x14ac:dyDescent="0.25">
      <c r="A38" s="1">
        <v>3</v>
      </c>
      <c r="B38" s="1">
        <v>3</v>
      </c>
      <c r="C38" s="2">
        <f t="shared" si="0"/>
        <v>0</v>
      </c>
      <c r="D38" s="1">
        <f t="shared" si="1"/>
        <v>0.17084444444444444</v>
      </c>
    </row>
    <row r="39" spans="1:7" x14ac:dyDescent="0.25">
      <c r="A39" s="1">
        <v>5</v>
      </c>
      <c r="B39" s="1">
        <v>5</v>
      </c>
      <c r="C39" s="2">
        <f t="shared" si="0"/>
        <v>0</v>
      </c>
      <c r="D39" s="1">
        <f t="shared" si="1"/>
        <v>0.17084444444444444</v>
      </c>
      <c r="F39" s="6" t="s">
        <v>11</v>
      </c>
      <c r="G39" s="6"/>
    </row>
    <row r="40" spans="1:7" x14ac:dyDescent="0.25">
      <c r="A40" s="1">
        <v>5</v>
      </c>
      <c r="B40" s="1">
        <v>5</v>
      </c>
      <c r="C40" s="2">
        <f t="shared" si="0"/>
        <v>0</v>
      </c>
      <c r="D40" s="1">
        <f t="shared" si="1"/>
        <v>0.17084444444444444</v>
      </c>
      <c r="F40" t="s">
        <v>11</v>
      </c>
    </row>
    <row r="41" spans="1:7" x14ac:dyDescent="0.25">
      <c r="A41" s="1">
        <v>3</v>
      </c>
      <c r="B41" s="1">
        <v>4</v>
      </c>
      <c r="C41" s="2">
        <f t="shared" si="0"/>
        <v>1</v>
      </c>
      <c r="D41" s="1">
        <f t="shared" si="1"/>
        <v>0.3441777777777778</v>
      </c>
      <c r="F41" t="s">
        <v>23</v>
      </c>
      <c r="G41">
        <f>TTEST(A:A,B:B,2,1)</f>
        <v>2.2634631604840703E-8</v>
      </c>
    </row>
    <row r="42" spans="1:7" x14ac:dyDescent="0.25">
      <c r="A42" s="1">
        <v>5</v>
      </c>
      <c r="B42" s="1">
        <v>5</v>
      </c>
      <c r="C42" s="2">
        <f t="shared" si="0"/>
        <v>0</v>
      </c>
      <c r="D42" s="1">
        <f t="shared" si="1"/>
        <v>0.17084444444444444</v>
      </c>
      <c r="F42" t="s">
        <v>27</v>
      </c>
      <c r="G42">
        <f>TTEST(A:A,B:B,1,1)</f>
        <v>1.1317315802420351E-8</v>
      </c>
    </row>
    <row r="43" spans="1:7" x14ac:dyDescent="0.25">
      <c r="A43" s="1">
        <v>5</v>
      </c>
      <c r="B43" s="1">
        <v>5</v>
      </c>
      <c r="C43" s="2">
        <f t="shared" si="0"/>
        <v>0</v>
      </c>
      <c r="D43" s="1">
        <f t="shared" si="1"/>
        <v>0.17084444444444444</v>
      </c>
    </row>
    <row r="44" spans="1:7" x14ac:dyDescent="0.25">
      <c r="A44" s="1">
        <v>3</v>
      </c>
      <c r="B44" s="1">
        <v>3</v>
      </c>
      <c r="C44" s="2">
        <f t="shared" si="0"/>
        <v>0</v>
      </c>
      <c r="D44" s="1">
        <f t="shared" si="1"/>
        <v>0.17084444444444444</v>
      </c>
    </row>
    <row r="45" spans="1:7" x14ac:dyDescent="0.25">
      <c r="A45" s="1">
        <v>2</v>
      </c>
      <c r="B45" s="1">
        <v>2</v>
      </c>
      <c r="C45" s="2">
        <f t="shared" si="0"/>
        <v>0</v>
      </c>
      <c r="D45" s="1">
        <f t="shared" si="1"/>
        <v>0.17084444444444444</v>
      </c>
      <c r="F45" s="6" t="s">
        <v>14</v>
      </c>
      <c r="G45" s="6"/>
    </row>
    <row r="46" spans="1:7" x14ac:dyDescent="0.25">
      <c r="A46" s="1">
        <v>3</v>
      </c>
      <c r="B46" s="1">
        <v>3</v>
      </c>
      <c r="C46" s="2">
        <f t="shared" si="0"/>
        <v>0</v>
      </c>
      <c r="D46" s="1">
        <f t="shared" si="1"/>
        <v>0.17084444444444444</v>
      </c>
    </row>
    <row r="47" spans="1:7" x14ac:dyDescent="0.25">
      <c r="A47" s="1">
        <v>4</v>
      </c>
      <c r="B47" s="1">
        <v>4</v>
      </c>
      <c r="C47" s="2">
        <f t="shared" si="0"/>
        <v>0</v>
      </c>
      <c r="D47" s="1">
        <f t="shared" si="1"/>
        <v>0.17084444444444444</v>
      </c>
      <c r="F47" t="s">
        <v>12</v>
      </c>
    </row>
    <row r="48" spans="1:7" x14ac:dyDescent="0.25">
      <c r="A48" s="1">
        <v>2</v>
      </c>
      <c r="B48" s="1">
        <v>2</v>
      </c>
      <c r="C48" s="2">
        <f t="shared" si="0"/>
        <v>0</v>
      </c>
      <c r="D48" s="1">
        <f t="shared" si="1"/>
        <v>0.17084444444444444</v>
      </c>
      <c r="F48" t="s">
        <v>13</v>
      </c>
    </row>
    <row r="49" spans="1:6" x14ac:dyDescent="0.25">
      <c r="A49" s="1">
        <v>4</v>
      </c>
      <c r="B49" s="1">
        <v>5</v>
      </c>
      <c r="C49" s="2">
        <f t="shared" si="0"/>
        <v>1</v>
      </c>
      <c r="D49" s="1">
        <f t="shared" si="1"/>
        <v>0.3441777777777778</v>
      </c>
    </row>
    <row r="50" spans="1:6" x14ac:dyDescent="0.25">
      <c r="A50" s="1">
        <v>4</v>
      </c>
      <c r="B50" s="1">
        <v>5</v>
      </c>
      <c r="C50" s="2">
        <f t="shared" si="0"/>
        <v>1</v>
      </c>
      <c r="D50" s="1">
        <f t="shared" si="1"/>
        <v>0.3441777777777778</v>
      </c>
      <c r="F50" t="s">
        <v>16</v>
      </c>
    </row>
    <row r="51" spans="1:6" x14ac:dyDescent="0.25">
      <c r="A51" s="1">
        <v>2</v>
      </c>
      <c r="B51" s="1">
        <v>2</v>
      </c>
      <c r="C51" s="2">
        <f t="shared" si="0"/>
        <v>0</v>
      </c>
      <c r="D51" s="1">
        <f t="shared" si="1"/>
        <v>0.17084444444444444</v>
      </c>
      <c r="F51" t="s">
        <v>17</v>
      </c>
    </row>
    <row r="52" spans="1:6" x14ac:dyDescent="0.25">
      <c r="A52" s="1">
        <v>3</v>
      </c>
      <c r="B52" s="1">
        <v>5</v>
      </c>
      <c r="C52" s="2">
        <f t="shared" si="0"/>
        <v>2</v>
      </c>
      <c r="D52" s="1">
        <f t="shared" si="1"/>
        <v>2.5175111111111113</v>
      </c>
    </row>
    <row r="53" spans="1:6" x14ac:dyDescent="0.25">
      <c r="A53" s="1">
        <v>2</v>
      </c>
      <c r="B53" s="1">
        <v>4</v>
      </c>
      <c r="C53" s="2">
        <f t="shared" si="0"/>
        <v>2</v>
      </c>
      <c r="D53" s="1">
        <f t="shared" si="1"/>
        <v>2.5175111111111113</v>
      </c>
    </row>
    <row r="54" spans="1:6" x14ac:dyDescent="0.25">
      <c r="A54" s="1">
        <v>3</v>
      </c>
      <c r="B54" s="1">
        <v>4</v>
      </c>
      <c r="C54" s="2">
        <f t="shared" si="0"/>
        <v>1</v>
      </c>
      <c r="D54" s="1">
        <f t="shared" si="1"/>
        <v>0.3441777777777778</v>
      </c>
    </row>
    <row r="55" spans="1:6" x14ac:dyDescent="0.25">
      <c r="A55" s="1">
        <v>3</v>
      </c>
      <c r="B55" s="1">
        <v>3</v>
      </c>
      <c r="C55" s="2">
        <f t="shared" si="0"/>
        <v>0</v>
      </c>
      <c r="D55" s="1">
        <f t="shared" si="1"/>
        <v>0.17084444444444444</v>
      </c>
    </row>
    <row r="56" spans="1:6" x14ac:dyDescent="0.25">
      <c r="A56" s="1">
        <v>5</v>
      </c>
      <c r="B56" s="1">
        <v>5</v>
      </c>
      <c r="C56" s="2">
        <f t="shared" si="0"/>
        <v>0</v>
      </c>
      <c r="D56" s="1">
        <f t="shared" si="1"/>
        <v>0.17084444444444444</v>
      </c>
      <c r="F56" s="6" t="s">
        <v>21</v>
      </c>
    </row>
    <row r="57" spans="1:6" x14ac:dyDescent="0.25">
      <c r="A57" s="1">
        <v>4</v>
      </c>
      <c r="B57" s="1">
        <v>5</v>
      </c>
      <c r="C57" s="2">
        <f t="shared" si="0"/>
        <v>1</v>
      </c>
      <c r="D57" s="1">
        <f t="shared" si="1"/>
        <v>0.3441777777777778</v>
      </c>
    </row>
    <row r="58" spans="1:6" x14ac:dyDescent="0.25">
      <c r="A58" s="1">
        <v>4</v>
      </c>
      <c r="B58" s="1">
        <v>4</v>
      </c>
      <c r="C58" s="2">
        <f t="shared" si="0"/>
        <v>0</v>
      </c>
      <c r="D58" s="1">
        <f t="shared" si="1"/>
        <v>0.17084444444444444</v>
      </c>
      <c r="F58" t="s">
        <v>19</v>
      </c>
    </row>
    <row r="59" spans="1:6" x14ac:dyDescent="0.25">
      <c r="A59" s="1">
        <v>4</v>
      </c>
      <c r="B59" s="1">
        <v>5</v>
      </c>
      <c r="C59" s="2">
        <f t="shared" si="0"/>
        <v>1</v>
      </c>
      <c r="D59" s="1">
        <f t="shared" si="1"/>
        <v>0.3441777777777778</v>
      </c>
      <c r="F59" t="s">
        <v>18</v>
      </c>
    </row>
    <row r="60" spans="1:6" x14ac:dyDescent="0.25">
      <c r="A60" s="1">
        <v>1</v>
      </c>
      <c r="B60" s="1">
        <v>1</v>
      </c>
      <c r="C60" s="2">
        <f t="shared" si="0"/>
        <v>0</v>
      </c>
      <c r="D60" s="1">
        <f t="shared" si="1"/>
        <v>0.17084444444444444</v>
      </c>
      <c r="F60" t="s">
        <v>20</v>
      </c>
    </row>
    <row r="61" spans="1:6" x14ac:dyDescent="0.25">
      <c r="A61" s="1">
        <v>3</v>
      </c>
      <c r="B61" s="1">
        <v>4</v>
      </c>
      <c r="C61" s="2">
        <f t="shared" si="0"/>
        <v>1</v>
      </c>
      <c r="D61" s="1">
        <f t="shared" si="1"/>
        <v>0.3441777777777778</v>
      </c>
    </row>
    <row r="62" spans="1:6" x14ac:dyDescent="0.25">
      <c r="A62" s="1">
        <v>2</v>
      </c>
      <c r="B62" s="1">
        <v>3</v>
      </c>
      <c r="C62" s="2">
        <f t="shared" si="0"/>
        <v>1</v>
      </c>
      <c r="D62" s="1">
        <f t="shared" si="1"/>
        <v>0.3441777777777778</v>
      </c>
    </row>
    <row r="63" spans="1:6" x14ac:dyDescent="0.25">
      <c r="A63" s="1">
        <v>3</v>
      </c>
      <c r="B63" s="1">
        <v>3</v>
      </c>
      <c r="C63" s="2">
        <f t="shared" si="0"/>
        <v>0</v>
      </c>
      <c r="D63" s="1">
        <f t="shared" si="1"/>
        <v>0.17084444444444444</v>
      </c>
    </row>
    <row r="64" spans="1:6" x14ac:dyDescent="0.25">
      <c r="A64" s="1">
        <v>2</v>
      </c>
      <c r="B64" s="1">
        <v>3</v>
      </c>
      <c r="C64" s="2">
        <f t="shared" si="0"/>
        <v>1</v>
      </c>
      <c r="D64" s="1">
        <f t="shared" si="1"/>
        <v>0.3441777777777778</v>
      </c>
    </row>
    <row r="65" spans="1:6" x14ac:dyDescent="0.25">
      <c r="A65" s="1">
        <v>3</v>
      </c>
      <c r="B65" s="1">
        <v>3</v>
      </c>
      <c r="C65" s="2">
        <f t="shared" si="0"/>
        <v>0</v>
      </c>
      <c r="D65" s="1">
        <f t="shared" si="1"/>
        <v>0.17084444444444444</v>
      </c>
      <c r="F65" s="6" t="s">
        <v>21</v>
      </c>
    </row>
    <row r="66" spans="1:6" x14ac:dyDescent="0.25">
      <c r="A66" s="1">
        <v>3</v>
      </c>
      <c r="B66" s="1">
        <v>4</v>
      </c>
      <c r="C66" s="2">
        <f t="shared" si="0"/>
        <v>1</v>
      </c>
      <c r="D66" s="1">
        <f t="shared" si="1"/>
        <v>0.3441777777777778</v>
      </c>
    </row>
    <row r="67" spans="1:6" x14ac:dyDescent="0.25">
      <c r="A67" s="1">
        <v>3</v>
      </c>
      <c r="B67" s="1">
        <v>5</v>
      </c>
      <c r="C67" s="2">
        <f t="shared" ref="C67:C76" si="2">B67-A67</f>
        <v>2</v>
      </c>
      <c r="D67" s="1">
        <f t="shared" si="1"/>
        <v>2.5175111111111113</v>
      </c>
    </row>
    <row r="68" spans="1:6" x14ac:dyDescent="0.25">
      <c r="A68" s="1">
        <v>4</v>
      </c>
      <c r="B68" s="1">
        <v>4</v>
      </c>
      <c r="C68" s="2">
        <f t="shared" si="2"/>
        <v>0</v>
      </c>
      <c r="D68" s="1">
        <f t="shared" si="1"/>
        <v>0.17084444444444444</v>
      </c>
    </row>
    <row r="69" spans="1:6" x14ac:dyDescent="0.25">
      <c r="A69" s="1">
        <v>2</v>
      </c>
      <c r="B69" s="1">
        <v>2</v>
      </c>
      <c r="C69" s="2">
        <f t="shared" si="2"/>
        <v>0</v>
      </c>
      <c r="D69" s="1">
        <f t="shared" ref="D69:D76" si="3">(C69-$G$6)^2</f>
        <v>0.17084444444444444</v>
      </c>
    </row>
    <row r="70" spans="1:6" x14ac:dyDescent="0.25">
      <c r="A70" s="1">
        <v>4</v>
      </c>
      <c r="B70" s="1">
        <v>4</v>
      </c>
      <c r="C70" s="2">
        <f t="shared" si="2"/>
        <v>0</v>
      </c>
      <c r="D70" s="1">
        <f t="shared" si="3"/>
        <v>0.17084444444444444</v>
      </c>
    </row>
    <row r="71" spans="1:6" x14ac:dyDescent="0.25">
      <c r="A71" s="1">
        <v>5</v>
      </c>
      <c r="B71" s="1">
        <v>5</v>
      </c>
      <c r="C71" s="2">
        <f t="shared" si="2"/>
        <v>0</v>
      </c>
      <c r="D71" s="1">
        <f t="shared" si="3"/>
        <v>0.17084444444444444</v>
      </c>
    </row>
    <row r="72" spans="1:6" x14ac:dyDescent="0.25">
      <c r="A72" s="1">
        <v>3</v>
      </c>
      <c r="B72" s="1">
        <v>3</v>
      </c>
      <c r="C72" s="2">
        <f t="shared" si="2"/>
        <v>0</v>
      </c>
      <c r="D72" s="1">
        <f t="shared" si="3"/>
        <v>0.17084444444444444</v>
      </c>
      <c r="F72" t="s">
        <v>22</v>
      </c>
    </row>
    <row r="73" spans="1:6" x14ac:dyDescent="0.25">
      <c r="A73" s="1">
        <v>5</v>
      </c>
      <c r="B73" s="1">
        <v>5</v>
      </c>
      <c r="C73" s="2">
        <f t="shared" si="2"/>
        <v>0</v>
      </c>
      <c r="D73" s="1">
        <f t="shared" si="3"/>
        <v>0.17084444444444444</v>
      </c>
      <c r="F73" t="s">
        <v>20</v>
      </c>
    </row>
    <row r="74" spans="1:6" x14ac:dyDescent="0.25">
      <c r="A74" s="1">
        <v>1</v>
      </c>
      <c r="B74" s="1">
        <v>1</v>
      </c>
      <c r="C74" s="2">
        <f t="shared" si="2"/>
        <v>0</v>
      </c>
      <c r="D74" s="1">
        <f t="shared" si="3"/>
        <v>0.17084444444444444</v>
      </c>
      <c r="F74" t="s">
        <v>22</v>
      </c>
    </row>
    <row r="75" spans="1:6" x14ac:dyDescent="0.25">
      <c r="A75" s="1">
        <v>1</v>
      </c>
      <c r="B75" s="1">
        <v>1</v>
      </c>
      <c r="C75" s="2">
        <f t="shared" si="2"/>
        <v>0</v>
      </c>
      <c r="D75" s="1">
        <f t="shared" si="3"/>
        <v>0.17084444444444444</v>
      </c>
      <c r="F75" t="s">
        <v>20</v>
      </c>
    </row>
    <row r="76" spans="1:6" x14ac:dyDescent="0.25">
      <c r="A76" s="1">
        <v>2</v>
      </c>
      <c r="B76" s="1">
        <v>3</v>
      </c>
      <c r="C76" s="2">
        <f t="shared" si="2"/>
        <v>1</v>
      </c>
      <c r="D76" s="1">
        <f t="shared" si="3"/>
        <v>0.3441777777777778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3"/>
  <sheetViews>
    <sheetView topLeftCell="D17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29.5703125" style="1" customWidth="1"/>
    <col min="2" max="2" width="31.8554687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1.5" customHeight="1" x14ac:dyDescent="0.25">
      <c r="A1" s="3" t="s">
        <v>29</v>
      </c>
      <c r="B1" s="4" t="s">
        <v>28</v>
      </c>
      <c r="C1" s="5" t="s">
        <v>0</v>
      </c>
      <c r="D1" s="5"/>
    </row>
    <row r="2" spans="1:7" x14ac:dyDescent="0.25">
      <c r="A2" s="1">
        <v>4</v>
      </c>
      <c r="B2" s="1">
        <v>5</v>
      </c>
      <c r="C2" s="2">
        <f>B2-A2</f>
        <v>1</v>
      </c>
      <c r="D2" s="1">
        <f>(C2-$G$6)^2</f>
        <v>0.29884444444444441</v>
      </c>
    </row>
    <row r="3" spans="1:7" x14ac:dyDescent="0.25">
      <c r="A3" s="1">
        <v>2</v>
      </c>
      <c r="B3" s="1">
        <v>3</v>
      </c>
      <c r="C3" s="2">
        <f t="shared" ref="C3:C66" si="0">B3-A3</f>
        <v>1</v>
      </c>
      <c r="D3" s="1">
        <f>(C3-$G$6)^2</f>
        <v>0.29884444444444441</v>
      </c>
      <c r="F3" s="6" t="s">
        <v>15</v>
      </c>
      <c r="G3" s="6"/>
    </row>
    <row r="4" spans="1:7" x14ac:dyDescent="0.25">
      <c r="A4" s="1">
        <v>3</v>
      </c>
      <c r="B4" s="1">
        <v>3</v>
      </c>
      <c r="C4" s="2">
        <f t="shared" si="0"/>
        <v>0</v>
      </c>
      <c r="D4" s="1">
        <f>(C4-$G$6)^2</f>
        <v>0.20551111111111109</v>
      </c>
      <c r="F4" t="s">
        <v>3</v>
      </c>
      <c r="G4">
        <f>COUNT(A:A)</f>
        <v>75</v>
      </c>
    </row>
    <row r="5" spans="1:7" x14ac:dyDescent="0.25">
      <c r="A5" s="1">
        <v>2</v>
      </c>
      <c r="B5" s="1">
        <v>2</v>
      </c>
      <c r="C5" s="2">
        <f t="shared" si="0"/>
        <v>0</v>
      </c>
      <c r="D5" s="1">
        <f t="shared" ref="D5:D68" si="1">(C5-$G$6)^2</f>
        <v>0.20551111111111109</v>
      </c>
      <c r="F5" t="s">
        <v>2</v>
      </c>
      <c r="G5">
        <f>SUM(C:C)</f>
        <v>34</v>
      </c>
    </row>
    <row r="6" spans="1:7" x14ac:dyDescent="0.25">
      <c r="A6" s="1">
        <v>3</v>
      </c>
      <c r="B6" s="1">
        <v>3</v>
      </c>
      <c r="C6" s="2">
        <f t="shared" si="0"/>
        <v>0</v>
      </c>
      <c r="D6" s="1">
        <f t="shared" si="1"/>
        <v>0.20551111111111109</v>
      </c>
      <c r="F6" t="s">
        <v>1</v>
      </c>
      <c r="G6">
        <f>G5/G4</f>
        <v>0.45333333333333331</v>
      </c>
    </row>
    <row r="7" spans="1:7" x14ac:dyDescent="0.25">
      <c r="A7" s="1">
        <v>5</v>
      </c>
      <c r="B7" s="1">
        <v>5</v>
      </c>
      <c r="C7" s="2">
        <f t="shared" si="0"/>
        <v>0</v>
      </c>
      <c r="D7" s="1">
        <f t="shared" si="1"/>
        <v>0.20551111111111109</v>
      </c>
      <c r="F7" t="s">
        <v>26</v>
      </c>
      <c r="G7">
        <f>SUM(D:D)</f>
        <v>20.586666666666666</v>
      </c>
    </row>
    <row r="8" spans="1:7" x14ac:dyDescent="0.25">
      <c r="A8" s="1">
        <v>2</v>
      </c>
      <c r="B8" s="1">
        <v>4</v>
      </c>
      <c r="C8" s="2">
        <f t="shared" si="0"/>
        <v>2</v>
      </c>
      <c r="D8" s="1">
        <f t="shared" si="1"/>
        <v>2.3921777777777775</v>
      </c>
      <c r="F8" t="s">
        <v>4</v>
      </c>
      <c r="G8">
        <f>SQRT(G7/(G4-1))</f>
        <v>0.52744497172520111</v>
      </c>
    </row>
    <row r="9" spans="1:7" x14ac:dyDescent="0.25">
      <c r="A9" s="1">
        <v>2</v>
      </c>
      <c r="B9" s="1">
        <v>3</v>
      </c>
      <c r="C9" s="2">
        <f t="shared" si="0"/>
        <v>1</v>
      </c>
      <c r="D9" s="1">
        <f t="shared" si="1"/>
        <v>0.29884444444444441</v>
      </c>
    </row>
    <row r="10" spans="1:7" x14ac:dyDescent="0.25">
      <c r="A10" s="1">
        <v>3</v>
      </c>
      <c r="B10" s="1">
        <v>3</v>
      </c>
      <c r="C10" s="2">
        <f t="shared" si="0"/>
        <v>0</v>
      </c>
      <c r="D10" s="1">
        <f t="shared" si="1"/>
        <v>0.20551111111111109</v>
      </c>
    </row>
    <row r="11" spans="1:7" x14ac:dyDescent="0.25">
      <c r="A11" s="1">
        <v>2</v>
      </c>
      <c r="B11" s="1">
        <v>3</v>
      </c>
      <c r="C11" s="2">
        <f t="shared" si="0"/>
        <v>1</v>
      </c>
      <c r="D11" s="1">
        <f t="shared" si="1"/>
        <v>0.29884444444444441</v>
      </c>
    </row>
    <row r="12" spans="1:7" x14ac:dyDescent="0.25">
      <c r="A12" s="1">
        <v>3</v>
      </c>
      <c r="B12" s="1">
        <v>3</v>
      </c>
      <c r="C12" s="2">
        <f t="shared" si="0"/>
        <v>0</v>
      </c>
      <c r="D12" s="1">
        <f t="shared" si="1"/>
        <v>0.20551111111111109</v>
      </c>
      <c r="F12" t="s">
        <v>10</v>
      </c>
      <c r="G12">
        <f>G6/(G8/SQRT(G4))</f>
        <v>7.443396071533491</v>
      </c>
    </row>
    <row r="13" spans="1:7" x14ac:dyDescent="0.25">
      <c r="A13" s="1">
        <v>3</v>
      </c>
      <c r="B13" s="1">
        <v>3</v>
      </c>
      <c r="C13" s="2">
        <f t="shared" si="0"/>
        <v>0</v>
      </c>
      <c r="D13" s="1">
        <f t="shared" si="1"/>
        <v>0.20551111111111109</v>
      </c>
    </row>
    <row r="14" spans="1:7" x14ac:dyDescent="0.25">
      <c r="A14" s="1">
        <v>3</v>
      </c>
      <c r="B14" s="1">
        <v>3</v>
      </c>
      <c r="C14" s="2">
        <f t="shared" si="0"/>
        <v>0</v>
      </c>
      <c r="D14" s="1">
        <f t="shared" si="1"/>
        <v>0.20551111111111109</v>
      </c>
    </row>
    <row r="15" spans="1:7" x14ac:dyDescent="0.25">
      <c r="A15" s="1">
        <v>5</v>
      </c>
      <c r="B15" s="1">
        <v>5</v>
      </c>
      <c r="C15" s="2">
        <f t="shared" si="0"/>
        <v>0</v>
      </c>
      <c r="D15" s="1">
        <f t="shared" si="1"/>
        <v>0.20551111111111109</v>
      </c>
    </row>
    <row r="16" spans="1:7" x14ac:dyDescent="0.25">
      <c r="A16" s="1">
        <v>5</v>
      </c>
      <c r="B16" s="1">
        <v>5</v>
      </c>
      <c r="C16" s="2">
        <f t="shared" si="0"/>
        <v>0</v>
      </c>
      <c r="D16" s="1">
        <f t="shared" si="1"/>
        <v>0.20551111111111109</v>
      </c>
    </row>
    <row r="17" spans="1:7" x14ac:dyDescent="0.25">
      <c r="A17" s="1">
        <v>5</v>
      </c>
      <c r="B17" s="1">
        <v>5</v>
      </c>
      <c r="C17" s="2">
        <f t="shared" si="0"/>
        <v>0</v>
      </c>
      <c r="D17" s="1">
        <f t="shared" si="1"/>
        <v>0.20551111111111109</v>
      </c>
      <c r="F17" t="s">
        <v>5</v>
      </c>
      <c r="G17">
        <v>0.05</v>
      </c>
    </row>
    <row r="18" spans="1:7" x14ac:dyDescent="0.25">
      <c r="A18" s="1">
        <v>3</v>
      </c>
      <c r="B18" s="1">
        <v>4</v>
      </c>
      <c r="C18" s="2">
        <f t="shared" si="0"/>
        <v>1</v>
      </c>
      <c r="D18" s="1">
        <f t="shared" si="1"/>
        <v>0.29884444444444441</v>
      </c>
      <c r="F18" t="s">
        <v>6</v>
      </c>
      <c r="G18">
        <f>G4-1</f>
        <v>74</v>
      </c>
    </row>
    <row r="19" spans="1:7" x14ac:dyDescent="0.25">
      <c r="A19" s="1">
        <v>4</v>
      </c>
      <c r="B19" s="1">
        <v>4</v>
      </c>
      <c r="C19" s="2">
        <f t="shared" si="0"/>
        <v>0</v>
      </c>
      <c r="D19" s="1">
        <f t="shared" si="1"/>
        <v>0.20551111111111109</v>
      </c>
    </row>
    <row r="20" spans="1:7" x14ac:dyDescent="0.25">
      <c r="A20" s="1">
        <v>3</v>
      </c>
      <c r="B20" s="1">
        <v>3</v>
      </c>
      <c r="C20" s="2">
        <f t="shared" si="0"/>
        <v>0</v>
      </c>
      <c r="D20" s="1">
        <f t="shared" si="1"/>
        <v>0.20551111111111109</v>
      </c>
    </row>
    <row r="21" spans="1:7" x14ac:dyDescent="0.25">
      <c r="A21" s="1">
        <v>2</v>
      </c>
      <c r="B21" s="1">
        <v>3</v>
      </c>
      <c r="C21" s="2">
        <f t="shared" si="0"/>
        <v>1</v>
      </c>
      <c r="D21" s="1">
        <f t="shared" si="1"/>
        <v>0.29884444444444441</v>
      </c>
    </row>
    <row r="22" spans="1:7" x14ac:dyDescent="0.25">
      <c r="A22" s="1">
        <v>4</v>
      </c>
      <c r="B22" s="1">
        <v>4</v>
      </c>
      <c r="C22" s="2">
        <f t="shared" si="0"/>
        <v>0</v>
      </c>
      <c r="D22" s="1">
        <f t="shared" si="1"/>
        <v>0.20551111111111109</v>
      </c>
      <c r="F22" s="6" t="s">
        <v>7</v>
      </c>
      <c r="G22" s="6"/>
    </row>
    <row r="23" spans="1:7" x14ac:dyDescent="0.25">
      <c r="A23" s="1">
        <v>3</v>
      </c>
      <c r="B23" s="1">
        <v>4</v>
      </c>
      <c r="C23" s="2">
        <f t="shared" si="0"/>
        <v>1</v>
      </c>
      <c r="D23" s="1">
        <f t="shared" si="1"/>
        <v>0.29884444444444441</v>
      </c>
      <c r="F23" t="s">
        <v>24</v>
      </c>
      <c r="G23">
        <f>_xlfn.T.INV.2T(G17,G18)</f>
        <v>1.992543495180934</v>
      </c>
    </row>
    <row r="24" spans="1:7" x14ac:dyDescent="0.25">
      <c r="A24" s="1">
        <v>2</v>
      </c>
      <c r="B24" s="1">
        <v>2</v>
      </c>
      <c r="C24" s="2">
        <f t="shared" si="0"/>
        <v>0</v>
      </c>
      <c r="D24" s="1">
        <f t="shared" si="1"/>
        <v>0.20551111111111109</v>
      </c>
      <c r="F24" t="s">
        <v>25</v>
      </c>
      <c r="G24">
        <f>_xlfn.T.INV(G17,G18)</f>
        <v>-1.6657068927340244</v>
      </c>
    </row>
    <row r="25" spans="1:7" x14ac:dyDescent="0.25">
      <c r="A25" s="1">
        <v>4</v>
      </c>
      <c r="B25" s="1">
        <v>5</v>
      </c>
      <c r="C25" s="2">
        <f t="shared" si="0"/>
        <v>1</v>
      </c>
      <c r="D25" s="1">
        <f t="shared" si="1"/>
        <v>0.29884444444444441</v>
      </c>
    </row>
    <row r="26" spans="1:7" x14ac:dyDescent="0.25">
      <c r="A26" s="1">
        <v>5</v>
      </c>
      <c r="B26" s="1">
        <v>5</v>
      </c>
      <c r="C26" s="2">
        <f t="shared" si="0"/>
        <v>0</v>
      </c>
      <c r="D26" s="1">
        <f t="shared" si="1"/>
        <v>0.20551111111111109</v>
      </c>
    </row>
    <row r="27" spans="1:7" x14ac:dyDescent="0.25">
      <c r="A27" s="1">
        <v>4</v>
      </c>
      <c r="B27" s="1">
        <v>5</v>
      </c>
      <c r="C27" s="2">
        <f t="shared" si="0"/>
        <v>1</v>
      </c>
      <c r="D27" s="1">
        <f t="shared" si="1"/>
        <v>0.29884444444444441</v>
      </c>
    </row>
    <row r="28" spans="1:7" x14ac:dyDescent="0.25">
      <c r="A28" s="1">
        <v>4</v>
      </c>
      <c r="B28" s="1">
        <v>5</v>
      </c>
      <c r="C28" s="2">
        <f t="shared" si="0"/>
        <v>1</v>
      </c>
      <c r="D28" s="1">
        <f t="shared" si="1"/>
        <v>0.29884444444444441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0.29884444444444441</v>
      </c>
    </row>
    <row r="30" spans="1:7" x14ac:dyDescent="0.25">
      <c r="A30" s="1">
        <v>2</v>
      </c>
      <c r="B30" s="1">
        <v>3</v>
      </c>
      <c r="C30" s="2">
        <f t="shared" si="0"/>
        <v>1</v>
      </c>
      <c r="D30" s="1">
        <f t="shared" si="1"/>
        <v>0.29884444444444441</v>
      </c>
    </row>
    <row r="31" spans="1:7" x14ac:dyDescent="0.25">
      <c r="A31" s="1">
        <v>3</v>
      </c>
      <c r="B31" s="1">
        <v>3</v>
      </c>
      <c r="C31" s="2">
        <f t="shared" si="0"/>
        <v>0</v>
      </c>
      <c r="D31" s="1">
        <f t="shared" si="1"/>
        <v>0.20551111111111109</v>
      </c>
    </row>
    <row r="32" spans="1:7" x14ac:dyDescent="0.25">
      <c r="A32" s="1">
        <v>2</v>
      </c>
      <c r="B32" s="1">
        <v>3</v>
      </c>
      <c r="C32" s="2">
        <f t="shared" si="0"/>
        <v>1</v>
      </c>
      <c r="D32" s="1">
        <f t="shared" si="1"/>
        <v>0.29884444444444441</v>
      </c>
    </row>
    <row r="33" spans="1:7" x14ac:dyDescent="0.25">
      <c r="A33" s="1">
        <v>2</v>
      </c>
      <c r="B33" s="1">
        <v>3</v>
      </c>
      <c r="C33" s="2">
        <f t="shared" si="0"/>
        <v>1</v>
      </c>
      <c r="D33" s="1">
        <f t="shared" si="1"/>
        <v>0.29884444444444441</v>
      </c>
    </row>
    <row r="34" spans="1:7" x14ac:dyDescent="0.25">
      <c r="A34" s="1">
        <v>4</v>
      </c>
      <c r="B34" s="1">
        <v>5</v>
      </c>
      <c r="C34" s="2">
        <f t="shared" si="0"/>
        <v>1</v>
      </c>
      <c r="D34" s="1">
        <f t="shared" si="1"/>
        <v>0.29884444444444441</v>
      </c>
      <c r="F34" t="s">
        <v>8</v>
      </c>
    </row>
    <row r="35" spans="1:7" x14ac:dyDescent="0.25">
      <c r="A35" s="1">
        <v>2</v>
      </c>
      <c r="B35" s="1">
        <v>2</v>
      </c>
      <c r="C35" s="2">
        <f t="shared" si="0"/>
        <v>0</v>
      </c>
      <c r="D35" s="1">
        <f t="shared" si="1"/>
        <v>0.20551111111111109</v>
      </c>
      <c r="F35" t="s">
        <v>9</v>
      </c>
    </row>
    <row r="36" spans="1:7" x14ac:dyDescent="0.25">
      <c r="A36" s="1">
        <v>3</v>
      </c>
      <c r="B36" s="1">
        <v>4</v>
      </c>
      <c r="C36" s="2">
        <f t="shared" si="0"/>
        <v>1</v>
      </c>
      <c r="D36" s="1">
        <f t="shared" si="1"/>
        <v>0.29884444444444441</v>
      </c>
    </row>
    <row r="37" spans="1:7" x14ac:dyDescent="0.25">
      <c r="A37" s="1">
        <v>2</v>
      </c>
      <c r="B37" s="1">
        <v>3</v>
      </c>
      <c r="C37" s="2">
        <f t="shared" si="0"/>
        <v>1</v>
      </c>
      <c r="D37" s="1">
        <f t="shared" si="1"/>
        <v>0.29884444444444441</v>
      </c>
    </row>
    <row r="38" spans="1:7" x14ac:dyDescent="0.25">
      <c r="A38" s="1">
        <v>2</v>
      </c>
      <c r="B38" s="1">
        <v>3</v>
      </c>
      <c r="C38" s="2">
        <f t="shared" si="0"/>
        <v>1</v>
      </c>
      <c r="D38" s="1">
        <f t="shared" si="1"/>
        <v>0.29884444444444441</v>
      </c>
    </row>
    <row r="39" spans="1:7" x14ac:dyDescent="0.25">
      <c r="A39" s="1">
        <v>4</v>
      </c>
      <c r="B39" s="1">
        <v>5</v>
      </c>
      <c r="C39" s="2">
        <f t="shared" si="0"/>
        <v>1</v>
      </c>
      <c r="D39" s="1">
        <f t="shared" si="1"/>
        <v>0.29884444444444441</v>
      </c>
      <c r="F39" s="6" t="s">
        <v>11</v>
      </c>
      <c r="G39" s="6"/>
    </row>
    <row r="40" spans="1:7" x14ac:dyDescent="0.25">
      <c r="A40" s="1">
        <v>5</v>
      </c>
      <c r="B40" s="1">
        <v>5</v>
      </c>
      <c r="C40" s="2">
        <f t="shared" si="0"/>
        <v>0</v>
      </c>
      <c r="D40" s="1">
        <f t="shared" si="1"/>
        <v>0.20551111111111109</v>
      </c>
      <c r="F40" t="s">
        <v>11</v>
      </c>
    </row>
    <row r="41" spans="1:7" x14ac:dyDescent="0.25">
      <c r="A41" s="1">
        <v>4</v>
      </c>
      <c r="B41" s="1">
        <v>4</v>
      </c>
      <c r="C41" s="2">
        <f t="shared" si="0"/>
        <v>0</v>
      </c>
      <c r="D41" s="1">
        <f t="shared" si="1"/>
        <v>0.20551111111111109</v>
      </c>
      <c r="F41" t="s">
        <v>23</v>
      </c>
      <c r="G41">
        <f>TTEST(A:A,B:B,2,1)</f>
        <v>1.452845350386532E-10</v>
      </c>
    </row>
    <row r="42" spans="1:7" x14ac:dyDescent="0.25">
      <c r="A42" s="1">
        <v>3</v>
      </c>
      <c r="B42" s="1">
        <v>4</v>
      </c>
      <c r="C42" s="2">
        <f t="shared" si="0"/>
        <v>1</v>
      </c>
      <c r="D42" s="1">
        <f t="shared" si="1"/>
        <v>0.29884444444444441</v>
      </c>
      <c r="F42" t="s">
        <v>27</v>
      </c>
      <c r="G42">
        <f>TTEST(A:A,B:B,1,1)</f>
        <v>7.2642267519326598E-11</v>
      </c>
    </row>
    <row r="43" spans="1:7" x14ac:dyDescent="0.25">
      <c r="A43" s="1">
        <v>2</v>
      </c>
      <c r="B43" s="1">
        <v>3</v>
      </c>
      <c r="C43" s="2">
        <f t="shared" si="0"/>
        <v>1</v>
      </c>
      <c r="D43" s="1">
        <f t="shared" si="1"/>
        <v>0.29884444444444441</v>
      </c>
    </row>
    <row r="44" spans="1:7" x14ac:dyDescent="0.25">
      <c r="A44" s="1">
        <v>2</v>
      </c>
      <c r="B44" s="1">
        <v>2</v>
      </c>
      <c r="C44" s="2">
        <f t="shared" si="0"/>
        <v>0</v>
      </c>
      <c r="D44" s="1">
        <f t="shared" si="1"/>
        <v>0.20551111111111109</v>
      </c>
    </row>
    <row r="45" spans="1:7" x14ac:dyDescent="0.25">
      <c r="A45" s="1">
        <v>5</v>
      </c>
      <c r="B45" s="1">
        <v>5</v>
      </c>
      <c r="C45" s="2">
        <f t="shared" si="0"/>
        <v>0</v>
      </c>
      <c r="D45" s="1">
        <f t="shared" si="1"/>
        <v>0.20551111111111109</v>
      </c>
      <c r="F45" s="6" t="s">
        <v>14</v>
      </c>
      <c r="G45" s="6"/>
    </row>
    <row r="46" spans="1:7" x14ac:dyDescent="0.25">
      <c r="A46" s="1">
        <v>3</v>
      </c>
      <c r="B46" s="1">
        <v>3</v>
      </c>
      <c r="C46" s="2">
        <f t="shared" si="0"/>
        <v>0</v>
      </c>
      <c r="D46" s="1">
        <f t="shared" si="1"/>
        <v>0.20551111111111109</v>
      </c>
    </row>
    <row r="47" spans="1:7" x14ac:dyDescent="0.25">
      <c r="A47" s="1">
        <v>3</v>
      </c>
      <c r="B47" s="1">
        <v>3</v>
      </c>
      <c r="C47" s="2">
        <f t="shared" si="0"/>
        <v>0</v>
      </c>
      <c r="D47" s="1">
        <f t="shared" si="1"/>
        <v>0.20551111111111109</v>
      </c>
      <c r="F47" t="s">
        <v>12</v>
      </c>
    </row>
    <row r="48" spans="1:7" x14ac:dyDescent="0.25">
      <c r="A48" s="1">
        <v>4</v>
      </c>
      <c r="B48" s="1">
        <v>4</v>
      </c>
      <c r="C48" s="2">
        <f t="shared" si="0"/>
        <v>0</v>
      </c>
      <c r="D48" s="1">
        <f t="shared" si="1"/>
        <v>0.20551111111111109</v>
      </c>
      <c r="F48" t="s">
        <v>13</v>
      </c>
    </row>
    <row r="49" spans="1:6" x14ac:dyDescent="0.25">
      <c r="A49" s="1">
        <v>5</v>
      </c>
      <c r="B49" s="1">
        <v>5</v>
      </c>
      <c r="C49" s="2">
        <f t="shared" si="0"/>
        <v>0</v>
      </c>
      <c r="D49" s="1">
        <f t="shared" si="1"/>
        <v>0.20551111111111109</v>
      </c>
    </row>
    <row r="50" spans="1:6" x14ac:dyDescent="0.25">
      <c r="A50" s="1">
        <v>4</v>
      </c>
      <c r="B50" s="1">
        <v>5</v>
      </c>
      <c r="C50" s="2">
        <f t="shared" si="0"/>
        <v>1</v>
      </c>
      <c r="D50" s="1">
        <f t="shared" si="1"/>
        <v>0.29884444444444441</v>
      </c>
      <c r="F50" t="s">
        <v>16</v>
      </c>
    </row>
    <row r="51" spans="1:6" x14ac:dyDescent="0.25">
      <c r="A51" s="1">
        <v>1</v>
      </c>
      <c r="B51" s="1">
        <v>2</v>
      </c>
      <c r="C51" s="2">
        <f t="shared" si="0"/>
        <v>1</v>
      </c>
      <c r="D51" s="1">
        <f t="shared" si="1"/>
        <v>0.29884444444444441</v>
      </c>
      <c r="F51" t="s">
        <v>17</v>
      </c>
    </row>
    <row r="52" spans="1:6" x14ac:dyDescent="0.25">
      <c r="A52" s="1">
        <v>4</v>
      </c>
      <c r="B52" s="1">
        <v>4</v>
      </c>
      <c r="C52" s="2">
        <f t="shared" si="0"/>
        <v>0</v>
      </c>
      <c r="D52" s="1">
        <f t="shared" si="1"/>
        <v>0.20551111111111109</v>
      </c>
    </row>
    <row r="53" spans="1:6" x14ac:dyDescent="0.25">
      <c r="A53" s="1">
        <v>3</v>
      </c>
      <c r="B53" s="1">
        <v>3</v>
      </c>
      <c r="C53" s="2">
        <f t="shared" si="0"/>
        <v>0</v>
      </c>
      <c r="D53" s="1">
        <f t="shared" si="1"/>
        <v>0.20551111111111109</v>
      </c>
    </row>
    <row r="54" spans="1:6" x14ac:dyDescent="0.25">
      <c r="A54" s="1">
        <v>3</v>
      </c>
      <c r="B54" s="1">
        <v>4</v>
      </c>
      <c r="C54" s="2">
        <f t="shared" si="0"/>
        <v>1</v>
      </c>
      <c r="D54" s="1">
        <f t="shared" si="1"/>
        <v>0.29884444444444441</v>
      </c>
    </row>
    <row r="55" spans="1:6" x14ac:dyDescent="0.25">
      <c r="A55" s="1">
        <v>3</v>
      </c>
      <c r="B55" s="1">
        <v>3</v>
      </c>
      <c r="C55" s="2">
        <f t="shared" si="0"/>
        <v>0</v>
      </c>
      <c r="D55" s="1">
        <f t="shared" si="1"/>
        <v>0.20551111111111109</v>
      </c>
    </row>
    <row r="56" spans="1:6" x14ac:dyDescent="0.25">
      <c r="A56" s="1">
        <v>1</v>
      </c>
      <c r="B56" s="1">
        <v>1</v>
      </c>
      <c r="C56" s="2">
        <f t="shared" si="0"/>
        <v>0</v>
      </c>
      <c r="D56" s="1">
        <f t="shared" si="1"/>
        <v>0.20551111111111109</v>
      </c>
      <c r="F56" s="6" t="s">
        <v>21</v>
      </c>
    </row>
    <row r="57" spans="1:6" x14ac:dyDescent="0.25">
      <c r="A57" s="1">
        <v>1</v>
      </c>
      <c r="B57" s="1">
        <v>2</v>
      </c>
      <c r="C57" s="2">
        <f t="shared" si="0"/>
        <v>1</v>
      </c>
      <c r="D57" s="1">
        <f t="shared" si="1"/>
        <v>0.29884444444444441</v>
      </c>
    </row>
    <row r="58" spans="1:6" x14ac:dyDescent="0.25">
      <c r="A58" s="1">
        <v>4</v>
      </c>
      <c r="B58" s="1">
        <v>5</v>
      </c>
      <c r="C58" s="2">
        <f t="shared" si="0"/>
        <v>1</v>
      </c>
      <c r="D58" s="1">
        <f t="shared" si="1"/>
        <v>0.29884444444444441</v>
      </c>
      <c r="F58" t="s">
        <v>19</v>
      </c>
    </row>
    <row r="59" spans="1:6" x14ac:dyDescent="0.25">
      <c r="A59" s="1">
        <v>3</v>
      </c>
      <c r="B59" s="1">
        <v>3</v>
      </c>
      <c r="C59" s="2">
        <f t="shared" si="0"/>
        <v>0</v>
      </c>
      <c r="D59" s="1">
        <f t="shared" si="1"/>
        <v>0.20551111111111109</v>
      </c>
      <c r="F59" t="s">
        <v>18</v>
      </c>
    </row>
    <row r="60" spans="1:6" x14ac:dyDescent="0.25">
      <c r="A60" s="1">
        <v>4</v>
      </c>
      <c r="B60" s="1">
        <v>4</v>
      </c>
      <c r="C60" s="2">
        <f t="shared" si="0"/>
        <v>0</v>
      </c>
      <c r="D60" s="1">
        <f t="shared" si="1"/>
        <v>0.20551111111111109</v>
      </c>
      <c r="F60" t="s">
        <v>20</v>
      </c>
    </row>
    <row r="61" spans="1:6" x14ac:dyDescent="0.25">
      <c r="A61" s="1">
        <v>4</v>
      </c>
      <c r="B61" s="1">
        <v>5</v>
      </c>
      <c r="C61" s="2">
        <f t="shared" si="0"/>
        <v>1</v>
      </c>
      <c r="D61" s="1">
        <f t="shared" si="1"/>
        <v>0.29884444444444441</v>
      </c>
    </row>
    <row r="62" spans="1:6" x14ac:dyDescent="0.25">
      <c r="A62" s="1">
        <v>5</v>
      </c>
      <c r="B62" s="1">
        <v>5</v>
      </c>
      <c r="C62" s="2">
        <f t="shared" si="0"/>
        <v>0</v>
      </c>
      <c r="D62" s="1">
        <f t="shared" si="1"/>
        <v>0.20551111111111109</v>
      </c>
    </row>
    <row r="63" spans="1:6" x14ac:dyDescent="0.25">
      <c r="A63" s="1">
        <v>3</v>
      </c>
      <c r="B63" s="1">
        <v>3</v>
      </c>
      <c r="C63" s="2">
        <f t="shared" si="0"/>
        <v>0</v>
      </c>
      <c r="D63" s="1">
        <f t="shared" si="1"/>
        <v>0.20551111111111109</v>
      </c>
    </row>
    <row r="64" spans="1:6" x14ac:dyDescent="0.25">
      <c r="A64" s="1">
        <v>3</v>
      </c>
      <c r="B64" s="1">
        <v>3</v>
      </c>
      <c r="C64" s="2">
        <f t="shared" si="0"/>
        <v>0</v>
      </c>
      <c r="D64" s="1">
        <f t="shared" si="1"/>
        <v>0.20551111111111109</v>
      </c>
    </row>
    <row r="65" spans="1:6" x14ac:dyDescent="0.25">
      <c r="A65" s="1">
        <v>5</v>
      </c>
      <c r="B65" s="1">
        <v>5</v>
      </c>
      <c r="C65" s="2">
        <f t="shared" si="0"/>
        <v>0</v>
      </c>
      <c r="D65" s="1">
        <f t="shared" si="1"/>
        <v>0.20551111111111109</v>
      </c>
      <c r="F65" s="6" t="s">
        <v>21</v>
      </c>
    </row>
    <row r="66" spans="1:6" x14ac:dyDescent="0.25">
      <c r="A66" s="1">
        <v>4</v>
      </c>
      <c r="B66" s="1">
        <v>4</v>
      </c>
      <c r="C66" s="2">
        <f t="shared" si="0"/>
        <v>0</v>
      </c>
      <c r="D66" s="1">
        <f t="shared" si="1"/>
        <v>0.20551111111111109</v>
      </c>
    </row>
    <row r="67" spans="1:6" x14ac:dyDescent="0.25">
      <c r="A67" s="1">
        <v>2</v>
      </c>
      <c r="B67" s="1">
        <v>2</v>
      </c>
      <c r="C67" s="2">
        <f t="shared" ref="C67:C76" si="2">B67-A67</f>
        <v>0</v>
      </c>
      <c r="D67" s="1">
        <f t="shared" si="1"/>
        <v>0.20551111111111109</v>
      </c>
    </row>
    <row r="68" spans="1:6" x14ac:dyDescent="0.25">
      <c r="A68" s="1">
        <v>4</v>
      </c>
      <c r="B68" s="1">
        <v>5</v>
      </c>
      <c r="C68" s="2">
        <f t="shared" si="2"/>
        <v>1</v>
      </c>
      <c r="D68" s="1">
        <f t="shared" si="1"/>
        <v>0.29884444444444441</v>
      </c>
    </row>
    <row r="69" spans="1:6" x14ac:dyDescent="0.25">
      <c r="A69" s="1">
        <v>5</v>
      </c>
      <c r="B69" s="1">
        <v>5</v>
      </c>
      <c r="C69" s="2">
        <f t="shared" si="2"/>
        <v>0</v>
      </c>
      <c r="D69" s="1">
        <f t="shared" ref="D69:D76" si="3">(C69-$G$6)^2</f>
        <v>0.20551111111111109</v>
      </c>
    </row>
    <row r="70" spans="1:6" x14ac:dyDescent="0.25">
      <c r="A70" s="1">
        <v>3</v>
      </c>
      <c r="B70" s="1">
        <v>4</v>
      </c>
      <c r="C70" s="2">
        <f t="shared" si="2"/>
        <v>1</v>
      </c>
      <c r="D70" s="1">
        <f t="shared" si="3"/>
        <v>0.29884444444444441</v>
      </c>
    </row>
    <row r="71" spans="1:6" x14ac:dyDescent="0.25">
      <c r="A71" s="1">
        <v>1</v>
      </c>
      <c r="B71" s="1">
        <v>1</v>
      </c>
      <c r="C71" s="2">
        <f t="shared" si="2"/>
        <v>0</v>
      </c>
      <c r="D71" s="1">
        <f t="shared" si="3"/>
        <v>0.20551111111111109</v>
      </c>
    </row>
    <row r="72" spans="1:6" x14ac:dyDescent="0.25">
      <c r="A72" s="1">
        <v>4</v>
      </c>
      <c r="B72" s="1">
        <v>5</v>
      </c>
      <c r="C72" s="2">
        <f t="shared" si="2"/>
        <v>1</v>
      </c>
      <c r="D72" s="1">
        <f t="shared" si="3"/>
        <v>0.29884444444444441</v>
      </c>
      <c r="F72" t="s">
        <v>22</v>
      </c>
    </row>
    <row r="73" spans="1:6" x14ac:dyDescent="0.25">
      <c r="A73" s="1">
        <v>3</v>
      </c>
      <c r="B73" s="1">
        <v>4</v>
      </c>
      <c r="C73" s="2">
        <f t="shared" si="2"/>
        <v>1</v>
      </c>
      <c r="D73" s="1">
        <f t="shared" si="3"/>
        <v>0.29884444444444441</v>
      </c>
      <c r="F73" t="s">
        <v>20</v>
      </c>
    </row>
    <row r="74" spans="1:6" x14ac:dyDescent="0.25">
      <c r="A74" s="1">
        <v>2</v>
      </c>
      <c r="B74" s="1">
        <v>3</v>
      </c>
      <c r="C74" s="2">
        <f t="shared" si="2"/>
        <v>1</v>
      </c>
      <c r="D74" s="1">
        <f t="shared" si="3"/>
        <v>0.29884444444444441</v>
      </c>
      <c r="F74" t="s">
        <v>22</v>
      </c>
    </row>
    <row r="75" spans="1:6" x14ac:dyDescent="0.25">
      <c r="A75" s="1">
        <v>4</v>
      </c>
      <c r="B75" s="1">
        <v>4</v>
      </c>
      <c r="C75" s="2">
        <f t="shared" si="2"/>
        <v>0</v>
      </c>
      <c r="D75" s="1">
        <f t="shared" si="3"/>
        <v>0.20551111111111109</v>
      </c>
      <c r="F75" t="s">
        <v>20</v>
      </c>
    </row>
    <row r="76" spans="1:6" x14ac:dyDescent="0.25">
      <c r="A76" s="1">
        <v>2</v>
      </c>
      <c r="B76" s="1">
        <v>2</v>
      </c>
      <c r="C76" s="2">
        <f t="shared" si="2"/>
        <v>0</v>
      </c>
      <c r="D76" s="1">
        <f t="shared" si="3"/>
        <v>0.20551111111111109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3"/>
  <sheetViews>
    <sheetView topLeftCell="D13" zoomScale="70" zoomScaleNormal="70" workbookViewId="0">
      <selection activeCell="G42" sqref="G42"/>
    </sheetView>
  </sheetViews>
  <sheetFormatPr baseColWidth="10" defaultColWidth="9.140625" defaultRowHeight="15" x14ac:dyDescent="0.25"/>
  <cols>
    <col min="1" max="1" width="30.28515625" style="1" customWidth="1"/>
    <col min="2" max="2" width="30.8554687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19.25" customHeight="1" x14ac:dyDescent="0.25">
      <c r="A1" s="3" t="s">
        <v>48</v>
      </c>
      <c r="B1" s="4" t="s">
        <v>49</v>
      </c>
      <c r="C1" s="5" t="s">
        <v>0</v>
      </c>
      <c r="D1" s="5"/>
    </row>
    <row r="2" spans="1:7" x14ac:dyDescent="0.25">
      <c r="A2" s="1">
        <v>5</v>
      </c>
      <c r="B2" s="1">
        <v>5</v>
      </c>
      <c r="C2" s="2">
        <f>B2-A2</f>
        <v>0</v>
      </c>
      <c r="D2" s="1">
        <f>(C2-$G$6)^2</f>
        <v>0.12959999999999999</v>
      </c>
    </row>
    <row r="3" spans="1:7" x14ac:dyDescent="0.25">
      <c r="A3" s="1">
        <v>2</v>
      </c>
      <c r="B3" s="1">
        <v>2</v>
      </c>
      <c r="C3" s="2">
        <f t="shared" ref="C3:C66" si="0">B3-A3</f>
        <v>0</v>
      </c>
      <c r="D3" s="1">
        <f>(C3-$G$6)^2</f>
        <v>0.12959999999999999</v>
      </c>
      <c r="F3" s="6" t="s">
        <v>15</v>
      </c>
      <c r="G3" s="6"/>
    </row>
    <row r="4" spans="1:7" x14ac:dyDescent="0.25">
      <c r="A4" s="1">
        <v>3</v>
      </c>
      <c r="B4" s="1">
        <v>4</v>
      </c>
      <c r="C4" s="2">
        <f t="shared" si="0"/>
        <v>1</v>
      </c>
      <c r="D4" s="1">
        <f>(C4-$G$6)^2</f>
        <v>0.40960000000000002</v>
      </c>
      <c r="F4" t="s">
        <v>3</v>
      </c>
      <c r="G4">
        <f>COUNT(A:A)</f>
        <v>75</v>
      </c>
    </row>
    <row r="5" spans="1:7" x14ac:dyDescent="0.25">
      <c r="A5" s="1">
        <v>2</v>
      </c>
      <c r="B5" s="1">
        <v>2</v>
      </c>
      <c r="C5" s="2">
        <f t="shared" si="0"/>
        <v>0</v>
      </c>
      <c r="D5" s="1">
        <f t="shared" ref="D5:D66" si="1">(C5-$G$6)^2</f>
        <v>0.12959999999999999</v>
      </c>
      <c r="F5" t="s">
        <v>2</v>
      </c>
      <c r="G5">
        <f>SUM(C:C)</f>
        <v>27</v>
      </c>
    </row>
    <row r="6" spans="1:7" x14ac:dyDescent="0.25">
      <c r="A6" s="1">
        <v>5</v>
      </c>
      <c r="B6" s="1">
        <v>5</v>
      </c>
      <c r="C6" s="2">
        <f t="shared" si="0"/>
        <v>0</v>
      </c>
      <c r="D6" s="1">
        <f t="shared" si="1"/>
        <v>0.12959999999999999</v>
      </c>
      <c r="F6" t="s">
        <v>1</v>
      </c>
      <c r="G6">
        <f>G5/G4</f>
        <v>0.36</v>
      </c>
    </row>
    <row r="7" spans="1:7" x14ac:dyDescent="0.25">
      <c r="A7" s="1">
        <v>1</v>
      </c>
      <c r="B7" s="1">
        <v>2</v>
      </c>
      <c r="C7" s="2">
        <f t="shared" si="0"/>
        <v>1</v>
      </c>
      <c r="D7" s="1">
        <f t="shared" si="1"/>
        <v>0.40960000000000002</v>
      </c>
      <c r="F7" t="s">
        <v>26</v>
      </c>
      <c r="G7">
        <f>SUM(D:D)</f>
        <v>21.28</v>
      </c>
    </row>
    <row r="8" spans="1:7" x14ac:dyDescent="0.25">
      <c r="A8" s="1">
        <v>2</v>
      </c>
      <c r="B8" s="1">
        <v>2</v>
      </c>
      <c r="C8" s="2">
        <f t="shared" si="0"/>
        <v>0</v>
      </c>
      <c r="D8" s="1">
        <f t="shared" si="1"/>
        <v>0.12959999999999999</v>
      </c>
      <c r="F8" t="s">
        <v>4</v>
      </c>
      <c r="G8">
        <f>SQRT(G7/(G4-1))</f>
        <v>0.53625326811830953</v>
      </c>
    </row>
    <row r="9" spans="1:7" x14ac:dyDescent="0.25">
      <c r="A9" s="1">
        <v>4</v>
      </c>
      <c r="B9" s="1">
        <v>4</v>
      </c>
      <c r="C9" s="2">
        <f t="shared" si="0"/>
        <v>0</v>
      </c>
      <c r="D9" s="1">
        <f t="shared" si="1"/>
        <v>0.12959999999999999</v>
      </c>
    </row>
    <row r="10" spans="1:7" x14ac:dyDescent="0.25">
      <c r="A10" s="1">
        <v>4</v>
      </c>
      <c r="B10" s="1">
        <v>4</v>
      </c>
      <c r="C10" s="2">
        <f t="shared" si="0"/>
        <v>0</v>
      </c>
      <c r="D10" s="1">
        <f t="shared" si="1"/>
        <v>0.12959999999999999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0.12959999999999999</v>
      </c>
    </row>
    <row r="12" spans="1:7" x14ac:dyDescent="0.25">
      <c r="A12" s="1">
        <v>4</v>
      </c>
      <c r="B12" s="1">
        <v>4</v>
      </c>
      <c r="C12" s="2">
        <f t="shared" si="0"/>
        <v>0</v>
      </c>
      <c r="D12" s="1">
        <f t="shared" si="1"/>
        <v>0.12959999999999999</v>
      </c>
      <c r="F12" t="s">
        <v>10</v>
      </c>
      <c r="G12">
        <f>G6/(G8/SQRT(G4))</f>
        <v>5.8138414047597866</v>
      </c>
    </row>
    <row r="13" spans="1:7" x14ac:dyDescent="0.25">
      <c r="A13" s="1">
        <v>3</v>
      </c>
      <c r="B13" s="1">
        <v>4</v>
      </c>
      <c r="C13" s="2">
        <f t="shared" si="0"/>
        <v>1</v>
      </c>
      <c r="D13" s="1">
        <f t="shared" si="1"/>
        <v>0.40960000000000002</v>
      </c>
    </row>
    <row r="14" spans="1:7" x14ac:dyDescent="0.25">
      <c r="A14" s="1">
        <v>3</v>
      </c>
      <c r="B14" s="1">
        <v>3</v>
      </c>
      <c r="C14" s="2">
        <f t="shared" si="0"/>
        <v>0</v>
      </c>
      <c r="D14" s="1">
        <f t="shared" si="1"/>
        <v>0.12959999999999999</v>
      </c>
    </row>
    <row r="15" spans="1:7" x14ac:dyDescent="0.25">
      <c r="A15" s="1">
        <v>4</v>
      </c>
      <c r="B15" s="1">
        <v>4</v>
      </c>
      <c r="C15" s="2">
        <f t="shared" si="0"/>
        <v>0</v>
      </c>
      <c r="D15" s="1">
        <f t="shared" si="1"/>
        <v>0.12959999999999999</v>
      </c>
    </row>
    <row r="16" spans="1:7" x14ac:dyDescent="0.25">
      <c r="A16" s="1">
        <v>3</v>
      </c>
      <c r="B16" s="1">
        <v>3</v>
      </c>
      <c r="C16" s="2">
        <f t="shared" si="0"/>
        <v>0</v>
      </c>
      <c r="D16" s="1">
        <f t="shared" si="1"/>
        <v>0.12959999999999999</v>
      </c>
    </row>
    <row r="17" spans="1:7" x14ac:dyDescent="0.25">
      <c r="A17" s="1">
        <v>5</v>
      </c>
      <c r="B17" s="1">
        <v>5</v>
      </c>
      <c r="C17" s="2">
        <f t="shared" si="0"/>
        <v>0</v>
      </c>
      <c r="D17" s="1">
        <f t="shared" si="1"/>
        <v>0.12959999999999999</v>
      </c>
      <c r="F17" t="s">
        <v>5</v>
      </c>
      <c r="G17">
        <v>0.05</v>
      </c>
    </row>
    <row r="18" spans="1:7" x14ac:dyDescent="0.25">
      <c r="A18" s="1">
        <v>4</v>
      </c>
      <c r="B18" s="1">
        <v>5</v>
      </c>
      <c r="C18" s="2">
        <f t="shared" si="0"/>
        <v>1</v>
      </c>
      <c r="D18" s="1">
        <f t="shared" si="1"/>
        <v>0.40960000000000002</v>
      </c>
      <c r="F18" t="s">
        <v>6</v>
      </c>
      <c r="G18">
        <f>G4-1</f>
        <v>74</v>
      </c>
    </row>
    <row r="19" spans="1:7" x14ac:dyDescent="0.25">
      <c r="A19" s="1">
        <v>4</v>
      </c>
      <c r="B19" s="1">
        <v>4</v>
      </c>
      <c r="C19" s="2">
        <f t="shared" si="0"/>
        <v>0</v>
      </c>
      <c r="D19" s="1">
        <f t="shared" si="1"/>
        <v>0.12959999999999999</v>
      </c>
    </row>
    <row r="20" spans="1:7" x14ac:dyDescent="0.25">
      <c r="A20" s="1">
        <v>3</v>
      </c>
      <c r="B20" s="1">
        <v>4</v>
      </c>
      <c r="C20" s="2">
        <f t="shared" si="0"/>
        <v>1</v>
      </c>
      <c r="D20" s="1">
        <f t="shared" si="1"/>
        <v>0.40960000000000002</v>
      </c>
    </row>
    <row r="21" spans="1:7" x14ac:dyDescent="0.25">
      <c r="A21" s="1">
        <v>2</v>
      </c>
      <c r="B21" s="1">
        <v>2</v>
      </c>
      <c r="C21" s="2">
        <f t="shared" si="0"/>
        <v>0</v>
      </c>
      <c r="D21" s="1">
        <f t="shared" si="1"/>
        <v>0.12959999999999999</v>
      </c>
    </row>
    <row r="22" spans="1:7" x14ac:dyDescent="0.25">
      <c r="A22" s="1">
        <v>4</v>
      </c>
      <c r="B22" s="1">
        <v>5</v>
      </c>
      <c r="C22" s="2">
        <f t="shared" si="0"/>
        <v>1</v>
      </c>
      <c r="D22" s="1">
        <f t="shared" si="1"/>
        <v>0.40960000000000002</v>
      </c>
      <c r="F22" s="6" t="s">
        <v>7</v>
      </c>
      <c r="G22" s="6"/>
    </row>
    <row r="23" spans="1:7" x14ac:dyDescent="0.25">
      <c r="A23" s="1">
        <v>3</v>
      </c>
      <c r="B23" s="1">
        <v>4</v>
      </c>
      <c r="C23" s="2">
        <f t="shared" si="0"/>
        <v>1</v>
      </c>
      <c r="D23" s="1">
        <f t="shared" si="1"/>
        <v>0.40960000000000002</v>
      </c>
      <c r="F23" t="s">
        <v>24</v>
      </c>
      <c r="G23">
        <f>_xlfn.T.INV.2T(G17,G18)</f>
        <v>1.992543495180934</v>
      </c>
    </row>
    <row r="24" spans="1:7" x14ac:dyDescent="0.25">
      <c r="A24" s="1">
        <v>3</v>
      </c>
      <c r="B24" s="1">
        <v>4</v>
      </c>
      <c r="C24" s="2">
        <f t="shared" si="0"/>
        <v>1</v>
      </c>
      <c r="D24" s="1">
        <f t="shared" si="1"/>
        <v>0.40960000000000002</v>
      </c>
      <c r="F24" t="s">
        <v>25</v>
      </c>
      <c r="G24">
        <f>_xlfn.T.INV(G17,G18)</f>
        <v>-1.6657068927340244</v>
      </c>
    </row>
    <row r="25" spans="1:7" x14ac:dyDescent="0.25">
      <c r="A25" s="1">
        <v>5</v>
      </c>
      <c r="B25" s="1">
        <v>5</v>
      </c>
      <c r="C25" s="2">
        <f t="shared" si="0"/>
        <v>0</v>
      </c>
      <c r="D25" s="1">
        <f t="shared" si="1"/>
        <v>0.12959999999999999</v>
      </c>
    </row>
    <row r="26" spans="1:7" x14ac:dyDescent="0.25">
      <c r="A26" s="1">
        <v>3</v>
      </c>
      <c r="B26" s="1">
        <v>4</v>
      </c>
      <c r="C26" s="2">
        <f t="shared" si="0"/>
        <v>1</v>
      </c>
      <c r="D26" s="1">
        <f t="shared" si="1"/>
        <v>0.40960000000000002</v>
      </c>
    </row>
    <row r="27" spans="1:7" x14ac:dyDescent="0.25">
      <c r="A27" s="1">
        <v>4</v>
      </c>
      <c r="B27" s="1">
        <v>4</v>
      </c>
      <c r="C27" s="2">
        <f t="shared" si="0"/>
        <v>0</v>
      </c>
      <c r="D27" s="1">
        <f t="shared" si="1"/>
        <v>0.12959999999999999</v>
      </c>
    </row>
    <row r="28" spans="1:7" x14ac:dyDescent="0.25">
      <c r="A28" s="1">
        <v>5</v>
      </c>
      <c r="B28" s="1">
        <v>5</v>
      </c>
      <c r="C28" s="2">
        <f t="shared" si="0"/>
        <v>0</v>
      </c>
      <c r="D28" s="1">
        <f t="shared" si="1"/>
        <v>0.12959999999999999</v>
      </c>
    </row>
    <row r="29" spans="1:7" x14ac:dyDescent="0.25">
      <c r="A29" s="1">
        <v>1</v>
      </c>
      <c r="B29" s="1">
        <v>1</v>
      </c>
      <c r="C29" s="2">
        <f t="shared" si="0"/>
        <v>0</v>
      </c>
      <c r="D29" s="1">
        <f t="shared" si="1"/>
        <v>0.12959999999999999</v>
      </c>
    </row>
    <row r="30" spans="1:7" x14ac:dyDescent="0.25">
      <c r="A30" s="1">
        <v>1</v>
      </c>
      <c r="B30" s="1">
        <v>1</v>
      </c>
      <c r="C30" s="2">
        <f t="shared" si="0"/>
        <v>0</v>
      </c>
      <c r="D30" s="1">
        <f t="shared" si="1"/>
        <v>0.12959999999999999</v>
      </c>
    </row>
    <row r="31" spans="1:7" x14ac:dyDescent="0.25">
      <c r="A31" s="1">
        <v>2</v>
      </c>
      <c r="B31" s="1">
        <v>3</v>
      </c>
      <c r="C31" s="2">
        <f t="shared" si="0"/>
        <v>1</v>
      </c>
      <c r="D31" s="1">
        <f t="shared" si="1"/>
        <v>0.40960000000000002</v>
      </c>
    </row>
    <row r="32" spans="1:7" x14ac:dyDescent="0.25">
      <c r="A32" s="1">
        <v>4</v>
      </c>
      <c r="B32" s="1">
        <v>5</v>
      </c>
      <c r="C32" s="2">
        <f t="shared" si="0"/>
        <v>1</v>
      </c>
      <c r="D32" s="1">
        <f t="shared" si="1"/>
        <v>0.40960000000000002</v>
      </c>
    </row>
    <row r="33" spans="1:7" x14ac:dyDescent="0.25">
      <c r="A33" s="1">
        <v>5</v>
      </c>
      <c r="B33" s="1">
        <v>5</v>
      </c>
      <c r="C33" s="2">
        <f t="shared" si="0"/>
        <v>0</v>
      </c>
      <c r="D33" s="1">
        <f t="shared" si="1"/>
        <v>0.12959999999999999</v>
      </c>
    </row>
    <row r="34" spans="1:7" x14ac:dyDescent="0.25">
      <c r="A34" s="1">
        <v>2</v>
      </c>
      <c r="B34" s="1">
        <v>3</v>
      </c>
      <c r="C34" s="2">
        <f t="shared" si="0"/>
        <v>1</v>
      </c>
      <c r="D34" s="1">
        <f t="shared" si="1"/>
        <v>0.40960000000000002</v>
      </c>
      <c r="F34" t="s">
        <v>8</v>
      </c>
    </row>
    <row r="35" spans="1:7" x14ac:dyDescent="0.25">
      <c r="A35" s="1">
        <v>3</v>
      </c>
      <c r="B35" s="1">
        <v>3</v>
      </c>
      <c r="C35" s="2">
        <f t="shared" si="0"/>
        <v>0</v>
      </c>
      <c r="D35" s="1">
        <f t="shared" si="1"/>
        <v>0.12959999999999999</v>
      </c>
      <c r="F35" t="s">
        <v>9</v>
      </c>
    </row>
    <row r="36" spans="1:7" x14ac:dyDescent="0.25">
      <c r="A36" s="1">
        <v>5</v>
      </c>
      <c r="B36" s="1">
        <v>5</v>
      </c>
      <c r="C36" s="2">
        <f t="shared" si="0"/>
        <v>0</v>
      </c>
      <c r="D36" s="1">
        <f t="shared" si="1"/>
        <v>0.12959999999999999</v>
      </c>
    </row>
    <row r="37" spans="1:7" x14ac:dyDescent="0.25">
      <c r="A37" s="1">
        <v>3</v>
      </c>
      <c r="B37" s="1">
        <v>3</v>
      </c>
      <c r="C37" s="2">
        <f t="shared" si="0"/>
        <v>0</v>
      </c>
      <c r="D37" s="1">
        <f t="shared" si="1"/>
        <v>0.12959999999999999</v>
      </c>
    </row>
    <row r="38" spans="1:7" x14ac:dyDescent="0.25">
      <c r="A38" s="1">
        <v>5</v>
      </c>
      <c r="B38" s="1">
        <v>5</v>
      </c>
      <c r="C38" s="2">
        <f t="shared" si="0"/>
        <v>0</v>
      </c>
      <c r="D38" s="1">
        <f t="shared" si="1"/>
        <v>0.12959999999999999</v>
      </c>
    </row>
    <row r="39" spans="1:7" x14ac:dyDescent="0.25">
      <c r="A39" s="1">
        <v>2</v>
      </c>
      <c r="B39" s="1">
        <v>2</v>
      </c>
      <c r="C39" s="2">
        <f t="shared" si="0"/>
        <v>0</v>
      </c>
      <c r="D39" s="1">
        <f t="shared" si="1"/>
        <v>0.12959999999999999</v>
      </c>
      <c r="F39" s="6" t="s">
        <v>11</v>
      </c>
      <c r="G39" s="6"/>
    </row>
    <row r="40" spans="1:7" x14ac:dyDescent="0.25">
      <c r="A40" s="1">
        <v>4</v>
      </c>
      <c r="B40" s="1">
        <v>5</v>
      </c>
      <c r="C40" s="2">
        <f t="shared" si="0"/>
        <v>1</v>
      </c>
      <c r="D40" s="1">
        <f t="shared" si="1"/>
        <v>0.40960000000000002</v>
      </c>
      <c r="F40" t="s">
        <v>11</v>
      </c>
    </row>
    <row r="41" spans="1:7" x14ac:dyDescent="0.25">
      <c r="A41" s="1">
        <v>3</v>
      </c>
      <c r="B41" s="1">
        <v>4</v>
      </c>
      <c r="C41" s="2">
        <f t="shared" si="0"/>
        <v>1</v>
      </c>
      <c r="D41" s="1">
        <f t="shared" si="1"/>
        <v>0.40960000000000002</v>
      </c>
      <c r="F41" t="s">
        <v>23</v>
      </c>
      <c r="G41">
        <f>TTEST(A:A,B:B,2,1)</f>
        <v>1.4472238340932658E-7</v>
      </c>
    </row>
    <row r="42" spans="1:7" x14ac:dyDescent="0.25">
      <c r="A42" s="1">
        <v>4</v>
      </c>
      <c r="B42" s="1">
        <v>5</v>
      </c>
      <c r="C42" s="2">
        <f t="shared" si="0"/>
        <v>1</v>
      </c>
      <c r="D42" s="1">
        <f t="shared" si="1"/>
        <v>0.40960000000000002</v>
      </c>
      <c r="F42" t="s">
        <v>27</v>
      </c>
      <c r="G42">
        <f>TTEST(A:A,B:B,1,1)</f>
        <v>7.2361191704663292E-8</v>
      </c>
    </row>
    <row r="43" spans="1:7" x14ac:dyDescent="0.25">
      <c r="A43" s="1">
        <v>3</v>
      </c>
      <c r="B43" s="1">
        <v>3</v>
      </c>
      <c r="C43" s="2">
        <f t="shared" si="0"/>
        <v>0</v>
      </c>
      <c r="D43" s="1">
        <f t="shared" si="1"/>
        <v>0.12959999999999999</v>
      </c>
    </row>
    <row r="44" spans="1:7" x14ac:dyDescent="0.25">
      <c r="A44" s="1">
        <v>3</v>
      </c>
      <c r="B44" s="1">
        <v>3</v>
      </c>
      <c r="C44" s="2">
        <f t="shared" si="0"/>
        <v>0</v>
      </c>
      <c r="D44" s="1">
        <f t="shared" si="1"/>
        <v>0.12959999999999999</v>
      </c>
    </row>
    <row r="45" spans="1:7" x14ac:dyDescent="0.25">
      <c r="A45" s="1">
        <v>4</v>
      </c>
      <c r="B45" s="1">
        <v>4</v>
      </c>
      <c r="C45" s="2">
        <f t="shared" si="0"/>
        <v>0</v>
      </c>
      <c r="D45" s="1">
        <f t="shared" si="1"/>
        <v>0.12959999999999999</v>
      </c>
      <c r="F45" s="6" t="s">
        <v>14</v>
      </c>
      <c r="G45" s="6"/>
    </row>
    <row r="46" spans="1:7" x14ac:dyDescent="0.25">
      <c r="A46" s="1">
        <v>1</v>
      </c>
      <c r="B46" s="1">
        <v>2</v>
      </c>
      <c r="C46" s="2">
        <f t="shared" si="0"/>
        <v>1</v>
      </c>
      <c r="D46" s="1">
        <f t="shared" si="1"/>
        <v>0.40960000000000002</v>
      </c>
    </row>
    <row r="47" spans="1:7" x14ac:dyDescent="0.25">
      <c r="A47" s="1">
        <v>2</v>
      </c>
      <c r="B47" s="1">
        <v>3</v>
      </c>
      <c r="C47" s="2">
        <f t="shared" si="0"/>
        <v>1</v>
      </c>
      <c r="D47" s="1">
        <f t="shared" si="1"/>
        <v>0.40960000000000002</v>
      </c>
      <c r="F47" t="s">
        <v>12</v>
      </c>
    </row>
    <row r="48" spans="1:7" x14ac:dyDescent="0.25">
      <c r="A48" s="1">
        <v>1</v>
      </c>
      <c r="B48" s="1">
        <v>1</v>
      </c>
      <c r="C48" s="2">
        <f t="shared" si="0"/>
        <v>0</v>
      </c>
      <c r="D48" s="1">
        <f t="shared" si="1"/>
        <v>0.12959999999999999</v>
      </c>
      <c r="F48" t="s">
        <v>13</v>
      </c>
    </row>
    <row r="49" spans="1:6" x14ac:dyDescent="0.25">
      <c r="A49" s="1">
        <v>2</v>
      </c>
      <c r="B49" s="1">
        <v>4</v>
      </c>
      <c r="C49" s="2">
        <f t="shared" si="0"/>
        <v>2</v>
      </c>
      <c r="D49" s="1">
        <f t="shared" si="1"/>
        <v>2.6896000000000004</v>
      </c>
    </row>
    <row r="50" spans="1:6" x14ac:dyDescent="0.25">
      <c r="A50" s="1">
        <v>3</v>
      </c>
      <c r="B50" s="1">
        <v>4</v>
      </c>
      <c r="C50" s="2">
        <f t="shared" si="0"/>
        <v>1</v>
      </c>
      <c r="D50" s="1">
        <f t="shared" si="1"/>
        <v>0.40960000000000002</v>
      </c>
      <c r="F50" t="s">
        <v>16</v>
      </c>
    </row>
    <row r="51" spans="1:6" x14ac:dyDescent="0.25">
      <c r="A51" s="1">
        <v>1</v>
      </c>
      <c r="B51" s="1">
        <v>1</v>
      </c>
      <c r="C51" s="2">
        <f t="shared" si="0"/>
        <v>0</v>
      </c>
      <c r="D51" s="1">
        <f t="shared" si="1"/>
        <v>0.12959999999999999</v>
      </c>
      <c r="F51" t="s">
        <v>17</v>
      </c>
    </row>
    <row r="52" spans="1:6" x14ac:dyDescent="0.25">
      <c r="A52" s="1">
        <v>5</v>
      </c>
      <c r="B52" s="1">
        <v>5</v>
      </c>
      <c r="C52" s="2">
        <f t="shared" si="0"/>
        <v>0</v>
      </c>
      <c r="D52" s="1">
        <f t="shared" si="1"/>
        <v>0.12959999999999999</v>
      </c>
    </row>
    <row r="53" spans="1:6" x14ac:dyDescent="0.25">
      <c r="A53" s="1">
        <v>4</v>
      </c>
      <c r="B53" s="1">
        <v>4</v>
      </c>
      <c r="C53" s="2">
        <f t="shared" si="0"/>
        <v>0</v>
      </c>
      <c r="D53" s="1">
        <f t="shared" si="1"/>
        <v>0.12959999999999999</v>
      </c>
    </row>
    <row r="54" spans="1:6" x14ac:dyDescent="0.25">
      <c r="A54" s="1">
        <v>5</v>
      </c>
      <c r="B54" s="1">
        <v>5</v>
      </c>
      <c r="C54" s="2">
        <f t="shared" si="0"/>
        <v>0</v>
      </c>
      <c r="D54" s="1">
        <f t="shared" si="1"/>
        <v>0.12959999999999999</v>
      </c>
    </row>
    <row r="55" spans="1:6" x14ac:dyDescent="0.25">
      <c r="A55" s="1">
        <v>4</v>
      </c>
      <c r="B55" s="1">
        <v>5</v>
      </c>
      <c r="C55" s="2">
        <f t="shared" si="0"/>
        <v>1</v>
      </c>
      <c r="D55" s="1">
        <f t="shared" si="1"/>
        <v>0.40960000000000002</v>
      </c>
    </row>
    <row r="56" spans="1:6" x14ac:dyDescent="0.25">
      <c r="A56" s="1">
        <v>3</v>
      </c>
      <c r="B56" s="1">
        <v>4</v>
      </c>
      <c r="C56" s="2">
        <f t="shared" si="0"/>
        <v>1</v>
      </c>
      <c r="D56" s="1">
        <f t="shared" si="1"/>
        <v>0.40960000000000002</v>
      </c>
      <c r="F56" s="6" t="s">
        <v>21</v>
      </c>
    </row>
    <row r="57" spans="1:6" x14ac:dyDescent="0.25">
      <c r="A57" s="1">
        <v>4</v>
      </c>
      <c r="B57" s="1">
        <v>4</v>
      </c>
      <c r="C57" s="2">
        <f t="shared" si="0"/>
        <v>0</v>
      </c>
      <c r="D57" s="1">
        <f t="shared" si="1"/>
        <v>0.12959999999999999</v>
      </c>
    </row>
    <row r="58" spans="1:6" x14ac:dyDescent="0.25">
      <c r="A58" s="1">
        <v>2</v>
      </c>
      <c r="B58" s="1">
        <v>2</v>
      </c>
      <c r="C58" s="2">
        <f t="shared" si="0"/>
        <v>0</v>
      </c>
      <c r="D58" s="1">
        <f t="shared" si="1"/>
        <v>0.12959999999999999</v>
      </c>
      <c r="F58" t="s">
        <v>19</v>
      </c>
    </row>
    <row r="59" spans="1:6" x14ac:dyDescent="0.25">
      <c r="A59" s="1">
        <v>4</v>
      </c>
      <c r="B59" s="1">
        <v>4</v>
      </c>
      <c r="C59" s="2">
        <f t="shared" si="0"/>
        <v>0</v>
      </c>
      <c r="D59" s="1">
        <f t="shared" si="1"/>
        <v>0.12959999999999999</v>
      </c>
      <c r="F59" t="s">
        <v>18</v>
      </c>
    </row>
    <row r="60" spans="1:6" x14ac:dyDescent="0.25">
      <c r="A60" s="1">
        <v>4</v>
      </c>
      <c r="B60" s="1">
        <v>4</v>
      </c>
      <c r="C60" s="2">
        <f t="shared" si="0"/>
        <v>0</v>
      </c>
      <c r="D60" s="1">
        <f t="shared" si="1"/>
        <v>0.12959999999999999</v>
      </c>
      <c r="F60" t="s">
        <v>20</v>
      </c>
    </row>
    <row r="61" spans="1:6" x14ac:dyDescent="0.25">
      <c r="A61" s="1">
        <v>3</v>
      </c>
      <c r="B61" s="1">
        <v>3</v>
      </c>
      <c r="C61" s="2">
        <f t="shared" si="0"/>
        <v>0</v>
      </c>
      <c r="D61" s="1">
        <f t="shared" si="1"/>
        <v>0.12959999999999999</v>
      </c>
    </row>
    <row r="62" spans="1:6" x14ac:dyDescent="0.25">
      <c r="A62" s="1">
        <v>5</v>
      </c>
      <c r="B62" s="1">
        <v>5</v>
      </c>
      <c r="C62" s="2">
        <f t="shared" si="0"/>
        <v>0</v>
      </c>
      <c r="D62" s="1">
        <f t="shared" si="1"/>
        <v>0.12959999999999999</v>
      </c>
    </row>
    <row r="63" spans="1:6" x14ac:dyDescent="0.25">
      <c r="A63" s="1">
        <v>2</v>
      </c>
      <c r="B63" s="1">
        <v>3</v>
      </c>
      <c r="C63" s="2">
        <f t="shared" si="0"/>
        <v>1</v>
      </c>
      <c r="D63" s="1">
        <f t="shared" si="1"/>
        <v>0.40960000000000002</v>
      </c>
    </row>
    <row r="64" spans="1:6" x14ac:dyDescent="0.25">
      <c r="A64" s="1">
        <v>5</v>
      </c>
      <c r="B64" s="1">
        <v>5</v>
      </c>
      <c r="C64" s="2">
        <f t="shared" si="0"/>
        <v>0</v>
      </c>
      <c r="D64" s="1">
        <f t="shared" si="1"/>
        <v>0.12959999999999999</v>
      </c>
    </row>
    <row r="65" spans="1:6" x14ac:dyDescent="0.25">
      <c r="A65" s="1">
        <v>1</v>
      </c>
      <c r="B65" s="1">
        <v>1</v>
      </c>
      <c r="C65" s="2">
        <f t="shared" si="0"/>
        <v>0</v>
      </c>
      <c r="D65" s="1">
        <f t="shared" si="1"/>
        <v>0.12959999999999999</v>
      </c>
      <c r="F65" s="6" t="s">
        <v>21</v>
      </c>
    </row>
    <row r="66" spans="1:6" x14ac:dyDescent="0.25">
      <c r="A66" s="1">
        <v>2</v>
      </c>
      <c r="B66" s="1">
        <v>4</v>
      </c>
      <c r="C66" s="2">
        <f t="shared" si="0"/>
        <v>2</v>
      </c>
      <c r="D66" s="1">
        <f t="shared" si="1"/>
        <v>2.6896000000000004</v>
      </c>
    </row>
    <row r="67" spans="1:6" x14ac:dyDescent="0.25">
      <c r="A67" s="1">
        <v>4</v>
      </c>
      <c r="B67" s="1">
        <v>5</v>
      </c>
      <c r="C67" s="2">
        <f t="shared" ref="C67:C76" si="2">B67-A67</f>
        <v>1</v>
      </c>
      <c r="D67" s="1">
        <f t="shared" ref="D67:D76" si="3">(C67-$G$6)^2</f>
        <v>0.40960000000000002</v>
      </c>
    </row>
    <row r="68" spans="1:6" x14ac:dyDescent="0.25">
      <c r="A68" s="1">
        <v>5</v>
      </c>
      <c r="B68" s="1">
        <v>5</v>
      </c>
      <c r="C68" s="2">
        <f t="shared" si="2"/>
        <v>0</v>
      </c>
      <c r="D68" s="1">
        <f t="shared" si="3"/>
        <v>0.12959999999999999</v>
      </c>
    </row>
    <row r="69" spans="1:6" x14ac:dyDescent="0.25">
      <c r="A69" s="1">
        <v>2</v>
      </c>
      <c r="B69" s="1">
        <v>2</v>
      </c>
      <c r="C69" s="2">
        <f t="shared" si="2"/>
        <v>0</v>
      </c>
      <c r="D69" s="1">
        <f t="shared" si="3"/>
        <v>0.12959999999999999</v>
      </c>
    </row>
    <row r="70" spans="1:6" x14ac:dyDescent="0.25">
      <c r="A70" s="1">
        <v>2</v>
      </c>
      <c r="B70" s="1">
        <v>2</v>
      </c>
      <c r="C70" s="2">
        <f t="shared" si="2"/>
        <v>0</v>
      </c>
      <c r="D70" s="1">
        <f t="shared" si="3"/>
        <v>0.12959999999999999</v>
      </c>
    </row>
    <row r="71" spans="1:6" x14ac:dyDescent="0.25">
      <c r="A71" s="1">
        <v>2</v>
      </c>
      <c r="B71" s="1">
        <v>2</v>
      </c>
      <c r="C71" s="2">
        <f t="shared" si="2"/>
        <v>0</v>
      </c>
      <c r="D71" s="1">
        <f t="shared" si="3"/>
        <v>0.12959999999999999</v>
      </c>
    </row>
    <row r="72" spans="1:6" x14ac:dyDescent="0.25">
      <c r="A72" s="1">
        <v>2</v>
      </c>
      <c r="B72" s="1">
        <v>2</v>
      </c>
      <c r="C72" s="2">
        <f t="shared" si="2"/>
        <v>0</v>
      </c>
      <c r="D72" s="1">
        <f t="shared" si="3"/>
        <v>0.12959999999999999</v>
      </c>
      <c r="F72" t="s">
        <v>22</v>
      </c>
    </row>
    <row r="73" spans="1:6" x14ac:dyDescent="0.25">
      <c r="A73" s="1">
        <v>5</v>
      </c>
      <c r="B73" s="1">
        <v>5</v>
      </c>
      <c r="C73" s="2">
        <f t="shared" si="2"/>
        <v>0</v>
      </c>
      <c r="D73" s="1">
        <f t="shared" si="3"/>
        <v>0.12959999999999999</v>
      </c>
      <c r="F73" t="s">
        <v>20</v>
      </c>
    </row>
    <row r="74" spans="1:6" x14ac:dyDescent="0.25">
      <c r="A74" s="1">
        <v>4</v>
      </c>
      <c r="B74" s="1">
        <v>4</v>
      </c>
      <c r="C74" s="2">
        <f t="shared" si="2"/>
        <v>0</v>
      </c>
      <c r="D74" s="1">
        <f t="shared" si="3"/>
        <v>0.12959999999999999</v>
      </c>
      <c r="F74" t="s">
        <v>22</v>
      </c>
    </row>
    <row r="75" spans="1:6" x14ac:dyDescent="0.25">
      <c r="A75" s="1">
        <v>5</v>
      </c>
      <c r="B75" s="1">
        <v>5</v>
      </c>
      <c r="C75" s="2">
        <f t="shared" si="2"/>
        <v>0</v>
      </c>
      <c r="D75" s="1">
        <f t="shared" si="3"/>
        <v>0.12959999999999999</v>
      </c>
      <c r="F75" t="s">
        <v>20</v>
      </c>
    </row>
    <row r="76" spans="1:6" x14ac:dyDescent="0.25">
      <c r="A76" s="1">
        <v>2</v>
      </c>
      <c r="B76" s="1">
        <v>3</v>
      </c>
      <c r="C76" s="2">
        <f t="shared" si="2"/>
        <v>1</v>
      </c>
      <c r="D76" s="1">
        <f t="shared" si="3"/>
        <v>0.40960000000000002</v>
      </c>
    </row>
    <row r="77" spans="1:6" x14ac:dyDescent="0.25">
      <c r="B77" s="8"/>
      <c r="C77" s="2"/>
      <c r="D77" s="1"/>
    </row>
    <row r="78" spans="1:6" x14ac:dyDescent="0.25">
      <c r="B78" s="8"/>
      <c r="C78" s="2"/>
      <c r="D78" s="1"/>
    </row>
    <row r="79" spans="1:6" x14ac:dyDescent="0.25">
      <c r="B79" s="8"/>
      <c r="C79" s="2"/>
      <c r="D79" s="1"/>
    </row>
    <row r="80" spans="1:6" x14ac:dyDescent="0.25">
      <c r="B80" s="8"/>
      <c r="C80" s="2"/>
      <c r="D80" s="1"/>
    </row>
    <row r="81" spans="2:6" x14ac:dyDescent="0.25">
      <c r="B81" s="8"/>
      <c r="C81" s="2"/>
      <c r="D81" s="1"/>
    </row>
    <row r="82" spans="2:6" x14ac:dyDescent="0.25">
      <c r="B82" s="8"/>
      <c r="C82" s="2"/>
      <c r="D82" s="1"/>
    </row>
    <row r="83" spans="2:6" x14ac:dyDescent="0.25">
      <c r="B83" s="8"/>
      <c r="C83" s="2"/>
      <c r="D83" s="1"/>
    </row>
    <row r="84" spans="2:6" x14ac:dyDescent="0.25">
      <c r="B84" s="8"/>
      <c r="C84" s="2"/>
      <c r="D84" s="1"/>
    </row>
    <row r="85" spans="2:6" x14ac:dyDescent="0.25">
      <c r="B85" s="8"/>
      <c r="C85" s="2"/>
      <c r="D85" s="1"/>
    </row>
    <row r="86" spans="2:6" x14ac:dyDescent="0.25">
      <c r="B86" s="8"/>
      <c r="C86" s="2"/>
      <c r="D86" s="1"/>
    </row>
    <row r="87" spans="2:6" x14ac:dyDescent="0.25">
      <c r="B87" s="8"/>
      <c r="C87" s="2"/>
      <c r="D87" s="1"/>
    </row>
    <row r="88" spans="2:6" x14ac:dyDescent="0.25">
      <c r="B88" s="8"/>
      <c r="C88" s="2"/>
      <c r="D88" s="1"/>
    </row>
    <row r="93" spans="2:6" x14ac:dyDescent="0.25">
      <c r="F93" s="7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Motivación_asignatura</vt:lpstr>
      <vt:lpstr>Resolución_autónoma</vt:lpstr>
      <vt:lpstr>Desarrollo_habilidades</vt:lpstr>
      <vt:lpstr>Nivel_comprensión_programación</vt:lpstr>
      <vt:lpstr>Calificación_programación</vt:lpstr>
      <vt:lpstr>Esfuerzo_objetivos_comunes</vt:lpstr>
      <vt:lpstr>Cumplimiento_tareas</vt:lpstr>
      <vt:lpstr>Valoró_aportes</vt:lpstr>
      <vt:lpstr>Contribución_equilibrada</vt:lpstr>
      <vt:lpstr>Expresó_ideas_clara</vt:lpstr>
      <vt:lpstr>Participó_activamente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2025-11-14T03:31:32Z</dcterms:modified>
</cp:coreProperties>
</file>
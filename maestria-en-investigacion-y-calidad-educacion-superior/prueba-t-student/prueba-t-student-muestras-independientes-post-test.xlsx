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0" documentId="13_ncr:1_{BA388330-4203-4B41-9689-205028AC6621}" xr6:coauthVersionLast="47" xr6:coauthVersionMax="47" xr10:uidLastSave="{00000000-0000-0000-0000-000000000000}"/>
  <bookViews>
    <workbookView xWindow="9630" yWindow="0" windowWidth="10770" windowHeight="11070" firstSheet="10" activeTab="10" xr2:uid="{00000000-000D-0000-FFFF-FFFF00000000}"/>
  </bookViews>
  <sheets>
    <sheet name="Motivación_asignatura" sheetId="26" r:id="rId1"/>
    <sheet name="Resolución_autónoma" sheetId="25" r:id="rId2"/>
    <sheet name="Desarrollo_habilidades" sheetId="24" r:id="rId3"/>
    <sheet name="Nivel_comprensión_programación" sheetId="23" r:id="rId4"/>
    <sheet name="Calificación_programación" sheetId="22" r:id="rId5"/>
    <sheet name="Esfuerzo_objetivos_comunes" sheetId="21" r:id="rId6"/>
    <sheet name="Cumplimiento_tareas" sheetId="20" r:id="rId7"/>
    <sheet name="Valoró_aportes" sheetId="19" r:id="rId8"/>
    <sheet name="Contribución_equilibrada" sheetId="18" r:id="rId9"/>
    <sheet name="Expresó_ideas_clara" sheetId="17" r:id="rId10"/>
    <sheet name="Participó_activamente" sheetId="1" r:id="rId11"/>
  </sheets>
  <calcPr calcId="191029"/>
</workbook>
</file>

<file path=xl/calcChain.xml><?xml version="1.0" encoding="utf-8"?>
<calcChain xmlns="http://schemas.openxmlformats.org/spreadsheetml/2006/main">
  <c r="E53" i="21" l="1"/>
  <c r="E56" i="26"/>
  <c r="E55" i="26"/>
  <c r="E12" i="26"/>
  <c r="E11" i="26"/>
  <c r="E43" i="26" s="1"/>
  <c r="E10" i="26"/>
  <c r="E9" i="26"/>
  <c r="E8" i="26"/>
  <c r="E6" i="26"/>
  <c r="E5" i="26"/>
  <c r="E42" i="26" s="1"/>
  <c r="E4" i="26"/>
  <c r="E3" i="26"/>
  <c r="E2" i="26"/>
  <c r="E56" i="25"/>
  <c r="E55" i="25"/>
  <c r="E12" i="25"/>
  <c r="E11" i="25"/>
  <c r="E10" i="25"/>
  <c r="E9" i="25"/>
  <c r="E8" i="25"/>
  <c r="E6" i="25"/>
  <c r="E5" i="25"/>
  <c r="E4" i="25"/>
  <c r="E3" i="25"/>
  <c r="E2" i="25"/>
  <c r="E56" i="24"/>
  <c r="E55" i="24"/>
  <c r="E12" i="24"/>
  <c r="E43" i="24" s="1"/>
  <c r="E11" i="24"/>
  <c r="E10" i="24"/>
  <c r="E9" i="24"/>
  <c r="E8" i="24"/>
  <c r="E6" i="24"/>
  <c r="E5" i="24"/>
  <c r="E4" i="24"/>
  <c r="E3" i="24"/>
  <c r="E2" i="24"/>
  <c r="E56" i="23"/>
  <c r="E55" i="23"/>
  <c r="E12" i="23"/>
  <c r="E11" i="23"/>
  <c r="E10" i="23"/>
  <c r="E9" i="23"/>
  <c r="E8" i="23"/>
  <c r="E6" i="23"/>
  <c r="E5" i="23"/>
  <c r="E4" i="23"/>
  <c r="E3" i="23"/>
  <c r="E2" i="23"/>
  <c r="E56" i="22"/>
  <c r="E55" i="22"/>
  <c r="E12" i="22"/>
  <c r="E43" i="22" s="1"/>
  <c r="E11" i="22"/>
  <c r="E10" i="22"/>
  <c r="E9" i="22"/>
  <c r="E8" i="22"/>
  <c r="E6" i="22"/>
  <c r="E5" i="22"/>
  <c r="E4" i="22"/>
  <c r="E3" i="22"/>
  <c r="E2" i="22"/>
  <c r="E56" i="21"/>
  <c r="E55" i="21"/>
  <c r="E12" i="21"/>
  <c r="E11" i="21"/>
  <c r="E10" i="21"/>
  <c r="E9" i="21"/>
  <c r="E8" i="21"/>
  <c r="E6" i="21"/>
  <c r="E5" i="21"/>
  <c r="E4" i="21"/>
  <c r="E3" i="21"/>
  <c r="E2" i="21"/>
  <c r="E56" i="20"/>
  <c r="E55" i="20"/>
  <c r="E12" i="20"/>
  <c r="E11" i="20"/>
  <c r="E10" i="20"/>
  <c r="E9" i="20"/>
  <c r="E8" i="20"/>
  <c r="E6" i="20"/>
  <c r="E5" i="20"/>
  <c r="E4" i="20"/>
  <c r="E3" i="20"/>
  <c r="E2" i="20"/>
  <c r="E56" i="19"/>
  <c r="E55" i="19"/>
  <c r="E12" i="19"/>
  <c r="E11" i="19"/>
  <c r="E10" i="19"/>
  <c r="E9" i="19"/>
  <c r="E8" i="19"/>
  <c r="E6" i="19"/>
  <c r="E5" i="19"/>
  <c r="E4" i="19"/>
  <c r="E3" i="19"/>
  <c r="E2" i="19"/>
  <c r="E56" i="18"/>
  <c r="E55" i="18"/>
  <c r="E12" i="18"/>
  <c r="E11" i="18"/>
  <c r="E43" i="18" s="1"/>
  <c r="E10" i="18"/>
  <c r="E9" i="18"/>
  <c r="E8" i="18"/>
  <c r="E6" i="18"/>
  <c r="E5" i="18"/>
  <c r="E4" i="18"/>
  <c r="E3" i="18"/>
  <c r="E2" i="18"/>
  <c r="E56" i="17"/>
  <c r="E55" i="17"/>
  <c r="E12" i="17"/>
  <c r="E11" i="17"/>
  <c r="E43" i="17" s="1"/>
  <c r="E10" i="17"/>
  <c r="E9" i="17"/>
  <c r="E8" i="17"/>
  <c r="E6" i="17"/>
  <c r="E5" i="17"/>
  <c r="E4" i="17"/>
  <c r="E3" i="17"/>
  <c r="E2" i="17"/>
  <c r="E56" i="1"/>
  <c r="E55" i="1"/>
  <c r="E12" i="1"/>
  <c r="E11" i="1"/>
  <c r="E10" i="1"/>
  <c r="E9" i="1"/>
  <c r="E8" i="1"/>
  <c r="E6" i="1"/>
  <c r="E5" i="1"/>
  <c r="E4" i="1"/>
  <c r="E3" i="1"/>
  <c r="E2" i="1"/>
  <c r="E29" i="26" l="1"/>
  <c r="E41" i="26"/>
  <c r="E45" i="26" s="1"/>
  <c r="E29" i="25"/>
  <c r="E43" i="25"/>
  <c r="E41" i="25"/>
  <c r="E42" i="25"/>
  <c r="E41" i="24"/>
  <c r="E42" i="24"/>
  <c r="E45" i="24" s="1"/>
  <c r="E29" i="24"/>
  <c r="E43" i="23"/>
  <c r="E29" i="23"/>
  <c r="E42" i="23"/>
  <c r="E41" i="23"/>
  <c r="E42" i="22"/>
  <c r="E29" i="22"/>
  <c r="E41" i="22"/>
  <c r="E45" i="22" s="1"/>
  <c r="E41" i="21"/>
  <c r="E43" i="21"/>
  <c r="E42" i="21"/>
  <c r="E45" i="21" s="1"/>
  <c r="E29" i="21"/>
  <c r="E43" i="20"/>
  <c r="E41" i="20"/>
  <c r="E42" i="20"/>
  <c r="E29" i="20"/>
  <c r="E43" i="19"/>
  <c r="E29" i="19"/>
  <c r="E42" i="19"/>
  <c r="E41" i="19"/>
  <c r="E41" i="18"/>
  <c r="E42" i="18"/>
  <c r="E29" i="18"/>
  <c r="E41" i="17"/>
  <c r="E42" i="17"/>
  <c r="E29" i="17"/>
  <c r="E29" i="1"/>
  <c r="E42" i="1"/>
  <c r="E41" i="1"/>
  <c r="E43" i="1"/>
  <c r="E53" i="26" l="1"/>
  <c r="E52" i="26"/>
  <c r="E45" i="25"/>
  <c r="E53" i="25" s="1"/>
  <c r="E52" i="25"/>
  <c r="E53" i="24"/>
  <c r="E52" i="24"/>
  <c r="E45" i="23"/>
  <c r="E53" i="23" s="1"/>
  <c r="E53" i="22"/>
  <c r="E52" i="22"/>
  <c r="E52" i="21"/>
  <c r="E45" i="20"/>
  <c r="E52" i="20" s="1"/>
  <c r="E45" i="19"/>
  <c r="E45" i="18"/>
  <c r="E53" i="18" s="1"/>
  <c r="E45" i="17"/>
  <c r="E53" i="17"/>
  <c r="E52" i="17"/>
  <c r="E45" i="1"/>
  <c r="E53" i="20" l="1"/>
  <c r="E52" i="18"/>
  <c r="E52" i="23"/>
  <c r="E53" i="19"/>
  <c r="E52" i="19"/>
  <c r="E53" i="1"/>
  <c r="E52" i="1"/>
</calcChain>
</file>

<file path=xl/sharedStrings.xml><?xml version="1.0" encoding="utf-8"?>
<sst xmlns="http://schemas.openxmlformats.org/spreadsheetml/2006/main" count="440" uniqueCount="54">
  <si>
    <r>
      <t>Mediana (Me</t>
    </r>
    <r>
      <rPr>
        <sz val="8"/>
        <color rgb="FF9C0006"/>
        <rFont val="Calibri"/>
        <family val="2"/>
        <scheme val="minor"/>
      </rPr>
      <t>1</t>
    </r>
    <r>
      <rPr>
        <sz val="11"/>
        <color rgb="FF9C0006"/>
        <rFont val="Calibri"/>
        <family val="2"/>
        <scheme val="minor"/>
      </rPr>
      <t>)</t>
    </r>
  </si>
  <si>
    <r>
      <t>Moda (Mo</t>
    </r>
    <r>
      <rPr>
        <sz val="8"/>
        <color rgb="FF9C0006"/>
        <rFont val="Calibri"/>
        <family val="2"/>
        <scheme val="minor"/>
      </rPr>
      <t>1</t>
    </r>
    <r>
      <rPr>
        <sz val="11"/>
        <color rgb="FF9C0006"/>
        <rFont val="Calibri"/>
        <family val="2"/>
        <scheme val="minor"/>
      </rPr>
      <t>)</t>
    </r>
  </si>
  <si>
    <r>
      <t>Mediana (Me</t>
    </r>
    <r>
      <rPr>
        <sz val="8"/>
        <color rgb="FF006100"/>
        <rFont val="Calibri"/>
        <family val="2"/>
        <scheme val="minor"/>
      </rPr>
      <t>2</t>
    </r>
    <r>
      <rPr>
        <sz val="11"/>
        <color rgb="FF006100"/>
        <rFont val="Calibri"/>
        <family val="2"/>
        <scheme val="minor"/>
      </rPr>
      <t>)</t>
    </r>
  </si>
  <si>
    <r>
      <t>Moda (Mo</t>
    </r>
    <r>
      <rPr>
        <sz val="8"/>
        <color rgb="FF006100"/>
        <rFont val="Calibri"/>
        <family val="2"/>
        <scheme val="minor"/>
      </rPr>
      <t>2</t>
    </r>
    <r>
      <rPr>
        <sz val="11"/>
        <color rgb="FF006100"/>
        <rFont val="Calibri"/>
        <family val="2"/>
        <scheme val="minor"/>
      </rPr>
      <t>)</t>
    </r>
  </si>
  <si>
    <t>n1</t>
  </si>
  <si>
    <t>n2</t>
  </si>
  <si>
    <t>t de student</t>
  </si>
  <si>
    <t>df grados de libertad</t>
  </si>
  <si>
    <t>parte 1</t>
  </si>
  <si>
    <t>parte 2</t>
  </si>
  <si>
    <t>parte 3</t>
  </si>
  <si>
    <t>Valor de t</t>
  </si>
  <si>
    <t>Buscar Tabla</t>
  </si>
  <si>
    <t>Nivel de significancia (α) (para dos colas)</t>
  </si>
  <si>
    <r>
      <t>Desviacion Tipica o Estandar (S</t>
    </r>
    <r>
      <rPr>
        <sz val="8"/>
        <color rgb="FF006100"/>
        <rFont val="Calibri"/>
        <family val="2"/>
        <scheme val="minor"/>
      </rPr>
      <t>2</t>
    </r>
    <r>
      <rPr>
        <sz val="11"/>
        <color rgb="FF006100"/>
        <rFont val="Calibri"/>
        <family val="2"/>
        <scheme val="minor"/>
      </rPr>
      <t>)</t>
    </r>
  </si>
  <si>
    <r>
      <t>Desviacion Tipica o Estandar (S</t>
    </r>
    <r>
      <rPr>
        <sz val="8"/>
        <color rgb="FF9C0006"/>
        <rFont val="Calibri"/>
        <family val="2"/>
        <scheme val="minor"/>
      </rPr>
      <t>1</t>
    </r>
    <r>
      <rPr>
        <sz val="11"/>
        <color rgb="FF9C0006"/>
        <rFont val="Calibri"/>
        <family val="2"/>
        <scheme val="minor"/>
      </rPr>
      <t>)</t>
    </r>
  </si>
  <si>
    <r>
      <t xml:space="preserve">valor crítico t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2 colas</t>
    </r>
  </si>
  <si>
    <r>
      <t xml:space="preserve">valor crítico t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1 cola</t>
    </r>
  </si>
  <si>
    <r>
      <t xml:space="preserve">P valor, Calculado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2 colas</t>
    </r>
  </si>
  <si>
    <r>
      <t xml:space="preserve">P valor, Calculado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1 cola</t>
    </r>
  </si>
  <si>
    <t>Hipotesis</t>
  </si>
  <si>
    <r>
      <t xml:space="preserve">hipotesis nula Ho = </t>
    </r>
    <r>
      <rPr>
        <sz val="11"/>
        <color rgb="FFC00000"/>
        <rFont val="Calibri"/>
        <family val="2"/>
        <scheme val="minor"/>
      </rPr>
      <t>No hay diferencias significativa</t>
    </r>
  </si>
  <si>
    <r>
      <t xml:space="preserve">hipotesis alternativa H1 = </t>
    </r>
    <r>
      <rPr>
        <sz val="11"/>
        <color rgb="FF00B050"/>
        <rFont val="Calibri"/>
        <family val="2"/>
        <scheme val="minor"/>
      </rPr>
      <t>Si hay diferencia significativa</t>
    </r>
  </si>
  <si>
    <t>si te calculado &gt; a t critico (de tabla) ---&gt; se rechaza la hipotesis nula y se acepta la hipotesis alternativa ?</t>
  </si>
  <si>
    <t>y si p valor &lt; 0.05 ---&gt; se rechaza la hipotesis nula y se acepta la hipotesis alternativa ?</t>
  </si>
  <si>
    <t>Concluciones</t>
  </si>
  <si>
    <r>
      <t xml:space="preserve">Si </t>
    </r>
    <r>
      <rPr>
        <sz val="11"/>
        <color rgb="FF00B050"/>
        <rFont val="Calibri"/>
        <family val="2"/>
        <scheme val="minor"/>
      </rPr>
      <t>t calculado</t>
    </r>
    <r>
      <rPr>
        <sz val="11"/>
        <color rgb="FFC00000"/>
        <rFont val="Calibri"/>
        <family val="2"/>
        <scheme val="minor"/>
      </rPr>
      <t xml:space="preserve"> &gt; t critico (Tabla)</t>
    </r>
  </si>
  <si>
    <t>La diferencia observada es lo suficientemente grande como para que no sea atribuible al azar.</t>
  </si>
  <si>
    <r>
      <t xml:space="preserve">Se </t>
    </r>
    <r>
      <rPr>
        <sz val="11"/>
        <color rgb="FFC00000"/>
        <rFont val="Calibri"/>
        <family val="2"/>
        <scheme val="minor"/>
      </rPr>
      <t>rechaza</t>
    </r>
    <r>
      <rPr>
        <sz val="11"/>
        <color theme="1"/>
        <rFont val="Calibri"/>
        <family val="2"/>
        <scheme val="minor"/>
      </rPr>
      <t xml:space="preserve"> la hipotesis nula </t>
    </r>
    <r>
      <rPr>
        <sz val="11"/>
        <color rgb="FFC00000"/>
        <rFont val="Calibri"/>
        <family val="2"/>
        <scheme val="minor"/>
      </rPr>
      <t>Ho</t>
    </r>
    <r>
      <rPr>
        <sz val="11"/>
        <color theme="1"/>
        <rFont val="Calibri"/>
        <family val="2"/>
        <scheme val="minor"/>
      </rPr>
      <t xml:space="preserve"> y se </t>
    </r>
    <r>
      <rPr>
        <sz val="11"/>
        <color rgb="FF00B050"/>
        <rFont val="Calibri"/>
        <family val="2"/>
        <scheme val="minor"/>
      </rPr>
      <t>acepta</t>
    </r>
    <r>
      <rPr>
        <sz val="11"/>
        <color theme="1"/>
        <rFont val="Calibri"/>
        <family val="2"/>
        <scheme val="minor"/>
      </rPr>
      <t xml:space="preserve"> la hipotesis alternativa </t>
    </r>
    <r>
      <rPr>
        <sz val="11"/>
        <color rgb="FF00B050"/>
        <rFont val="Calibri"/>
        <family val="2"/>
        <scheme val="minor"/>
      </rPr>
      <t>H1</t>
    </r>
  </si>
  <si>
    <t xml:space="preserve">Como p valor es menor que  el nivel de significancia  </t>
  </si>
  <si>
    <r>
      <t xml:space="preserve">Grupo Control
(Sin Aprendizaje colaborativo) Post-test
</t>
    </r>
    <r>
      <rPr>
        <sz val="11"/>
        <rFont val="Calibri"/>
        <family val="2"/>
        <scheme val="minor"/>
      </rPr>
      <t>Participó_activamente
a) Siempre = 5
b) Muchas veces = 4
c) A veces = 3
d) Pocas veces = 2 
e) Nunca = 1</t>
    </r>
  </si>
  <si>
    <r>
      <rPr>
        <sz val="11"/>
        <color rgb="FFC00000"/>
        <rFont val="Calibri"/>
        <family val="2"/>
        <scheme val="minor"/>
      </rPr>
      <t>Grupo Experimental
(Con Aprendizaje colaborativo) Post-test</t>
    </r>
    <r>
      <rPr>
        <sz val="11"/>
        <color theme="1"/>
        <rFont val="Calibri"/>
        <family val="2"/>
        <scheme val="minor"/>
      </rPr>
      <t xml:space="preserve">
Participó_activamente
a) Siempre = 5
b) Muchas veces = 4
c) A veces = 3
d) Pocas veces = 2 
e) Nunca = 1</t>
    </r>
  </si>
  <si>
    <r>
      <t xml:space="preserve">Grupo Control
(Sin Aprendizaje colaborativo) Post-test
</t>
    </r>
    <r>
      <rPr>
        <sz val="11"/>
        <rFont val="Calibri"/>
        <family val="2"/>
        <scheme val="minor"/>
      </rPr>
      <t>Expresó_ideas_clara                              a) Siempre = 5
b) Frecuente = 4
c) A veces = 3
d) Raro = 2
e) Nunca = 1</t>
    </r>
  </si>
  <si>
    <r>
      <rPr>
        <sz val="11"/>
        <color rgb="FFC00000"/>
        <rFont val="Calibri"/>
        <family val="2"/>
        <scheme val="minor"/>
      </rPr>
      <t>Grupo Experimental
(Con Aprendizaje colaborativo) Post-test</t>
    </r>
    <r>
      <rPr>
        <sz val="11"/>
        <color theme="1"/>
        <rFont val="Calibri"/>
        <family val="2"/>
        <scheme val="minor"/>
      </rPr>
      <t xml:space="preserve">
Expresó_ideas_clara                              a) Siempre = 5
b) Frecuente = 4
c) A veces = 3
d) Raro = 2
e) Nunca = 1</t>
    </r>
  </si>
  <si>
    <r>
      <t xml:space="preserve">Grupo Control
(Sin Aprendizaje colaborativo) Post-test
</t>
    </r>
    <r>
      <rPr>
        <sz val="11"/>
        <rFont val="Calibri"/>
        <family val="2"/>
        <scheme val="minor"/>
      </rPr>
      <t>Contribución_equilibrada                    a) Siempre = 5
b) Muchas veces = 4
c) A veces = 3
d) Pocas veces = 2 
e) Nunca = 1</t>
    </r>
  </si>
  <si>
    <r>
      <rPr>
        <sz val="11"/>
        <color rgb="FFC00000"/>
        <rFont val="Calibri"/>
        <family val="2"/>
        <scheme val="minor"/>
      </rPr>
      <t>Grupo Experimental
(Con Aprendizaje colaborativo) Post-test</t>
    </r>
    <r>
      <rPr>
        <sz val="11"/>
        <color theme="1"/>
        <rFont val="Calibri"/>
        <family val="2"/>
        <scheme val="minor"/>
      </rPr>
      <t xml:space="preserve">
Contribución_equilibrada                    a) Siempre = 5
b) Muchas veces = 4
c) A veces = 3
d) Pocas veces = 2 
e) Nunca = 1</t>
    </r>
  </si>
  <si>
    <r>
      <t xml:space="preserve">Grupo Control
(Sin Aprendizaje colaborativo) Post-test
</t>
    </r>
    <r>
      <rPr>
        <sz val="11"/>
        <rFont val="Calibri"/>
        <family val="2"/>
        <scheme val="minor"/>
      </rPr>
      <t>Valoró_aportes
a) Siempre = 5
b) Frecuente = 4
c) A veces = 3
d) Raro = 2
e) Nunca = 1</t>
    </r>
  </si>
  <si>
    <r>
      <rPr>
        <sz val="11"/>
        <color rgb="FFC00000"/>
        <rFont val="Calibri"/>
        <family val="2"/>
        <scheme val="minor"/>
      </rPr>
      <t>Grupo Experimental
(Con Aprendizaje colaborativo) Post-test</t>
    </r>
    <r>
      <rPr>
        <sz val="11"/>
        <color theme="1"/>
        <rFont val="Calibri"/>
        <family val="2"/>
        <scheme val="minor"/>
      </rPr>
      <t xml:space="preserve">
Valoró_aportes
a) Siempre = 5
b) Frecuente = 4
c) A veces = 3
d) Raro = 2
e) Nunca = 1</t>
    </r>
  </si>
  <si>
    <r>
      <t xml:space="preserve">Grupo Control
(Sin Aprendizaje colaborativo) Post-test
</t>
    </r>
    <r>
      <rPr>
        <sz val="11"/>
        <rFont val="Calibri"/>
        <family val="2"/>
        <scheme val="minor"/>
      </rPr>
      <t>Cumplimiento_tareas
a) Siempre = 5
b) Muchas veces = 4
c) A veces = 3
d) Pocas veces = 2
e) Nunca = 1</t>
    </r>
  </si>
  <si>
    <r>
      <rPr>
        <sz val="11"/>
        <color rgb="FFC00000"/>
        <rFont val="Calibri"/>
        <family val="2"/>
        <scheme val="minor"/>
      </rPr>
      <t>Grupo Experimental
(Con Aprendizaje colaborativo) Post-test</t>
    </r>
    <r>
      <rPr>
        <sz val="11"/>
        <color theme="1"/>
        <rFont val="Calibri"/>
        <family val="2"/>
        <scheme val="minor"/>
      </rPr>
      <t xml:space="preserve">
Cumplimiento_tareas
a) Siempre = 5
b) Muchas veces = 4
c) A veces = 3
d) Pocas veces = 2
e) Nunca = 1</t>
    </r>
  </si>
  <si>
    <r>
      <t xml:space="preserve">Grupo Control
(Sin Aprendizaje colaborativo) Post-test
</t>
    </r>
    <r>
      <rPr>
        <sz val="11"/>
        <rFont val="Calibri"/>
        <family val="2"/>
        <scheme val="minor"/>
      </rPr>
      <t>Esfuerzo_objetivos_comunes
a) Siempre = 5
b) Frecuente = 4
c) A veces = 3
d) Raro = 2
e) Nunca = 1</t>
    </r>
  </si>
  <si>
    <r>
      <rPr>
        <sz val="11"/>
        <color rgb="FFC00000"/>
        <rFont val="Calibri"/>
        <family val="2"/>
        <scheme val="minor"/>
      </rPr>
      <t>Grupo Experimental
(Con Aprendizaje colaborativo) Post-test</t>
    </r>
    <r>
      <rPr>
        <sz val="11"/>
        <color theme="1"/>
        <rFont val="Calibri"/>
        <family val="2"/>
        <scheme val="minor"/>
      </rPr>
      <t xml:space="preserve">
Esfuerzo_objetivos_comunes
a) Siempre = 5
b) Frecuente = 4
c) A veces = 3
d) Raro = 2
e) Nunca = 1</t>
    </r>
  </si>
  <si>
    <r>
      <t xml:space="preserve">Grupo Control
(Sin Aprendizaje colaborativo) Post-test
</t>
    </r>
    <r>
      <rPr>
        <sz val="11"/>
        <rFont val="Calibri"/>
        <family val="2"/>
        <scheme val="minor"/>
      </rPr>
      <t>Calificación_programación
a) 81 - 100 = 5
b) 61 - 80 = 4
c) 41 - 60 = 3
d) 21 - 40 = 2
e) 0 - 20 = 1</t>
    </r>
  </si>
  <si>
    <r>
      <rPr>
        <sz val="11"/>
        <color rgb="FFC00000"/>
        <rFont val="Calibri"/>
        <family val="2"/>
        <scheme val="minor"/>
      </rPr>
      <t>Grupo Experimental
(Con Aprendizaje colaborativo) Post-test</t>
    </r>
    <r>
      <rPr>
        <sz val="11"/>
        <color theme="1"/>
        <rFont val="Calibri"/>
        <family val="2"/>
        <scheme val="minor"/>
      </rPr>
      <t xml:space="preserve">
Calificación_programación
a) 81 - 100 = 5
b) 61 - 80 = 4
c) 41 - 60 = 3
d) 21 - 40 = 2
e) 0 - 20 = 1</t>
    </r>
  </si>
  <si>
    <r>
      <t xml:space="preserve">Grupo Control
(Sin Aprendizaje colaborativo) Post-test
</t>
    </r>
    <r>
      <rPr>
        <sz val="11"/>
        <rFont val="Calibri"/>
        <family val="2"/>
        <scheme val="minor"/>
      </rPr>
      <t>Nivel_comprensión_programación
a) Muy Bueno = 5
b) bueno = 4
c) Regular = 3
d) Malo = 2
e) Muy malo = 1</t>
    </r>
  </si>
  <si>
    <r>
      <rPr>
        <sz val="11"/>
        <color rgb="FFC00000"/>
        <rFont val="Calibri"/>
        <family val="2"/>
        <scheme val="minor"/>
      </rPr>
      <t>Grupo Experimental
(Con Aprendizaje colaborativo) Post-test</t>
    </r>
    <r>
      <rPr>
        <sz val="11"/>
        <color theme="1"/>
        <rFont val="Calibri"/>
        <family val="2"/>
        <scheme val="minor"/>
      </rPr>
      <t xml:space="preserve">
Nivel_comprensión_programación
a) Muy Bueno = 5
b) bueno = 4
c) Regular = 3
d) Malo = 2
e) Muy malo = 1</t>
    </r>
  </si>
  <si>
    <r>
      <t xml:space="preserve">Grupo Control
(Sin Aprendizaje colaborativo) Post-test
</t>
    </r>
    <r>
      <rPr>
        <sz val="11"/>
        <rFont val="Calibri"/>
        <family val="2"/>
        <scheme val="minor"/>
      </rPr>
      <t>Desarrollo_habilidades
a) Siempre = 5
b) Muchas veces = 4
c) A veces = 3
d) Pocas veces = 2
e) Nunca = 1</t>
    </r>
  </si>
  <si>
    <r>
      <rPr>
        <sz val="11"/>
        <color rgb="FFC00000"/>
        <rFont val="Calibri"/>
        <family val="2"/>
        <scheme val="minor"/>
      </rPr>
      <t>Grupo Experimental
(Con Aprendizaje colaborativo) Post-test</t>
    </r>
    <r>
      <rPr>
        <sz val="11"/>
        <color theme="1"/>
        <rFont val="Calibri"/>
        <family val="2"/>
        <scheme val="minor"/>
      </rPr>
      <t xml:space="preserve">
Desarrollo_habilidades
a) Siempre = 5
b) Muchas veces = 4
c) A veces = 3
d) Pocas veces = 2
e) Nunca = 1</t>
    </r>
  </si>
  <si>
    <r>
      <t xml:space="preserve">Grupo Control
(Sin Aprendizaje colaborativo) Post-test
</t>
    </r>
    <r>
      <rPr>
        <sz val="11"/>
        <rFont val="Calibri"/>
        <family val="2"/>
        <scheme val="minor"/>
      </rPr>
      <t>Resolución_autónoma
a) Siempre = 5
b) Frecuente = 4
c) A veces = 3
d) Raro = 2
e) Nunca = 1</t>
    </r>
  </si>
  <si>
    <r>
      <rPr>
        <sz val="11"/>
        <color rgb="FFC00000"/>
        <rFont val="Calibri"/>
        <family val="2"/>
        <scheme val="minor"/>
      </rPr>
      <t>Grupo Experimental
(Con Aprendizaje colaborativo) Post-test</t>
    </r>
    <r>
      <rPr>
        <sz val="11"/>
        <color theme="1"/>
        <rFont val="Calibri"/>
        <family val="2"/>
        <scheme val="minor"/>
      </rPr>
      <t xml:space="preserve">
Resolución_autónoma
a) Siempre = 5
b) Frecuente = 4
c) A veces = 3
d) Raro = 2
e) Nunca = 1</t>
    </r>
  </si>
  <si>
    <r>
      <t xml:space="preserve">Grupo Control
(Sin Aprendizaje colaborativo) Post-test
</t>
    </r>
    <r>
      <rPr>
        <sz val="11"/>
        <rFont val="Calibri"/>
        <family val="2"/>
        <scheme val="minor"/>
      </rPr>
      <t>Motivación_asignatura
a) Muy Alta = 5
b) Alta = 4
c) Regular = 3
d) Baja = 2
e) Muy Baja = 1</t>
    </r>
  </si>
  <si>
    <r>
      <rPr>
        <sz val="11"/>
        <color rgb="FFC00000"/>
        <rFont val="Calibri"/>
        <family val="2"/>
        <scheme val="minor"/>
      </rPr>
      <t>Grupo Experimental
(Con Aprendizaje colaborativo) Post-test</t>
    </r>
    <r>
      <rPr>
        <sz val="11"/>
        <color theme="1"/>
        <rFont val="Calibri"/>
        <family val="2"/>
        <scheme val="minor"/>
      </rPr>
      <t xml:space="preserve">
Motivación_asignatura
a) Muy Alta = 5
b) Alta = 4
c) Regular = 3
d) Baja = 2
e) Muy Baja = 1</t>
    </r>
  </si>
  <si>
    <r>
      <t>Media (X</t>
    </r>
    <r>
      <rPr>
        <sz val="8"/>
        <color rgb="FF006100"/>
        <rFont val="Calibri"/>
        <family val="2"/>
        <scheme val="minor"/>
      </rPr>
      <t>2</t>
    </r>
    <r>
      <rPr>
        <sz val="11"/>
        <color rgb="FF006100"/>
        <rFont val="Calibri"/>
        <family val="2"/>
        <scheme val="minor"/>
      </rPr>
      <t>) Con Aprendizaje colaborativo</t>
    </r>
  </si>
  <si>
    <r>
      <t>Media (X</t>
    </r>
    <r>
      <rPr>
        <sz val="8"/>
        <color rgb="FF9C0006"/>
        <rFont val="Calibri"/>
        <family val="2"/>
        <scheme val="minor"/>
      </rPr>
      <t>1</t>
    </r>
    <r>
      <rPr>
        <sz val="11"/>
        <color rgb="FF9C0006"/>
        <rFont val="Calibri"/>
        <family val="2"/>
        <scheme val="minor"/>
      </rPr>
      <t>) Sin Aprendizaje colaborativo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</si>
</sst>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2" applyNumberFormat="0" applyAlignment="0" applyProtection="0"/>
    <xf numFmtId="0" fontId="7" fillId="6" borderId="0" applyNumberFormat="0" applyBorder="0" applyAlignment="0" applyProtection="0"/>
    <xf numFmtId="0" fontId="9" fillId="0" borderId="0"/>
    <xf numFmtId="0" fontId="13" fillId="0" borderId="0"/>
    <xf numFmtId="0" fontId="9" fillId="0" borderId="0"/>
    <xf numFmtId="0" fontId="12" fillId="0" borderId="0"/>
    <xf numFmtId="0" fontId="12" fillId="0" borderId="0"/>
    <xf numFmtId="0" fontId="12" fillId="0" borderId="0"/>
  </cellStyleXfs>
  <cellXfs count="11">
    <xf numFmtId="0" fontId="0" fillId="0" borderId="0" xfId="0"/>
    <xf numFmtId="0" fontId="2" fillId="3" borderId="3" xfId="2" applyBorder="1"/>
    <xf numFmtId="0" fontId="3" fillId="4" borderId="1" xfId="3"/>
    <xf numFmtId="0" fontId="1" fillId="2" borderId="3" xfId="1" applyBorder="1"/>
    <xf numFmtId="0" fontId="2" fillId="3" borderId="0" xfId="2" applyBorder="1"/>
    <xf numFmtId="0" fontId="1" fillId="2" borderId="0" xfId="1"/>
    <xf numFmtId="0" fontId="4" fillId="5" borderId="2" xfId="4"/>
    <xf numFmtId="0" fontId="7" fillId="6" borderId="0" xfId="5"/>
    <xf numFmtId="0" fontId="0" fillId="0" borderId="0" xfId="0" applyAlignment="1">
      <alignment horizontal="center"/>
    </xf>
    <xf numFmtId="0" fontId="1" fillId="7" borderId="4" xfId="1" applyFill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top" wrapText="1"/>
    </xf>
  </cellXfs>
  <cellStyles count="12">
    <cellStyle name="Bueno" xfId="1" builtinId="26"/>
    <cellStyle name="Entrada" xfId="3" builtinId="20"/>
    <cellStyle name="Incorrecto" xfId="2" builtinId="27"/>
    <cellStyle name="Neutral" xfId="5" builtinId="28"/>
    <cellStyle name="Normal" xfId="0" builtinId="0"/>
    <cellStyle name="Normal 2" xfId="9" xr:uid="{A11F11B1-6910-45EF-8EC2-8034F3C33770}"/>
    <cellStyle name="Normal 2 2" xfId="11" xr:uid="{F3AD101F-6AB1-408C-8623-55BFC87F79E6}"/>
    <cellStyle name="Normal 3" xfId="6" xr:uid="{00000000-0005-0000-0000-000005000000}"/>
    <cellStyle name="Normal 3 2" xfId="10" xr:uid="{D2A41E3E-8E67-4387-A8FC-EB568FFAAB0B}"/>
    <cellStyle name="Normal 4" xfId="8" xr:uid="{E2C87CBB-4005-4D93-8F7D-FE8B69F506DB}"/>
    <cellStyle name="Normal 5" xfId="7" xr:uid="{A2AC5A58-CB85-4516-93B1-E335207C1F09}"/>
    <cellStyle name="Salida" xfId="4" builtinId="2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2002033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7218610-70B8-41E3-ACE2-BDC448EBD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1648" y="4881386"/>
          <a:ext cx="2027710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18D91A-2DAA-49C0-98F9-B6837BE1F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25303" y="75885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7AAEFC3-BA86-46DC-98EC-65D20DFC0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90115" y="92714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D55D7EC-0C90-40FC-B8F1-132A479D0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90115" y="967227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CB1E363-F3B2-4CEC-ABA5-9332F54C3B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5882786" y="102650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462745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CFAF8F3-6BED-4DEA-BD55-8ADA3C60C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44207" y="15596228"/>
          <a:ext cx="1227598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211014</xdr:colOff>
      <xdr:row>79</xdr:row>
      <xdr:rowOff>168848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B6A5FF0-43D0-4E57-9BAD-9F4178745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51585" y="16961827"/>
          <a:ext cx="2868489" cy="8092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2002033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0CC9EB-BC0E-4842-A756-F38385503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1648" y="4881386"/>
          <a:ext cx="2027710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F8EB34-9D70-46D3-A657-EAAD4731A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25303" y="75885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071D9D5-52CA-4979-93B3-6610993FE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90115" y="92714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553AEF6-6043-4425-A907-75D66857E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90115" y="967227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36A99C4-CDF2-4842-B559-06DD9E1180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5882786" y="102650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525357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D858852-574E-4C4A-9BD6-935C61D91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44207" y="15596228"/>
          <a:ext cx="1227598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273626</xdr:colOff>
      <xdr:row>79</xdr:row>
      <xdr:rowOff>168848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9F1602B-52D8-47DB-AB0C-EFE62C781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51585" y="16961827"/>
          <a:ext cx="2868489" cy="8092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2002033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B9458CD-6DF7-4F43-9C45-62B9D2769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1648" y="4881386"/>
          <a:ext cx="2027710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DE61F9-B18E-4BEC-81E3-EC27343DB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25303" y="75885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AE6139B-0AB9-4A02-BAB1-0EB899B7C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90115" y="92714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F0BB4BA-EB0C-4E70-A64F-6CAB68626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90115" y="967227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F4313B0-EC3A-40BA-AFFF-2E88DF2407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5882786" y="102650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689880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5005452-D1AF-498D-9920-59C8DF308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44207" y="15596228"/>
          <a:ext cx="1227598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438149</xdr:colOff>
      <xdr:row>79</xdr:row>
      <xdr:rowOff>168848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FC5411F-9C9C-41DB-BB5D-020E710D7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51585" y="16961827"/>
          <a:ext cx="2868489" cy="8092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2002033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260757-E5A8-4294-A40F-5463D073C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2548" y="4881386"/>
          <a:ext cx="2027710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AB9B31-DE3F-4706-9900-56FAF54C7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06203" y="75885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E7E1D75-09FC-429B-BEE5-F1C3A9528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71015" y="92714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92F72FF-7AE6-427D-9F3C-681048E4A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71015" y="967227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5AC3A07-2408-42B5-BC1D-7D0B6E90FF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5463686" y="102650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576771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1146265-FEB3-4B5A-AC76-32C33C256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25107" y="1559622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325040</xdr:colOff>
      <xdr:row>79</xdr:row>
      <xdr:rowOff>168848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3437F9F-D7A7-4918-BF8A-C10A32B31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32485" y="16961827"/>
          <a:ext cx="2868490" cy="80922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2002033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D2FAB4-3094-4DE4-B9DD-32A6F7FB2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2548" y="4881386"/>
          <a:ext cx="2027710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28147A-DC57-472A-820C-589C0F3CB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06203" y="75885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EF9B72F-4FFC-4F01-9DE0-F5FAB0317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71015" y="92714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E8EB6EE-0AB0-4127-8C1A-DD5752E09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71015" y="967227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DF04EF3-C61B-43EC-AD49-64E72B900D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5463686" y="102650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374824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003A7F1-E681-4C71-84F7-8587FAC95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25107" y="1559622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123093</xdr:colOff>
      <xdr:row>79</xdr:row>
      <xdr:rowOff>168848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0D20DF2-CF16-4B14-A0CB-134556D38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32485" y="16961827"/>
          <a:ext cx="2868490" cy="80922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2002033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E63261-9BD3-4175-A5D5-64506278F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8148" y="4881386"/>
          <a:ext cx="2027710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5924B2-1BAD-4A6F-9E89-94D02AE85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91803" y="75885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DCBE829-1828-407F-85B6-26B109807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56615" y="92714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3F99F1E-9AEE-4CB7-AFCC-16ACCBF73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56615" y="967227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DCB1959-56BD-47F2-A525-A6DFC2BE34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549286" y="102650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374824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7EC946D-AFB1-4AAA-9D0F-9721B0658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10707" y="15596228"/>
          <a:ext cx="1227598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123093</xdr:colOff>
      <xdr:row>79</xdr:row>
      <xdr:rowOff>168848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1339954-4EAC-46A2-9495-2725B68B9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18085" y="16961827"/>
          <a:ext cx="2868489" cy="80922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2002033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24A180-AB66-446A-B9D5-43DB2BCA1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8148" y="4881386"/>
          <a:ext cx="2027710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4992D7-A2C7-4E1B-A35B-4E4854C1E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91803" y="75885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6BA7709-8DCC-4874-9D6C-EF4507F2C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56615" y="92714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D9B8D97-FB03-4280-87C1-5A899E5AA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56615" y="967227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DCE4626-3FC2-4323-B9A0-E0633F3725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549286" y="102650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621844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9F3F9FF-0F6E-447B-820C-1B8C64958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10707" y="15596228"/>
          <a:ext cx="1227598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370113</xdr:colOff>
      <xdr:row>79</xdr:row>
      <xdr:rowOff>168848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A164309-B605-4909-9A40-F966FBEC1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18085" y="16961827"/>
          <a:ext cx="2868489" cy="80922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2002033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7CB6107-EC4A-4838-8EE6-CDB9E87F8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8148" y="4881386"/>
          <a:ext cx="2027710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2C5C5F-F6F1-43ED-B4EE-BBADF0C58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91803" y="75885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D5752AE-37ED-4A88-AFD1-FFF5368F0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56615" y="92714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A0F37A7-1D56-49CD-A611-E9FDCE546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56615" y="967227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58256CF-B145-4414-AD2D-1310983706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549286" y="102650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635452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436463E-416B-4042-9F41-23845EB88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10707" y="15596228"/>
          <a:ext cx="1227598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383721</xdr:colOff>
      <xdr:row>79</xdr:row>
      <xdr:rowOff>168848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6E54AD6-4142-4D38-BA47-F0C7485D9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18085" y="16961827"/>
          <a:ext cx="2868489" cy="80922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2002033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6394526-A4A7-4FD6-B0AF-052A0FCFE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8148" y="4881386"/>
          <a:ext cx="2027710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0643DB-09D5-44A6-A0F4-2B9A52E53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91803" y="75885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27920C3-3DC1-4A16-B02E-64D644050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56615" y="92714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C18193D-BF00-40A5-A4C1-555D587AD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56615" y="967227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6CAE516-2B66-41AA-9BE8-7FF8BB870C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549286" y="102650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621845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5DFBD37-30D2-4E7A-9855-4AE0B1333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10707" y="15596228"/>
          <a:ext cx="1227598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370114</xdr:colOff>
      <xdr:row>79</xdr:row>
      <xdr:rowOff>168848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414AB4C-D169-4964-90C2-AF9224A4B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18085" y="16961827"/>
          <a:ext cx="2868489" cy="80922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2002033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F8C15AF-BA71-4627-BD5D-8B8539A14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8148" y="4881386"/>
          <a:ext cx="2027710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672BA1-48D8-4256-8F1F-1C982FE1A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91803" y="75885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544DB2F-619D-48DC-B9D3-D6ED64491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56615" y="92714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6878A21-B1AB-4FAF-9F2A-5A27E6471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56615" y="967227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9DC1F32-E9ED-4A5B-8578-76F0FB2AE2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549286" y="102650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662666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BE08EFE-5894-4CE7-9746-CE60AF8A4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10707" y="15596228"/>
          <a:ext cx="1227598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410935</xdr:colOff>
      <xdr:row>79</xdr:row>
      <xdr:rowOff>168848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466C5DE-BC28-4B9C-945F-998643BC3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18085" y="16961827"/>
          <a:ext cx="2868489" cy="80922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2002033</xdr:colOff>
      <xdr:row>27</xdr:row>
      <xdr:rowOff>137936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4966" y="3852686"/>
          <a:ext cx="2031023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21935" y="65598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88021" y="82427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88021" y="8645770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3780692" y="93125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594630</xdr:colOff>
      <xdr:row>70</xdr:row>
      <xdr:rowOff>41230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101707" y="13757903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342899</xdr:colOff>
      <xdr:row>79</xdr:row>
      <xdr:rowOff>168848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09085" y="15504502"/>
          <a:ext cx="2868490" cy="8092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DBCE4-680E-4677-938E-E2DB1A7F4A5B}">
  <dimension ref="A1:F85"/>
  <sheetViews>
    <sheetView topLeftCell="A37" zoomScale="65" zoomScaleNormal="65" workbookViewId="0">
      <selection activeCell="E56" sqref="E56"/>
    </sheetView>
  </sheetViews>
  <sheetFormatPr baseColWidth="10" defaultColWidth="9.140625" defaultRowHeight="15" x14ac:dyDescent="0.25"/>
  <cols>
    <col min="1" max="1" width="35" style="8" customWidth="1"/>
    <col min="2" max="2" width="34.85546875" style="8" customWidth="1"/>
    <col min="4" max="4" width="41.140625" customWidth="1"/>
    <col min="5" max="5" width="21.5703125" customWidth="1"/>
    <col min="6" max="6" width="17.85546875" customWidth="1"/>
  </cols>
  <sheetData>
    <row r="1" spans="1:5" ht="141" customHeight="1" x14ac:dyDescent="0.25">
      <c r="A1" s="10" t="s">
        <v>50</v>
      </c>
      <c r="B1" s="9" t="s">
        <v>51</v>
      </c>
    </row>
    <row r="2" spans="1:5" x14ac:dyDescent="0.25">
      <c r="A2" s="8">
        <v>3</v>
      </c>
      <c r="B2" s="8">
        <v>3</v>
      </c>
      <c r="D2" s="1" t="s">
        <v>53</v>
      </c>
      <c r="E2">
        <f>AVERAGE(A:A)</f>
        <v>3.28</v>
      </c>
    </row>
    <row r="3" spans="1:5" x14ac:dyDescent="0.25">
      <c r="A3" s="8">
        <v>2</v>
      </c>
      <c r="B3" s="8">
        <v>5</v>
      </c>
      <c r="D3" s="1" t="s">
        <v>0</v>
      </c>
      <c r="E3">
        <f>MEDIAN(A:A)</f>
        <v>3</v>
      </c>
    </row>
    <row r="4" spans="1:5" x14ac:dyDescent="0.25">
      <c r="A4" s="8">
        <v>3</v>
      </c>
      <c r="B4" s="8">
        <v>5</v>
      </c>
      <c r="D4" s="1" t="s">
        <v>1</v>
      </c>
      <c r="E4">
        <f>MODE(A:A)</f>
        <v>4</v>
      </c>
    </row>
    <row r="5" spans="1:5" x14ac:dyDescent="0.25">
      <c r="A5" s="8">
        <v>2</v>
      </c>
      <c r="B5" s="8">
        <v>4</v>
      </c>
      <c r="D5" s="1" t="s">
        <v>15</v>
      </c>
      <c r="E5">
        <f>STDEV(A:A)</f>
        <v>1.2143288659150759</v>
      </c>
    </row>
    <row r="6" spans="1:5" x14ac:dyDescent="0.25">
      <c r="A6" s="8">
        <v>3</v>
      </c>
      <c r="B6" s="8">
        <v>3</v>
      </c>
      <c r="D6" s="4" t="s">
        <v>4</v>
      </c>
      <c r="E6">
        <f>COUNT(A:A)</f>
        <v>75</v>
      </c>
    </row>
    <row r="7" spans="1:5" x14ac:dyDescent="0.25">
      <c r="A7" s="8">
        <v>4</v>
      </c>
      <c r="B7" s="8">
        <v>2</v>
      </c>
    </row>
    <row r="8" spans="1:5" x14ac:dyDescent="0.25">
      <c r="A8" s="8">
        <v>2</v>
      </c>
      <c r="B8" s="8">
        <v>4</v>
      </c>
      <c r="D8" s="3" t="s">
        <v>52</v>
      </c>
      <c r="E8">
        <f>AVERAGE(B:B)</f>
        <v>3.8266666666666667</v>
      </c>
    </row>
    <row r="9" spans="1:5" x14ac:dyDescent="0.25">
      <c r="A9" s="8">
        <v>4</v>
      </c>
      <c r="B9" s="8">
        <v>4</v>
      </c>
      <c r="D9" s="3" t="s">
        <v>2</v>
      </c>
      <c r="E9">
        <f>MEDIAN(B:B)</f>
        <v>4</v>
      </c>
    </row>
    <row r="10" spans="1:5" x14ac:dyDescent="0.25">
      <c r="A10" s="8">
        <v>5</v>
      </c>
      <c r="B10" s="8">
        <v>3</v>
      </c>
      <c r="D10" s="3" t="s">
        <v>3</v>
      </c>
      <c r="E10">
        <f>MODE(B:B)</f>
        <v>5</v>
      </c>
    </row>
    <row r="11" spans="1:5" x14ac:dyDescent="0.25">
      <c r="A11" s="8">
        <v>4</v>
      </c>
      <c r="B11" s="8">
        <v>4</v>
      </c>
      <c r="D11" s="3" t="s">
        <v>14</v>
      </c>
      <c r="E11">
        <f>STDEV(B:B)</f>
        <v>1.143410419485229</v>
      </c>
    </row>
    <row r="12" spans="1:5" x14ac:dyDescent="0.25">
      <c r="A12" s="8">
        <v>3</v>
      </c>
      <c r="B12" s="8">
        <v>5</v>
      </c>
      <c r="D12" s="5" t="s">
        <v>5</v>
      </c>
      <c r="E12">
        <f>COUNT(B:B)</f>
        <v>75</v>
      </c>
    </row>
    <row r="13" spans="1:5" x14ac:dyDescent="0.25">
      <c r="A13" s="8">
        <v>3</v>
      </c>
      <c r="B13" s="8">
        <v>3</v>
      </c>
    </row>
    <row r="14" spans="1:5" x14ac:dyDescent="0.25">
      <c r="A14" s="8">
        <v>2</v>
      </c>
      <c r="B14" s="8">
        <v>5</v>
      </c>
    </row>
    <row r="15" spans="1:5" x14ac:dyDescent="0.25">
      <c r="A15" s="8">
        <v>4</v>
      </c>
      <c r="B15" s="8">
        <v>4</v>
      </c>
    </row>
    <row r="16" spans="1:5" x14ac:dyDescent="0.25">
      <c r="A16" s="8">
        <v>4</v>
      </c>
      <c r="B16" s="8">
        <v>4</v>
      </c>
    </row>
    <row r="17" spans="1:5" x14ac:dyDescent="0.25">
      <c r="A17" s="8">
        <v>2</v>
      </c>
      <c r="B17" s="8">
        <v>5</v>
      </c>
      <c r="D17" s="2" t="s">
        <v>6</v>
      </c>
      <c r="E17" s="2"/>
    </row>
    <row r="18" spans="1:5" x14ac:dyDescent="0.25">
      <c r="A18" s="8">
        <v>1</v>
      </c>
      <c r="B18" s="8">
        <v>2</v>
      </c>
    </row>
    <row r="19" spans="1:5" x14ac:dyDescent="0.25">
      <c r="A19" s="8">
        <v>5</v>
      </c>
      <c r="B19" s="8">
        <v>5</v>
      </c>
    </row>
    <row r="20" spans="1:5" x14ac:dyDescent="0.25">
      <c r="A20" s="8">
        <v>3</v>
      </c>
      <c r="B20" s="8">
        <v>3</v>
      </c>
    </row>
    <row r="21" spans="1:5" x14ac:dyDescent="0.25">
      <c r="A21" s="8">
        <v>1</v>
      </c>
      <c r="B21" s="8">
        <v>3</v>
      </c>
    </row>
    <row r="22" spans="1:5" x14ac:dyDescent="0.25">
      <c r="A22" s="8">
        <v>4</v>
      </c>
      <c r="B22" s="8">
        <v>5</v>
      </c>
    </row>
    <row r="23" spans="1:5" x14ac:dyDescent="0.25">
      <c r="A23" s="8">
        <v>4</v>
      </c>
      <c r="B23" s="8">
        <v>4</v>
      </c>
    </row>
    <row r="24" spans="1:5" x14ac:dyDescent="0.25">
      <c r="A24" s="8">
        <v>4</v>
      </c>
      <c r="B24" s="8">
        <v>4</v>
      </c>
    </row>
    <row r="25" spans="1:5" x14ac:dyDescent="0.25">
      <c r="A25" s="8">
        <v>1</v>
      </c>
      <c r="B25" s="8">
        <v>1</v>
      </c>
    </row>
    <row r="26" spans="1:5" x14ac:dyDescent="0.25">
      <c r="A26" s="8">
        <v>4</v>
      </c>
      <c r="B26" s="8">
        <v>4</v>
      </c>
    </row>
    <row r="27" spans="1:5" x14ac:dyDescent="0.25">
      <c r="A27" s="8">
        <v>4</v>
      </c>
      <c r="B27" s="8">
        <v>4</v>
      </c>
    </row>
    <row r="28" spans="1:5" x14ac:dyDescent="0.25">
      <c r="A28" s="8">
        <v>4</v>
      </c>
      <c r="B28" s="8">
        <v>5</v>
      </c>
    </row>
    <row r="29" spans="1:5" x14ac:dyDescent="0.25">
      <c r="A29" s="8">
        <v>2</v>
      </c>
      <c r="B29" s="8">
        <v>2</v>
      </c>
      <c r="D29" t="s">
        <v>11</v>
      </c>
      <c r="E29">
        <f>(E2-E8)/SQRT(((E5^2)/E6)+((E11^2)/E12))</f>
        <v>-2.8384161459547443</v>
      </c>
    </row>
    <row r="30" spans="1:5" x14ac:dyDescent="0.25">
      <c r="A30" s="8">
        <v>3</v>
      </c>
      <c r="B30" s="8">
        <v>4</v>
      </c>
    </row>
    <row r="31" spans="1:5" x14ac:dyDescent="0.25">
      <c r="A31" s="8">
        <v>5</v>
      </c>
      <c r="B31" s="8">
        <v>4</v>
      </c>
      <c r="D31" s="2" t="s">
        <v>7</v>
      </c>
      <c r="E31" s="2"/>
    </row>
    <row r="32" spans="1:5" x14ac:dyDescent="0.25">
      <c r="A32" s="8">
        <v>4</v>
      </c>
      <c r="B32" s="8">
        <v>5</v>
      </c>
    </row>
    <row r="33" spans="1:6" x14ac:dyDescent="0.25">
      <c r="A33" s="8">
        <v>2</v>
      </c>
      <c r="B33" s="8">
        <v>2</v>
      </c>
    </row>
    <row r="34" spans="1:6" x14ac:dyDescent="0.25">
      <c r="A34" s="8">
        <v>3</v>
      </c>
      <c r="B34" s="8">
        <v>5</v>
      </c>
    </row>
    <row r="35" spans="1:6" x14ac:dyDescent="0.25">
      <c r="A35" s="8">
        <v>3</v>
      </c>
      <c r="B35" s="8">
        <v>2</v>
      </c>
    </row>
    <row r="36" spans="1:6" x14ac:dyDescent="0.25">
      <c r="A36" s="8">
        <v>5</v>
      </c>
      <c r="B36" s="8">
        <v>5</v>
      </c>
    </row>
    <row r="37" spans="1:6" x14ac:dyDescent="0.25">
      <c r="A37" s="8">
        <v>4</v>
      </c>
      <c r="B37" s="8">
        <v>4</v>
      </c>
    </row>
    <row r="38" spans="1:6" x14ac:dyDescent="0.25">
      <c r="A38" s="8">
        <v>2</v>
      </c>
      <c r="B38" s="8">
        <v>5</v>
      </c>
    </row>
    <row r="39" spans="1:6" x14ac:dyDescent="0.25">
      <c r="A39" s="8">
        <v>5</v>
      </c>
      <c r="B39" s="8">
        <v>3</v>
      </c>
    </row>
    <row r="40" spans="1:6" x14ac:dyDescent="0.25">
      <c r="A40" s="8">
        <v>5</v>
      </c>
      <c r="B40" s="8">
        <v>4</v>
      </c>
    </row>
    <row r="41" spans="1:6" ht="29.25" customHeight="1" x14ac:dyDescent="0.25">
      <c r="A41" s="8">
        <v>4</v>
      </c>
      <c r="B41" s="8">
        <v>5</v>
      </c>
      <c r="D41" t="s">
        <v>8</v>
      </c>
      <c r="E41">
        <f>(((E5^2)/E6)+((E11^2)/E12))^2</f>
        <v>1.3758975552128703E-3</v>
      </c>
    </row>
    <row r="42" spans="1:6" ht="47.25" customHeight="1" x14ac:dyDescent="0.25">
      <c r="A42" s="8">
        <v>4</v>
      </c>
      <c r="B42" s="8">
        <v>2</v>
      </c>
      <c r="D42" t="s">
        <v>9</v>
      </c>
      <c r="E42">
        <f>(((E5^2)/E6)^2)/(E6-1)</f>
        <v>5.2238539781563875E-6</v>
      </c>
    </row>
    <row r="43" spans="1:6" ht="43.5" customHeight="1" x14ac:dyDescent="0.25">
      <c r="A43" s="8">
        <v>3</v>
      </c>
      <c r="B43" s="8">
        <v>4</v>
      </c>
      <c r="D43" t="s">
        <v>10</v>
      </c>
      <c r="E43">
        <f>(((E11^2)/E12)^2)/(E12-1)</f>
        <v>4.1063346082873713E-6</v>
      </c>
    </row>
    <row r="44" spans="1:6" x14ac:dyDescent="0.25">
      <c r="A44" s="8">
        <v>5</v>
      </c>
      <c r="B44" s="8">
        <v>3</v>
      </c>
    </row>
    <row r="45" spans="1:6" x14ac:dyDescent="0.25">
      <c r="A45" s="8">
        <v>3</v>
      </c>
      <c r="B45" s="8">
        <v>3</v>
      </c>
      <c r="D45" t="s">
        <v>7</v>
      </c>
      <c r="E45">
        <f>E41/(E42+E43)</f>
        <v>147.46728240970094</v>
      </c>
      <c r="F45" s="6" t="s">
        <v>12</v>
      </c>
    </row>
    <row r="46" spans="1:6" x14ac:dyDescent="0.25">
      <c r="A46" s="8">
        <v>1</v>
      </c>
      <c r="B46" s="8">
        <v>4</v>
      </c>
    </row>
    <row r="47" spans="1:6" x14ac:dyDescent="0.25">
      <c r="A47" s="8">
        <v>2</v>
      </c>
      <c r="B47" s="8">
        <v>4</v>
      </c>
      <c r="D47" t="s">
        <v>13</v>
      </c>
      <c r="E47">
        <v>0.05</v>
      </c>
      <c r="F47" s="6" t="s">
        <v>12</v>
      </c>
    </row>
    <row r="48" spans="1:6" x14ac:dyDescent="0.25">
      <c r="A48" s="8">
        <v>2</v>
      </c>
      <c r="B48" s="8">
        <v>4</v>
      </c>
    </row>
    <row r="49" spans="1:5" x14ac:dyDescent="0.25">
      <c r="A49" s="8">
        <v>4</v>
      </c>
      <c r="B49" s="8">
        <v>5</v>
      </c>
    </row>
    <row r="50" spans="1:5" x14ac:dyDescent="0.25">
      <c r="A50" s="8">
        <v>3</v>
      </c>
      <c r="B50" s="8">
        <v>2</v>
      </c>
    </row>
    <row r="51" spans="1:5" x14ac:dyDescent="0.25">
      <c r="A51" s="8">
        <v>3</v>
      </c>
      <c r="B51" s="8">
        <v>1</v>
      </c>
      <c r="D51" s="5"/>
      <c r="E51" s="5"/>
    </row>
    <row r="52" spans="1:5" x14ac:dyDescent="0.25">
      <c r="A52" s="8">
        <v>5</v>
      </c>
      <c r="B52" s="8">
        <v>5</v>
      </c>
      <c r="D52" t="s">
        <v>16</v>
      </c>
      <c r="E52">
        <f>_xlfn.T.INV.2T(E47,E45)</f>
        <v>1.9762333088953288</v>
      </c>
    </row>
    <row r="53" spans="1:5" x14ac:dyDescent="0.25">
      <c r="A53" s="8">
        <v>1</v>
      </c>
      <c r="B53" s="8">
        <v>5</v>
      </c>
      <c r="D53" t="s">
        <v>17</v>
      </c>
      <c r="E53">
        <f>_xlfn.T.INV(E47, E45)</f>
        <v>-1.6552854366095326</v>
      </c>
    </row>
    <row r="54" spans="1:5" x14ac:dyDescent="0.25">
      <c r="A54" s="8">
        <v>3</v>
      </c>
      <c r="B54" s="8">
        <v>3</v>
      </c>
    </row>
    <row r="55" spans="1:5" x14ac:dyDescent="0.25">
      <c r="A55" s="8">
        <v>4</v>
      </c>
      <c r="B55" s="8">
        <v>5</v>
      </c>
      <c r="D55" t="s">
        <v>18</v>
      </c>
      <c r="E55">
        <f>TTEST(A:A,B:B,2,2)</f>
        <v>5.1710526230331587E-3</v>
      </c>
    </row>
    <row r="56" spans="1:5" x14ac:dyDescent="0.25">
      <c r="A56" s="8">
        <v>1</v>
      </c>
      <c r="B56" s="8">
        <v>5</v>
      </c>
      <c r="D56" t="s">
        <v>19</v>
      </c>
      <c r="E56">
        <f>TTEST(A:A,B:B,1,2)</f>
        <v>2.5855263115165793E-3</v>
      </c>
    </row>
    <row r="57" spans="1:5" x14ac:dyDescent="0.25">
      <c r="A57" s="8">
        <v>3</v>
      </c>
      <c r="B57" s="8">
        <v>4</v>
      </c>
    </row>
    <row r="58" spans="1:5" x14ac:dyDescent="0.25">
      <c r="A58" s="8">
        <v>4</v>
      </c>
      <c r="B58" s="8">
        <v>3</v>
      </c>
    </row>
    <row r="59" spans="1:5" x14ac:dyDescent="0.25">
      <c r="A59" s="8">
        <v>5</v>
      </c>
      <c r="B59" s="8">
        <v>4</v>
      </c>
      <c r="D59" s="5" t="s">
        <v>20</v>
      </c>
      <c r="E59" s="5"/>
    </row>
    <row r="60" spans="1:5" x14ac:dyDescent="0.25">
      <c r="A60" s="8">
        <v>4</v>
      </c>
      <c r="B60" s="8">
        <v>5</v>
      </c>
    </row>
    <row r="61" spans="1:5" x14ac:dyDescent="0.25">
      <c r="A61" s="8">
        <v>4</v>
      </c>
      <c r="B61" s="8">
        <v>4</v>
      </c>
      <c r="D61" t="s">
        <v>21</v>
      </c>
    </row>
    <row r="62" spans="1:5" x14ac:dyDescent="0.25">
      <c r="A62" s="8">
        <v>2</v>
      </c>
      <c r="B62" s="8">
        <v>5</v>
      </c>
      <c r="D62" t="s">
        <v>22</v>
      </c>
    </row>
    <row r="63" spans="1:5" x14ac:dyDescent="0.25">
      <c r="A63" s="8">
        <v>2</v>
      </c>
      <c r="B63" s="8">
        <v>2</v>
      </c>
    </row>
    <row r="64" spans="1:5" x14ac:dyDescent="0.25">
      <c r="A64" s="8">
        <v>4</v>
      </c>
      <c r="B64" s="8">
        <v>5</v>
      </c>
      <c r="D64" t="s">
        <v>23</v>
      </c>
    </row>
    <row r="65" spans="1:4" x14ac:dyDescent="0.25">
      <c r="A65" s="8">
        <v>2</v>
      </c>
      <c r="B65" s="8">
        <v>5</v>
      </c>
      <c r="D65" t="s">
        <v>24</v>
      </c>
    </row>
    <row r="66" spans="1:4" x14ac:dyDescent="0.25">
      <c r="A66" s="8">
        <v>5</v>
      </c>
      <c r="B66" s="8">
        <v>3</v>
      </c>
    </row>
    <row r="67" spans="1:4" x14ac:dyDescent="0.25">
      <c r="A67" s="8">
        <v>4</v>
      </c>
      <c r="B67" s="8">
        <v>5</v>
      </c>
    </row>
    <row r="68" spans="1:4" x14ac:dyDescent="0.25">
      <c r="A68" s="8">
        <v>3</v>
      </c>
      <c r="B68" s="8">
        <v>3</v>
      </c>
      <c r="D68" s="7" t="s">
        <v>25</v>
      </c>
    </row>
    <row r="69" spans="1:4" x14ac:dyDescent="0.25">
      <c r="A69" s="8">
        <v>5</v>
      </c>
      <c r="B69" s="8">
        <v>5</v>
      </c>
    </row>
    <row r="70" spans="1:4" x14ac:dyDescent="0.25">
      <c r="A70" s="8">
        <v>5</v>
      </c>
      <c r="B70" s="8">
        <v>5</v>
      </c>
      <c r="D70" t="s">
        <v>26</v>
      </c>
    </row>
    <row r="71" spans="1:4" x14ac:dyDescent="0.25">
      <c r="A71" s="8">
        <v>4</v>
      </c>
      <c r="B71" s="8">
        <v>5</v>
      </c>
      <c r="D71" t="s">
        <v>27</v>
      </c>
    </row>
    <row r="72" spans="1:4" x14ac:dyDescent="0.25">
      <c r="A72" s="8">
        <v>3</v>
      </c>
      <c r="B72" s="8">
        <v>2</v>
      </c>
      <c r="D72" t="s">
        <v>28</v>
      </c>
    </row>
    <row r="73" spans="1:4" x14ac:dyDescent="0.25">
      <c r="A73" s="8">
        <v>4</v>
      </c>
      <c r="B73" s="8">
        <v>2</v>
      </c>
    </row>
    <row r="74" spans="1:4" x14ac:dyDescent="0.25">
      <c r="A74" s="8">
        <v>2</v>
      </c>
      <c r="B74" s="8">
        <v>4</v>
      </c>
    </row>
    <row r="75" spans="1:4" x14ac:dyDescent="0.25">
      <c r="A75" s="8">
        <v>4</v>
      </c>
      <c r="B75" s="8">
        <v>5</v>
      </c>
      <c r="D75" s="7" t="s">
        <v>25</v>
      </c>
    </row>
    <row r="76" spans="1:4" x14ac:dyDescent="0.25">
      <c r="A76" s="8">
        <v>1</v>
      </c>
      <c r="B76" s="8">
        <v>3</v>
      </c>
    </row>
    <row r="82" spans="4:4" x14ac:dyDescent="0.25">
      <c r="D82" t="s">
        <v>29</v>
      </c>
    </row>
    <row r="83" spans="4:4" x14ac:dyDescent="0.25">
      <c r="D83" t="s">
        <v>28</v>
      </c>
    </row>
    <row r="84" spans="4:4" x14ac:dyDescent="0.25">
      <c r="D84" t="s">
        <v>29</v>
      </c>
    </row>
    <row r="85" spans="4:4" x14ac:dyDescent="0.25">
      <c r="D85" t="s">
        <v>28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ACA6E-0567-49C2-B370-278578223BE2}">
  <dimension ref="A1:F85"/>
  <sheetViews>
    <sheetView zoomScale="66" zoomScaleNormal="66" workbookViewId="0">
      <selection activeCell="D8" sqref="D8"/>
    </sheetView>
  </sheetViews>
  <sheetFormatPr baseColWidth="10" defaultColWidth="9.140625" defaultRowHeight="15" x14ac:dyDescent="0.25"/>
  <cols>
    <col min="1" max="1" width="35" style="8" customWidth="1"/>
    <col min="2" max="2" width="34.85546875" style="8" customWidth="1"/>
    <col min="4" max="4" width="40.28515625" customWidth="1"/>
    <col min="5" max="5" width="21.5703125" customWidth="1"/>
    <col min="6" max="6" width="17.85546875" customWidth="1"/>
  </cols>
  <sheetData>
    <row r="1" spans="1:5" ht="141" customHeight="1" x14ac:dyDescent="0.25">
      <c r="A1" s="10" t="s">
        <v>48</v>
      </c>
      <c r="B1" s="9" t="s">
        <v>49</v>
      </c>
    </row>
    <row r="2" spans="1:5" x14ac:dyDescent="0.25">
      <c r="A2" s="8">
        <v>5</v>
      </c>
      <c r="B2" s="8">
        <v>3</v>
      </c>
      <c r="D2" s="1" t="s">
        <v>53</v>
      </c>
      <c r="E2">
        <f>AVERAGE(A:A)</f>
        <v>2.9866666666666668</v>
      </c>
    </row>
    <row r="3" spans="1:5" x14ac:dyDescent="0.25">
      <c r="A3" s="8">
        <v>1</v>
      </c>
      <c r="B3" s="8">
        <v>5</v>
      </c>
      <c r="D3" s="1" t="s">
        <v>0</v>
      </c>
      <c r="E3">
        <f>MEDIAN(A:A)</f>
        <v>3</v>
      </c>
    </row>
    <row r="4" spans="1:5" x14ac:dyDescent="0.25">
      <c r="A4" s="8">
        <v>2</v>
      </c>
      <c r="B4" s="8">
        <v>2</v>
      </c>
      <c r="D4" s="1" t="s">
        <v>1</v>
      </c>
      <c r="E4">
        <f>MODE(A:A)</f>
        <v>3</v>
      </c>
    </row>
    <row r="5" spans="1:5" x14ac:dyDescent="0.25">
      <c r="A5" s="8">
        <v>4</v>
      </c>
      <c r="B5" s="8">
        <v>3</v>
      </c>
      <c r="D5" s="1" t="s">
        <v>15</v>
      </c>
      <c r="E5">
        <f>STDEV(A:A)</f>
        <v>1.3099755860457996</v>
      </c>
    </row>
    <row r="6" spans="1:5" x14ac:dyDescent="0.25">
      <c r="A6" s="8">
        <v>3</v>
      </c>
      <c r="B6" s="8">
        <v>5</v>
      </c>
      <c r="D6" s="4" t="s">
        <v>4</v>
      </c>
      <c r="E6">
        <f>COUNT(A:A)</f>
        <v>75</v>
      </c>
    </row>
    <row r="7" spans="1:5" x14ac:dyDescent="0.25">
      <c r="A7" s="8">
        <v>1</v>
      </c>
      <c r="B7" s="8">
        <v>3</v>
      </c>
    </row>
    <row r="8" spans="1:5" x14ac:dyDescent="0.25">
      <c r="A8" s="8">
        <v>5</v>
      </c>
      <c r="B8" s="8">
        <v>5</v>
      </c>
      <c r="D8" s="3" t="s">
        <v>52</v>
      </c>
      <c r="E8">
        <f>AVERAGE(B:B)</f>
        <v>3.4666666666666668</v>
      </c>
    </row>
    <row r="9" spans="1:5" x14ac:dyDescent="0.25">
      <c r="A9" s="8">
        <v>1</v>
      </c>
      <c r="B9" s="8">
        <v>4</v>
      </c>
      <c r="D9" s="3" t="s">
        <v>2</v>
      </c>
      <c r="E9">
        <f>MEDIAN(B:B)</f>
        <v>4</v>
      </c>
    </row>
    <row r="10" spans="1:5" x14ac:dyDescent="0.25">
      <c r="A10" s="8">
        <v>1</v>
      </c>
      <c r="B10" s="8">
        <v>4</v>
      </c>
      <c r="D10" s="3" t="s">
        <v>3</v>
      </c>
      <c r="E10">
        <f>MODE(B:B)</f>
        <v>4</v>
      </c>
    </row>
    <row r="11" spans="1:5" x14ac:dyDescent="0.25">
      <c r="A11" s="8">
        <v>1</v>
      </c>
      <c r="B11" s="8">
        <v>4</v>
      </c>
      <c r="D11" s="3" t="s">
        <v>14</v>
      </c>
      <c r="E11">
        <f>STDEV(B:B)</f>
        <v>1.1778740965771286</v>
      </c>
    </row>
    <row r="12" spans="1:5" x14ac:dyDescent="0.25">
      <c r="A12" s="8">
        <v>5</v>
      </c>
      <c r="B12" s="8">
        <v>2</v>
      </c>
      <c r="D12" s="5" t="s">
        <v>5</v>
      </c>
      <c r="E12">
        <f>COUNT(B:B)</f>
        <v>75</v>
      </c>
    </row>
    <row r="13" spans="1:5" x14ac:dyDescent="0.25">
      <c r="A13" s="8">
        <v>4</v>
      </c>
      <c r="B13" s="8">
        <v>5</v>
      </c>
    </row>
    <row r="14" spans="1:5" x14ac:dyDescent="0.25">
      <c r="A14" s="8">
        <v>2</v>
      </c>
      <c r="B14" s="8">
        <v>4</v>
      </c>
    </row>
    <row r="15" spans="1:5" x14ac:dyDescent="0.25">
      <c r="A15" s="8">
        <v>3</v>
      </c>
      <c r="B15" s="8">
        <v>2</v>
      </c>
    </row>
    <row r="16" spans="1:5" x14ac:dyDescent="0.25">
      <c r="A16" s="8">
        <v>5</v>
      </c>
      <c r="B16" s="8">
        <v>3</v>
      </c>
    </row>
    <row r="17" spans="1:5" x14ac:dyDescent="0.25">
      <c r="A17" s="8">
        <v>3</v>
      </c>
      <c r="B17" s="8">
        <v>5</v>
      </c>
      <c r="D17" s="2" t="s">
        <v>6</v>
      </c>
      <c r="E17" s="2"/>
    </row>
    <row r="18" spans="1:5" x14ac:dyDescent="0.25">
      <c r="A18" s="8">
        <v>1</v>
      </c>
      <c r="B18" s="8">
        <v>1</v>
      </c>
    </row>
    <row r="19" spans="1:5" x14ac:dyDescent="0.25">
      <c r="A19" s="8">
        <v>5</v>
      </c>
      <c r="B19" s="8">
        <v>3</v>
      </c>
    </row>
    <row r="20" spans="1:5" x14ac:dyDescent="0.25">
      <c r="A20" s="8">
        <v>3</v>
      </c>
      <c r="B20" s="8">
        <v>4</v>
      </c>
    </row>
    <row r="21" spans="1:5" x14ac:dyDescent="0.25">
      <c r="A21" s="8">
        <v>5</v>
      </c>
      <c r="B21" s="8">
        <v>5</v>
      </c>
    </row>
    <row r="22" spans="1:5" x14ac:dyDescent="0.25">
      <c r="A22" s="8">
        <v>1</v>
      </c>
      <c r="B22" s="8">
        <v>3</v>
      </c>
    </row>
    <row r="23" spans="1:5" x14ac:dyDescent="0.25">
      <c r="A23" s="8">
        <v>3</v>
      </c>
      <c r="B23" s="8">
        <v>4</v>
      </c>
    </row>
    <row r="24" spans="1:5" x14ac:dyDescent="0.25">
      <c r="A24" s="8">
        <v>4</v>
      </c>
      <c r="B24" s="8">
        <v>4</v>
      </c>
    </row>
    <row r="25" spans="1:5" x14ac:dyDescent="0.25">
      <c r="A25" s="8">
        <v>4</v>
      </c>
      <c r="B25" s="8">
        <v>1</v>
      </c>
    </row>
    <row r="26" spans="1:5" x14ac:dyDescent="0.25">
      <c r="A26" s="8">
        <v>3</v>
      </c>
      <c r="B26" s="8">
        <v>2</v>
      </c>
    </row>
    <row r="27" spans="1:5" x14ac:dyDescent="0.25">
      <c r="A27" s="8">
        <v>2</v>
      </c>
      <c r="B27" s="8">
        <v>4</v>
      </c>
    </row>
    <row r="28" spans="1:5" x14ac:dyDescent="0.25">
      <c r="A28" s="8">
        <v>3</v>
      </c>
      <c r="B28" s="8">
        <v>5</v>
      </c>
    </row>
    <row r="29" spans="1:5" x14ac:dyDescent="0.25">
      <c r="A29" s="8">
        <v>4</v>
      </c>
      <c r="B29" s="8">
        <v>4</v>
      </c>
      <c r="D29" t="s">
        <v>11</v>
      </c>
      <c r="E29">
        <f>(E2-E8)/SQRT(((E5^2)/E6)+((E11^2)/E12))</f>
        <v>-2.3596704407492282</v>
      </c>
    </row>
    <row r="30" spans="1:5" x14ac:dyDescent="0.25">
      <c r="A30" s="8">
        <v>4</v>
      </c>
      <c r="B30" s="8">
        <v>4</v>
      </c>
    </row>
    <row r="31" spans="1:5" x14ac:dyDescent="0.25">
      <c r="A31" s="8">
        <v>3</v>
      </c>
      <c r="B31" s="8">
        <v>5</v>
      </c>
      <c r="D31" s="2" t="s">
        <v>7</v>
      </c>
      <c r="E31" s="2"/>
    </row>
    <row r="32" spans="1:5" x14ac:dyDescent="0.25">
      <c r="A32" s="8">
        <v>1</v>
      </c>
      <c r="B32" s="8">
        <v>3</v>
      </c>
    </row>
    <row r="33" spans="1:6" x14ac:dyDescent="0.25">
      <c r="A33" s="8">
        <v>2</v>
      </c>
      <c r="B33" s="8">
        <v>2</v>
      </c>
    </row>
    <row r="34" spans="1:6" x14ac:dyDescent="0.25">
      <c r="A34" s="8">
        <v>2</v>
      </c>
      <c r="B34" s="8">
        <v>2</v>
      </c>
    </row>
    <row r="35" spans="1:6" x14ac:dyDescent="0.25">
      <c r="A35" s="8">
        <v>4</v>
      </c>
      <c r="B35" s="8">
        <v>4</v>
      </c>
    </row>
    <row r="36" spans="1:6" x14ac:dyDescent="0.25">
      <c r="A36" s="8">
        <v>2</v>
      </c>
      <c r="B36" s="8">
        <v>2</v>
      </c>
    </row>
    <row r="37" spans="1:6" x14ac:dyDescent="0.25">
      <c r="A37" s="8">
        <v>3</v>
      </c>
      <c r="B37" s="8">
        <v>5</v>
      </c>
    </row>
    <row r="38" spans="1:6" x14ac:dyDescent="0.25">
      <c r="A38" s="8">
        <v>5</v>
      </c>
      <c r="B38" s="8">
        <v>3</v>
      </c>
    </row>
    <row r="39" spans="1:6" x14ac:dyDescent="0.25">
      <c r="A39" s="8">
        <v>4</v>
      </c>
      <c r="B39" s="8">
        <v>5</v>
      </c>
    </row>
    <row r="40" spans="1:6" x14ac:dyDescent="0.25">
      <c r="A40" s="8">
        <v>2</v>
      </c>
      <c r="B40" s="8">
        <v>4</v>
      </c>
    </row>
    <row r="41" spans="1:6" ht="29.25" customHeight="1" x14ac:dyDescent="0.25">
      <c r="A41" s="8">
        <v>2</v>
      </c>
      <c r="B41" s="8">
        <v>3</v>
      </c>
      <c r="D41" t="s">
        <v>8</v>
      </c>
      <c r="E41">
        <f>(((E5^2)/E6)+((E11^2)/E12))^2</f>
        <v>1.7122199013427841E-3</v>
      </c>
    </row>
    <row r="42" spans="1:6" ht="47.25" customHeight="1" x14ac:dyDescent="0.25">
      <c r="A42" s="8">
        <v>3</v>
      </c>
      <c r="B42" s="8">
        <v>4</v>
      </c>
      <c r="D42" t="s">
        <v>9</v>
      </c>
      <c r="E42">
        <f>(((E5^2)/E6)^2)/(E6-1)</f>
        <v>7.0745457705087606E-6</v>
      </c>
    </row>
    <row r="43" spans="1:6" ht="43.5" customHeight="1" x14ac:dyDescent="0.25">
      <c r="A43" s="8">
        <v>5</v>
      </c>
      <c r="B43" s="8">
        <v>4</v>
      </c>
      <c r="D43" t="s">
        <v>10</v>
      </c>
      <c r="E43">
        <f>(((E11^2)/E12)^2)/(E12-1)</f>
        <v>4.6242492797155542E-6</v>
      </c>
    </row>
    <row r="44" spans="1:6" x14ac:dyDescent="0.25">
      <c r="A44" s="8">
        <v>3</v>
      </c>
      <c r="B44" s="8">
        <v>3</v>
      </c>
    </row>
    <row r="45" spans="1:6" x14ac:dyDescent="0.25">
      <c r="A45" s="8">
        <v>5</v>
      </c>
      <c r="B45" s="8">
        <v>4</v>
      </c>
      <c r="D45" t="s">
        <v>7</v>
      </c>
      <c r="E45">
        <f>E41/(E42+E43)</f>
        <v>146.35865437355054</v>
      </c>
      <c r="F45" s="6" t="s">
        <v>12</v>
      </c>
    </row>
    <row r="46" spans="1:6" x14ac:dyDescent="0.25">
      <c r="A46" s="8">
        <v>1</v>
      </c>
      <c r="B46" s="8">
        <v>4</v>
      </c>
    </row>
    <row r="47" spans="1:6" x14ac:dyDescent="0.25">
      <c r="A47" s="8">
        <v>1</v>
      </c>
      <c r="B47" s="8">
        <v>3</v>
      </c>
      <c r="D47" t="s">
        <v>13</v>
      </c>
      <c r="E47">
        <v>0.05</v>
      </c>
      <c r="F47" s="6" t="s">
        <v>12</v>
      </c>
    </row>
    <row r="48" spans="1:6" x14ac:dyDescent="0.25">
      <c r="A48" s="8">
        <v>1</v>
      </c>
      <c r="B48" s="8">
        <v>3</v>
      </c>
    </row>
    <row r="49" spans="1:5" x14ac:dyDescent="0.25">
      <c r="A49" s="8">
        <v>3</v>
      </c>
      <c r="B49" s="8">
        <v>4</v>
      </c>
    </row>
    <row r="50" spans="1:5" x14ac:dyDescent="0.25">
      <c r="A50" s="8">
        <v>3</v>
      </c>
      <c r="B50" s="8">
        <v>4</v>
      </c>
    </row>
    <row r="51" spans="1:5" x14ac:dyDescent="0.25">
      <c r="A51" s="8">
        <v>3</v>
      </c>
      <c r="B51" s="8">
        <v>4</v>
      </c>
      <c r="D51" s="5"/>
      <c r="E51" s="5"/>
    </row>
    <row r="52" spans="1:5" x14ac:dyDescent="0.25">
      <c r="A52" s="8">
        <v>2</v>
      </c>
      <c r="B52" s="8">
        <v>1</v>
      </c>
      <c r="D52" t="s">
        <v>16</v>
      </c>
      <c r="E52">
        <f>_xlfn.T.INV.2T(E47,E45)</f>
        <v>1.9763456545938156</v>
      </c>
    </row>
    <row r="53" spans="1:5" x14ac:dyDescent="0.25">
      <c r="A53" s="8">
        <v>3</v>
      </c>
      <c r="B53" s="8">
        <v>3</v>
      </c>
      <c r="D53" t="s">
        <v>17</v>
      </c>
      <c r="E53">
        <f>_xlfn.T.INV(E47, E45)</f>
        <v>-1.6553573449019661</v>
      </c>
    </row>
    <row r="54" spans="1:5" x14ac:dyDescent="0.25">
      <c r="A54" s="8">
        <v>3</v>
      </c>
      <c r="B54" s="8">
        <v>5</v>
      </c>
    </row>
    <row r="55" spans="1:5" x14ac:dyDescent="0.25">
      <c r="A55" s="8">
        <v>4</v>
      </c>
      <c r="B55" s="8">
        <v>4</v>
      </c>
      <c r="D55" t="s">
        <v>18</v>
      </c>
      <c r="E55">
        <f>TTEST(A:A,B:B,2,2)</f>
        <v>1.9596554719195792E-2</v>
      </c>
    </row>
    <row r="56" spans="1:5" x14ac:dyDescent="0.25">
      <c r="A56" s="8">
        <v>3</v>
      </c>
      <c r="B56" s="8">
        <v>2</v>
      </c>
      <c r="D56" t="s">
        <v>19</v>
      </c>
      <c r="E56">
        <f>TTEST(A:A,B:B,1,2)</f>
        <v>9.7982773595978959E-3</v>
      </c>
    </row>
    <row r="57" spans="1:5" x14ac:dyDescent="0.25">
      <c r="A57" s="8">
        <v>5</v>
      </c>
      <c r="B57" s="8">
        <v>5</v>
      </c>
    </row>
    <row r="58" spans="1:5" x14ac:dyDescent="0.25">
      <c r="A58" s="8">
        <v>3</v>
      </c>
      <c r="B58" s="8">
        <v>4</v>
      </c>
    </row>
    <row r="59" spans="1:5" x14ac:dyDescent="0.25">
      <c r="A59" s="8">
        <v>3</v>
      </c>
      <c r="B59" s="8">
        <v>4</v>
      </c>
      <c r="D59" s="5" t="s">
        <v>20</v>
      </c>
      <c r="E59" s="5"/>
    </row>
    <row r="60" spans="1:5" x14ac:dyDescent="0.25">
      <c r="A60" s="8">
        <v>1</v>
      </c>
      <c r="B60" s="8">
        <v>4</v>
      </c>
    </row>
    <row r="61" spans="1:5" x14ac:dyDescent="0.25">
      <c r="A61" s="8">
        <v>2</v>
      </c>
      <c r="B61" s="8">
        <v>5</v>
      </c>
      <c r="D61" t="s">
        <v>21</v>
      </c>
    </row>
    <row r="62" spans="1:5" x14ac:dyDescent="0.25">
      <c r="A62" s="8">
        <v>2</v>
      </c>
      <c r="B62" s="8">
        <v>3</v>
      </c>
      <c r="D62" t="s">
        <v>22</v>
      </c>
    </row>
    <row r="63" spans="1:5" x14ac:dyDescent="0.25">
      <c r="A63" s="8">
        <v>1</v>
      </c>
      <c r="B63" s="8">
        <v>2</v>
      </c>
    </row>
    <row r="64" spans="1:5" x14ac:dyDescent="0.25">
      <c r="A64" s="8">
        <v>2</v>
      </c>
      <c r="B64" s="8">
        <v>4</v>
      </c>
      <c r="D64" t="s">
        <v>23</v>
      </c>
    </row>
    <row r="65" spans="1:4" x14ac:dyDescent="0.25">
      <c r="A65" s="8">
        <v>4</v>
      </c>
      <c r="B65" s="8">
        <v>3</v>
      </c>
      <c r="D65" t="s">
        <v>24</v>
      </c>
    </row>
    <row r="66" spans="1:4" x14ac:dyDescent="0.25">
      <c r="A66" s="8">
        <v>3</v>
      </c>
      <c r="B66" s="8">
        <v>1</v>
      </c>
    </row>
    <row r="67" spans="1:4" x14ac:dyDescent="0.25">
      <c r="A67" s="8">
        <v>3</v>
      </c>
      <c r="B67" s="8">
        <v>3</v>
      </c>
    </row>
    <row r="68" spans="1:4" x14ac:dyDescent="0.25">
      <c r="A68" s="8">
        <v>4</v>
      </c>
      <c r="B68" s="8">
        <v>5</v>
      </c>
      <c r="D68" s="7" t="s">
        <v>25</v>
      </c>
    </row>
    <row r="69" spans="1:4" x14ac:dyDescent="0.25">
      <c r="A69" s="8">
        <v>3</v>
      </c>
      <c r="B69" s="8">
        <v>4</v>
      </c>
    </row>
    <row r="70" spans="1:4" x14ac:dyDescent="0.25">
      <c r="A70" s="8">
        <v>4</v>
      </c>
      <c r="B70" s="8">
        <v>3</v>
      </c>
      <c r="D70" t="s">
        <v>26</v>
      </c>
    </row>
    <row r="71" spans="1:4" x14ac:dyDescent="0.25">
      <c r="A71" s="8">
        <v>5</v>
      </c>
      <c r="B71" s="8">
        <v>4</v>
      </c>
      <c r="D71" t="s">
        <v>27</v>
      </c>
    </row>
    <row r="72" spans="1:4" x14ac:dyDescent="0.25">
      <c r="A72" s="8">
        <v>4</v>
      </c>
      <c r="B72" s="8">
        <v>3</v>
      </c>
      <c r="D72" t="s">
        <v>28</v>
      </c>
    </row>
    <row r="73" spans="1:4" x14ac:dyDescent="0.25">
      <c r="A73" s="8">
        <v>2</v>
      </c>
      <c r="B73" s="8">
        <v>1</v>
      </c>
    </row>
    <row r="74" spans="1:4" x14ac:dyDescent="0.25">
      <c r="A74" s="8">
        <v>5</v>
      </c>
      <c r="B74" s="8">
        <v>1</v>
      </c>
    </row>
    <row r="75" spans="1:4" x14ac:dyDescent="0.25">
      <c r="A75" s="8">
        <v>3</v>
      </c>
      <c r="B75" s="8">
        <v>3</v>
      </c>
      <c r="D75" s="7" t="s">
        <v>25</v>
      </c>
    </row>
    <row r="76" spans="1:4" x14ac:dyDescent="0.25">
      <c r="A76" s="8">
        <v>4</v>
      </c>
      <c r="B76" s="8">
        <v>5</v>
      </c>
    </row>
    <row r="82" spans="4:4" x14ac:dyDescent="0.25">
      <c r="D82" t="s">
        <v>29</v>
      </c>
    </row>
    <row r="83" spans="4:4" x14ac:dyDescent="0.25">
      <c r="D83" t="s">
        <v>28</v>
      </c>
    </row>
    <row r="84" spans="4:4" x14ac:dyDescent="0.25">
      <c r="D84" t="s">
        <v>29</v>
      </c>
    </row>
    <row r="85" spans="4:4" x14ac:dyDescent="0.25">
      <c r="D85" t="s">
        <v>28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1A8C0-BA9A-4092-95D6-5560F319CE43}">
  <dimension ref="A1:F85"/>
  <sheetViews>
    <sheetView zoomScale="65" zoomScaleNormal="65" workbookViewId="0">
      <selection activeCell="D8" sqref="D8"/>
    </sheetView>
  </sheetViews>
  <sheetFormatPr baseColWidth="10" defaultColWidth="9.140625" defaultRowHeight="15" x14ac:dyDescent="0.25"/>
  <cols>
    <col min="1" max="1" width="35" style="8" customWidth="1"/>
    <col min="2" max="2" width="34.85546875" style="8" customWidth="1"/>
    <col min="4" max="4" width="37.7109375" customWidth="1"/>
    <col min="5" max="5" width="21.5703125" customWidth="1"/>
    <col min="6" max="6" width="17.85546875" customWidth="1"/>
  </cols>
  <sheetData>
    <row r="1" spans="1:5" ht="141" customHeight="1" x14ac:dyDescent="0.25">
      <c r="A1" s="10" t="s">
        <v>46</v>
      </c>
      <c r="B1" s="9" t="s">
        <v>47</v>
      </c>
    </row>
    <row r="2" spans="1:5" x14ac:dyDescent="0.25">
      <c r="A2" s="8">
        <v>5</v>
      </c>
      <c r="B2" s="8">
        <v>5</v>
      </c>
      <c r="D2" s="1" t="s">
        <v>53</v>
      </c>
      <c r="E2">
        <f>AVERAGE(A:A)</f>
        <v>3.12</v>
      </c>
    </row>
    <row r="3" spans="1:5" x14ac:dyDescent="0.25">
      <c r="A3" s="8">
        <v>2</v>
      </c>
      <c r="B3" s="8">
        <v>4</v>
      </c>
      <c r="D3" s="1" t="s">
        <v>0</v>
      </c>
      <c r="E3">
        <f>MEDIAN(A:A)</f>
        <v>3</v>
      </c>
    </row>
    <row r="4" spans="1:5" x14ac:dyDescent="0.25">
      <c r="A4" s="8">
        <v>2</v>
      </c>
      <c r="B4" s="8">
        <v>4</v>
      </c>
      <c r="D4" s="1" t="s">
        <v>1</v>
      </c>
      <c r="E4">
        <f>MODE(A:A)</f>
        <v>3</v>
      </c>
    </row>
    <row r="5" spans="1:5" x14ac:dyDescent="0.25">
      <c r="A5" s="8">
        <v>4</v>
      </c>
      <c r="B5" s="8">
        <v>3</v>
      </c>
      <c r="D5" s="1" t="s">
        <v>15</v>
      </c>
      <c r="E5">
        <f>STDEV(A:A)</f>
        <v>1.1385149169932802</v>
      </c>
    </row>
    <row r="6" spans="1:5" x14ac:dyDescent="0.25">
      <c r="A6" s="8">
        <v>3</v>
      </c>
      <c r="B6" s="8">
        <v>5</v>
      </c>
      <c r="D6" s="4" t="s">
        <v>4</v>
      </c>
      <c r="E6">
        <f>COUNT(A:A)</f>
        <v>75</v>
      </c>
    </row>
    <row r="7" spans="1:5" x14ac:dyDescent="0.25">
      <c r="A7" s="8">
        <v>3</v>
      </c>
      <c r="B7" s="8">
        <v>1</v>
      </c>
    </row>
    <row r="8" spans="1:5" x14ac:dyDescent="0.25">
      <c r="A8" s="8">
        <v>4</v>
      </c>
      <c r="B8" s="8">
        <v>5</v>
      </c>
      <c r="D8" s="3" t="s">
        <v>52</v>
      </c>
      <c r="E8">
        <f>AVERAGE(B:B)</f>
        <v>3.68</v>
      </c>
    </row>
    <row r="9" spans="1:5" x14ac:dyDescent="0.25">
      <c r="A9" s="8">
        <v>5</v>
      </c>
      <c r="B9" s="8">
        <v>5</v>
      </c>
      <c r="D9" s="3" t="s">
        <v>2</v>
      </c>
      <c r="E9">
        <f>MEDIAN(B:B)</f>
        <v>4</v>
      </c>
    </row>
    <row r="10" spans="1:5" x14ac:dyDescent="0.25">
      <c r="A10" s="8">
        <v>2</v>
      </c>
      <c r="B10" s="8">
        <v>5</v>
      </c>
      <c r="D10" s="3" t="s">
        <v>3</v>
      </c>
      <c r="E10">
        <f>MODE(B:B)</f>
        <v>4</v>
      </c>
    </row>
    <row r="11" spans="1:5" x14ac:dyDescent="0.25">
      <c r="A11" s="8">
        <v>4</v>
      </c>
      <c r="B11" s="8">
        <v>4</v>
      </c>
      <c r="D11" s="3" t="s">
        <v>14</v>
      </c>
      <c r="E11">
        <f>STDEV(B:B)</f>
        <v>1.1986478868945447</v>
      </c>
    </row>
    <row r="12" spans="1:5" x14ac:dyDescent="0.25">
      <c r="A12" s="8">
        <v>4</v>
      </c>
      <c r="B12" s="8">
        <v>5</v>
      </c>
      <c r="D12" s="5" t="s">
        <v>5</v>
      </c>
      <c r="E12">
        <f>COUNT(B:B)</f>
        <v>75</v>
      </c>
    </row>
    <row r="13" spans="1:5" x14ac:dyDescent="0.25">
      <c r="A13" s="8">
        <v>3</v>
      </c>
      <c r="B13" s="8">
        <v>4</v>
      </c>
    </row>
    <row r="14" spans="1:5" x14ac:dyDescent="0.25">
      <c r="A14" s="8">
        <v>2</v>
      </c>
      <c r="B14" s="8">
        <v>5</v>
      </c>
    </row>
    <row r="15" spans="1:5" x14ac:dyDescent="0.25">
      <c r="A15" s="8">
        <v>4</v>
      </c>
      <c r="B15" s="8">
        <v>4</v>
      </c>
    </row>
    <row r="16" spans="1:5" x14ac:dyDescent="0.25">
      <c r="A16" s="8">
        <v>3</v>
      </c>
      <c r="B16" s="8">
        <v>4</v>
      </c>
    </row>
    <row r="17" spans="1:5" x14ac:dyDescent="0.25">
      <c r="A17" s="8">
        <v>3</v>
      </c>
      <c r="B17" s="8">
        <v>2</v>
      </c>
      <c r="D17" s="2" t="s">
        <v>6</v>
      </c>
      <c r="E17" s="2"/>
    </row>
    <row r="18" spans="1:5" x14ac:dyDescent="0.25">
      <c r="A18" s="8">
        <v>3</v>
      </c>
      <c r="B18" s="8">
        <v>5</v>
      </c>
    </row>
    <row r="19" spans="1:5" x14ac:dyDescent="0.25">
      <c r="A19" s="8">
        <v>2</v>
      </c>
      <c r="B19" s="8">
        <v>3</v>
      </c>
    </row>
    <row r="20" spans="1:5" x14ac:dyDescent="0.25">
      <c r="A20" s="8">
        <v>3</v>
      </c>
      <c r="B20" s="8">
        <v>3</v>
      </c>
    </row>
    <row r="21" spans="1:5" x14ac:dyDescent="0.25">
      <c r="A21" s="8">
        <v>3</v>
      </c>
      <c r="B21" s="8">
        <v>2</v>
      </c>
    </row>
    <row r="22" spans="1:5" x14ac:dyDescent="0.25">
      <c r="A22" s="8">
        <v>5</v>
      </c>
      <c r="B22" s="8">
        <v>5</v>
      </c>
    </row>
    <row r="23" spans="1:5" x14ac:dyDescent="0.25">
      <c r="A23" s="8">
        <v>4</v>
      </c>
      <c r="B23" s="8">
        <v>4</v>
      </c>
    </row>
    <row r="24" spans="1:5" x14ac:dyDescent="0.25">
      <c r="A24" s="8">
        <v>5</v>
      </c>
      <c r="B24" s="8">
        <v>1</v>
      </c>
    </row>
    <row r="25" spans="1:5" x14ac:dyDescent="0.25">
      <c r="A25" s="8">
        <v>3</v>
      </c>
      <c r="B25" s="8">
        <v>2</v>
      </c>
    </row>
    <row r="26" spans="1:5" x14ac:dyDescent="0.25">
      <c r="A26" s="8">
        <v>2</v>
      </c>
      <c r="B26" s="8">
        <v>2</v>
      </c>
    </row>
    <row r="27" spans="1:5" x14ac:dyDescent="0.25">
      <c r="A27" s="8">
        <v>4</v>
      </c>
      <c r="B27" s="8">
        <v>5</v>
      </c>
    </row>
    <row r="28" spans="1:5" x14ac:dyDescent="0.25">
      <c r="A28" s="8">
        <v>1</v>
      </c>
      <c r="B28" s="8">
        <v>5</v>
      </c>
    </row>
    <row r="29" spans="1:5" x14ac:dyDescent="0.25">
      <c r="A29" s="8">
        <v>3</v>
      </c>
      <c r="B29" s="8">
        <v>3</v>
      </c>
      <c r="D29" t="s">
        <v>11</v>
      </c>
      <c r="E29">
        <f>(E2-E8)/SQRT(((E5^2)/E6)+((E11^2)/E12))</f>
        <v>-2.9336006303223772</v>
      </c>
    </row>
    <row r="30" spans="1:5" x14ac:dyDescent="0.25">
      <c r="A30" s="8">
        <v>4</v>
      </c>
      <c r="B30" s="8">
        <v>2</v>
      </c>
    </row>
    <row r="31" spans="1:5" x14ac:dyDescent="0.25">
      <c r="A31" s="8">
        <v>4</v>
      </c>
      <c r="B31" s="8">
        <v>3</v>
      </c>
      <c r="D31" s="2" t="s">
        <v>7</v>
      </c>
      <c r="E31" s="2"/>
    </row>
    <row r="32" spans="1:5" x14ac:dyDescent="0.25">
      <c r="A32" s="8">
        <v>2</v>
      </c>
      <c r="B32" s="8">
        <v>4</v>
      </c>
    </row>
    <row r="33" spans="1:6" x14ac:dyDescent="0.25">
      <c r="A33" s="8">
        <v>2</v>
      </c>
      <c r="B33" s="8">
        <v>4</v>
      </c>
    </row>
    <row r="34" spans="1:6" x14ac:dyDescent="0.25">
      <c r="A34" s="8">
        <v>4</v>
      </c>
      <c r="B34" s="8">
        <v>2</v>
      </c>
    </row>
    <row r="35" spans="1:6" x14ac:dyDescent="0.25">
      <c r="A35" s="8">
        <v>5</v>
      </c>
      <c r="B35" s="8">
        <v>5</v>
      </c>
    </row>
    <row r="36" spans="1:6" x14ac:dyDescent="0.25">
      <c r="A36" s="8">
        <v>3</v>
      </c>
      <c r="B36" s="8">
        <v>4</v>
      </c>
    </row>
    <row r="37" spans="1:6" x14ac:dyDescent="0.25">
      <c r="A37" s="8">
        <v>3</v>
      </c>
      <c r="B37" s="8">
        <v>4</v>
      </c>
    </row>
    <row r="38" spans="1:6" x14ac:dyDescent="0.25">
      <c r="A38" s="8">
        <v>4</v>
      </c>
      <c r="B38" s="8">
        <v>3</v>
      </c>
    </row>
    <row r="39" spans="1:6" x14ac:dyDescent="0.25">
      <c r="A39" s="8">
        <v>4</v>
      </c>
      <c r="B39" s="8">
        <v>4</v>
      </c>
    </row>
    <row r="40" spans="1:6" x14ac:dyDescent="0.25">
      <c r="A40" s="8">
        <v>2</v>
      </c>
      <c r="B40" s="8">
        <v>5</v>
      </c>
    </row>
    <row r="41" spans="1:6" ht="29.25" customHeight="1" x14ac:dyDescent="0.25">
      <c r="A41" s="8">
        <v>2</v>
      </c>
      <c r="B41" s="8">
        <v>4</v>
      </c>
      <c r="D41" t="s">
        <v>8</v>
      </c>
      <c r="E41">
        <f>(((E5^2)/E6)+((E11^2)/E12))^2</f>
        <v>1.3278473370667968E-3</v>
      </c>
    </row>
    <row r="42" spans="1:6" ht="47.25" customHeight="1" x14ac:dyDescent="0.25">
      <c r="A42" s="8">
        <v>2</v>
      </c>
      <c r="B42" s="8">
        <v>4</v>
      </c>
      <c r="D42" t="s">
        <v>9</v>
      </c>
      <c r="E42">
        <f>(((E5^2)/E6)^2)/(E6-1)</f>
        <v>4.0364600100465671E-6</v>
      </c>
    </row>
    <row r="43" spans="1:6" ht="43.5" customHeight="1" x14ac:dyDescent="0.25">
      <c r="A43" s="8">
        <v>3</v>
      </c>
      <c r="B43" s="8">
        <v>3</v>
      </c>
      <c r="D43" t="s">
        <v>10</v>
      </c>
      <c r="E43">
        <f>(((E11^2)/E12)^2)/(E12-1)</f>
        <v>4.9592071545614306E-6</v>
      </c>
    </row>
    <row r="44" spans="1:6" x14ac:dyDescent="0.25">
      <c r="A44" s="8">
        <v>3</v>
      </c>
      <c r="B44" s="8">
        <v>4</v>
      </c>
    </row>
    <row r="45" spans="1:6" x14ac:dyDescent="0.25">
      <c r="A45" s="8">
        <v>2</v>
      </c>
      <c r="B45" s="8">
        <v>3</v>
      </c>
      <c r="D45" t="s">
        <v>7</v>
      </c>
      <c r="E45">
        <f>E41/(E42+E43)</f>
        <v>147.60965615657705</v>
      </c>
      <c r="F45" s="6" t="s">
        <v>12</v>
      </c>
    </row>
    <row r="46" spans="1:6" x14ac:dyDescent="0.25">
      <c r="A46" s="8">
        <v>5</v>
      </c>
      <c r="B46" s="8">
        <v>4</v>
      </c>
    </row>
    <row r="47" spans="1:6" x14ac:dyDescent="0.25">
      <c r="A47" s="8">
        <v>4</v>
      </c>
      <c r="B47" s="8">
        <v>5</v>
      </c>
      <c r="D47" t="s">
        <v>13</v>
      </c>
      <c r="E47">
        <v>0.05</v>
      </c>
      <c r="F47" s="6" t="s">
        <v>12</v>
      </c>
    </row>
    <row r="48" spans="1:6" x14ac:dyDescent="0.25">
      <c r="A48" s="8">
        <v>1</v>
      </c>
      <c r="B48" s="8">
        <v>4</v>
      </c>
    </row>
    <row r="49" spans="1:5" x14ac:dyDescent="0.25">
      <c r="A49" s="8">
        <v>3</v>
      </c>
      <c r="B49" s="8">
        <v>5</v>
      </c>
    </row>
    <row r="50" spans="1:5" x14ac:dyDescent="0.25">
      <c r="A50" s="8">
        <v>3</v>
      </c>
      <c r="B50" s="8">
        <v>5</v>
      </c>
    </row>
    <row r="51" spans="1:5" x14ac:dyDescent="0.25">
      <c r="A51" s="8">
        <v>5</v>
      </c>
      <c r="B51" s="8">
        <v>2</v>
      </c>
      <c r="D51" s="5"/>
      <c r="E51" s="5"/>
    </row>
    <row r="52" spans="1:5" x14ac:dyDescent="0.25">
      <c r="A52" s="8">
        <v>5</v>
      </c>
      <c r="B52" s="8">
        <v>5</v>
      </c>
      <c r="D52" t="s">
        <v>16</v>
      </c>
      <c r="E52">
        <f>_xlfn.T.INV.2T(E47,E45)</f>
        <v>1.9762333088953288</v>
      </c>
    </row>
    <row r="53" spans="1:5" x14ac:dyDescent="0.25">
      <c r="A53" s="8">
        <v>5</v>
      </c>
      <c r="B53" s="8">
        <v>2</v>
      </c>
      <c r="D53" t="s">
        <v>17</v>
      </c>
      <c r="E53">
        <f>_xlfn.T.INV(E47, E45)</f>
        <v>-1.6552854366095326</v>
      </c>
    </row>
    <row r="54" spans="1:5" x14ac:dyDescent="0.25">
      <c r="A54" s="8">
        <v>2</v>
      </c>
      <c r="B54" s="8">
        <v>5</v>
      </c>
    </row>
    <row r="55" spans="1:5" x14ac:dyDescent="0.25">
      <c r="A55" s="8">
        <v>2</v>
      </c>
      <c r="B55" s="8">
        <v>4</v>
      </c>
      <c r="D55" t="s">
        <v>18</v>
      </c>
      <c r="E55">
        <f>TTEST(A:A,B:B,2,2)</f>
        <v>3.8845383201247317E-3</v>
      </c>
    </row>
    <row r="56" spans="1:5" x14ac:dyDescent="0.25">
      <c r="A56" s="8">
        <v>3</v>
      </c>
      <c r="B56" s="8">
        <v>2</v>
      </c>
      <c r="D56" t="s">
        <v>19</v>
      </c>
      <c r="E56">
        <f>TTEST(A:A,B:B,1,2)</f>
        <v>1.9422691600623659E-3</v>
      </c>
    </row>
    <row r="57" spans="1:5" x14ac:dyDescent="0.25">
      <c r="A57" s="8">
        <v>2</v>
      </c>
      <c r="B57" s="8">
        <v>3</v>
      </c>
    </row>
    <row r="58" spans="1:5" x14ac:dyDescent="0.25">
      <c r="A58" s="8">
        <v>3</v>
      </c>
      <c r="B58" s="8">
        <v>4</v>
      </c>
    </row>
    <row r="59" spans="1:5" x14ac:dyDescent="0.25">
      <c r="A59" s="8">
        <v>5</v>
      </c>
      <c r="B59" s="8">
        <v>4</v>
      </c>
      <c r="D59" s="5" t="s">
        <v>20</v>
      </c>
      <c r="E59" s="5"/>
    </row>
    <row r="60" spans="1:5" x14ac:dyDescent="0.25">
      <c r="A60" s="8">
        <v>3</v>
      </c>
      <c r="B60" s="8">
        <v>4</v>
      </c>
    </row>
    <row r="61" spans="1:5" x14ac:dyDescent="0.25">
      <c r="A61" s="8">
        <v>1</v>
      </c>
      <c r="B61" s="8">
        <v>2</v>
      </c>
      <c r="D61" t="s">
        <v>21</v>
      </c>
    </row>
    <row r="62" spans="1:5" x14ac:dyDescent="0.25">
      <c r="A62" s="8">
        <v>2</v>
      </c>
      <c r="B62" s="8">
        <v>2</v>
      </c>
      <c r="D62" t="s">
        <v>22</v>
      </c>
    </row>
    <row r="63" spans="1:5" x14ac:dyDescent="0.25">
      <c r="A63" s="8">
        <v>1</v>
      </c>
      <c r="B63" s="8">
        <v>1</v>
      </c>
    </row>
    <row r="64" spans="1:5" x14ac:dyDescent="0.25">
      <c r="A64" s="8">
        <v>2</v>
      </c>
      <c r="B64" s="8">
        <v>5</v>
      </c>
      <c r="D64" t="s">
        <v>23</v>
      </c>
    </row>
    <row r="65" spans="1:4" x14ac:dyDescent="0.25">
      <c r="A65" s="8">
        <v>4</v>
      </c>
      <c r="B65" s="8">
        <v>2</v>
      </c>
      <c r="D65" t="s">
        <v>24</v>
      </c>
    </row>
    <row r="66" spans="1:4" x14ac:dyDescent="0.25">
      <c r="A66" s="8">
        <v>2</v>
      </c>
      <c r="B66" s="8">
        <v>3</v>
      </c>
    </row>
    <row r="67" spans="1:4" x14ac:dyDescent="0.25">
      <c r="A67" s="8">
        <v>3</v>
      </c>
      <c r="B67" s="8">
        <v>4</v>
      </c>
    </row>
    <row r="68" spans="1:4" x14ac:dyDescent="0.25">
      <c r="A68" s="8">
        <v>3</v>
      </c>
      <c r="B68" s="8">
        <v>5</v>
      </c>
      <c r="D68" s="7" t="s">
        <v>25</v>
      </c>
    </row>
    <row r="69" spans="1:4" x14ac:dyDescent="0.25">
      <c r="A69" s="8">
        <v>4</v>
      </c>
      <c r="B69" s="8">
        <v>3</v>
      </c>
    </row>
    <row r="70" spans="1:4" x14ac:dyDescent="0.25">
      <c r="A70" s="8">
        <v>4</v>
      </c>
      <c r="B70" s="8">
        <v>3</v>
      </c>
      <c r="D70" t="s">
        <v>26</v>
      </c>
    </row>
    <row r="71" spans="1:4" x14ac:dyDescent="0.25">
      <c r="A71" s="8">
        <v>3</v>
      </c>
      <c r="B71" s="8">
        <v>2</v>
      </c>
      <c r="D71" t="s">
        <v>27</v>
      </c>
    </row>
    <row r="72" spans="1:4" x14ac:dyDescent="0.25">
      <c r="A72" s="8">
        <v>4</v>
      </c>
      <c r="B72" s="8">
        <v>5</v>
      </c>
      <c r="D72" t="s">
        <v>28</v>
      </c>
    </row>
    <row r="73" spans="1:4" x14ac:dyDescent="0.25">
      <c r="A73" s="8">
        <v>3</v>
      </c>
      <c r="B73" s="8">
        <v>4</v>
      </c>
    </row>
    <row r="74" spans="1:4" x14ac:dyDescent="0.25">
      <c r="A74" s="8">
        <v>2</v>
      </c>
      <c r="B74" s="8">
        <v>5</v>
      </c>
    </row>
    <row r="75" spans="1:4" x14ac:dyDescent="0.25">
      <c r="A75" s="8">
        <v>4</v>
      </c>
      <c r="B75" s="8">
        <v>5</v>
      </c>
      <c r="D75" s="7" t="s">
        <v>25</v>
      </c>
    </row>
    <row r="76" spans="1:4" x14ac:dyDescent="0.25">
      <c r="A76" s="8">
        <v>1</v>
      </c>
      <c r="B76" s="8">
        <v>4</v>
      </c>
    </row>
    <row r="82" spans="4:4" x14ac:dyDescent="0.25">
      <c r="D82" t="s">
        <v>29</v>
      </c>
    </row>
    <row r="83" spans="4:4" x14ac:dyDescent="0.25">
      <c r="D83" t="s">
        <v>28</v>
      </c>
    </row>
    <row r="84" spans="4:4" x14ac:dyDescent="0.25">
      <c r="D84" t="s">
        <v>29</v>
      </c>
    </row>
    <row r="85" spans="4:4" x14ac:dyDescent="0.25">
      <c r="D85" t="s">
        <v>28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D64A8-3D4C-4922-A418-CDB7697E1E17}">
  <dimension ref="A1:F85"/>
  <sheetViews>
    <sheetView zoomScale="64" zoomScaleNormal="64" workbookViewId="0">
      <selection activeCell="D8" sqref="D8"/>
    </sheetView>
  </sheetViews>
  <sheetFormatPr baseColWidth="10" defaultColWidth="9.140625" defaultRowHeight="15" x14ac:dyDescent="0.25"/>
  <cols>
    <col min="1" max="1" width="35" style="8" customWidth="1"/>
    <col min="2" max="2" width="34.85546875" style="8" customWidth="1"/>
    <col min="4" max="4" width="39.42578125" customWidth="1"/>
    <col min="5" max="5" width="21.5703125" customWidth="1"/>
    <col min="6" max="6" width="17.85546875" customWidth="1"/>
  </cols>
  <sheetData>
    <row r="1" spans="1:5" ht="141" customHeight="1" x14ac:dyDescent="0.25">
      <c r="A1" s="10" t="s">
        <v>44</v>
      </c>
      <c r="B1" s="9" t="s">
        <v>45</v>
      </c>
    </row>
    <row r="2" spans="1:5" x14ac:dyDescent="0.25">
      <c r="A2" s="8">
        <v>2</v>
      </c>
      <c r="B2" s="8">
        <v>2</v>
      </c>
      <c r="D2" s="1" t="s">
        <v>53</v>
      </c>
      <c r="E2">
        <f>AVERAGE(A:A)</f>
        <v>3.2933333333333334</v>
      </c>
    </row>
    <row r="3" spans="1:5" x14ac:dyDescent="0.25">
      <c r="A3" s="8">
        <v>3</v>
      </c>
      <c r="B3" s="8">
        <v>4</v>
      </c>
      <c r="D3" s="1" t="s">
        <v>0</v>
      </c>
      <c r="E3">
        <f>MEDIAN(A:A)</f>
        <v>3</v>
      </c>
    </row>
    <row r="4" spans="1:5" x14ac:dyDescent="0.25">
      <c r="A4" s="8">
        <v>3</v>
      </c>
      <c r="B4" s="8">
        <v>2</v>
      </c>
      <c r="D4" s="1" t="s">
        <v>1</v>
      </c>
      <c r="E4">
        <f>MODE(A:A)</f>
        <v>3</v>
      </c>
    </row>
    <row r="5" spans="1:5" x14ac:dyDescent="0.25">
      <c r="A5" s="8">
        <v>1</v>
      </c>
      <c r="B5" s="8">
        <v>4</v>
      </c>
      <c r="D5" s="1" t="s">
        <v>15</v>
      </c>
      <c r="E5">
        <f>STDEV(A:A)</f>
        <v>1.0236835096493093</v>
      </c>
    </row>
    <row r="6" spans="1:5" x14ac:dyDescent="0.25">
      <c r="A6" s="8">
        <v>5</v>
      </c>
      <c r="B6" s="8">
        <v>4</v>
      </c>
      <c r="D6" s="4" t="s">
        <v>4</v>
      </c>
      <c r="E6">
        <f>COUNT(A:A)</f>
        <v>75</v>
      </c>
    </row>
    <row r="7" spans="1:5" x14ac:dyDescent="0.25">
      <c r="A7" s="8">
        <v>4</v>
      </c>
      <c r="B7" s="8">
        <v>3</v>
      </c>
    </row>
    <row r="8" spans="1:5" x14ac:dyDescent="0.25">
      <c r="A8" s="8">
        <v>2</v>
      </c>
      <c r="B8" s="8">
        <v>2</v>
      </c>
      <c r="D8" s="3" t="s">
        <v>52</v>
      </c>
      <c r="E8">
        <f>AVERAGE(B:B)</f>
        <v>3.7866666666666666</v>
      </c>
    </row>
    <row r="9" spans="1:5" x14ac:dyDescent="0.25">
      <c r="A9" s="8">
        <v>4</v>
      </c>
      <c r="B9" s="8">
        <v>4</v>
      </c>
      <c r="D9" s="3" t="s">
        <v>2</v>
      </c>
      <c r="E9">
        <f>MEDIAN(B:B)</f>
        <v>4</v>
      </c>
    </row>
    <row r="10" spans="1:5" x14ac:dyDescent="0.25">
      <c r="A10" s="8">
        <v>4</v>
      </c>
      <c r="B10" s="8">
        <v>5</v>
      </c>
      <c r="D10" s="3" t="s">
        <v>3</v>
      </c>
      <c r="E10">
        <f>MODE(B:B)</f>
        <v>4</v>
      </c>
    </row>
    <row r="11" spans="1:5" x14ac:dyDescent="0.25">
      <c r="A11" s="8">
        <v>4</v>
      </c>
      <c r="B11" s="8">
        <v>4</v>
      </c>
      <c r="D11" s="3" t="s">
        <v>14</v>
      </c>
      <c r="E11">
        <f>STDEV(B:B)</f>
        <v>1.1185576297943571</v>
      </c>
    </row>
    <row r="12" spans="1:5" x14ac:dyDescent="0.25">
      <c r="A12" s="8">
        <v>3</v>
      </c>
      <c r="B12" s="8">
        <v>4</v>
      </c>
      <c r="D12" s="5" t="s">
        <v>5</v>
      </c>
      <c r="E12">
        <f>COUNT(B:B)</f>
        <v>75</v>
      </c>
    </row>
    <row r="13" spans="1:5" x14ac:dyDescent="0.25">
      <c r="A13" s="8">
        <v>5</v>
      </c>
      <c r="B13" s="8">
        <v>5</v>
      </c>
    </row>
    <row r="14" spans="1:5" x14ac:dyDescent="0.25">
      <c r="A14" s="8">
        <v>2</v>
      </c>
      <c r="B14" s="8">
        <v>5</v>
      </c>
    </row>
    <row r="15" spans="1:5" x14ac:dyDescent="0.25">
      <c r="A15" s="8">
        <v>4</v>
      </c>
      <c r="B15" s="8">
        <v>5</v>
      </c>
    </row>
    <row r="16" spans="1:5" x14ac:dyDescent="0.25">
      <c r="A16" s="8">
        <v>5</v>
      </c>
      <c r="B16" s="8">
        <v>4</v>
      </c>
    </row>
    <row r="17" spans="1:5" x14ac:dyDescent="0.25">
      <c r="A17" s="8">
        <v>2</v>
      </c>
      <c r="B17" s="8">
        <v>5</v>
      </c>
      <c r="D17" s="2" t="s">
        <v>6</v>
      </c>
      <c r="E17" s="2"/>
    </row>
    <row r="18" spans="1:5" x14ac:dyDescent="0.25">
      <c r="A18" s="8">
        <v>2</v>
      </c>
      <c r="B18" s="8">
        <v>4</v>
      </c>
    </row>
    <row r="19" spans="1:5" x14ac:dyDescent="0.25">
      <c r="A19" s="8">
        <v>3</v>
      </c>
      <c r="B19" s="8">
        <v>4</v>
      </c>
    </row>
    <row r="20" spans="1:5" x14ac:dyDescent="0.25">
      <c r="A20" s="8">
        <v>3</v>
      </c>
      <c r="B20" s="8">
        <v>5</v>
      </c>
    </row>
    <row r="21" spans="1:5" x14ac:dyDescent="0.25">
      <c r="A21" s="8">
        <v>2</v>
      </c>
      <c r="B21" s="8">
        <v>1</v>
      </c>
    </row>
    <row r="22" spans="1:5" x14ac:dyDescent="0.25">
      <c r="A22" s="8">
        <v>4</v>
      </c>
      <c r="B22" s="8">
        <v>3</v>
      </c>
    </row>
    <row r="23" spans="1:5" x14ac:dyDescent="0.25">
      <c r="A23" s="8">
        <v>5</v>
      </c>
      <c r="B23" s="8">
        <v>3</v>
      </c>
    </row>
    <row r="24" spans="1:5" x14ac:dyDescent="0.25">
      <c r="A24" s="8">
        <v>5</v>
      </c>
      <c r="B24" s="8">
        <v>5</v>
      </c>
    </row>
    <row r="25" spans="1:5" x14ac:dyDescent="0.25">
      <c r="A25" s="8">
        <v>4</v>
      </c>
      <c r="B25" s="8">
        <v>5</v>
      </c>
    </row>
    <row r="26" spans="1:5" x14ac:dyDescent="0.25">
      <c r="A26" s="8">
        <v>3</v>
      </c>
      <c r="B26" s="8">
        <v>5</v>
      </c>
    </row>
    <row r="27" spans="1:5" x14ac:dyDescent="0.25">
      <c r="A27" s="8">
        <v>2</v>
      </c>
      <c r="B27" s="8">
        <v>5</v>
      </c>
    </row>
    <row r="28" spans="1:5" x14ac:dyDescent="0.25">
      <c r="A28" s="8">
        <v>4</v>
      </c>
      <c r="B28" s="8">
        <v>5</v>
      </c>
    </row>
    <row r="29" spans="1:5" x14ac:dyDescent="0.25">
      <c r="A29" s="8">
        <v>3</v>
      </c>
      <c r="B29" s="8">
        <v>4</v>
      </c>
      <c r="D29" t="s">
        <v>11</v>
      </c>
      <c r="E29">
        <f>(E2-E8)/SQRT(((E5^2)/E6)+((E11^2)/E12))</f>
        <v>-2.8176837460563187</v>
      </c>
    </row>
    <row r="30" spans="1:5" x14ac:dyDescent="0.25">
      <c r="A30" s="8">
        <v>2</v>
      </c>
      <c r="B30" s="8">
        <v>5</v>
      </c>
    </row>
    <row r="31" spans="1:5" x14ac:dyDescent="0.25">
      <c r="A31" s="8">
        <v>3</v>
      </c>
      <c r="B31" s="8">
        <v>5</v>
      </c>
      <c r="D31" s="2" t="s">
        <v>7</v>
      </c>
      <c r="E31" s="2"/>
    </row>
    <row r="32" spans="1:5" x14ac:dyDescent="0.25">
      <c r="A32" s="8">
        <v>3</v>
      </c>
      <c r="B32" s="8">
        <v>4</v>
      </c>
    </row>
    <row r="33" spans="1:6" x14ac:dyDescent="0.25">
      <c r="A33" s="8">
        <v>4</v>
      </c>
      <c r="B33" s="8">
        <v>5</v>
      </c>
    </row>
    <row r="34" spans="1:6" x14ac:dyDescent="0.25">
      <c r="A34" s="8">
        <v>2</v>
      </c>
      <c r="B34" s="8">
        <v>4</v>
      </c>
    </row>
    <row r="35" spans="1:6" x14ac:dyDescent="0.25">
      <c r="A35" s="8">
        <v>4</v>
      </c>
      <c r="B35" s="8">
        <v>3</v>
      </c>
    </row>
    <row r="36" spans="1:6" x14ac:dyDescent="0.25">
      <c r="A36" s="8">
        <v>2</v>
      </c>
      <c r="B36" s="8">
        <v>2</v>
      </c>
    </row>
    <row r="37" spans="1:6" x14ac:dyDescent="0.25">
      <c r="A37" s="8">
        <v>5</v>
      </c>
      <c r="B37" s="8">
        <v>5</v>
      </c>
    </row>
    <row r="38" spans="1:6" x14ac:dyDescent="0.25">
      <c r="A38" s="8">
        <v>3</v>
      </c>
      <c r="B38" s="8">
        <v>2</v>
      </c>
    </row>
    <row r="39" spans="1:6" x14ac:dyDescent="0.25">
      <c r="A39" s="8">
        <v>4</v>
      </c>
      <c r="B39" s="8">
        <v>4</v>
      </c>
    </row>
    <row r="40" spans="1:6" x14ac:dyDescent="0.25">
      <c r="A40" s="8">
        <v>4</v>
      </c>
      <c r="B40" s="8">
        <v>5</v>
      </c>
    </row>
    <row r="41" spans="1:6" ht="29.25" customHeight="1" x14ac:dyDescent="0.25">
      <c r="A41" s="8">
        <v>3</v>
      </c>
      <c r="B41" s="8">
        <v>3</v>
      </c>
      <c r="D41" t="s">
        <v>8</v>
      </c>
      <c r="E41">
        <f>(((E5^2)/E6)+((E11^2)/E12))^2</f>
        <v>9.3970785199613935E-4</v>
      </c>
    </row>
    <row r="42" spans="1:6" ht="47.25" customHeight="1" x14ac:dyDescent="0.25">
      <c r="A42" s="8">
        <v>5</v>
      </c>
      <c r="B42" s="8">
        <v>1</v>
      </c>
      <c r="D42" t="s">
        <v>9</v>
      </c>
      <c r="E42">
        <f>(((E5^2)/E6)^2)/(E6-1)</f>
        <v>2.6382052663815496E-6</v>
      </c>
    </row>
    <row r="43" spans="1:6" ht="43.5" customHeight="1" x14ac:dyDescent="0.25">
      <c r="A43" s="8">
        <v>3</v>
      </c>
      <c r="B43" s="8">
        <v>5</v>
      </c>
      <c r="D43" t="s">
        <v>10</v>
      </c>
      <c r="E43">
        <f>(((E11^2)/E12)^2)/(E12-1)</f>
        <v>3.7607911100776884E-6</v>
      </c>
    </row>
    <row r="44" spans="1:6" x14ac:dyDescent="0.25">
      <c r="A44" s="8">
        <v>3</v>
      </c>
      <c r="B44" s="8">
        <v>4</v>
      </c>
    </row>
    <row r="45" spans="1:6" x14ac:dyDescent="0.25">
      <c r="A45" s="8">
        <v>3</v>
      </c>
      <c r="B45" s="8">
        <v>2</v>
      </c>
      <c r="D45" t="s">
        <v>7</v>
      </c>
      <c r="E45">
        <f>E41/(E42+E43)</f>
        <v>146.85238070350474</v>
      </c>
      <c r="F45" s="6" t="s">
        <v>12</v>
      </c>
    </row>
    <row r="46" spans="1:6" x14ac:dyDescent="0.25">
      <c r="A46" s="8">
        <v>3</v>
      </c>
      <c r="B46" s="8">
        <v>2</v>
      </c>
    </row>
    <row r="47" spans="1:6" x14ac:dyDescent="0.25">
      <c r="A47" s="8">
        <v>2</v>
      </c>
      <c r="B47" s="8">
        <v>5</v>
      </c>
      <c r="D47" t="s">
        <v>13</v>
      </c>
      <c r="E47">
        <v>0.05</v>
      </c>
      <c r="F47" s="6" t="s">
        <v>12</v>
      </c>
    </row>
    <row r="48" spans="1:6" x14ac:dyDescent="0.25">
      <c r="A48" s="8">
        <v>3</v>
      </c>
      <c r="B48" s="8">
        <v>4</v>
      </c>
    </row>
    <row r="49" spans="1:5" x14ac:dyDescent="0.25">
      <c r="A49" s="8">
        <v>3</v>
      </c>
      <c r="B49" s="8">
        <v>4</v>
      </c>
    </row>
    <row r="50" spans="1:5" x14ac:dyDescent="0.25">
      <c r="A50" s="8">
        <v>2</v>
      </c>
      <c r="B50" s="8">
        <v>3</v>
      </c>
    </row>
    <row r="51" spans="1:5" x14ac:dyDescent="0.25">
      <c r="A51" s="8">
        <v>4</v>
      </c>
      <c r="B51" s="8">
        <v>3</v>
      </c>
      <c r="D51" s="5"/>
      <c r="E51" s="5"/>
    </row>
    <row r="52" spans="1:5" x14ac:dyDescent="0.25">
      <c r="A52" s="8">
        <v>3</v>
      </c>
      <c r="B52" s="8">
        <v>4</v>
      </c>
      <c r="D52" t="s">
        <v>16</v>
      </c>
      <c r="E52">
        <f>_xlfn.T.INV.2T(E47,E45)</f>
        <v>1.9763456545938156</v>
      </c>
    </row>
    <row r="53" spans="1:5" x14ac:dyDescent="0.25">
      <c r="A53" s="8">
        <v>3</v>
      </c>
      <c r="B53" s="8">
        <v>4</v>
      </c>
      <c r="D53" t="s">
        <v>17</v>
      </c>
      <c r="E53">
        <f>_xlfn.T.INV(E47, E45)</f>
        <v>-1.6553573449019661</v>
      </c>
    </row>
    <row r="54" spans="1:5" x14ac:dyDescent="0.25">
      <c r="A54" s="8">
        <v>5</v>
      </c>
      <c r="B54" s="8">
        <v>3</v>
      </c>
    </row>
    <row r="55" spans="1:5" x14ac:dyDescent="0.25">
      <c r="A55" s="8">
        <v>2</v>
      </c>
      <c r="B55" s="8">
        <v>5</v>
      </c>
      <c r="D55" t="s">
        <v>18</v>
      </c>
      <c r="E55">
        <f>TTEST(A:A,B:B,2,2)</f>
        <v>5.4984414392504899E-3</v>
      </c>
    </row>
    <row r="56" spans="1:5" x14ac:dyDescent="0.25">
      <c r="A56" s="8">
        <v>5</v>
      </c>
      <c r="B56" s="8">
        <v>4</v>
      </c>
      <c r="D56" t="s">
        <v>19</v>
      </c>
      <c r="E56">
        <f>TTEST(A:A,B:B,1,2)</f>
        <v>2.7492207196252449E-3</v>
      </c>
    </row>
    <row r="57" spans="1:5" x14ac:dyDescent="0.25">
      <c r="A57" s="8">
        <v>3</v>
      </c>
      <c r="B57" s="8">
        <v>3</v>
      </c>
    </row>
    <row r="58" spans="1:5" x14ac:dyDescent="0.25">
      <c r="A58" s="8">
        <v>4</v>
      </c>
      <c r="B58" s="8">
        <v>2</v>
      </c>
    </row>
    <row r="59" spans="1:5" x14ac:dyDescent="0.25">
      <c r="A59" s="8">
        <v>4</v>
      </c>
      <c r="B59" s="8">
        <v>3</v>
      </c>
      <c r="D59" s="5" t="s">
        <v>20</v>
      </c>
      <c r="E59" s="5"/>
    </row>
    <row r="60" spans="1:5" x14ac:dyDescent="0.25">
      <c r="A60" s="8">
        <v>3</v>
      </c>
      <c r="B60" s="8">
        <v>4</v>
      </c>
    </row>
    <row r="61" spans="1:5" x14ac:dyDescent="0.25">
      <c r="A61" s="8">
        <v>4</v>
      </c>
      <c r="B61" s="8">
        <v>5</v>
      </c>
      <c r="D61" t="s">
        <v>21</v>
      </c>
    </row>
    <row r="62" spans="1:5" x14ac:dyDescent="0.25">
      <c r="A62" s="8">
        <v>5</v>
      </c>
      <c r="B62" s="8">
        <v>3</v>
      </c>
      <c r="D62" t="s">
        <v>22</v>
      </c>
    </row>
    <row r="63" spans="1:5" x14ac:dyDescent="0.25">
      <c r="A63" s="8">
        <v>3</v>
      </c>
      <c r="B63" s="8">
        <v>4</v>
      </c>
    </row>
    <row r="64" spans="1:5" x14ac:dyDescent="0.25">
      <c r="A64" s="8">
        <v>3</v>
      </c>
      <c r="B64" s="8">
        <v>4</v>
      </c>
      <c r="D64" t="s">
        <v>23</v>
      </c>
    </row>
    <row r="65" spans="1:4" x14ac:dyDescent="0.25">
      <c r="A65" s="8">
        <v>3</v>
      </c>
      <c r="B65" s="8">
        <v>4</v>
      </c>
      <c r="D65" t="s">
        <v>24</v>
      </c>
    </row>
    <row r="66" spans="1:4" x14ac:dyDescent="0.25">
      <c r="A66" s="8">
        <v>4</v>
      </c>
      <c r="B66" s="8">
        <v>3</v>
      </c>
    </row>
    <row r="67" spans="1:4" x14ac:dyDescent="0.25">
      <c r="A67" s="8">
        <v>2</v>
      </c>
      <c r="B67" s="8">
        <v>5</v>
      </c>
    </row>
    <row r="68" spans="1:4" x14ac:dyDescent="0.25">
      <c r="A68" s="8">
        <v>4</v>
      </c>
      <c r="B68" s="8">
        <v>5</v>
      </c>
      <c r="D68" s="7" t="s">
        <v>25</v>
      </c>
    </row>
    <row r="69" spans="1:4" x14ac:dyDescent="0.25">
      <c r="A69" s="8">
        <v>4</v>
      </c>
      <c r="B69" s="8">
        <v>4</v>
      </c>
    </row>
    <row r="70" spans="1:4" x14ac:dyDescent="0.25">
      <c r="A70" s="8">
        <v>4</v>
      </c>
      <c r="B70" s="8">
        <v>5</v>
      </c>
      <c r="D70" t="s">
        <v>26</v>
      </c>
    </row>
    <row r="71" spans="1:4" x14ac:dyDescent="0.25">
      <c r="A71" s="8">
        <v>3</v>
      </c>
      <c r="B71" s="8">
        <v>5</v>
      </c>
      <c r="D71" t="s">
        <v>27</v>
      </c>
    </row>
    <row r="72" spans="1:4" x14ac:dyDescent="0.25">
      <c r="A72" s="8">
        <v>3</v>
      </c>
      <c r="B72" s="8">
        <v>3</v>
      </c>
      <c r="D72" t="s">
        <v>28</v>
      </c>
    </row>
    <row r="73" spans="1:4" x14ac:dyDescent="0.25">
      <c r="A73" s="8">
        <v>1</v>
      </c>
      <c r="B73" s="8">
        <v>4</v>
      </c>
    </row>
    <row r="74" spans="1:4" x14ac:dyDescent="0.25">
      <c r="A74" s="8">
        <v>4</v>
      </c>
      <c r="B74" s="8">
        <v>2</v>
      </c>
    </row>
    <row r="75" spans="1:4" x14ac:dyDescent="0.25">
      <c r="A75" s="8">
        <v>2</v>
      </c>
      <c r="B75" s="8">
        <v>2</v>
      </c>
      <c r="D75" s="7" t="s">
        <v>25</v>
      </c>
    </row>
    <row r="76" spans="1:4" x14ac:dyDescent="0.25">
      <c r="A76" s="8">
        <v>3</v>
      </c>
      <c r="B76" s="8">
        <v>3</v>
      </c>
    </row>
    <row r="82" spans="4:4" x14ac:dyDescent="0.25">
      <c r="D82" t="s">
        <v>29</v>
      </c>
    </row>
    <row r="83" spans="4:4" x14ac:dyDescent="0.25">
      <c r="D83" t="s">
        <v>28</v>
      </c>
    </row>
    <row r="84" spans="4:4" x14ac:dyDescent="0.25">
      <c r="D84" t="s">
        <v>29</v>
      </c>
    </row>
    <row r="85" spans="4:4" x14ac:dyDescent="0.25">
      <c r="D85" t="s">
        <v>28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F4C79-82ED-420F-802C-49BE0B61E6CB}">
  <dimension ref="A1:F85"/>
  <sheetViews>
    <sheetView zoomScale="65" zoomScaleNormal="65" workbookViewId="0">
      <selection activeCell="D8" sqref="D8"/>
    </sheetView>
  </sheetViews>
  <sheetFormatPr baseColWidth="10" defaultColWidth="9.140625" defaultRowHeight="15" x14ac:dyDescent="0.25"/>
  <cols>
    <col min="1" max="1" width="31.5703125" style="8" customWidth="1"/>
    <col min="2" max="2" width="32" style="8" customWidth="1"/>
    <col min="4" max="4" width="42.42578125" customWidth="1"/>
    <col min="5" max="5" width="21.5703125" customWidth="1"/>
    <col min="6" max="6" width="17.85546875" customWidth="1"/>
  </cols>
  <sheetData>
    <row r="1" spans="1:5" ht="141" customHeight="1" x14ac:dyDescent="0.25">
      <c r="A1" s="10" t="s">
        <v>42</v>
      </c>
      <c r="B1" s="9" t="s">
        <v>43</v>
      </c>
    </row>
    <row r="2" spans="1:5" x14ac:dyDescent="0.25">
      <c r="A2" s="8">
        <v>1</v>
      </c>
      <c r="B2" s="8">
        <v>3</v>
      </c>
      <c r="D2" s="1" t="s">
        <v>53</v>
      </c>
      <c r="E2">
        <f>AVERAGE(A:A)</f>
        <v>3.1333333333333333</v>
      </c>
    </row>
    <row r="3" spans="1:5" x14ac:dyDescent="0.25">
      <c r="A3" s="8">
        <v>4</v>
      </c>
      <c r="B3" s="8">
        <v>5</v>
      </c>
      <c r="D3" s="1" t="s">
        <v>0</v>
      </c>
      <c r="E3">
        <f>MEDIAN(A:A)</f>
        <v>3</v>
      </c>
    </row>
    <row r="4" spans="1:5" x14ac:dyDescent="0.25">
      <c r="A4" s="8">
        <v>4</v>
      </c>
      <c r="B4" s="8">
        <v>1</v>
      </c>
      <c r="D4" s="1" t="s">
        <v>1</v>
      </c>
      <c r="E4">
        <f>MODE(A:A)</f>
        <v>3</v>
      </c>
    </row>
    <row r="5" spans="1:5" x14ac:dyDescent="0.25">
      <c r="A5" s="8">
        <v>2</v>
      </c>
      <c r="B5" s="8">
        <v>1</v>
      </c>
      <c r="D5" s="1" t="s">
        <v>15</v>
      </c>
      <c r="E5">
        <f>STDEV(A:A)</f>
        <v>1.2556180058348065</v>
      </c>
    </row>
    <row r="6" spans="1:5" x14ac:dyDescent="0.25">
      <c r="A6" s="8">
        <v>1</v>
      </c>
      <c r="B6" s="8">
        <v>4</v>
      </c>
      <c r="D6" s="4" t="s">
        <v>4</v>
      </c>
      <c r="E6">
        <f>COUNT(A:A)</f>
        <v>75</v>
      </c>
    </row>
    <row r="7" spans="1:5" x14ac:dyDescent="0.25">
      <c r="A7" s="8">
        <v>3</v>
      </c>
      <c r="B7" s="8">
        <v>4</v>
      </c>
    </row>
    <row r="8" spans="1:5" x14ac:dyDescent="0.25">
      <c r="A8" s="8">
        <v>3</v>
      </c>
      <c r="B8" s="8">
        <v>4</v>
      </c>
      <c r="D8" s="3" t="s">
        <v>52</v>
      </c>
      <c r="E8">
        <f>AVERAGE(B:B)</f>
        <v>3.5066666666666668</v>
      </c>
    </row>
    <row r="9" spans="1:5" x14ac:dyDescent="0.25">
      <c r="A9" s="8">
        <v>4</v>
      </c>
      <c r="B9" s="8">
        <v>2</v>
      </c>
      <c r="D9" s="3" t="s">
        <v>2</v>
      </c>
      <c r="E9">
        <f>MEDIAN(B:B)</f>
        <v>4</v>
      </c>
    </row>
    <row r="10" spans="1:5" x14ac:dyDescent="0.25">
      <c r="A10" s="8">
        <v>3</v>
      </c>
      <c r="B10" s="8">
        <v>4</v>
      </c>
      <c r="D10" s="3" t="s">
        <v>3</v>
      </c>
      <c r="E10">
        <f>MODE(B:B)</f>
        <v>5</v>
      </c>
    </row>
    <row r="11" spans="1:5" x14ac:dyDescent="0.25">
      <c r="A11" s="8">
        <v>2</v>
      </c>
      <c r="B11" s="8">
        <v>5</v>
      </c>
      <c r="D11" s="3" t="s">
        <v>14</v>
      </c>
      <c r="E11">
        <f>STDEV(B:B)</f>
        <v>1.2667614947908248</v>
      </c>
    </row>
    <row r="12" spans="1:5" x14ac:dyDescent="0.25">
      <c r="A12" s="8">
        <v>3</v>
      </c>
      <c r="B12" s="8">
        <v>3</v>
      </c>
      <c r="D12" s="5" t="s">
        <v>5</v>
      </c>
      <c r="E12">
        <f>COUNT(B:B)</f>
        <v>75</v>
      </c>
    </row>
    <row r="13" spans="1:5" x14ac:dyDescent="0.25">
      <c r="A13" s="8">
        <v>4</v>
      </c>
      <c r="B13" s="8">
        <v>2</v>
      </c>
    </row>
    <row r="14" spans="1:5" x14ac:dyDescent="0.25">
      <c r="A14" s="8">
        <v>4</v>
      </c>
      <c r="B14" s="8">
        <v>2</v>
      </c>
    </row>
    <row r="15" spans="1:5" x14ac:dyDescent="0.25">
      <c r="A15" s="8">
        <v>5</v>
      </c>
      <c r="B15" s="8">
        <v>4</v>
      </c>
    </row>
    <row r="16" spans="1:5" x14ac:dyDescent="0.25">
      <c r="A16" s="8">
        <v>1</v>
      </c>
      <c r="B16" s="8">
        <v>3</v>
      </c>
    </row>
    <row r="17" spans="1:5" x14ac:dyDescent="0.25">
      <c r="A17" s="8">
        <v>3</v>
      </c>
      <c r="B17" s="8">
        <v>4</v>
      </c>
      <c r="D17" s="2" t="s">
        <v>6</v>
      </c>
      <c r="E17" s="2"/>
    </row>
    <row r="18" spans="1:5" x14ac:dyDescent="0.25">
      <c r="A18" s="8">
        <v>2</v>
      </c>
      <c r="B18" s="8">
        <v>3</v>
      </c>
    </row>
    <row r="19" spans="1:5" x14ac:dyDescent="0.25">
      <c r="A19" s="8">
        <v>4</v>
      </c>
      <c r="B19" s="8">
        <v>3</v>
      </c>
    </row>
    <row r="20" spans="1:5" x14ac:dyDescent="0.25">
      <c r="A20" s="8">
        <v>2</v>
      </c>
      <c r="B20" s="8">
        <v>5</v>
      </c>
    </row>
    <row r="21" spans="1:5" x14ac:dyDescent="0.25">
      <c r="A21" s="8">
        <v>4</v>
      </c>
      <c r="B21" s="8">
        <v>5</v>
      </c>
    </row>
    <row r="22" spans="1:5" x14ac:dyDescent="0.25">
      <c r="A22" s="8">
        <v>2</v>
      </c>
      <c r="B22" s="8">
        <v>5</v>
      </c>
    </row>
    <row r="23" spans="1:5" x14ac:dyDescent="0.25">
      <c r="A23" s="8">
        <v>5</v>
      </c>
      <c r="B23" s="8">
        <v>2</v>
      </c>
    </row>
    <row r="24" spans="1:5" x14ac:dyDescent="0.25">
      <c r="A24" s="8">
        <v>4</v>
      </c>
      <c r="B24" s="8">
        <v>1</v>
      </c>
    </row>
    <row r="25" spans="1:5" x14ac:dyDescent="0.25">
      <c r="A25" s="8">
        <v>2</v>
      </c>
      <c r="B25" s="8">
        <v>5</v>
      </c>
    </row>
    <row r="26" spans="1:5" x14ac:dyDescent="0.25">
      <c r="A26" s="8">
        <v>3</v>
      </c>
      <c r="B26" s="8">
        <v>3</v>
      </c>
    </row>
    <row r="27" spans="1:5" x14ac:dyDescent="0.25">
      <c r="A27" s="8">
        <v>2</v>
      </c>
      <c r="B27" s="8">
        <v>4</v>
      </c>
    </row>
    <row r="28" spans="1:5" x14ac:dyDescent="0.25">
      <c r="A28" s="8">
        <v>1</v>
      </c>
      <c r="B28" s="8">
        <v>1</v>
      </c>
    </row>
    <row r="29" spans="1:5" x14ac:dyDescent="0.25">
      <c r="A29" s="8">
        <v>3</v>
      </c>
      <c r="B29" s="8">
        <v>3</v>
      </c>
      <c r="D29" t="s">
        <v>11</v>
      </c>
      <c r="E29">
        <f>(E2-E8)/SQRT(((E5^2)/E6)+((E11^2)/E12))</f>
        <v>-1.8127074979268802</v>
      </c>
    </row>
    <row r="30" spans="1:5" x14ac:dyDescent="0.25">
      <c r="A30" s="8">
        <v>3</v>
      </c>
      <c r="B30" s="8">
        <v>2</v>
      </c>
    </row>
    <row r="31" spans="1:5" x14ac:dyDescent="0.25">
      <c r="A31" s="8">
        <v>2</v>
      </c>
      <c r="B31" s="8">
        <v>5</v>
      </c>
      <c r="D31" s="2" t="s">
        <v>7</v>
      </c>
      <c r="E31" s="2"/>
    </row>
    <row r="32" spans="1:5" x14ac:dyDescent="0.25">
      <c r="A32" s="8">
        <v>5</v>
      </c>
      <c r="B32" s="8">
        <v>5</v>
      </c>
    </row>
    <row r="33" spans="1:6" x14ac:dyDescent="0.25">
      <c r="A33" s="8">
        <v>4</v>
      </c>
      <c r="B33" s="8">
        <v>5</v>
      </c>
    </row>
    <row r="34" spans="1:6" x14ac:dyDescent="0.25">
      <c r="A34" s="8">
        <v>4</v>
      </c>
      <c r="B34" s="8">
        <v>5</v>
      </c>
    </row>
    <row r="35" spans="1:6" x14ac:dyDescent="0.25">
      <c r="A35" s="8">
        <v>5</v>
      </c>
      <c r="B35" s="8">
        <v>2</v>
      </c>
    </row>
    <row r="36" spans="1:6" x14ac:dyDescent="0.25">
      <c r="A36" s="8">
        <v>1</v>
      </c>
      <c r="B36" s="8">
        <v>3</v>
      </c>
    </row>
    <row r="37" spans="1:6" x14ac:dyDescent="0.25">
      <c r="A37" s="8">
        <v>2</v>
      </c>
      <c r="B37" s="8">
        <v>1</v>
      </c>
    </row>
    <row r="38" spans="1:6" x14ac:dyDescent="0.25">
      <c r="A38" s="8">
        <v>3</v>
      </c>
      <c r="B38" s="8">
        <v>1</v>
      </c>
    </row>
    <row r="39" spans="1:6" x14ac:dyDescent="0.25">
      <c r="A39" s="8">
        <v>5</v>
      </c>
      <c r="B39" s="8">
        <v>3</v>
      </c>
    </row>
    <row r="40" spans="1:6" x14ac:dyDescent="0.25">
      <c r="A40" s="8">
        <v>5</v>
      </c>
      <c r="B40" s="8">
        <v>2</v>
      </c>
    </row>
    <row r="41" spans="1:6" ht="29.25" customHeight="1" x14ac:dyDescent="0.25">
      <c r="A41" s="8">
        <v>5</v>
      </c>
      <c r="B41" s="8">
        <v>2</v>
      </c>
      <c r="D41" t="s">
        <v>8</v>
      </c>
      <c r="E41">
        <f>(((E5^2)/E6)+((E11^2)/E12))^2</f>
        <v>1.7991863488713935E-3</v>
      </c>
    </row>
    <row r="42" spans="1:6" ht="47.25" customHeight="1" x14ac:dyDescent="0.25">
      <c r="A42" s="8">
        <v>3</v>
      </c>
      <c r="B42" s="8">
        <v>3</v>
      </c>
      <c r="D42" t="s">
        <v>9</v>
      </c>
      <c r="E42">
        <f>(((E5^2)/E6)^2)/(E6-1)</f>
        <v>5.9713962806244244E-6</v>
      </c>
    </row>
    <row r="43" spans="1:6" ht="43.5" customHeight="1" x14ac:dyDescent="0.25">
      <c r="A43" s="8">
        <v>4</v>
      </c>
      <c r="B43" s="8">
        <v>4</v>
      </c>
      <c r="D43" t="s">
        <v>10</v>
      </c>
      <c r="E43">
        <f>(((E11^2)/E12)^2)/(E12-1)</f>
        <v>6.1862172666945009E-6</v>
      </c>
    </row>
    <row r="44" spans="1:6" x14ac:dyDescent="0.25">
      <c r="A44" s="8">
        <v>4</v>
      </c>
      <c r="B44" s="8">
        <v>5</v>
      </c>
    </row>
    <row r="45" spans="1:6" x14ac:dyDescent="0.25">
      <c r="A45" s="8">
        <v>4</v>
      </c>
      <c r="B45" s="8">
        <v>5</v>
      </c>
      <c r="D45" t="s">
        <v>7</v>
      </c>
      <c r="E45">
        <f>E41/(E42+E43)</f>
        <v>147.98844706395209</v>
      </c>
      <c r="F45" s="6" t="s">
        <v>12</v>
      </c>
    </row>
    <row r="46" spans="1:6" x14ac:dyDescent="0.25">
      <c r="A46" s="8">
        <v>3</v>
      </c>
      <c r="B46" s="8">
        <v>2</v>
      </c>
    </row>
    <row r="47" spans="1:6" x14ac:dyDescent="0.25">
      <c r="A47" s="8">
        <v>3</v>
      </c>
      <c r="B47" s="8">
        <v>3</v>
      </c>
      <c r="D47" t="s">
        <v>13</v>
      </c>
      <c r="E47">
        <v>0.05</v>
      </c>
      <c r="F47" s="6" t="s">
        <v>12</v>
      </c>
    </row>
    <row r="48" spans="1:6" x14ac:dyDescent="0.25">
      <c r="A48" s="8">
        <v>3</v>
      </c>
      <c r="B48" s="8">
        <v>5</v>
      </c>
    </row>
    <row r="49" spans="1:5" x14ac:dyDescent="0.25">
      <c r="A49" s="8">
        <v>1</v>
      </c>
      <c r="B49" s="8">
        <v>4</v>
      </c>
    </row>
    <row r="50" spans="1:5" x14ac:dyDescent="0.25">
      <c r="A50" s="8">
        <v>5</v>
      </c>
      <c r="B50" s="8">
        <v>4</v>
      </c>
    </row>
    <row r="51" spans="1:5" x14ac:dyDescent="0.25">
      <c r="A51" s="8">
        <v>3</v>
      </c>
      <c r="B51" s="8">
        <v>5</v>
      </c>
      <c r="D51" s="5"/>
      <c r="E51" s="5"/>
    </row>
    <row r="52" spans="1:5" x14ac:dyDescent="0.25">
      <c r="A52" s="8">
        <v>4</v>
      </c>
      <c r="B52" s="8">
        <v>5</v>
      </c>
      <c r="D52" t="s">
        <v>16</v>
      </c>
      <c r="E52">
        <f>_xlfn.T.INV.2T(E47,E45)</f>
        <v>1.9762333088953288</v>
      </c>
    </row>
    <row r="53" spans="1:5" x14ac:dyDescent="0.25">
      <c r="A53" s="8">
        <v>1</v>
      </c>
      <c r="B53" s="8">
        <v>3</v>
      </c>
      <c r="D53" t="s">
        <v>17</v>
      </c>
      <c r="E53">
        <f>_xlfn.T.INV(E47, E45)</f>
        <v>-1.6552854366095326</v>
      </c>
    </row>
    <row r="54" spans="1:5" x14ac:dyDescent="0.25">
      <c r="A54" s="8">
        <v>2</v>
      </c>
      <c r="B54" s="8">
        <v>3</v>
      </c>
    </row>
    <row r="55" spans="1:5" x14ac:dyDescent="0.25">
      <c r="A55" s="8">
        <v>1</v>
      </c>
      <c r="B55" s="8">
        <v>2</v>
      </c>
      <c r="D55" t="s">
        <v>18</v>
      </c>
      <c r="E55">
        <f>TTEST(A:A,B:B,2,2)</f>
        <v>7.1903564069316375E-2</v>
      </c>
    </row>
    <row r="56" spans="1:5" x14ac:dyDescent="0.25">
      <c r="A56" s="8">
        <v>3</v>
      </c>
      <c r="B56" s="8">
        <v>3</v>
      </c>
      <c r="D56" t="s">
        <v>19</v>
      </c>
      <c r="E56">
        <f>TTEST(A:A,B:B,1,2)</f>
        <v>3.5951782034658188E-2</v>
      </c>
    </row>
    <row r="57" spans="1:5" x14ac:dyDescent="0.25">
      <c r="A57" s="8">
        <v>2</v>
      </c>
      <c r="B57" s="8">
        <v>3</v>
      </c>
    </row>
    <row r="58" spans="1:5" x14ac:dyDescent="0.25">
      <c r="A58" s="8">
        <v>2</v>
      </c>
      <c r="B58" s="8">
        <v>3</v>
      </c>
    </row>
    <row r="59" spans="1:5" x14ac:dyDescent="0.25">
      <c r="A59" s="8">
        <v>3</v>
      </c>
      <c r="B59" s="8">
        <v>4</v>
      </c>
      <c r="D59" s="5" t="s">
        <v>20</v>
      </c>
      <c r="E59" s="5"/>
    </row>
    <row r="60" spans="1:5" x14ac:dyDescent="0.25">
      <c r="A60" s="8">
        <v>4</v>
      </c>
      <c r="B60" s="8">
        <v>2</v>
      </c>
    </row>
    <row r="61" spans="1:5" x14ac:dyDescent="0.25">
      <c r="A61" s="8">
        <v>4</v>
      </c>
      <c r="B61" s="8">
        <v>5</v>
      </c>
      <c r="D61" t="s">
        <v>21</v>
      </c>
    </row>
    <row r="62" spans="1:5" x14ac:dyDescent="0.25">
      <c r="A62" s="8">
        <v>3</v>
      </c>
      <c r="B62" s="8">
        <v>5</v>
      </c>
      <c r="D62" t="s">
        <v>22</v>
      </c>
    </row>
    <row r="63" spans="1:5" x14ac:dyDescent="0.25">
      <c r="A63" s="8">
        <v>5</v>
      </c>
      <c r="B63" s="8">
        <v>5</v>
      </c>
    </row>
    <row r="64" spans="1:5" x14ac:dyDescent="0.25">
      <c r="A64" s="8">
        <v>5</v>
      </c>
      <c r="B64" s="8">
        <v>4</v>
      </c>
      <c r="D64" t="s">
        <v>23</v>
      </c>
    </row>
    <row r="65" spans="1:4" x14ac:dyDescent="0.25">
      <c r="A65" s="8">
        <v>2</v>
      </c>
      <c r="B65" s="8">
        <v>4</v>
      </c>
      <c r="D65" t="s">
        <v>24</v>
      </c>
    </row>
    <row r="66" spans="1:4" x14ac:dyDescent="0.25">
      <c r="A66" s="8">
        <v>3</v>
      </c>
      <c r="B66" s="8">
        <v>4</v>
      </c>
    </row>
    <row r="67" spans="1:4" x14ac:dyDescent="0.25">
      <c r="A67" s="8">
        <v>3</v>
      </c>
      <c r="B67" s="8">
        <v>5</v>
      </c>
    </row>
    <row r="68" spans="1:4" x14ac:dyDescent="0.25">
      <c r="A68" s="8">
        <v>5</v>
      </c>
      <c r="B68" s="8">
        <v>5</v>
      </c>
      <c r="D68" s="7" t="s">
        <v>25</v>
      </c>
    </row>
    <row r="69" spans="1:4" x14ac:dyDescent="0.25">
      <c r="A69" s="8">
        <v>2</v>
      </c>
      <c r="B69" s="8">
        <v>5</v>
      </c>
    </row>
    <row r="70" spans="1:4" x14ac:dyDescent="0.25">
      <c r="A70" s="8">
        <v>3</v>
      </c>
      <c r="B70" s="8">
        <v>4</v>
      </c>
      <c r="D70" t="s">
        <v>26</v>
      </c>
    </row>
    <row r="71" spans="1:4" x14ac:dyDescent="0.25">
      <c r="A71" s="8">
        <v>2</v>
      </c>
      <c r="B71" s="8">
        <v>4</v>
      </c>
      <c r="D71" t="s">
        <v>27</v>
      </c>
    </row>
    <row r="72" spans="1:4" x14ac:dyDescent="0.25">
      <c r="A72" s="8">
        <v>5</v>
      </c>
      <c r="B72" s="8">
        <v>4</v>
      </c>
      <c r="D72" t="s">
        <v>28</v>
      </c>
    </row>
    <row r="73" spans="1:4" x14ac:dyDescent="0.25">
      <c r="A73" s="8">
        <v>1</v>
      </c>
      <c r="B73" s="8">
        <v>4</v>
      </c>
    </row>
    <row r="74" spans="1:4" x14ac:dyDescent="0.25">
      <c r="A74" s="8">
        <v>4</v>
      </c>
      <c r="B74" s="8">
        <v>3</v>
      </c>
    </row>
    <row r="75" spans="1:4" x14ac:dyDescent="0.25">
      <c r="A75" s="8">
        <v>4</v>
      </c>
      <c r="B75" s="8">
        <v>4</v>
      </c>
      <c r="D75" s="7" t="s">
        <v>25</v>
      </c>
    </row>
    <row r="76" spans="1:4" x14ac:dyDescent="0.25">
      <c r="A76" s="8">
        <v>4</v>
      </c>
      <c r="B76" s="8">
        <v>3</v>
      </c>
    </row>
    <row r="82" spans="4:4" x14ac:dyDescent="0.25">
      <c r="D82" t="s">
        <v>29</v>
      </c>
    </row>
    <row r="83" spans="4:4" x14ac:dyDescent="0.25">
      <c r="D83" t="s">
        <v>28</v>
      </c>
    </row>
    <row r="84" spans="4:4" x14ac:dyDescent="0.25">
      <c r="D84" t="s">
        <v>29</v>
      </c>
    </row>
    <row r="85" spans="4:4" x14ac:dyDescent="0.25">
      <c r="D85" t="s">
        <v>28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91F1-CE45-4717-B94C-56ADAF8CBB04}">
  <dimension ref="A1:F85"/>
  <sheetViews>
    <sheetView zoomScale="65" zoomScaleNormal="65" workbookViewId="0">
      <selection activeCell="D8" sqref="D8"/>
    </sheetView>
  </sheetViews>
  <sheetFormatPr baseColWidth="10" defaultColWidth="9.140625" defaultRowHeight="15" x14ac:dyDescent="0.25"/>
  <cols>
    <col min="1" max="1" width="31.5703125" style="8" customWidth="1"/>
    <col min="2" max="2" width="32" style="8" customWidth="1"/>
    <col min="4" max="4" width="42.42578125" customWidth="1"/>
    <col min="5" max="5" width="21.5703125" customWidth="1"/>
    <col min="6" max="6" width="17.85546875" customWidth="1"/>
  </cols>
  <sheetData>
    <row r="1" spans="1:5" ht="141" customHeight="1" x14ac:dyDescent="0.25">
      <c r="A1" s="10" t="s">
        <v>40</v>
      </c>
      <c r="B1" s="9" t="s">
        <v>41</v>
      </c>
    </row>
    <row r="2" spans="1:5" x14ac:dyDescent="0.25">
      <c r="A2" s="8">
        <v>4</v>
      </c>
      <c r="B2" s="8">
        <v>3</v>
      </c>
      <c r="D2" s="1" t="s">
        <v>53</v>
      </c>
      <c r="E2">
        <f>AVERAGE(A:A)</f>
        <v>2.9066666666666667</v>
      </c>
    </row>
    <row r="3" spans="1:5" x14ac:dyDescent="0.25">
      <c r="A3" s="8">
        <v>5</v>
      </c>
      <c r="B3" s="8">
        <v>5</v>
      </c>
      <c r="D3" s="1" t="s">
        <v>0</v>
      </c>
      <c r="E3">
        <f>MEDIAN(A:A)</f>
        <v>3</v>
      </c>
    </row>
    <row r="4" spans="1:5" x14ac:dyDescent="0.25">
      <c r="A4" s="8">
        <v>5</v>
      </c>
      <c r="B4" s="8">
        <v>5</v>
      </c>
      <c r="D4" s="1" t="s">
        <v>1</v>
      </c>
      <c r="E4">
        <f>MODE(A:A)</f>
        <v>3</v>
      </c>
    </row>
    <row r="5" spans="1:5" x14ac:dyDescent="0.25">
      <c r="A5" s="8">
        <v>3</v>
      </c>
      <c r="B5" s="8">
        <v>2</v>
      </c>
      <c r="D5" s="1" t="s">
        <v>15</v>
      </c>
      <c r="E5">
        <f>STDEV(A:A)</f>
        <v>1.3966497881110465</v>
      </c>
    </row>
    <row r="6" spans="1:5" x14ac:dyDescent="0.25">
      <c r="A6" s="8">
        <v>4</v>
      </c>
      <c r="B6" s="8">
        <v>4</v>
      </c>
      <c r="D6" s="4" t="s">
        <v>4</v>
      </c>
      <c r="E6">
        <f>COUNT(A:A)</f>
        <v>75</v>
      </c>
    </row>
    <row r="7" spans="1:5" x14ac:dyDescent="0.25">
      <c r="A7" s="8">
        <v>4</v>
      </c>
      <c r="B7" s="8">
        <v>2</v>
      </c>
    </row>
    <row r="8" spans="1:5" x14ac:dyDescent="0.25">
      <c r="A8" s="8">
        <v>2</v>
      </c>
      <c r="B8" s="8">
        <v>2</v>
      </c>
      <c r="D8" s="3" t="s">
        <v>52</v>
      </c>
      <c r="E8">
        <f>AVERAGE(B:B)</f>
        <v>3.3733333333333335</v>
      </c>
    </row>
    <row r="9" spans="1:5" x14ac:dyDescent="0.25">
      <c r="A9" s="8">
        <v>3</v>
      </c>
      <c r="B9" s="8">
        <v>5</v>
      </c>
      <c r="D9" s="3" t="s">
        <v>2</v>
      </c>
      <c r="E9">
        <f>MEDIAN(B:B)</f>
        <v>3</v>
      </c>
    </row>
    <row r="10" spans="1:5" x14ac:dyDescent="0.25">
      <c r="A10" s="8">
        <v>1</v>
      </c>
      <c r="B10" s="8">
        <v>3</v>
      </c>
      <c r="D10" s="3" t="s">
        <v>3</v>
      </c>
      <c r="E10">
        <f>MODE(B:B)</f>
        <v>5</v>
      </c>
    </row>
    <row r="11" spans="1:5" x14ac:dyDescent="0.25">
      <c r="A11" s="8">
        <v>3</v>
      </c>
      <c r="B11" s="8">
        <v>5</v>
      </c>
      <c r="D11" s="3" t="s">
        <v>14</v>
      </c>
      <c r="E11">
        <f>STDEV(B:B)</f>
        <v>1.3534074448264688</v>
      </c>
    </row>
    <row r="12" spans="1:5" x14ac:dyDescent="0.25">
      <c r="A12" s="8">
        <v>3</v>
      </c>
      <c r="B12" s="8">
        <v>3</v>
      </c>
      <c r="D12" s="5" t="s">
        <v>5</v>
      </c>
      <c r="E12">
        <f>COUNT(B:B)</f>
        <v>75</v>
      </c>
    </row>
    <row r="13" spans="1:5" x14ac:dyDescent="0.25">
      <c r="A13" s="8">
        <v>5</v>
      </c>
      <c r="B13" s="8">
        <v>4</v>
      </c>
    </row>
    <row r="14" spans="1:5" x14ac:dyDescent="0.25">
      <c r="A14" s="8">
        <v>3</v>
      </c>
      <c r="B14" s="8">
        <v>2</v>
      </c>
    </row>
    <row r="15" spans="1:5" x14ac:dyDescent="0.25">
      <c r="A15" s="8">
        <v>2</v>
      </c>
      <c r="B15" s="8">
        <v>4</v>
      </c>
    </row>
    <row r="16" spans="1:5" x14ac:dyDescent="0.25">
      <c r="A16" s="8">
        <v>2</v>
      </c>
      <c r="B16" s="8">
        <v>5</v>
      </c>
    </row>
    <row r="17" spans="1:5" x14ac:dyDescent="0.25">
      <c r="A17" s="8">
        <v>1</v>
      </c>
      <c r="B17" s="8">
        <v>5</v>
      </c>
      <c r="D17" s="2" t="s">
        <v>6</v>
      </c>
      <c r="E17" s="2"/>
    </row>
    <row r="18" spans="1:5" x14ac:dyDescent="0.25">
      <c r="A18" s="8">
        <v>1</v>
      </c>
      <c r="B18" s="8">
        <v>2</v>
      </c>
    </row>
    <row r="19" spans="1:5" x14ac:dyDescent="0.25">
      <c r="A19" s="8">
        <v>5</v>
      </c>
      <c r="B19" s="8">
        <v>4</v>
      </c>
    </row>
    <row r="20" spans="1:5" x14ac:dyDescent="0.25">
      <c r="A20" s="8">
        <v>5</v>
      </c>
      <c r="B20" s="8">
        <v>5</v>
      </c>
    </row>
    <row r="21" spans="1:5" x14ac:dyDescent="0.25">
      <c r="A21" s="8">
        <v>1</v>
      </c>
      <c r="B21" s="8">
        <v>5</v>
      </c>
    </row>
    <row r="22" spans="1:5" x14ac:dyDescent="0.25">
      <c r="A22" s="8">
        <v>3</v>
      </c>
      <c r="B22" s="8">
        <v>3</v>
      </c>
    </row>
    <row r="23" spans="1:5" x14ac:dyDescent="0.25">
      <c r="A23" s="8">
        <v>2</v>
      </c>
      <c r="B23" s="8">
        <v>5</v>
      </c>
    </row>
    <row r="24" spans="1:5" x14ac:dyDescent="0.25">
      <c r="A24" s="8">
        <v>4</v>
      </c>
      <c r="B24" s="8">
        <v>2</v>
      </c>
    </row>
    <row r="25" spans="1:5" x14ac:dyDescent="0.25">
      <c r="A25" s="8">
        <v>3</v>
      </c>
      <c r="B25" s="8">
        <v>3</v>
      </c>
    </row>
    <row r="26" spans="1:5" x14ac:dyDescent="0.25">
      <c r="A26" s="8">
        <v>4</v>
      </c>
      <c r="B26" s="8">
        <v>5</v>
      </c>
    </row>
    <row r="27" spans="1:5" x14ac:dyDescent="0.25">
      <c r="A27" s="8">
        <v>5</v>
      </c>
      <c r="B27" s="8">
        <v>5</v>
      </c>
    </row>
    <row r="28" spans="1:5" x14ac:dyDescent="0.25">
      <c r="A28" s="8">
        <v>2</v>
      </c>
      <c r="B28" s="8">
        <v>2</v>
      </c>
    </row>
    <row r="29" spans="1:5" x14ac:dyDescent="0.25">
      <c r="A29" s="8">
        <v>3</v>
      </c>
      <c r="B29" s="8">
        <v>5</v>
      </c>
      <c r="D29" t="s">
        <v>11</v>
      </c>
      <c r="E29">
        <f>(E2-E8)/SQRT(((E5^2)/E6)+((E11^2)/E12))</f>
        <v>-2.0780547966319078</v>
      </c>
    </row>
    <row r="30" spans="1:5" x14ac:dyDescent="0.25">
      <c r="A30" s="8">
        <v>2</v>
      </c>
      <c r="B30" s="8">
        <v>4</v>
      </c>
    </row>
    <row r="31" spans="1:5" x14ac:dyDescent="0.25">
      <c r="A31" s="8">
        <v>1</v>
      </c>
      <c r="B31" s="8">
        <v>2</v>
      </c>
      <c r="D31" s="2" t="s">
        <v>7</v>
      </c>
      <c r="E31" s="2"/>
    </row>
    <row r="32" spans="1:5" x14ac:dyDescent="0.25">
      <c r="A32" s="8">
        <v>3</v>
      </c>
      <c r="B32" s="8">
        <v>2</v>
      </c>
    </row>
    <row r="33" spans="1:6" x14ac:dyDescent="0.25">
      <c r="A33" s="8">
        <v>1</v>
      </c>
      <c r="B33" s="8">
        <v>2</v>
      </c>
    </row>
    <row r="34" spans="1:6" x14ac:dyDescent="0.25">
      <c r="A34" s="8">
        <v>4</v>
      </c>
      <c r="B34" s="8">
        <v>2</v>
      </c>
    </row>
    <row r="35" spans="1:6" x14ac:dyDescent="0.25">
      <c r="A35" s="8">
        <v>2</v>
      </c>
      <c r="B35" s="8">
        <v>3</v>
      </c>
    </row>
    <row r="36" spans="1:6" x14ac:dyDescent="0.25">
      <c r="A36" s="8">
        <v>3</v>
      </c>
      <c r="B36" s="8">
        <v>5</v>
      </c>
    </row>
    <row r="37" spans="1:6" x14ac:dyDescent="0.25">
      <c r="A37" s="8">
        <v>4</v>
      </c>
      <c r="B37" s="8">
        <v>4</v>
      </c>
    </row>
    <row r="38" spans="1:6" x14ac:dyDescent="0.25">
      <c r="A38" s="8">
        <v>1</v>
      </c>
      <c r="B38" s="8">
        <v>3</v>
      </c>
    </row>
    <row r="39" spans="1:6" x14ac:dyDescent="0.25">
      <c r="A39" s="8">
        <v>4</v>
      </c>
      <c r="B39" s="8">
        <v>5</v>
      </c>
    </row>
    <row r="40" spans="1:6" x14ac:dyDescent="0.25">
      <c r="A40" s="8">
        <v>5</v>
      </c>
      <c r="B40" s="8">
        <v>1</v>
      </c>
    </row>
    <row r="41" spans="1:6" ht="29.25" customHeight="1" x14ac:dyDescent="0.25">
      <c r="A41" s="8">
        <v>1</v>
      </c>
      <c r="B41" s="8">
        <v>5</v>
      </c>
      <c r="D41" t="s">
        <v>8</v>
      </c>
      <c r="E41">
        <f>(((E5^2)/E6)+((E11^2)/E12))^2</f>
        <v>2.5433090834979123E-3</v>
      </c>
    </row>
    <row r="42" spans="1:6" ht="47.25" customHeight="1" x14ac:dyDescent="0.25">
      <c r="A42" s="8">
        <v>3</v>
      </c>
      <c r="B42" s="8">
        <v>3</v>
      </c>
      <c r="D42" t="s">
        <v>9</v>
      </c>
      <c r="E42">
        <f>(((E5^2)/E6)^2)/(E6-1)</f>
        <v>9.1410447018725588E-6</v>
      </c>
    </row>
    <row r="43" spans="1:6" ht="43.5" customHeight="1" x14ac:dyDescent="0.25">
      <c r="A43" s="8">
        <v>2</v>
      </c>
      <c r="B43" s="8">
        <v>5</v>
      </c>
      <c r="D43" t="s">
        <v>10</v>
      </c>
      <c r="E43">
        <f>(((E11^2)/E12)^2)/(E12-1)</f>
        <v>8.0604631707431759E-6</v>
      </c>
    </row>
    <row r="44" spans="1:6" x14ac:dyDescent="0.25">
      <c r="A44" s="8">
        <v>1</v>
      </c>
      <c r="B44" s="8">
        <v>3</v>
      </c>
    </row>
    <row r="45" spans="1:6" x14ac:dyDescent="0.25">
      <c r="A45" s="8">
        <v>2</v>
      </c>
      <c r="B45" s="8">
        <v>5</v>
      </c>
      <c r="D45" t="s">
        <v>7</v>
      </c>
      <c r="E45">
        <f>E41/(E42+E43)</f>
        <v>147.85384527520296</v>
      </c>
      <c r="F45" s="6" t="s">
        <v>12</v>
      </c>
    </row>
    <row r="46" spans="1:6" x14ac:dyDescent="0.25">
      <c r="A46" s="8">
        <v>2</v>
      </c>
      <c r="B46" s="8">
        <v>5</v>
      </c>
    </row>
    <row r="47" spans="1:6" x14ac:dyDescent="0.25">
      <c r="A47" s="8">
        <v>4</v>
      </c>
      <c r="B47" s="8">
        <v>5</v>
      </c>
      <c r="D47" t="s">
        <v>13</v>
      </c>
      <c r="E47">
        <v>0.05</v>
      </c>
      <c r="F47" s="6" t="s">
        <v>12</v>
      </c>
    </row>
    <row r="48" spans="1:6" x14ac:dyDescent="0.25">
      <c r="A48" s="8">
        <v>3</v>
      </c>
      <c r="B48" s="8">
        <v>3</v>
      </c>
    </row>
    <row r="49" spans="1:5" x14ac:dyDescent="0.25">
      <c r="A49" s="8">
        <v>2</v>
      </c>
      <c r="B49" s="8">
        <v>2</v>
      </c>
    </row>
    <row r="50" spans="1:5" x14ac:dyDescent="0.25">
      <c r="A50" s="8">
        <v>5</v>
      </c>
      <c r="B50" s="8">
        <v>3</v>
      </c>
    </row>
    <row r="51" spans="1:5" x14ac:dyDescent="0.25">
      <c r="A51" s="8">
        <v>5</v>
      </c>
      <c r="B51" s="8">
        <v>2</v>
      </c>
      <c r="D51" s="5"/>
      <c r="E51" s="5"/>
    </row>
    <row r="52" spans="1:5" x14ac:dyDescent="0.25">
      <c r="A52" s="8">
        <v>2</v>
      </c>
      <c r="B52" s="8">
        <v>4</v>
      </c>
      <c r="D52" t="s">
        <v>16</v>
      </c>
      <c r="E52">
        <f>_xlfn.T.INV.2T(E47,E45)</f>
        <v>1.9762333088953288</v>
      </c>
    </row>
    <row r="53" spans="1:5" x14ac:dyDescent="0.25">
      <c r="A53" s="8">
        <v>4</v>
      </c>
      <c r="B53" s="8">
        <v>4</v>
      </c>
      <c r="D53" t="s">
        <v>17</v>
      </c>
      <c r="E53">
        <f>_xlfn.T.INV(E47, E45)</f>
        <v>-1.6552854366095326</v>
      </c>
    </row>
    <row r="54" spans="1:5" x14ac:dyDescent="0.25">
      <c r="A54" s="8">
        <v>3</v>
      </c>
      <c r="B54" s="8">
        <v>3</v>
      </c>
    </row>
    <row r="55" spans="1:5" x14ac:dyDescent="0.25">
      <c r="A55" s="8">
        <v>4</v>
      </c>
      <c r="B55" s="8">
        <v>4</v>
      </c>
      <c r="D55" t="s">
        <v>18</v>
      </c>
      <c r="E55">
        <f>TTEST(A:A,B:B,2,2)</f>
        <v>3.9431264448489149E-2</v>
      </c>
    </row>
    <row r="56" spans="1:5" x14ac:dyDescent="0.25">
      <c r="A56" s="8">
        <v>1</v>
      </c>
      <c r="B56" s="8">
        <v>1</v>
      </c>
      <c r="D56" t="s">
        <v>19</v>
      </c>
      <c r="E56">
        <f>TTEST(A:A,B:B,1,2)</f>
        <v>1.9715632224244575E-2</v>
      </c>
    </row>
    <row r="57" spans="1:5" x14ac:dyDescent="0.25">
      <c r="A57" s="8">
        <v>2</v>
      </c>
      <c r="B57" s="8">
        <v>5</v>
      </c>
    </row>
    <row r="58" spans="1:5" x14ac:dyDescent="0.25">
      <c r="A58" s="8">
        <v>3</v>
      </c>
      <c r="B58" s="8">
        <v>2</v>
      </c>
    </row>
    <row r="59" spans="1:5" x14ac:dyDescent="0.25">
      <c r="A59" s="8">
        <v>3</v>
      </c>
      <c r="B59" s="8">
        <v>5</v>
      </c>
      <c r="D59" s="5" t="s">
        <v>20</v>
      </c>
      <c r="E59" s="5"/>
    </row>
    <row r="60" spans="1:5" x14ac:dyDescent="0.25">
      <c r="A60" s="8">
        <v>1</v>
      </c>
      <c r="B60" s="8">
        <v>1</v>
      </c>
    </row>
    <row r="61" spans="1:5" x14ac:dyDescent="0.25">
      <c r="A61" s="8">
        <v>4</v>
      </c>
      <c r="B61" s="8">
        <v>3</v>
      </c>
      <c r="D61" t="s">
        <v>21</v>
      </c>
    </row>
    <row r="62" spans="1:5" x14ac:dyDescent="0.25">
      <c r="A62" s="8">
        <v>5</v>
      </c>
      <c r="B62" s="8">
        <v>1</v>
      </c>
      <c r="D62" t="s">
        <v>22</v>
      </c>
    </row>
    <row r="63" spans="1:5" x14ac:dyDescent="0.25">
      <c r="A63" s="8">
        <v>5</v>
      </c>
      <c r="B63" s="8">
        <v>5</v>
      </c>
    </row>
    <row r="64" spans="1:5" x14ac:dyDescent="0.25">
      <c r="A64" s="8">
        <v>2</v>
      </c>
      <c r="B64" s="8">
        <v>4</v>
      </c>
      <c r="D64" t="s">
        <v>23</v>
      </c>
    </row>
    <row r="65" spans="1:4" x14ac:dyDescent="0.25">
      <c r="A65" s="8">
        <v>3</v>
      </c>
      <c r="B65" s="8">
        <v>1</v>
      </c>
      <c r="D65" t="s">
        <v>24</v>
      </c>
    </row>
    <row r="66" spans="1:4" x14ac:dyDescent="0.25">
      <c r="A66" s="8">
        <v>1</v>
      </c>
      <c r="B66" s="8">
        <v>3</v>
      </c>
    </row>
    <row r="67" spans="1:4" x14ac:dyDescent="0.25">
      <c r="A67" s="8">
        <v>3</v>
      </c>
      <c r="B67" s="8">
        <v>3</v>
      </c>
    </row>
    <row r="68" spans="1:4" x14ac:dyDescent="0.25">
      <c r="A68" s="8">
        <v>5</v>
      </c>
      <c r="B68" s="8">
        <v>3</v>
      </c>
      <c r="D68" s="7" t="s">
        <v>25</v>
      </c>
    </row>
    <row r="69" spans="1:4" x14ac:dyDescent="0.25">
      <c r="A69" s="8">
        <v>1</v>
      </c>
      <c r="B69" s="8">
        <v>3</v>
      </c>
    </row>
    <row r="70" spans="1:4" x14ac:dyDescent="0.25">
      <c r="A70" s="8">
        <v>1</v>
      </c>
      <c r="B70" s="8">
        <v>3</v>
      </c>
      <c r="D70" t="s">
        <v>26</v>
      </c>
    </row>
    <row r="71" spans="1:4" x14ac:dyDescent="0.25">
      <c r="A71" s="8">
        <v>2</v>
      </c>
      <c r="B71" s="8">
        <v>3</v>
      </c>
      <c r="D71" t="s">
        <v>27</v>
      </c>
    </row>
    <row r="72" spans="1:4" x14ac:dyDescent="0.25">
      <c r="A72" s="8">
        <v>5</v>
      </c>
      <c r="B72" s="8">
        <v>1</v>
      </c>
      <c r="D72" t="s">
        <v>28</v>
      </c>
    </row>
    <row r="73" spans="1:4" x14ac:dyDescent="0.25">
      <c r="A73" s="8">
        <v>4</v>
      </c>
      <c r="B73" s="8">
        <v>5</v>
      </c>
    </row>
    <row r="74" spans="1:4" x14ac:dyDescent="0.25">
      <c r="A74" s="8">
        <v>4</v>
      </c>
      <c r="B74" s="8">
        <v>4</v>
      </c>
    </row>
    <row r="75" spans="1:4" x14ac:dyDescent="0.25">
      <c r="A75" s="8">
        <v>1</v>
      </c>
      <c r="B75" s="8">
        <v>1</v>
      </c>
      <c r="D75" s="7" t="s">
        <v>25</v>
      </c>
    </row>
    <row r="76" spans="1:4" x14ac:dyDescent="0.25">
      <c r="A76" s="8">
        <v>1</v>
      </c>
      <c r="B76" s="8">
        <v>2</v>
      </c>
    </row>
    <row r="82" spans="4:4" x14ac:dyDescent="0.25">
      <c r="D82" t="s">
        <v>29</v>
      </c>
    </row>
    <row r="83" spans="4:4" x14ac:dyDescent="0.25">
      <c r="D83" t="s">
        <v>28</v>
      </c>
    </row>
    <row r="84" spans="4:4" x14ac:dyDescent="0.25">
      <c r="D84" t="s">
        <v>29</v>
      </c>
    </row>
    <row r="85" spans="4:4" x14ac:dyDescent="0.25">
      <c r="D85" t="s">
        <v>28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D3FA6-9FF3-44CF-9AAF-7B030FD9FC70}">
  <dimension ref="A1:F85"/>
  <sheetViews>
    <sheetView zoomScale="70" zoomScaleNormal="70" workbookViewId="0">
      <selection activeCell="E56" sqref="E56"/>
    </sheetView>
  </sheetViews>
  <sheetFormatPr baseColWidth="10" defaultColWidth="9.140625" defaultRowHeight="15" x14ac:dyDescent="0.25"/>
  <cols>
    <col min="1" max="1" width="25.42578125" style="8" customWidth="1"/>
    <col min="2" max="2" width="24.42578125" style="8" customWidth="1"/>
    <col min="4" max="4" width="38.85546875" customWidth="1"/>
    <col min="5" max="5" width="21.5703125" customWidth="1"/>
    <col min="6" max="6" width="17.85546875" customWidth="1"/>
  </cols>
  <sheetData>
    <row r="1" spans="1:5" ht="141" customHeight="1" x14ac:dyDescent="0.25">
      <c r="A1" s="10" t="s">
        <v>38</v>
      </c>
      <c r="B1" s="9" t="s">
        <v>39</v>
      </c>
    </row>
    <row r="2" spans="1:5" x14ac:dyDescent="0.25">
      <c r="A2" s="8">
        <v>3</v>
      </c>
      <c r="B2" s="8">
        <v>5</v>
      </c>
      <c r="D2" s="1" t="s">
        <v>53</v>
      </c>
      <c r="E2">
        <f>AVERAGE(A:A)</f>
        <v>3.1733333333333333</v>
      </c>
    </row>
    <row r="3" spans="1:5" x14ac:dyDescent="0.25">
      <c r="A3" s="8">
        <v>2</v>
      </c>
      <c r="B3" s="8">
        <v>5</v>
      </c>
      <c r="D3" s="1" t="s">
        <v>0</v>
      </c>
      <c r="E3">
        <f>MEDIAN(A:A)</f>
        <v>3</v>
      </c>
    </row>
    <row r="4" spans="1:5" x14ac:dyDescent="0.25">
      <c r="A4" s="8">
        <v>4</v>
      </c>
      <c r="B4" s="8">
        <v>5</v>
      </c>
      <c r="D4" s="1" t="s">
        <v>1</v>
      </c>
      <c r="E4">
        <f>MODE(A:A)</f>
        <v>3</v>
      </c>
    </row>
    <row r="5" spans="1:5" x14ac:dyDescent="0.25">
      <c r="A5" s="8">
        <v>5</v>
      </c>
      <c r="B5" s="8">
        <v>5</v>
      </c>
      <c r="D5" s="1" t="s">
        <v>15</v>
      </c>
      <c r="E5">
        <f>STDEV(A:A)</f>
        <v>1.3593851286254119</v>
      </c>
    </row>
    <row r="6" spans="1:5" x14ac:dyDescent="0.25">
      <c r="A6" s="8">
        <v>4</v>
      </c>
      <c r="B6" s="8">
        <v>2</v>
      </c>
      <c r="D6" s="4" t="s">
        <v>4</v>
      </c>
      <c r="E6">
        <f>COUNT(A:A)</f>
        <v>75</v>
      </c>
    </row>
    <row r="7" spans="1:5" x14ac:dyDescent="0.25">
      <c r="A7" s="8">
        <v>3</v>
      </c>
      <c r="B7" s="8">
        <v>2</v>
      </c>
    </row>
    <row r="8" spans="1:5" x14ac:dyDescent="0.25">
      <c r="A8" s="8">
        <v>3</v>
      </c>
      <c r="B8" s="8">
        <v>3</v>
      </c>
      <c r="D8" s="3" t="s">
        <v>52</v>
      </c>
      <c r="E8">
        <f>AVERAGE(B:B)</f>
        <v>3.6133333333333333</v>
      </c>
    </row>
    <row r="9" spans="1:5" x14ac:dyDescent="0.25">
      <c r="A9" s="8">
        <v>2</v>
      </c>
      <c r="B9" s="8">
        <v>5</v>
      </c>
      <c r="D9" s="3" t="s">
        <v>2</v>
      </c>
      <c r="E9">
        <f>MEDIAN(B:B)</f>
        <v>4</v>
      </c>
    </row>
    <row r="10" spans="1:5" x14ac:dyDescent="0.25">
      <c r="A10" s="8">
        <v>4</v>
      </c>
      <c r="B10" s="8">
        <v>4</v>
      </c>
      <c r="D10" s="3" t="s">
        <v>3</v>
      </c>
      <c r="E10">
        <f>MODE(B:B)</f>
        <v>4</v>
      </c>
    </row>
    <row r="11" spans="1:5" x14ac:dyDescent="0.25">
      <c r="A11" s="8">
        <v>5</v>
      </c>
      <c r="B11" s="8">
        <v>3</v>
      </c>
      <c r="D11" s="3" t="s">
        <v>14</v>
      </c>
      <c r="E11">
        <f>STDEV(B:B)</f>
        <v>1.218032677559844</v>
      </c>
    </row>
    <row r="12" spans="1:5" x14ac:dyDescent="0.25">
      <c r="A12" s="8">
        <v>5</v>
      </c>
      <c r="B12" s="8">
        <v>5</v>
      </c>
      <c r="D12" s="5" t="s">
        <v>5</v>
      </c>
      <c r="E12">
        <f>COUNT(B:B)</f>
        <v>75</v>
      </c>
    </row>
    <row r="13" spans="1:5" x14ac:dyDescent="0.25">
      <c r="A13" s="8">
        <v>3</v>
      </c>
      <c r="B13" s="8">
        <v>4</v>
      </c>
    </row>
    <row r="14" spans="1:5" x14ac:dyDescent="0.25">
      <c r="A14" s="8">
        <v>2</v>
      </c>
      <c r="B14" s="8">
        <v>4</v>
      </c>
    </row>
    <row r="15" spans="1:5" x14ac:dyDescent="0.25">
      <c r="A15" s="8">
        <v>2</v>
      </c>
      <c r="B15" s="8">
        <v>4</v>
      </c>
    </row>
    <row r="16" spans="1:5" x14ac:dyDescent="0.25">
      <c r="A16" s="8">
        <v>1</v>
      </c>
      <c r="B16" s="8">
        <v>3</v>
      </c>
    </row>
    <row r="17" spans="1:5" x14ac:dyDescent="0.25">
      <c r="A17" s="8">
        <v>2</v>
      </c>
      <c r="B17" s="8">
        <v>5</v>
      </c>
      <c r="D17" s="2" t="s">
        <v>6</v>
      </c>
      <c r="E17" s="2"/>
    </row>
    <row r="18" spans="1:5" x14ac:dyDescent="0.25">
      <c r="A18" s="8">
        <v>2</v>
      </c>
      <c r="B18" s="8">
        <v>4</v>
      </c>
    </row>
    <row r="19" spans="1:5" x14ac:dyDescent="0.25">
      <c r="A19" s="8">
        <v>3</v>
      </c>
      <c r="B19" s="8">
        <v>3</v>
      </c>
    </row>
    <row r="20" spans="1:5" x14ac:dyDescent="0.25">
      <c r="A20" s="8">
        <v>5</v>
      </c>
      <c r="B20" s="8">
        <v>4</v>
      </c>
    </row>
    <row r="21" spans="1:5" x14ac:dyDescent="0.25">
      <c r="A21" s="8">
        <v>4</v>
      </c>
      <c r="B21" s="8">
        <v>3</v>
      </c>
    </row>
    <row r="22" spans="1:5" x14ac:dyDescent="0.25">
      <c r="A22" s="8">
        <v>5</v>
      </c>
      <c r="B22" s="8">
        <v>4</v>
      </c>
    </row>
    <row r="23" spans="1:5" x14ac:dyDescent="0.25">
      <c r="A23" s="8">
        <v>4</v>
      </c>
      <c r="B23" s="8">
        <v>5</v>
      </c>
    </row>
    <row r="24" spans="1:5" x14ac:dyDescent="0.25">
      <c r="A24" s="8">
        <v>2</v>
      </c>
      <c r="B24" s="8">
        <v>5</v>
      </c>
    </row>
    <row r="25" spans="1:5" x14ac:dyDescent="0.25">
      <c r="A25" s="8">
        <v>3</v>
      </c>
      <c r="B25" s="8">
        <v>3</v>
      </c>
    </row>
    <row r="26" spans="1:5" x14ac:dyDescent="0.25">
      <c r="A26" s="8">
        <v>1</v>
      </c>
      <c r="B26" s="8">
        <v>5</v>
      </c>
    </row>
    <row r="27" spans="1:5" x14ac:dyDescent="0.25">
      <c r="A27" s="8">
        <v>1</v>
      </c>
      <c r="B27" s="8">
        <v>4</v>
      </c>
    </row>
    <row r="28" spans="1:5" x14ac:dyDescent="0.25">
      <c r="A28" s="8">
        <v>5</v>
      </c>
      <c r="B28" s="8">
        <v>1</v>
      </c>
    </row>
    <row r="29" spans="1:5" x14ac:dyDescent="0.25">
      <c r="A29" s="8">
        <v>2</v>
      </c>
      <c r="B29" s="8">
        <v>4</v>
      </c>
      <c r="D29" t="s">
        <v>11</v>
      </c>
      <c r="E29">
        <f>(E2-E8)/SQRT(((E5^2)/E6)+((E11^2)/E12))</f>
        <v>-2.0876675664570681</v>
      </c>
    </row>
    <row r="30" spans="1:5" x14ac:dyDescent="0.25">
      <c r="A30" s="8">
        <v>2</v>
      </c>
      <c r="B30" s="8">
        <v>4</v>
      </c>
    </row>
    <row r="31" spans="1:5" x14ac:dyDescent="0.25">
      <c r="A31" s="8">
        <v>1</v>
      </c>
      <c r="B31" s="8">
        <v>4</v>
      </c>
      <c r="D31" s="2" t="s">
        <v>7</v>
      </c>
      <c r="E31" s="2"/>
    </row>
    <row r="32" spans="1:5" x14ac:dyDescent="0.25">
      <c r="A32" s="8">
        <v>3</v>
      </c>
      <c r="B32" s="8">
        <v>4</v>
      </c>
    </row>
    <row r="33" spans="1:6" x14ac:dyDescent="0.25">
      <c r="A33" s="8">
        <v>3</v>
      </c>
      <c r="B33" s="8">
        <v>4</v>
      </c>
    </row>
    <row r="34" spans="1:6" x14ac:dyDescent="0.25">
      <c r="A34" s="8">
        <v>4</v>
      </c>
      <c r="B34" s="8">
        <v>1</v>
      </c>
    </row>
    <row r="35" spans="1:6" x14ac:dyDescent="0.25">
      <c r="A35" s="8">
        <v>2</v>
      </c>
      <c r="B35" s="8">
        <v>4</v>
      </c>
    </row>
    <row r="36" spans="1:6" x14ac:dyDescent="0.25">
      <c r="A36" s="8">
        <v>5</v>
      </c>
      <c r="B36" s="8">
        <v>3</v>
      </c>
    </row>
    <row r="37" spans="1:6" x14ac:dyDescent="0.25">
      <c r="A37" s="8">
        <v>2</v>
      </c>
      <c r="B37" s="8">
        <v>2</v>
      </c>
    </row>
    <row r="38" spans="1:6" x14ac:dyDescent="0.25">
      <c r="A38" s="8">
        <v>4</v>
      </c>
      <c r="B38" s="8">
        <v>5</v>
      </c>
    </row>
    <row r="39" spans="1:6" x14ac:dyDescent="0.25">
      <c r="A39" s="8">
        <v>5</v>
      </c>
      <c r="B39" s="8">
        <v>5</v>
      </c>
    </row>
    <row r="40" spans="1:6" x14ac:dyDescent="0.25">
      <c r="A40" s="8">
        <v>5</v>
      </c>
      <c r="B40" s="8">
        <v>5</v>
      </c>
    </row>
    <row r="41" spans="1:6" ht="29.25" customHeight="1" x14ac:dyDescent="0.25">
      <c r="A41" s="8">
        <v>4</v>
      </c>
      <c r="B41" s="8">
        <v>5</v>
      </c>
      <c r="D41" t="s">
        <v>8</v>
      </c>
      <c r="E41">
        <f>(((E5^2)/E6)+((E11^2)/E12))^2</f>
        <v>1.9731737503269025E-3</v>
      </c>
    </row>
    <row r="42" spans="1:6" ht="47.25" customHeight="1" x14ac:dyDescent="0.25">
      <c r="A42" s="8">
        <v>1</v>
      </c>
      <c r="B42" s="8">
        <v>5</v>
      </c>
      <c r="D42" t="s">
        <v>9</v>
      </c>
      <c r="E42">
        <f>(((E5^2)/E6)^2)/(E6-1)</f>
        <v>8.2038141184768896E-6</v>
      </c>
    </row>
    <row r="43" spans="1:6" ht="43.5" customHeight="1" x14ac:dyDescent="0.25">
      <c r="A43" s="8">
        <v>3</v>
      </c>
      <c r="B43" s="8">
        <v>3</v>
      </c>
      <c r="D43" t="s">
        <v>10</v>
      </c>
      <c r="E43">
        <f>(((E11^2)/E12)^2)/(E12-1)</f>
        <v>5.2878790453467777E-6</v>
      </c>
    </row>
    <row r="44" spans="1:6" x14ac:dyDescent="0.25">
      <c r="A44" s="8">
        <v>4</v>
      </c>
      <c r="B44" s="8">
        <v>5</v>
      </c>
    </row>
    <row r="45" spans="1:6" x14ac:dyDescent="0.25">
      <c r="A45" s="8">
        <v>3</v>
      </c>
      <c r="B45" s="8">
        <v>4</v>
      </c>
      <c r="D45" t="s">
        <v>7</v>
      </c>
      <c r="E45">
        <f>E41/(E42+E43)</f>
        <v>146.25100988938348</v>
      </c>
      <c r="F45" s="6" t="s">
        <v>12</v>
      </c>
    </row>
    <row r="46" spans="1:6" x14ac:dyDescent="0.25">
      <c r="A46" s="8">
        <v>4</v>
      </c>
      <c r="B46" s="8">
        <v>3</v>
      </c>
    </row>
    <row r="47" spans="1:6" x14ac:dyDescent="0.25">
      <c r="A47" s="8">
        <v>4</v>
      </c>
      <c r="B47" s="8">
        <v>5</v>
      </c>
      <c r="D47" t="s">
        <v>13</v>
      </c>
      <c r="E47">
        <v>0.05</v>
      </c>
      <c r="F47" s="6" t="s">
        <v>12</v>
      </c>
    </row>
    <row r="48" spans="1:6" x14ac:dyDescent="0.25">
      <c r="A48" s="8">
        <v>2</v>
      </c>
      <c r="B48" s="8">
        <v>3</v>
      </c>
    </row>
    <row r="49" spans="1:5" x14ac:dyDescent="0.25">
      <c r="A49" s="8">
        <v>5</v>
      </c>
      <c r="B49" s="8">
        <v>4</v>
      </c>
    </row>
    <row r="50" spans="1:5" x14ac:dyDescent="0.25">
      <c r="A50" s="8">
        <v>4</v>
      </c>
      <c r="B50" s="8">
        <v>5</v>
      </c>
    </row>
    <row r="51" spans="1:5" x14ac:dyDescent="0.25">
      <c r="A51" s="8">
        <v>5</v>
      </c>
      <c r="B51" s="8">
        <v>4</v>
      </c>
      <c r="D51" s="5"/>
      <c r="E51" s="5"/>
    </row>
    <row r="52" spans="1:5" x14ac:dyDescent="0.25">
      <c r="A52" s="8">
        <v>3</v>
      </c>
      <c r="B52" s="8">
        <v>3</v>
      </c>
      <c r="D52" t="s">
        <v>16</v>
      </c>
      <c r="E52">
        <f>_xlfn.T.INV.2T(E47,E45)</f>
        <v>1.9763456545938156</v>
      </c>
    </row>
    <row r="53" spans="1:5" x14ac:dyDescent="0.25">
      <c r="A53" s="8">
        <v>5</v>
      </c>
      <c r="B53" s="8">
        <v>1</v>
      </c>
      <c r="D53" t="s">
        <v>17</v>
      </c>
      <c r="E53">
        <f>_xlfn.T.INV(E47, E45)</f>
        <v>-1.6553573449019661</v>
      </c>
    </row>
    <row r="54" spans="1:5" x14ac:dyDescent="0.25">
      <c r="A54" s="8">
        <v>4</v>
      </c>
      <c r="B54" s="8">
        <v>2</v>
      </c>
    </row>
    <row r="55" spans="1:5" x14ac:dyDescent="0.25">
      <c r="A55" s="8">
        <v>5</v>
      </c>
      <c r="B55" s="8">
        <v>3</v>
      </c>
      <c r="D55" t="s">
        <v>18</v>
      </c>
      <c r="E55">
        <f>TTEST(A:A,B:B,2,2)</f>
        <v>3.854149473990956E-2</v>
      </c>
    </row>
    <row r="56" spans="1:5" x14ac:dyDescent="0.25">
      <c r="A56" s="8">
        <v>1</v>
      </c>
      <c r="B56" s="8">
        <v>4</v>
      </c>
      <c r="D56" t="s">
        <v>19</v>
      </c>
      <c r="E56">
        <f>TTEST(A:A,B:B,1,2)</f>
        <v>1.927074736995478E-2</v>
      </c>
    </row>
    <row r="57" spans="1:5" x14ac:dyDescent="0.25">
      <c r="A57" s="8">
        <v>4</v>
      </c>
      <c r="B57" s="8">
        <v>5</v>
      </c>
    </row>
    <row r="58" spans="1:5" x14ac:dyDescent="0.25">
      <c r="A58" s="8">
        <v>3</v>
      </c>
      <c r="B58" s="8">
        <v>2</v>
      </c>
    </row>
    <row r="59" spans="1:5" x14ac:dyDescent="0.25">
      <c r="A59" s="8">
        <v>4</v>
      </c>
      <c r="B59" s="8">
        <v>3</v>
      </c>
      <c r="D59" s="5" t="s">
        <v>20</v>
      </c>
      <c r="E59" s="5"/>
    </row>
    <row r="60" spans="1:5" x14ac:dyDescent="0.25">
      <c r="A60" s="8">
        <v>1</v>
      </c>
      <c r="B60" s="8">
        <v>2</v>
      </c>
    </row>
    <row r="61" spans="1:5" x14ac:dyDescent="0.25">
      <c r="A61" s="8">
        <v>2</v>
      </c>
      <c r="B61" s="8">
        <v>5</v>
      </c>
      <c r="D61" t="s">
        <v>21</v>
      </c>
    </row>
    <row r="62" spans="1:5" x14ac:dyDescent="0.25">
      <c r="A62" s="8">
        <v>5</v>
      </c>
      <c r="B62" s="8">
        <v>4</v>
      </c>
      <c r="D62" t="s">
        <v>22</v>
      </c>
    </row>
    <row r="63" spans="1:5" x14ac:dyDescent="0.25">
      <c r="A63" s="8">
        <v>2</v>
      </c>
      <c r="B63" s="8">
        <v>2</v>
      </c>
    </row>
    <row r="64" spans="1:5" x14ac:dyDescent="0.25">
      <c r="A64" s="8">
        <v>1</v>
      </c>
      <c r="B64" s="8">
        <v>4</v>
      </c>
      <c r="D64" t="s">
        <v>23</v>
      </c>
    </row>
    <row r="65" spans="1:4" x14ac:dyDescent="0.25">
      <c r="A65" s="8">
        <v>4</v>
      </c>
      <c r="B65" s="8">
        <v>2</v>
      </c>
      <c r="D65" t="s">
        <v>24</v>
      </c>
    </row>
    <row r="66" spans="1:4" x14ac:dyDescent="0.25">
      <c r="A66" s="8">
        <v>1</v>
      </c>
      <c r="B66" s="8">
        <v>2</v>
      </c>
    </row>
    <row r="67" spans="1:4" x14ac:dyDescent="0.25">
      <c r="A67" s="8">
        <v>3</v>
      </c>
      <c r="B67" s="8">
        <v>4</v>
      </c>
    </row>
    <row r="68" spans="1:4" x14ac:dyDescent="0.25">
      <c r="A68" s="8">
        <v>3</v>
      </c>
      <c r="B68" s="8">
        <v>3</v>
      </c>
      <c r="D68" s="7" t="s">
        <v>25</v>
      </c>
    </row>
    <row r="69" spans="1:4" x14ac:dyDescent="0.25">
      <c r="A69" s="8">
        <v>4</v>
      </c>
      <c r="B69" s="8">
        <v>3</v>
      </c>
    </row>
    <row r="70" spans="1:4" x14ac:dyDescent="0.25">
      <c r="A70" s="8">
        <v>1</v>
      </c>
      <c r="B70" s="8">
        <v>5</v>
      </c>
      <c r="D70" t="s">
        <v>26</v>
      </c>
    </row>
    <row r="71" spans="1:4" x14ac:dyDescent="0.25">
      <c r="A71" s="8">
        <v>3</v>
      </c>
      <c r="B71" s="8">
        <v>1</v>
      </c>
      <c r="D71" t="s">
        <v>27</v>
      </c>
    </row>
    <row r="72" spans="1:4" x14ac:dyDescent="0.25">
      <c r="A72" s="8">
        <v>3</v>
      </c>
      <c r="B72" s="8">
        <v>4</v>
      </c>
      <c r="D72" t="s">
        <v>28</v>
      </c>
    </row>
    <row r="73" spans="1:4" x14ac:dyDescent="0.25">
      <c r="A73" s="8">
        <v>5</v>
      </c>
      <c r="B73" s="8">
        <v>2</v>
      </c>
    </row>
    <row r="74" spans="1:4" x14ac:dyDescent="0.25">
      <c r="A74" s="8">
        <v>5</v>
      </c>
      <c r="B74" s="8">
        <v>4</v>
      </c>
    </row>
    <row r="75" spans="1:4" x14ac:dyDescent="0.25">
      <c r="A75" s="8">
        <v>1</v>
      </c>
      <c r="B75" s="8">
        <v>1</v>
      </c>
      <c r="D75" s="7" t="s">
        <v>25</v>
      </c>
    </row>
    <row r="76" spans="1:4" x14ac:dyDescent="0.25">
      <c r="A76" s="8">
        <v>3</v>
      </c>
      <c r="B76" s="8">
        <v>4</v>
      </c>
    </row>
    <row r="82" spans="4:4" x14ac:dyDescent="0.25">
      <c r="D82" t="s">
        <v>29</v>
      </c>
    </row>
    <row r="83" spans="4:4" x14ac:dyDescent="0.25">
      <c r="D83" t="s">
        <v>28</v>
      </c>
    </row>
    <row r="84" spans="4:4" x14ac:dyDescent="0.25">
      <c r="D84" t="s">
        <v>29</v>
      </c>
    </row>
    <row r="85" spans="4:4" x14ac:dyDescent="0.25">
      <c r="D85" t="s">
        <v>28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81F59-94E5-4D33-A469-91B20DC733F2}">
  <dimension ref="A1:F85"/>
  <sheetViews>
    <sheetView zoomScale="70" zoomScaleNormal="70" workbookViewId="0">
      <selection activeCell="D8" sqref="D8"/>
    </sheetView>
  </sheetViews>
  <sheetFormatPr baseColWidth="10" defaultColWidth="9.140625" defaultRowHeight="15" x14ac:dyDescent="0.25"/>
  <cols>
    <col min="1" max="1" width="25.42578125" style="8" customWidth="1"/>
    <col min="2" max="2" width="24.42578125" style="8" customWidth="1"/>
    <col min="4" max="4" width="38.5703125" customWidth="1"/>
    <col min="5" max="5" width="21.5703125" customWidth="1"/>
    <col min="6" max="6" width="17.85546875" customWidth="1"/>
  </cols>
  <sheetData>
    <row r="1" spans="1:5" ht="141" customHeight="1" x14ac:dyDescent="0.25">
      <c r="A1" s="10" t="s">
        <v>36</v>
      </c>
      <c r="B1" s="9" t="s">
        <v>37</v>
      </c>
    </row>
    <row r="2" spans="1:5" x14ac:dyDescent="0.25">
      <c r="A2" s="8">
        <v>4</v>
      </c>
      <c r="B2" s="8">
        <v>3</v>
      </c>
      <c r="D2" s="1" t="s">
        <v>53</v>
      </c>
      <c r="E2">
        <f>AVERAGE(A:A)</f>
        <v>2.9333333333333331</v>
      </c>
    </row>
    <row r="3" spans="1:5" x14ac:dyDescent="0.25">
      <c r="A3" s="8">
        <v>3</v>
      </c>
      <c r="B3" s="8">
        <v>3</v>
      </c>
      <c r="D3" s="1" t="s">
        <v>0</v>
      </c>
      <c r="E3">
        <f>MEDIAN(A:A)</f>
        <v>3</v>
      </c>
    </row>
    <row r="4" spans="1:5" x14ac:dyDescent="0.25">
      <c r="A4" s="8">
        <v>3</v>
      </c>
      <c r="B4" s="8">
        <v>4</v>
      </c>
      <c r="D4" s="1" t="s">
        <v>1</v>
      </c>
      <c r="E4">
        <f>MODE(A:A)</f>
        <v>3</v>
      </c>
    </row>
    <row r="5" spans="1:5" x14ac:dyDescent="0.25">
      <c r="A5" s="8">
        <v>5</v>
      </c>
      <c r="B5" s="8">
        <v>5</v>
      </c>
      <c r="D5" s="1" t="s">
        <v>15</v>
      </c>
      <c r="E5">
        <f>STDEV(A:A)</f>
        <v>1.2229045324535741</v>
      </c>
    </row>
    <row r="6" spans="1:5" x14ac:dyDescent="0.25">
      <c r="A6" s="8">
        <v>3</v>
      </c>
      <c r="B6" s="8">
        <v>3</v>
      </c>
      <c r="D6" s="4" t="s">
        <v>4</v>
      </c>
      <c r="E6">
        <f>COUNT(A:A)</f>
        <v>75</v>
      </c>
    </row>
    <row r="7" spans="1:5" x14ac:dyDescent="0.25">
      <c r="A7" s="8">
        <v>2</v>
      </c>
      <c r="B7" s="8">
        <v>2</v>
      </c>
    </row>
    <row r="8" spans="1:5" x14ac:dyDescent="0.25">
      <c r="A8" s="8">
        <v>1</v>
      </c>
      <c r="B8" s="8">
        <v>3</v>
      </c>
      <c r="D8" s="3" t="s">
        <v>52</v>
      </c>
      <c r="E8">
        <f>AVERAGE(B:B)</f>
        <v>3.4133333333333336</v>
      </c>
    </row>
    <row r="9" spans="1:5" x14ac:dyDescent="0.25">
      <c r="A9" s="8">
        <v>5</v>
      </c>
      <c r="B9" s="8">
        <v>4</v>
      </c>
      <c r="D9" s="3" t="s">
        <v>2</v>
      </c>
      <c r="E9">
        <f>MEDIAN(B:B)</f>
        <v>3</v>
      </c>
    </row>
    <row r="10" spans="1:5" x14ac:dyDescent="0.25">
      <c r="A10" s="8">
        <v>1</v>
      </c>
      <c r="B10" s="8">
        <v>5</v>
      </c>
      <c r="D10" s="3" t="s">
        <v>3</v>
      </c>
      <c r="E10">
        <f>MODE(B:B)</f>
        <v>3</v>
      </c>
    </row>
    <row r="11" spans="1:5" x14ac:dyDescent="0.25">
      <c r="A11" s="8">
        <v>1</v>
      </c>
      <c r="B11" s="8">
        <v>3</v>
      </c>
      <c r="D11" s="3" t="s">
        <v>14</v>
      </c>
      <c r="E11">
        <f>STDEV(B:B)</f>
        <v>1.1039650079321981</v>
      </c>
    </row>
    <row r="12" spans="1:5" x14ac:dyDescent="0.25">
      <c r="A12" s="8">
        <v>4</v>
      </c>
      <c r="B12" s="8">
        <v>2</v>
      </c>
      <c r="D12" s="5" t="s">
        <v>5</v>
      </c>
      <c r="E12">
        <f>COUNT(B:B)</f>
        <v>75</v>
      </c>
    </row>
    <row r="13" spans="1:5" x14ac:dyDescent="0.25">
      <c r="A13" s="8">
        <v>2</v>
      </c>
      <c r="B13" s="8">
        <v>4</v>
      </c>
    </row>
    <row r="14" spans="1:5" x14ac:dyDescent="0.25">
      <c r="A14" s="8">
        <v>1</v>
      </c>
      <c r="B14" s="8">
        <v>4</v>
      </c>
    </row>
    <row r="15" spans="1:5" x14ac:dyDescent="0.25">
      <c r="A15" s="8">
        <v>4</v>
      </c>
      <c r="B15" s="8">
        <v>3</v>
      </c>
    </row>
    <row r="16" spans="1:5" x14ac:dyDescent="0.25">
      <c r="A16" s="8">
        <v>3</v>
      </c>
      <c r="B16" s="8">
        <v>2</v>
      </c>
    </row>
    <row r="17" spans="1:5" x14ac:dyDescent="0.25">
      <c r="A17" s="8">
        <v>4</v>
      </c>
      <c r="B17" s="8">
        <v>2</v>
      </c>
      <c r="D17" s="2" t="s">
        <v>6</v>
      </c>
      <c r="E17" s="2"/>
    </row>
    <row r="18" spans="1:5" x14ac:dyDescent="0.25">
      <c r="A18" s="8">
        <v>3</v>
      </c>
      <c r="B18" s="8">
        <v>3</v>
      </c>
    </row>
    <row r="19" spans="1:5" x14ac:dyDescent="0.25">
      <c r="A19" s="8">
        <v>2</v>
      </c>
      <c r="B19" s="8">
        <v>4</v>
      </c>
    </row>
    <row r="20" spans="1:5" x14ac:dyDescent="0.25">
      <c r="A20" s="8">
        <v>2</v>
      </c>
      <c r="B20" s="8">
        <v>4</v>
      </c>
    </row>
    <row r="21" spans="1:5" x14ac:dyDescent="0.25">
      <c r="A21" s="8">
        <v>1</v>
      </c>
      <c r="B21" s="8">
        <v>2</v>
      </c>
    </row>
    <row r="22" spans="1:5" x14ac:dyDescent="0.25">
      <c r="A22" s="8">
        <v>2</v>
      </c>
      <c r="B22" s="8">
        <v>3</v>
      </c>
    </row>
    <row r="23" spans="1:5" x14ac:dyDescent="0.25">
      <c r="A23" s="8">
        <v>3</v>
      </c>
      <c r="B23" s="8">
        <v>3</v>
      </c>
    </row>
    <row r="24" spans="1:5" x14ac:dyDescent="0.25">
      <c r="A24" s="8">
        <v>1</v>
      </c>
      <c r="B24" s="8">
        <v>1</v>
      </c>
    </row>
    <row r="25" spans="1:5" x14ac:dyDescent="0.25">
      <c r="A25" s="8">
        <v>2</v>
      </c>
      <c r="B25" s="8">
        <v>3</v>
      </c>
    </row>
    <row r="26" spans="1:5" x14ac:dyDescent="0.25">
      <c r="A26" s="8">
        <v>3</v>
      </c>
      <c r="B26" s="8">
        <v>3</v>
      </c>
    </row>
    <row r="27" spans="1:5" x14ac:dyDescent="0.25">
      <c r="A27" s="8">
        <v>5</v>
      </c>
      <c r="B27" s="8">
        <v>3</v>
      </c>
    </row>
    <row r="28" spans="1:5" x14ac:dyDescent="0.25">
      <c r="A28" s="8">
        <v>1</v>
      </c>
      <c r="B28" s="8">
        <v>3</v>
      </c>
    </row>
    <row r="29" spans="1:5" x14ac:dyDescent="0.25">
      <c r="A29" s="8">
        <v>5</v>
      </c>
      <c r="B29" s="8">
        <v>2</v>
      </c>
      <c r="D29" t="s">
        <v>11</v>
      </c>
      <c r="E29">
        <f>(E2-E8)/SQRT(((E5^2)/E6)+((E11^2)/E12))</f>
        <v>-2.5231798464319324</v>
      </c>
    </row>
    <row r="30" spans="1:5" x14ac:dyDescent="0.25">
      <c r="A30" s="8">
        <v>3</v>
      </c>
      <c r="B30" s="8">
        <v>3</v>
      </c>
    </row>
    <row r="31" spans="1:5" x14ac:dyDescent="0.25">
      <c r="A31" s="8">
        <v>4</v>
      </c>
      <c r="B31" s="8">
        <v>2</v>
      </c>
      <c r="D31" s="2" t="s">
        <v>7</v>
      </c>
      <c r="E31" s="2"/>
    </row>
    <row r="32" spans="1:5" x14ac:dyDescent="0.25">
      <c r="A32" s="8">
        <v>3</v>
      </c>
      <c r="B32" s="8">
        <v>5</v>
      </c>
    </row>
    <row r="33" spans="1:6" x14ac:dyDescent="0.25">
      <c r="A33" s="8">
        <v>3</v>
      </c>
      <c r="B33" s="8">
        <v>4</v>
      </c>
    </row>
    <row r="34" spans="1:6" x14ac:dyDescent="0.25">
      <c r="A34" s="8">
        <v>4</v>
      </c>
      <c r="B34" s="8">
        <v>5</v>
      </c>
    </row>
    <row r="35" spans="1:6" x14ac:dyDescent="0.25">
      <c r="A35" s="8">
        <v>4</v>
      </c>
      <c r="B35" s="8">
        <v>4</v>
      </c>
    </row>
    <row r="36" spans="1:6" x14ac:dyDescent="0.25">
      <c r="A36" s="8">
        <v>3</v>
      </c>
      <c r="B36" s="8">
        <v>5</v>
      </c>
    </row>
    <row r="37" spans="1:6" x14ac:dyDescent="0.25">
      <c r="A37" s="8">
        <v>2</v>
      </c>
      <c r="B37" s="8">
        <v>3</v>
      </c>
    </row>
    <row r="38" spans="1:6" x14ac:dyDescent="0.25">
      <c r="A38" s="8">
        <v>2</v>
      </c>
      <c r="B38" s="8">
        <v>3</v>
      </c>
    </row>
    <row r="39" spans="1:6" x14ac:dyDescent="0.25">
      <c r="A39" s="8">
        <v>2</v>
      </c>
      <c r="B39" s="8">
        <v>4</v>
      </c>
    </row>
    <row r="40" spans="1:6" x14ac:dyDescent="0.25">
      <c r="A40" s="8">
        <v>3</v>
      </c>
      <c r="B40" s="8">
        <v>4</v>
      </c>
    </row>
    <row r="41" spans="1:6" ht="29.25" customHeight="1" x14ac:dyDescent="0.25">
      <c r="A41" s="8">
        <v>5</v>
      </c>
      <c r="B41" s="8">
        <v>5</v>
      </c>
      <c r="D41" t="s">
        <v>8</v>
      </c>
      <c r="E41">
        <f>(((E5^2)/E6)+((E11^2)/E12))^2</f>
        <v>1.3097008850291724E-3</v>
      </c>
    </row>
    <row r="42" spans="1:6" ht="47.25" customHeight="1" x14ac:dyDescent="0.25">
      <c r="A42" s="8">
        <v>3</v>
      </c>
      <c r="B42" s="8">
        <v>5</v>
      </c>
      <c r="D42" t="s">
        <v>9</v>
      </c>
      <c r="E42">
        <f>(((E5^2)/E6)^2)/(E6-1)</f>
        <v>5.3729892541677229E-6</v>
      </c>
    </row>
    <row r="43" spans="1:6" ht="43.5" customHeight="1" x14ac:dyDescent="0.25">
      <c r="A43" s="8">
        <v>1</v>
      </c>
      <c r="B43" s="8">
        <v>2</v>
      </c>
      <c r="D43" t="s">
        <v>10</v>
      </c>
      <c r="E43">
        <f>(((E11^2)/E12)^2)/(E12-1)</f>
        <v>3.5683462181441213E-6</v>
      </c>
    </row>
    <row r="44" spans="1:6" x14ac:dyDescent="0.25">
      <c r="A44" s="8">
        <v>4</v>
      </c>
      <c r="B44" s="8">
        <v>4</v>
      </c>
    </row>
    <row r="45" spans="1:6" x14ac:dyDescent="0.25">
      <c r="A45" s="8">
        <v>2</v>
      </c>
      <c r="B45" s="8">
        <v>5</v>
      </c>
      <c r="D45" t="s">
        <v>7</v>
      </c>
      <c r="E45">
        <f>E41/(E42+E43)</f>
        <v>146.47709943160652</v>
      </c>
      <c r="F45" s="6" t="s">
        <v>12</v>
      </c>
    </row>
    <row r="46" spans="1:6" x14ac:dyDescent="0.25">
      <c r="A46" s="8">
        <v>2</v>
      </c>
      <c r="B46" s="8">
        <v>3</v>
      </c>
    </row>
    <row r="47" spans="1:6" x14ac:dyDescent="0.25">
      <c r="A47" s="8">
        <v>4</v>
      </c>
      <c r="B47" s="8">
        <v>3</v>
      </c>
      <c r="D47" t="s">
        <v>13</v>
      </c>
      <c r="E47">
        <v>0.05</v>
      </c>
      <c r="F47" s="6" t="s">
        <v>12</v>
      </c>
    </row>
    <row r="48" spans="1:6" x14ac:dyDescent="0.25">
      <c r="A48" s="8">
        <v>2</v>
      </c>
      <c r="B48" s="8">
        <v>4</v>
      </c>
    </row>
    <row r="49" spans="1:5" x14ac:dyDescent="0.25">
      <c r="A49" s="8">
        <v>4</v>
      </c>
      <c r="B49" s="8">
        <v>4</v>
      </c>
    </row>
    <row r="50" spans="1:5" x14ac:dyDescent="0.25">
      <c r="A50" s="8">
        <v>5</v>
      </c>
      <c r="B50" s="8">
        <v>5</v>
      </c>
    </row>
    <row r="51" spans="1:5" x14ac:dyDescent="0.25">
      <c r="A51" s="8">
        <v>2</v>
      </c>
      <c r="B51" s="8">
        <v>5</v>
      </c>
      <c r="D51" s="5"/>
      <c r="E51" s="5"/>
    </row>
    <row r="52" spans="1:5" x14ac:dyDescent="0.25">
      <c r="A52" s="8">
        <v>2</v>
      </c>
      <c r="B52" s="8">
        <v>3</v>
      </c>
      <c r="D52" t="s">
        <v>16</v>
      </c>
      <c r="E52">
        <f>_xlfn.T.INV.2T(E47,E45)</f>
        <v>1.9763456545938156</v>
      </c>
    </row>
    <row r="53" spans="1:5" x14ac:dyDescent="0.25">
      <c r="A53" s="8">
        <v>2</v>
      </c>
      <c r="B53" s="8">
        <v>4</v>
      </c>
      <c r="D53" t="s">
        <v>17</v>
      </c>
      <c r="E53">
        <f>_xlfn.T.INV(E47, E45)</f>
        <v>-1.6553573449019661</v>
      </c>
    </row>
    <row r="54" spans="1:5" x14ac:dyDescent="0.25">
      <c r="A54" s="8">
        <v>2</v>
      </c>
      <c r="B54" s="8">
        <v>3</v>
      </c>
    </row>
    <row r="55" spans="1:5" x14ac:dyDescent="0.25">
      <c r="A55" s="8">
        <v>2</v>
      </c>
      <c r="B55" s="8">
        <v>2</v>
      </c>
      <c r="D55" t="s">
        <v>18</v>
      </c>
      <c r="E55">
        <f>TTEST(A:A,B:B,2,2)</f>
        <v>1.2686130474666766E-2</v>
      </c>
    </row>
    <row r="56" spans="1:5" x14ac:dyDescent="0.25">
      <c r="A56" s="8">
        <v>4</v>
      </c>
      <c r="B56" s="8">
        <v>2</v>
      </c>
      <c r="D56" t="s">
        <v>19</v>
      </c>
      <c r="E56">
        <f>TTEST(A:A,B:B,1,2)</f>
        <v>6.3430652373333831E-3</v>
      </c>
    </row>
    <row r="57" spans="1:5" x14ac:dyDescent="0.25">
      <c r="A57" s="8">
        <v>4</v>
      </c>
      <c r="B57" s="8">
        <v>5</v>
      </c>
    </row>
    <row r="58" spans="1:5" x14ac:dyDescent="0.25">
      <c r="A58" s="8">
        <v>4</v>
      </c>
      <c r="B58" s="8">
        <v>4</v>
      </c>
    </row>
    <row r="59" spans="1:5" x14ac:dyDescent="0.25">
      <c r="A59" s="8">
        <v>1</v>
      </c>
      <c r="B59" s="8">
        <v>2</v>
      </c>
      <c r="D59" s="5" t="s">
        <v>20</v>
      </c>
      <c r="E59" s="5"/>
    </row>
    <row r="60" spans="1:5" x14ac:dyDescent="0.25">
      <c r="A60" s="8">
        <v>3</v>
      </c>
      <c r="B60" s="8">
        <v>4</v>
      </c>
    </row>
    <row r="61" spans="1:5" x14ac:dyDescent="0.25">
      <c r="A61" s="8">
        <v>4</v>
      </c>
      <c r="B61" s="8">
        <v>3</v>
      </c>
      <c r="D61" t="s">
        <v>21</v>
      </c>
    </row>
    <row r="62" spans="1:5" x14ac:dyDescent="0.25">
      <c r="A62" s="8">
        <v>3</v>
      </c>
      <c r="B62" s="8">
        <v>5</v>
      </c>
      <c r="D62" t="s">
        <v>22</v>
      </c>
    </row>
    <row r="63" spans="1:5" x14ac:dyDescent="0.25">
      <c r="A63" s="8">
        <v>5</v>
      </c>
      <c r="B63" s="8">
        <v>5</v>
      </c>
    </row>
    <row r="64" spans="1:5" x14ac:dyDescent="0.25">
      <c r="A64" s="8">
        <v>5</v>
      </c>
      <c r="B64" s="8">
        <v>2</v>
      </c>
      <c r="D64" t="s">
        <v>23</v>
      </c>
    </row>
    <row r="65" spans="1:4" x14ac:dyDescent="0.25">
      <c r="A65" s="8">
        <v>3</v>
      </c>
      <c r="B65" s="8">
        <v>2</v>
      </c>
      <c r="D65" t="s">
        <v>24</v>
      </c>
    </row>
    <row r="66" spans="1:4" x14ac:dyDescent="0.25">
      <c r="A66" s="8">
        <v>2</v>
      </c>
      <c r="B66" s="8">
        <v>2</v>
      </c>
    </row>
    <row r="67" spans="1:4" x14ac:dyDescent="0.25">
      <c r="A67" s="8">
        <v>3</v>
      </c>
      <c r="B67" s="8">
        <v>4</v>
      </c>
    </row>
    <row r="68" spans="1:4" x14ac:dyDescent="0.25">
      <c r="A68" s="8">
        <v>4</v>
      </c>
      <c r="B68" s="8">
        <v>5</v>
      </c>
      <c r="D68" s="7" t="s">
        <v>25</v>
      </c>
    </row>
    <row r="69" spans="1:4" x14ac:dyDescent="0.25">
      <c r="A69" s="8">
        <v>3</v>
      </c>
      <c r="B69" s="8">
        <v>5</v>
      </c>
    </row>
    <row r="70" spans="1:4" x14ac:dyDescent="0.25">
      <c r="A70" s="8">
        <v>3</v>
      </c>
      <c r="B70" s="8">
        <v>4</v>
      </c>
      <c r="D70" t="s">
        <v>26</v>
      </c>
    </row>
    <row r="71" spans="1:4" x14ac:dyDescent="0.25">
      <c r="A71" s="8">
        <v>3</v>
      </c>
      <c r="B71" s="8">
        <v>4</v>
      </c>
      <c r="D71" t="s">
        <v>27</v>
      </c>
    </row>
    <row r="72" spans="1:4" x14ac:dyDescent="0.25">
      <c r="A72" s="8">
        <v>3</v>
      </c>
      <c r="B72" s="8">
        <v>3</v>
      </c>
      <c r="D72" t="s">
        <v>28</v>
      </c>
    </row>
    <row r="73" spans="1:4" x14ac:dyDescent="0.25">
      <c r="A73" s="8">
        <v>4</v>
      </c>
      <c r="B73" s="8">
        <v>3</v>
      </c>
    </row>
    <row r="74" spans="1:4" x14ac:dyDescent="0.25">
      <c r="A74" s="8">
        <v>2</v>
      </c>
      <c r="B74" s="8">
        <v>4</v>
      </c>
    </row>
    <row r="75" spans="1:4" x14ac:dyDescent="0.25">
      <c r="A75" s="8">
        <v>1</v>
      </c>
      <c r="B75" s="8">
        <v>1</v>
      </c>
      <c r="D75" s="7" t="s">
        <v>25</v>
      </c>
    </row>
    <row r="76" spans="1:4" x14ac:dyDescent="0.25">
      <c r="A76" s="8">
        <v>5</v>
      </c>
      <c r="B76" s="8">
        <v>2</v>
      </c>
    </row>
    <row r="82" spans="4:4" x14ac:dyDescent="0.25">
      <c r="D82" t="s">
        <v>29</v>
      </c>
    </row>
    <row r="83" spans="4:4" x14ac:dyDescent="0.25">
      <c r="D83" t="s">
        <v>28</v>
      </c>
    </row>
    <row r="84" spans="4:4" x14ac:dyDescent="0.25">
      <c r="D84" t="s">
        <v>29</v>
      </c>
    </row>
    <row r="85" spans="4:4" x14ac:dyDescent="0.25">
      <c r="D85" t="s">
        <v>28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D065-29C0-465A-BE9C-565BF555BB2B}">
  <dimension ref="A1:F85"/>
  <sheetViews>
    <sheetView zoomScale="70" zoomScaleNormal="70" workbookViewId="0">
      <selection activeCell="D2" sqref="D2"/>
    </sheetView>
  </sheetViews>
  <sheetFormatPr baseColWidth="10" defaultColWidth="9.140625" defaultRowHeight="15" x14ac:dyDescent="0.25"/>
  <cols>
    <col min="1" max="2" width="25.42578125" style="8" customWidth="1"/>
    <col min="4" max="4" width="38.7109375" customWidth="1"/>
    <col min="5" max="5" width="21.5703125" customWidth="1"/>
    <col min="6" max="6" width="17.85546875" customWidth="1"/>
  </cols>
  <sheetData>
    <row r="1" spans="1:5" ht="141" customHeight="1" x14ac:dyDescent="0.25">
      <c r="A1" s="10" t="s">
        <v>34</v>
      </c>
      <c r="B1" s="9" t="s">
        <v>35</v>
      </c>
    </row>
    <row r="2" spans="1:5" x14ac:dyDescent="0.25">
      <c r="A2" s="8">
        <v>1</v>
      </c>
      <c r="B2" s="8">
        <v>5</v>
      </c>
      <c r="D2" s="1" t="s">
        <v>53</v>
      </c>
      <c r="E2">
        <f>AVERAGE(A:A)</f>
        <v>3.2266666666666666</v>
      </c>
    </row>
    <row r="3" spans="1:5" x14ac:dyDescent="0.25">
      <c r="A3" s="8">
        <v>5</v>
      </c>
      <c r="B3" s="8">
        <v>3</v>
      </c>
      <c r="D3" s="1" t="s">
        <v>0</v>
      </c>
      <c r="E3">
        <f>MEDIAN(A:A)</f>
        <v>3</v>
      </c>
    </row>
    <row r="4" spans="1:5" x14ac:dyDescent="0.25">
      <c r="A4" s="8">
        <v>3</v>
      </c>
      <c r="B4" s="8">
        <v>3</v>
      </c>
      <c r="D4" s="1" t="s">
        <v>1</v>
      </c>
      <c r="E4">
        <f>MODE(A:A)</f>
        <v>3</v>
      </c>
    </row>
    <row r="5" spans="1:5" x14ac:dyDescent="0.25">
      <c r="A5" s="8">
        <v>5</v>
      </c>
      <c r="B5" s="8">
        <v>5</v>
      </c>
      <c r="D5" s="1" t="s">
        <v>15</v>
      </c>
      <c r="E5">
        <f>STDEV(A:A)</f>
        <v>1.2032987691874066</v>
      </c>
    </row>
    <row r="6" spans="1:5" x14ac:dyDescent="0.25">
      <c r="A6" s="8">
        <v>2</v>
      </c>
      <c r="B6" s="8">
        <v>3</v>
      </c>
      <c r="D6" s="4" t="s">
        <v>4</v>
      </c>
      <c r="E6">
        <f>COUNT(A:A)</f>
        <v>75</v>
      </c>
    </row>
    <row r="7" spans="1:5" x14ac:dyDescent="0.25">
      <c r="A7" s="8">
        <v>5</v>
      </c>
      <c r="B7" s="8">
        <v>5</v>
      </c>
    </row>
    <row r="8" spans="1:5" x14ac:dyDescent="0.25">
      <c r="A8" s="8">
        <v>5</v>
      </c>
      <c r="B8" s="8">
        <v>3</v>
      </c>
      <c r="D8" s="3" t="s">
        <v>52</v>
      </c>
      <c r="E8">
        <f>AVERAGE(B:B)</f>
        <v>3.64</v>
      </c>
    </row>
    <row r="9" spans="1:5" x14ac:dyDescent="0.25">
      <c r="A9" s="8">
        <v>3</v>
      </c>
      <c r="B9" s="8">
        <v>5</v>
      </c>
      <c r="D9" s="3" t="s">
        <v>2</v>
      </c>
      <c r="E9">
        <f>MEDIAN(B:B)</f>
        <v>4</v>
      </c>
    </row>
    <row r="10" spans="1:5" x14ac:dyDescent="0.25">
      <c r="A10" s="8">
        <v>5</v>
      </c>
      <c r="B10" s="8">
        <v>3</v>
      </c>
      <c r="D10" s="3" t="s">
        <v>3</v>
      </c>
      <c r="E10">
        <f>MODE(B:B)</f>
        <v>3</v>
      </c>
    </row>
    <row r="11" spans="1:5" x14ac:dyDescent="0.25">
      <c r="A11" s="8">
        <v>1</v>
      </c>
      <c r="B11" s="8">
        <v>4</v>
      </c>
      <c r="D11" s="3" t="s">
        <v>14</v>
      </c>
      <c r="E11">
        <f>STDEV(B:B)</f>
        <v>1.1582839123555249</v>
      </c>
    </row>
    <row r="12" spans="1:5" x14ac:dyDescent="0.25">
      <c r="A12" s="8">
        <v>5</v>
      </c>
      <c r="B12" s="8">
        <v>2</v>
      </c>
      <c r="D12" s="5" t="s">
        <v>5</v>
      </c>
      <c r="E12">
        <f>COUNT(B:B)</f>
        <v>75</v>
      </c>
    </row>
    <row r="13" spans="1:5" x14ac:dyDescent="0.25">
      <c r="A13" s="8">
        <v>5</v>
      </c>
      <c r="B13" s="8">
        <v>5</v>
      </c>
    </row>
    <row r="14" spans="1:5" x14ac:dyDescent="0.25">
      <c r="A14" s="8">
        <v>3</v>
      </c>
      <c r="B14" s="8">
        <v>5</v>
      </c>
    </row>
    <row r="15" spans="1:5" x14ac:dyDescent="0.25">
      <c r="A15" s="8">
        <v>2</v>
      </c>
      <c r="B15" s="8">
        <v>5</v>
      </c>
    </row>
    <row r="16" spans="1:5" x14ac:dyDescent="0.25">
      <c r="A16" s="8">
        <v>2</v>
      </c>
      <c r="B16" s="8">
        <v>2</v>
      </c>
    </row>
    <row r="17" spans="1:5" x14ac:dyDescent="0.25">
      <c r="A17" s="8">
        <v>4</v>
      </c>
      <c r="B17" s="8">
        <v>2</v>
      </c>
      <c r="D17" s="2" t="s">
        <v>6</v>
      </c>
      <c r="E17" s="2"/>
    </row>
    <row r="18" spans="1:5" x14ac:dyDescent="0.25">
      <c r="A18" s="8">
        <v>5</v>
      </c>
      <c r="B18" s="8">
        <v>4</v>
      </c>
    </row>
    <row r="19" spans="1:5" x14ac:dyDescent="0.25">
      <c r="A19" s="8">
        <v>4</v>
      </c>
      <c r="B19" s="8">
        <v>3</v>
      </c>
    </row>
    <row r="20" spans="1:5" x14ac:dyDescent="0.25">
      <c r="A20" s="8">
        <v>4</v>
      </c>
      <c r="B20" s="8">
        <v>3</v>
      </c>
    </row>
    <row r="21" spans="1:5" x14ac:dyDescent="0.25">
      <c r="A21" s="8">
        <v>5</v>
      </c>
      <c r="B21" s="8">
        <v>3</v>
      </c>
    </row>
    <row r="22" spans="1:5" x14ac:dyDescent="0.25">
      <c r="A22" s="8">
        <v>3</v>
      </c>
      <c r="B22" s="8">
        <v>3</v>
      </c>
    </row>
    <row r="23" spans="1:5" x14ac:dyDescent="0.25">
      <c r="A23" s="8">
        <v>3</v>
      </c>
      <c r="B23" s="8">
        <v>4</v>
      </c>
    </row>
    <row r="24" spans="1:5" x14ac:dyDescent="0.25">
      <c r="A24" s="8">
        <v>3</v>
      </c>
      <c r="B24" s="8">
        <v>5</v>
      </c>
    </row>
    <row r="25" spans="1:5" x14ac:dyDescent="0.25">
      <c r="A25" s="8">
        <v>4</v>
      </c>
      <c r="B25" s="8">
        <v>3</v>
      </c>
    </row>
    <row r="26" spans="1:5" x14ac:dyDescent="0.25">
      <c r="A26" s="8">
        <v>2</v>
      </c>
      <c r="B26" s="8">
        <v>3</v>
      </c>
    </row>
    <row r="27" spans="1:5" x14ac:dyDescent="0.25">
      <c r="A27" s="8">
        <v>5</v>
      </c>
      <c r="B27" s="8">
        <v>4</v>
      </c>
    </row>
    <row r="28" spans="1:5" x14ac:dyDescent="0.25">
      <c r="A28" s="8">
        <v>5</v>
      </c>
      <c r="B28" s="8">
        <v>5</v>
      </c>
    </row>
    <row r="29" spans="1:5" x14ac:dyDescent="0.25">
      <c r="A29" s="8">
        <v>2</v>
      </c>
      <c r="B29" s="8">
        <v>4</v>
      </c>
      <c r="D29" t="s">
        <v>11</v>
      </c>
      <c r="E29">
        <f>(E2-E8)/SQRT(((E5^2)/E6)+((E11^2)/E12))</f>
        <v>-2.1432065216745944</v>
      </c>
    </row>
    <row r="30" spans="1:5" x14ac:dyDescent="0.25">
      <c r="A30" s="8">
        <v>3</v>
      </c>
      <c r="B30" s="8">
        <v>3</v>
      </c>
    </row>
    <row r="31" spans="1:5" x14ac:dyDescent="0.25">
      <c r="A31" s="8">
        <v>1</v>
      </c>
      <c r="B31" s="8">
        <v>3</v>
      </c>
      <c r="D31" s="2" t="s">
        <v>7</v>
      </c>
      <c r="E31" s="2"/>
    </row>
    <row r="32" spans="1:5" x14ac:dyDescent="0.25">
      <c r="A32" s="8">
        <v>3</v>
      </c>
      <c r="B32" s="8">
        <v>3</v>
      </c>
    </row>
    <row r="33" spans="1:6" x14ac:dyDescent="0.25">
      <c r="A33" s="8">
        <v>2</v>
      </c>
      <c r="B33" s="8">
        <v>2</v>
      </c>
    </row>
    <row r="34" spans="1:6" x14ac:dyDescent="0.25">
      <c r="A34" s="8">
        <v>3</v>
      </c>
      <c r="B34" s="8">
        <v>3</v>
      </c>
    </row>
    <row r="35" spans="1:6" x14ac:dyDescent="0.25">
      <c r="A35" s="8">
        <v>4</v>
      </c>
      <c r="B35" s="8">
        <v>5</v>
      </c>
    </row>
    <row r="36" spans="1:6" x14ac:dyDescent="0.25">
      <c r="A36" s="8">
        <v>3</v>
      </c>
      <c r="B36" s="8">
        <v>5</v>
      </c>
    </row>
    <row r="37" spans="1:6" x14ac:dyDescent="0.25">
      <c r="A37" s="8">
        <v>3</v>
      </c>
      <c r="B37" s="8">
        <v>3</v>
      </c>
    </row>
    <row r="38" spans="1:6" x14ac:dyDescent="0.25">
      <c r="A38" s="8">
        <v>2</v>
      </c>
      <c r="B38" s="8">
        <v>3</v>
      </c>
    </row>
    <row r="39" spans="1:6" x14ac:dyDescent="0.25">
      <c r="A39" s="8">
        <v>3</v>
      </c>
      <c r="B39" s="8">
        <v>5</v>
      </c>
    </row>
    <row r="40" spans="1:6" x14ac:dyDescent="0.25">
      <c r="A40" s="8">
        <v>3</v>
      </c>
      <c r="B40" s="8">
        <v>5</v>
      </c>
    </row>
    <row r="41" spans="1:6" ht="29.25" customHeight="1" x14ac:dyDescent="0.25">
      <c r="A41" s="8">
        <v>2</v>
      </c>
      <c r="B41" s="8">
        <v>4</v>
      </c>
      <c r="D41" t="s">
        <v>8</v>
      </c>
      <c r="E41">
        <f>(((E5^2)/E6)+((E11^2)/E12))^2</f>
        <v>1.3833931892252612E-3</v>
      </c>
    </row>
    <row r="42" spans="1:6" ht="47.25" customHeight="1" x14ac:dyDescent="0.25">
      <c r="A42" s="8">
        <v>5</v>
      </c>
      <c r="B42" s="8">
        <v>5</v>
      </c>
      <c r="D42" t="s">
        <v>9</v>
      </c>
      <c r="E42">
        <f>(((E5^2)/E6)^2)/(E6-1)</f>
        <v>5.0366253080448352E-6</v>
      </c>
    </row>
    <row r="43" spans="1:6" ht="43.5" customHeight="1" x14ac:dyDescent="0.25">
      <c r="A43" s="8">
        <v>2</v>
      </c>
      <c r="B43" s="8">
        <v>5</v>
      </c>
      <c r="D43" t="s">
        <v>10</v>
      </c>
      <c r="E43">
        <f>(((E11^2)/E12)^2)/(E12-1)</f>
        <v>4.3242007822285377E-6</v>
      </c>
    </row>
    <row r="44" spans="1:6" x14ac:dyDescent="0.25">
      <c r="A44" s="8">
        <v>2</v>
      </c>
      <c r="B44" s="8">
        <v>3</v>
      </c>
    </row>
    <row r="45" spans="1:6" x14ac:dyDescent="0.25">
      <c r="A45" s="8">
        <v>4</v>
      </c>
      <c r="B45" s="8">
        <v>2</v>
      </c>
      <c r="D45" t="s">
        <v>7</v>
      </c>
      <c r="E45">
        <f>E41/(E42+E43)</f>
        <v>147.78537448342453</v>
      </c>
      <c r="F45" s="6" t="s">
        <v>12</v>
      </c>
    </row>
    <row r="46" spans="1:6" x14ac:dyDescent="0.25">
      <c r="A46" s="8">
        <v>4</v>
      </c>
      <c r="B46" s="8">
        <v>3</v>
      </c>
    </row>
    <row r="47" spans="1:6" x14ac:dyDescent="0.25">
      <c r="A47" s="8">
        <v>1</v>
      </c>
      <c r="B47" s="8">
        <v>4</v>
      </c>
      <c r="D47" t="s">
        <v>13</v>
      </c>
      <c r="E47">
        <v>0.05</v>
      </c>
      <c r="F47" s="6" t="s">
        <v>12</v>
      </c>
    </row>
    <row r="48" spans="1:6" x14ac:dyDescent="0.25">
      <c r="A48" s="8">
        <v>3</v>
      </c>
      <c r="B48" s="8">
        <v>2</v>
      </c>
    </row>
    <row r="49" spans="1:5" x14ac:dyDescent="0.25">
      <c r="A49" s="8">
        <v>5</v>
      </c>
      <c r="B49" s="8">
        <v>5</v>
      </c>
    </row>
    <row r="50" spans="1:5" x14ac:dyDescent="0.25">
      <c r="A50" s="8">
        <v>2</v>
      </c>
      <c r="B50" s="8">
        <v>5</v>
      </c>
    </row>
    <row r="51" spans="1:5" x14ac:dyDescent="0.25">
      <c r="A51" s="8">
        <v>4</v>
      </c>
      <c r="B51" s="8">
        <v>2</v>
      </c>
      <c r="D51" s="5"/>
      <c r="E51" s="5"/>
    </row>
    <row r="52" spans="1:5" x14ac:dyDescent="0.25">
      <c r="A52" s="8">
        <v>3</v>
      </c>
      <c r="B52" s="8">
        <v>5</v>
      </c>
      <c r="D52" t="s">
        <v>16</v>
      </c>
      <c r="E52">
        <f>_xlfn.T.INV.2T(E47,E45)</f>
        <v>1.9762333088953288</v>
      </c>
    </row>
    <row r="53" spans="1:5" x14ac:dyDescent="0.25">
      <c r="A53" s="8">
        <v>5</v>
      </c>
      <c r="B53" s="8">
        <v>4</v>
      </c>
      <c r="D53" t="s">
        <v>17</v>
      </c>
      <c r="E53">
        <f>_xlfn.T.INV(E47, E45)</f>
        <v>-1.6552854366095326</v>
      </c>
    </row>
    <row r="54" spans="1:5" x14ac:dyDescent="0.25">
      <c r="A54" s="8">
        <v>2</v>
      </c>
      <c r="B54" s="8">
        <v>4</v>
      </c>
    </row>
    <row r="55" spans="1:5" x14ac:dyDescent="0.25">
      <c r="A55" s="8">
        <v>4</v>
      </c>
      <c r="B55" s="8">
        <v>3</v>
      </c>
      <c r="D55" t="s">
        <v>18</v>
      </c>
      <c r="E55">
        <f>TTEST(A:A,B:B,2,2)</f>
        <v>3.3731167815045787E-2</v>
      </c>
    </row>
    <row r="56" spans="1:5" x14ac:dyDescent="0.25">
      <c r="A56" s="8">
        <v>4</v>
      </c>
      <c r="B56" s="8">
        <v>5</v>
      </c>
      <c r="D56" t="s">
        <v>19</v>
      </c>
      <c r="E56">
        <f>TTEST(A:A,B:B,1,2)</f>
        <v>1.6865583907522894E-2</v>
      </c>
    </row>
    <row r="57" spans="1:5" x14ac:dyDescent="0.25">
      <c r="A57" s="8">
        <v>3</v>
      </c>
      <c r="B57" s="8">
        <v>5</v>
      </c>
    </row>
    <row r="58" spans="1:5" x14ac:dyDescent="0.25">
      <c r="A58" s="8">
        <v>3</v>
      </c>
      <c r="B58" s="8">
        <v>4</v>
      </c>
    </row>
    <row r="59" spans="1:5" x14ac:dyDescent="0.25">
      <c r="A59" s="8">
        <v>2</v>
      </c>
      <c r="B59" s="8">
        <v>5</v>
      </c>
      <c r="D59" s="5" t="s">
        <v>20</v>
      </c>
      <c r="E59" s="5"/>
    </row>
    <row r="60" spans="1:5" x14ac:dyDescent="0.25">
      <c r="A60" s="8">
        <v>4</v>
      </c>
      <c r="B60" s="8">
        <v>1</v>
      </c>
    </row>
    <row r="61" spans="1:5" x14ac:dyDescent="0.25">
      <c r="A61" s="8">
        <v>3</v>
      </c>
      <c r="B61" s="8">
        <v>4</v>
      </c>
      <c r="D61" t="s">
        <v>21</v>
      </c>
    </row>
    <row r="62" spans="1:5" x14ac:dyDescent="0.25">
      <c r="A62" s="8">
        <v>2</v>
      </c>
      <c r="B62" s="8">
        <v>3</v>
      </c>
      <c r="D62" t="s">
        <v>22</v>
      </c>
    </row>
    <row r="63" spans="1:5" x14ac:dyDescent="0.25">
      <c r="A63" s="8">
        <v>3</v>
      </c>
      <c r="B63" s="8">
        <v>3</v>
      </c>
    </row>
    <row r="64" spans="1:5" x14ac:dyDescent="0.25">
      <c r="A64" s="8">
        <v>3</v>
      </c>
      <c r="B64" s="8">
        <v>3</v>
      </c>
      <c r="D64" t="s">
        <v>23</v>
      </c>
    </row>
    <row r="65" spans="1:4" x14ac:dyDescent="0.25">
      <c r="A65" s="8">
        <v>5</v>
      </c>
      <c r="B65" s="8">
        <v>3</v>
      </c>
      <c r="D65" t="s">
        <v>24</v>
      </c>
    </row>
    <row r="66" spans="1:4" x14ac:dyDescent="0.25">
      <c r="A66" s="8">
        <v>3</v>
      </c>
      <c r="B66" s="8">
        <v>4</v>
      </c>
    </row>
    <row r="67" spans="1:4" x14ac:dyDescent="0.25">
      <c r="A67" s="8">
        <v>3</v>
      </c>
      <c r="B67" s="8">
        <v>5</v>
      </c>
    </row>
    <row r="68" spans="1:4" x14ac:dyDescent="0.25">
      <c r="A68" s="8">
        <v>2</v>
      </c>
      <c r="B68" s="8">
        <v>4</v>
      </c>
      <c r="D68" s="7" t="s">
        <v>25</v>
      </c>
    </row>
    <row r="69" spans="1:4" x14ac:dyDescent="0.25">
      <c r="A69" s="8">
        <v>4</v>
      </c>
      <c r="B69" s="8">
        <v>2</v>
      </c>
    </row>
    <row r="70" spans="1:4" x14ac:dyDescent="0.25">
      <c r="A70" s="8">
        <v>4</v>
      </c>
      <c r="B70" s="8">
        <v>4</v>
      </c>
      <c r="D70" t="s">
        <v>26</v>
      </c>
    </row>
    <row r="71" spans="1:4" x14ac:dyDescent="0.25">
      <c r="A71" s="8">
        <v>4</v>
      </c>
      <c r="B71" s="8">
        <v>5</v>
      </c>
      <c r="D71" t="s">
        <v>27</v>
      </c>
    </row>
    <row r="72" spans="1:4" x14ac:dyDescent="0.25">
      <c r="A72" s="8">
        <v>3</v>
      </c>
      <c r="B72" s="8">
        <v>3</v>
      </c>
      <c r="D72" t="s">
        <v>28</v>
      </c>
    </row>
    <row r="73" spans="1:4" x14ac:dyDescent="0.25">
      <c r="A73" s="8">
        <v>3</v>
      </c>
      <c r="B73" s="8">
        <v>5</v>
      </c>
    </row>
    <row r="74" spans="1:4" x14ac:dyDescent="0.25">
      <c r="A74" s="8">
        <v>2</v>
      </c>
      <c r="B74" s="8">
        <v>1</v>
      </c>
    </row>
    <row r="75" spans="1:4" x14ac:dyDescent="0.25">
      <c r="A75" s="8">
        <v>1</v>
      </c>
      <c r="B75" s="8">
        <v>1</v>
      </c>
      <c r="D75" s="7" t="s">
        <v>25</v>
      </c>
    </row>
    <row r="76" spans="1:4" x14ac:dyDescent="0.25">
      <c r="A76" s="8">
        <v>2</v>
      </c>
      <c r="B76" s="8">
        <v>3</v>
      </c>
    </row>
    <row r="82" spans="4:4" x14ac:dyDescent="0.25">
      <c r="D82" t="s">
        <v>29</v>
      </c>
    </row>
    <row r="83" spans="4:4" x14ac:dyDescent="0.25">
      <c r="D83" t="s">
        <v>28</v>
      </c>
    </row>
    <row r="84" spans="4:4" x14ac:dyDescent="0.25">
      <c r="D84" t="s">
        <v>29</v>
      </c>
    </row>
    <row r="85" spans="4:4" x14ac:dyDescent="0.25">
      <c r="D85" t="s">
        <v>28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F4ABD-E372-411F-892C-855A21F5E1F7}">
  <dimension ref="A1:F85"/>
  <sheetViews>
    <sheetView zoomScale="70" zoomScaleNormal="70" workbookViewId="0">
      <selection activeCell="F21" sqref="F21"/>
    </sheetView>
  </sheetViews>
  <sheetFormatPr baseColWidth="10" defaultColWidth="9.140625" defaultRowHeight="15" x14ac:dyDescent="0.25"/>
  <cols>
    <col min="1" max="1" width="22.42578125" style="8" customWidth="1"/>
    <col min="2" max="2" width="24.42578125" style="8" customWidth="1"/>
    <col min="4" max="4" width="38.140625" customWidth="1"/>
    <col min="5" max="5" width="21.5703125" customWidth="1"/>
    <col min="6" max="6" width="17.85546875" customWidth="1"/>
  </cols>
  <sheetData>
    <row r="1" spans="1:5" ht="141" customHeight="1" x14ac:dyDescent="0.25">
      <c r="A1" s="10" t="s">
        <v>32</v>
      </c>
      <c r="B1" s="9" t="s">
        <v>33</v>
      </c>
    </row>
    <row r="2" spans="1:5" x14ac:dyDescent="0.25">
      <c r="A2" s="8">
        <v>3</v>
      </c>
      <c r="B2" s="8">
        <v>5</v>
      </c>
      <c r="D2" s="1" t="s">
        <v>53</v>
      </c>
      <c r="E2">
        <f>AVERAGE(A:A)</f>
        <v>3.0533333333333332</v>
      </c>
    </row>
    <row r="3" spans="1:5" x14ac:dyDescent="0.25">
      <c r="A3" s="8">
        <v>3</v>
      </c>
      <c r="B3" s="8">
        <v>3</v>
      </c>
      <c r="D3" s="1" t="s">
        <v>0</v>
      </c>
      <c r="E3">
        <f>MEDIAN(A:A)</f>
        <v>3</v>
      </c>
    </row>
    <row r="4" spans="1:5" x14ac:dyDescent="0.25">
      <c r="A4" s="8">
        <v>1</v>
      </c>
      <c r="B4" s="8">
        <v>3</v>
      </c>
      <c r="D4" s="1" t="s">
        <v>1</v>
      </c>
      <c r="E4">
        <f>MODE(A:A)</f>
        <v>3</v>
      </c>
    </row>
    <row r="5" spans="1:5" x14ac:dyDescent="0.25">
      <c r="A5" s="8">
        <v>3</v>
      </c>
      <c r="B5" s="8">
        <v>2</v>
      </c>
      <c r="D5" s="1" t="s">
        <v>15</v>
      </c>
      <c r="E5">
        <f>STDEV(A:A)</f>
        <v>1.1377233470463783</v>
      </c>
    </row>
    <row r="6" spans="1:5" x14ac:dyDescent="0.25">
      <c r="A6" s="8">
        <v>2</v>
      </c>
      <c r="B6" s="8">
        <v>3</v>
      </c>
      <c r="D6" s="4" t="s">
        <v>4</v>
      </c>
      <c r="E6">
        <f>COUNT(A:A)</f>
        <v>75</v>
      </c>
    </row>
    <row r="7" spans="1:5" x14ac:dyDescent="0.25">
      <c r="A7" s="8">
        <v>5</v>
      </c>
      <c r="B7" s="8">
        <v>5</v>
      </c>
    </row>
    <row r="8" spans="1:5" x14ac:dyDescent="0.25">
      <c r="A8" s="8">
        <v>3</v>
      </c>
      <c r="B8" s="8">
        <v>4</v>
      </c>
      <c r="D8" s="3" t="s">
        <v>52</v>
      </c>
      <c r="E8">
        <f>AVERAGE(B:B)</f>
        <v>3.6266666666666665</v>
      </c>
    </row>
    <row r="9" spans="1:5" x14ac:dyDescent="0.25">
      <c r="A9" s="8">
        <v>1</v>
      </c>
      <c r="B9" s="8">
        <v>3</v>
      </c>
      <c r="D9" s="3" t="s">
        <v>2</v>
      </c>
      <c r="E9">
        <f>MEDIAN(B:B)</f>
        <v>4</v>
      </c>
    </row>
    <row r="10" spans="1:5" x14ac:dyDescent="0.25">
      <c r="A10" s="8">
        <v>1</v>
      </c>
      <c r="B10" s="8">
        <v>3</v>
      </c>
      <c r="D10" s="3" t="s">
        <v>3</v>
      </c>
      <c r="E10">
        <f>MODE(B:B)</f>
        <v>3</v>
      </c>
    </row>
    <row r="11" spans="1:5" x14ac:dyDescent="0.25">
      <c r="A11" s="8">
        <v>3</v>
      </c>
      <c r="B11" s="8">
        <v>3</v>
      </c>
      <c r="D11" s="3" t="s">
        <v>14</v>
      </c>
      <c r="E11">
        <f>STDEV(B:B)</f>
        <v>1.1122576666928921</v>
      </c>
    </row>
    <row r="12" spans="1:5" x14ac:dyDescent="0.25">
      <c r="A12" s="8">
        <v>4</v>
      </c>
      <c r="B12" s="8">
        <v>3</v>
      </c>
      <c r="D12" s="5" t="s">
        <v>5</v>
      </c>
      <c r="E12">
        <f>COUNT(B:B)</f>
        <v>75</v>
      </c>
    </row>
    <row r="13" spans="1:5" x14ac:dyDescent="0.25">
      <c r="A13" s="8">
        <v>2</v>
      </c>
      <c r="B13" s="8">
        <v>3</v>
      </c>
    </row>
    <row r="14" spans="1:5" x14ac:dyDescent="0.25">
      <c r="A14" s="8">
        <v>2</v>
      </c>
      <c r="B14" s="8">
        <v>3</v>
      </c>
    </row>
    <row r="15" spans="1:5" x14ac:dyDescent="0.25">
      <c r="A15" s="8">
        <v>4</v>
      </c>
      <c r="B15" s="8">
        <v>5</v>
      </c>
    </row>
    <row r="16" spans="1:5" x14ac:dyDescent="0.25">
      <c r="A16" s="8">
        <v>2</v>
      </c>
      <c r="B16" s="8">
        <v>5</v>
      </c>
    </row>
    <row r="17" spans="1:5" x14ac:dyDescent="0.25">
      <c r="A17" s="8">
        <v>4</v>
      </c>
      <c r="B17" s="8">
        <v>5</v>
      </c>
      <c r="D17" s="2" t="s">
        <v>6</v>
      </c>
      <c r="E17" s="2"/>
    </row>
    <row r="18" spans="1:5" x14ac:dyDescent="0.25">
      <c r="A18" s="8">
        <v>2</v>
      </c>
      <c r="B18" s="8">
        <v>4</v>
      </c>
    </row>
    <row r="19" spans="1:5" x14ac:dyDescent="0.25">
      <c r="A19" s="8">
        <v>4</v>
      </c>
      <c r="B19" s="8">
        <v>4</v>
      </c>
    </row>
    <row r="20" spans="1:5" x14ac:dyDescent="0.25">
      <c r="A20" s="8">
        <v>3</v>
      </c>
      <c r="B20" s="8">
        <v>3</v>
      </c>
    </row>
    <row r="21" spans="1:5" x14ac:dyDescent="0.25">
      <c r="A21" s="8">
        <v>1</v>
      </c>
      <c r="B21" s="8">
        <v>3</v>
      </c>
    </row>
    <row r="22" spans="1:5" x14ac:dyDescent="0.25">
      <c r="A22" s="8">
        <v>3</v>
      </c>
      <c r="B22" s="8">
        <v>4</v>
      </c>
    </row>
    <row r="23" spans="1:5" x14ac:dyDescent="0.25">
      <c r="A23" s="8">
        <v>2</v>
      </c>
      <c r="B23" s="8">
        <v>4</v>
      </c>
    </row>
    <row r="24" spans="1:5" x14ac:dyDescent="0.25">
      <c r="A24" s="8">
        <v>4</v>
      </c>
      <c r="B24" s="8">
        <v>2</v>
      </c>
    </row>
    <row r="25" spans="1:5" x14ac:dyDescent="0.25">
      <c r="A25" s="8">
        <v>1</v>
      </c>
      <c r="B25" s="8">
        <v>5</v>
      </c>
    </row>
    <row r="26" spans="1:5" x14ac:dyDescent="0.25">
      <c r="A26" s="8">
        <v>3</v>
      </c>
      <c r="B26" s="8">
        <v>5</v>
      </c>
    </row>
    <row r="27" spans="1:5" x14ac:dyDescent="0.25">
      <c r="A27" s="8">
        <v>3</v>
      </c>
      <c r="B27" s="8">
        <v>5</v>
      </c>
    </row>
    <row r="28" spans="1:5" x14ac:dyDescent="0.25">
      <c r="A28" s="8">
        <v>2</v>
      </c>
      <c r="B28" s="8">
        <v>5</v>
      </c>
    </row>
    <row r="29" spans="1:5" x14ac:dyDescent="0.25">
      <c r="A29" s="8">
        <v>4</v>
      </c>
      <c r="B29" s="8">
        <v>2</v>
      </c>
      <c r="D29" t="s">
        <v>11</v>
      </c>
      <c r="E29">
        <f>(E2-E8)/SQRT(((E5^2)/E6)+((E11^2)/E12))</f>
        <v>-3.1206578373923493</v>
      </c>
    </row>
    <row r="30" spans="1:5" x14ac:dyDescent="0.25">
      <c r="A30" s="8">
        <v>3</v>
      </c>
      <c r="B30" s="8">
        <v>3</v>
      </c>
    </row>
    <row r="31" spans="1:5" x14ac:dyDescent="0.25">
      <c r="A31" s="8">
        <v>4</v>
      </c>
      <c r="B31" s="8">
        <v>3</v>
      </c>
      <c r="D31" s="2" t="s">
        <v>7</v>
      </c>
      <c r="E31" s="2"/>
    </row>
    <row r="32" spans="1:5" x14ac:dyDescent="0.25">
      <c r="A32" s="8">
        <v>4</v>
      </c>
      <c r="B32" s="8">
        <v>3</v>
      </c>
    </row>
    <row r="33" spans="1:6" x14ac:dyDescent="0.25">
      <c r="A33" s="8">
        <v>2</v>
      </c>
      <c r="B33" s="8">
        <v>3</v>
      </c>
    </row>
    <row r="34" spans="1:6" x14ac:dyDescent="0.25">
      <c r="A34" s="8">
        <v>3</v>
      </c>
      <c r="B34" s="8">
        <v>5</v>
      </c>
    </row>
    <row r="35" spans="1:6" x14ac:dyDescent="0.25">
      <c r="A35" s="8">
        <v>4</v>
      </c>
      <c r="B35" s="8">
        <v>2</v>
      </c>
    </row>
    <row r="36" spans="1:6" x14ac:dyDescent="0.25">
      <c r="A36" s="8">
        <v>2</v>
      </c>
      <c r="B36" s="8">
        <v>4</v>
      </c>
    </row>
    <row r="37" spans="1:6" x14ac:dyDescent="0.25">
      <c r="A37" s="8">
        <v>3</v>
      </c>
      <c r="B37" s="8">
        <v>3</v>
      </c>
    </row>
    <row r="38" spans="1:6" x14ac:dyDescent="0.25">
      <c r="A38" s="8">
        <v>2</v>
      </c>
      <c r="B38" s="8">
        <v>3</v>
      </c>
    </row>
    <row r="39" spans="1:6" x14ac:dyDescent="0.25">
      <c r="A39" s="8">
        <v>2</v>
      </c>
      <c r="B39" s="8">
        <v>5</v>
      </c>
    </row>
    <row r="40" spans="1:6" x14ac:dyDescent="0.25">
      <c r="A40" s="8">
        <v>3</v>
      </c>
      <c r="B40" s="8">
        <v>5</v>
      </c>
    </row>
    <row r="41" spans="1:6" ht="29.25" customHeight="1" x14ac:dyDescent="0.25">
      <c r="A41" s="8">
        <v>5</v>
      </c>
      <c r="B41" s="8">
        <v>4</v>
      </c>
      <c r="D41" t="s">
        <v>8</v>
      </c>
      <c r="E41">
        <f>(((E5^2)/E6)+((E11^2)/E12))^2</f>
        <v>1.1393158924690445E-3</v>
      </c>
    </row>
    <row r="42" spans="1:6" ht="47.25" customHeight="1" x14ac:dyDescent="0.25">
      <c r="A42" s="8">
        <v>1</v>
      </c>
      <c r="B42" s="8">
        <v>4</v>
      </c>
      <c r="D42" t="s">
        <v>9</v>
      </c>
      <c r="E42">
        <f>(((E5^2)/E6)^2)/(E6-1)</f>
        <v>4.0252460690541976E-6</v>
      </c>
    </row>
    <row r="43" spans="1:6" ht="43.5" customHeight="1" x14ac:dyDescent="0.25">
      <c r="A43" s="8">
        <v>3</v>
      </c>
      <c r="B43" s="8">
        <v>3</v>
      </c>
      <c r="D43" t="s">
        <v>10</v>
      </c>
      <c r="E43">
        <f>(((E11^2)/E12)^2)/(E12-1)</f>
        <v>3.6767778053193161E-6</v>
      </c>
    </row>
    <row r="44" spans="1:6" x14ac:dyDescent="0.25">
      <c r="A44" s="8">
        <v>2</v>
      </c>
      <c r="B44" s="8">
        <v>2</v>
      </c>
    </row>
    <row r="45" spans="1:6" x14ac:dyDescent="0.25">
      <c r="A45" s="8">
        <v>5</v>
      </c>
      <c r="B45" s="8">
        <v>5</v>
      </c>
      <c r="D45" t="s">
        <v>7</v>
      </c>
      <c r="E45">
        <f>E41/(E42+E43)</f>
        <v>147.92422239300276</v>
      </c>
      <c r="F45" s="6" t="s">
        <v>12</v>
      </c>
    </row>
    <row r="46" spans="1:6" x14ac:dyDescent="0.25">
      <c r="A46" s="8">
        <v>3</v>
      </c>
      <c r="B46" s="8">
        <v>3</v>
      </c>
    </row>
    <row r="47" spans="1:6" x14ac:dyDescent="0.25">
      <c r="A47" s="8">
        <v>2</v>
      </c>
      <c r="B47" s="8">
        <v>3</v>
      </c>
      <c r="D47" t="s">
        <v>13</v>
      </c>
      <c r="E47">
        <v>0.05</v>
      </c>
      <c r="F47" s="6" t="s">
        <v>12</v>
      </c>
    </row>
    <row r="48" spans="1:6" x14ac:dyDescent="0.25">
      <c r="A48" s="8">
        <v>4</v>
      </c>
      <c r="B48" s="8">
        <v>4</v>
      </c>
    </row>
    <row r="49" spans="1:5" x14ac:dyDescent="0.25">
      <c r="A49" s="8">
        <v>2</v>
      </c>
      <c r="B49" s="8">
        <v>5</v>
      </c>
    </row>
    <row r="50" spans="1:5" x14ac:dyDescent="0.25">
      <c r="A50" s="8">
        <v>5</v>
      </c>
      <c r="B50" s="8">
        <v>5</v>
      </c>
    </row>
    <row r="51" spans="1:5" x14ac:dyDescent="0.25">
      <c r="A51" s="8">
        <v>3</v>
      </c>
      <c r="B51" s="8">
        <v>2</v>
      </c>
      <c r="D51" s="5"/>
      <c r="E51" s="5"/>
    </row>
    <row r="52" spans="1:5" x14ac:dyDescent="0.25">
      <c r="A52" s="8">
        <v>4</v>
      </c>
      <c r="B52" s="8">
        <v>4</v>
      </c>
      <c r="D52" t="s">
        <v>16</v>
      </c>
      <c r="E52">
        <f>_xlfn.T.INV.2T(E47,E45)</f>
        <v>1.9762333088953288</v>
      </c>
    </row>
    <row r="53" spans="1:5" x14ac:dyDescent="0.25">
      <c r="A53" s="8">
        <v>5</v>
      </c>
      <c r="B53" s="8">
        <v>3</v>
      </c>
      <c r="D53" t="s">
        <v>17</v>
      </c>
      <c r="E53">
        <f>_xlfn.T.INV(E47, E45)</f>
        <v>-1.6552854366095326</v>
      </c>
    </row>
    <row r="54" spans="1:5" x14ac:dyDescent="0.25">
      <c r="A54" s="8">
        <v>2</v>
      </c>
      <c r="B54" s="8">
        <v>4</v>
      </c>
    </row>
    <row r="55" spans="1:5" x14ac:dyDescent="0.25">
      <c r="A55" s="8">
        <v>4</v>
      </c>
      <c r="B55" s="8">
        <v>3</v>
      </c>
      <c r="D55" t="s">
        <v>18</v>
      </c>
      <c r="E55">
        <f>TTEST(A:A,B:B,2,2)</f>
        <v>2.1700188113644627E-3</v>
      </c>
    </row>
    <row r="56" spans="1:5" x14ac:dyDescent="0.25">
      <c r="A56" s="8">
        <v>4</v>
      </c>
      <c r="B56" s="8">
        <v>1</v>
      </c>
      <c r="D56" t="s">
        <v>19</v>
      </c>
      <c r="E56">
        <f>TTEST(A:A,B:B,1,2)</f>
        <v>1.0850094056822314E-3</v>
      </c>
    </row>
    <row r="57" spans="1:5" x14ac:dyDescent="0.25">
      <c r="A57" s="8">
        <v>3</v>
      </c>
      <c r="B57" s="8">
        <v>2</v>
      </c>
    </row>
    <row r="58" spans="1:5" x14ac:dyDescent="0.25">
      <c r="A58" s="8">
        <v>4</v>
      </c>
      <c r="B58" s="8">
        <v>5</v>
      </c>
    </row>
    <row r="59" spans="1:5" x14ac:dyDescent="0.25">
      <c r="A59" s="8">
        <v>3</v>
      </c>
      <c r="B59" s="8">
        <v>3</v>
      </c>
      <c r="D59" s="5" t="s">
        <v>20</v>
      </c>
      <c r="E59" s="5"/>
    </row>
    <row r="60" spans="1:5" x14ac:dyDescent="0.25">
      <c r="A60" s="8">
        <v>4</v>
      </c>
      <c r="B60" s="8">
        <v>4</v>
      </c>
    </row>
    <row r="61" spans="1:5" x14ac:dyDescent="0.25">
      <c r="A61" s="8">
        <v>4</v>
      </c>
      <c r="B61" s="8">
        <v>5</v>
      </c>
      <c r="D61" t="s">
        <v>21</v>
      </c>
    </row>
    <row r="62" spans="1:5" x14ac:dyDescent="0.25">
      <c r="A62" s="8">
        <v>5</v>
      </c>
      <c r="B62" s="8">
        <v>5</v>
      </c>
      <c r="D62" t="s">
        <v>22</v>
      </c>
    </row>
    <row r="63" spans="1:5" x14ac:dyDescent="0.25">
      <c r="A63" s="8">
        <v>3</v>
      </c>
      <c r="B63" s="8">
        <v>3</v>
      </c>
    </row>
    <row r="64" spans="1:5" x14ac:dyDescent="0.25">
      <c r="A64" s="8">
        <v>4</v>
      </c>
      <c r="B64" s="8">
        <v>3</v>
      </c>
      <c r="D64" t="s">
        <v>23</v>
      </c>
    </row>
    <row r="65" spans="1:4" x14ac:dyDescent="0.25">
      <c r="A65" s="8">
        <v>2</v>
      </c>
      <c r="B65" s="8">
        <v>5</v>
      </c>
      <c r="D65" t="s">
        <v>24</v>
      </c>
    </row>
    <row r="66" spans="1:4" x14ac:dyDescent="0.25">
      <c r="A66" s="8">
        <v>5</v>
      </c>
      <c r="B66" s="8">
        <v>4</v>
      </c>
    </row>
    <row r="67" spans="1:4" x14ac:dyDescent="0.25">
      <c r="A67" s="8">
        <v>3</v>
      </c>
      <c r="B67" s="8">
        <v>2</v>
      </c>
    </row>
    <row r="68" spans="1:4" x14ac:dyDescent="0.25">
      <c r="A68" s="8">
        <v>3</v>
      </c>
      <c r="B68" s="8">
        <v>5</v>
      </c>
      <c r="D68" s="7" t="s">
        <v>25</v>
      </c>
    </row>
    <row r="69" spans="1:4" x14ac:dyDescent="0.25">
      <c r="A69" s="8">
        <v>3</v>
      </c>
      <c r="B69" s="8">
        <v>5</v>
      </c>
    </row>
    <row r="70" spans="1:4" x14ac:dyDescent="0.25">
      <c r="A70" s="8">
        <v>4</v>
      </c>
      <c r="B70" s="8">
        <v>4</v>
      </c>
      <c r="D70" t="s">
        <v>26</v>
      </c>
    </row>
    <row r="71" spans="1:4" x14ac:dyDescent="0.25">
      <c r="A71" s="8">
        <v>3</v>
      </c>
      <c r="B71" s="8">
        <v>1</v>
      </c>
      <c r="D71" t="s">
        <v>27</v>
      </c>
    </row>
    <row r="72" spans="1:4" x14ac:dyDescent="0.25">
      <c r="A72" s="8">
        <v>2</v>
      </c>
      <c r="B72" s="8">
        <v>5</v>
      </c>
      <c r="D72" t="s">
        <v>28</v>
      </c>
    </row>
    <row r="73" spans="1:4" x14ac:dyDescent="0.25">
      <c r="A73" s="8">
        <v>3</v>
      </c>
      <c r="B73" s="8">
        <v>4</v>
      </c>
    </row>
    <row r="74" spans="1:4" x14ac:dyDescent="0.25">
      <c r="A74" s="8">
        <v>5</v>
      </c>
      <c r="B74" s="8">
        <v>3</v>
      </c>
    </row>
    <row r="75" spans="1:4" x14ac:dyDescent="0.25">
      <c r="A75" s="8">
        <v>4</v>
      </c>
      <c r="B75" s="8">
        <v>4</v>
      </c>
      <c r="D75" s="7" t="s">
        <v>25</v>
      </c>
    </row>
    <row r="76" spans="1:4" x14ac:dyDescent="0.25">
      <c r="A76" s="8">
        <v>1</v>
      </c>
      <c r="B76" s="8">
        <v>2</v>
      </c>
    </row>
    <row r="82" spans="4:4" x14ac:dyDescent="0.25">
      <c r="D82" t="s">
        <v>29</v>
      </c>
    </row>
    <row r="83" spans="4:4" x14ac:dyDescent="0.25">
      <c r="D83" t="s">
        <v>28</v>
      </c>
    </row>
    <row r="84" spans="4:4" x14ac:dyDescent="0.25">
      <c r="D84" t="s">
        <v>29</v>
      </c>
    </row>
    <row r="85" spans="4:4" x14ac:dyDescent="0.25">
      <c r="D85" t="s">
        <v>28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tabSelected="1" zoomScale="70" zoomScaleNormal="70" workbookViewId="0">
      <selection activeCell="C23" sqref="C23"/>
    </sheetView>
  </sheetViews>
  <sheetFormatPr baseColWidth="10" defaultColWidth="9.140625" defaultRowHeight="15" x14ac:dyDescent="0.25"/>
  <cols>
    <col min="1" max="1" width="25.42578125" style="8" customWidth="1"/>
    <col min="2" max="2" width="24.42578125" style="8" customWidth="1"/>
    <col min="4" max="4" width="39.140625" customWidth="1"/>
    <col min="5" max="5" width="21.5703125" customWidth="1"/>
    <col min="6" max="6" width="17.85546875" customWidth="1"/>
  </cols>
  <sheetData>
    <row r="1" spans="1:5" ht="141" customHeight="1" x14ac:dyDescent="0.25">
      <c r="A1" s="10" t="s">
        <v>30</v>
      </c>
      <c r="B1" s="9" t="s">
        <v>31</v>
      </c>
    </row>
    <row r="2" spans="1:5" x14ac:dyDescent="0.25">
      <c r="A2" s="8">
        <v>3</v>
      </c>
      <c r="B2" s="8">
        <v>5</v>
      </c>
      <c r="D2" s="1" t="s">
        <v>53</v>
      </c>
      <c r="E2">
        <f>AVERAGE(A:A)</f>
        <v>3.2133333333333334</v>
      </c>
    </row>
    <row r="3" spans="1:5" x14ac:dyDescent="0.25">
      <c r="A3" s="8">
        <v>5</v>
      </c>
      <c r="B3" s="8">
        <v>2</v>
      </c>
      <c r="D3" s="1" t="s">
        <v>0</v>
      </c>
      <c r="E3">
        <f>MEDIAN(A:A)</f>
        <v>3</v>
      </c>
    </row>
    <row r="4" spans="1:5" x14ac:dyDescent="0.25">
      <c r="A4" s="8">
        <v>2</v>
      </c>
      <c r="B4" s="8">
        <v>4</v>
      </c>
      <c r="D4" s="1" t="s">
        <v>1</v>
      </c>
      <c r="E4">
        <f>MODE(A:A)</f>
        <v>4</v>
      </c>
    </row>
    <row r="5" spans="1:5" x14ac:dyDescent="0.25">
      <c r="A5" s="8">
        <v>4</v>
      </c>
      <c r="B5" s="8">
        <v>2</v>
      </c>
      <c r="D5" s="1" t="s">
        <v>15</v>
      </c>
      <c r="E5">
        <f>STDEV(A:A)</f>
        <v>1.2870806410542337</v>
      </c>
    </row>
    <row r="6" spans="1:5" x14ac:dyDescent="0.25">
      <c r="A6" s="8">
        <v>3</v>
      </c>
      <c r="B6" s="8">
        <v>5</v>
      </c>
      <c r="D6" s="4" t="s">
        <v>4</v>
      </c>
      <c r="E6">
        <f>COUNT(A:A)</f>
        <v>75</v>
      </c>
    </row>
    <row r="7" spans="1:5" x14ac:dyDescent="0.25">
      <c r="A7" s="8">
        <v>4</v>
      </c>
      <c r="B7" s="8">
        <v>2</v>
      </c>
    </row>
    <row r="8" spans="1:5" x14ac:dyDescent="0.25">
      <c r="A8" s="8">
        <v>5</v>
      </c>
      <c r="B8" s="8">
        <v>2</v>
      </c>
      <c r="D8" s="3" t="s">
        <v>52</v>
      </c>
      <c r="E8">
        <f>AVERAGE(B:B)</f>
        <v>3.6133333333333333</v>
      </c>
    </row>
    <row r="9" spans="1:5" x14ac:dyDescent="0.25">
      <c r="A9" s="8">
        <v>4</v>
      </c>
      <c r="B9" s="8">
        <v>4</v>
      </c>
      <c r="D9" s="3" t="s">
        <v>2</v>
      </c>
      <c r="E9">
        <f>MEDIAN(B:B)</f>
        <v>4</v>
      </c>
    </row>
    <row r="10" spans="1:5" x14ac:dyDescent="0.25">
      <c r="A10" s="8">
        <v>3</v>
      </c>
      <c r="B10" s="8">
        <v>4</v>
      </c>
      <c r="D10" s="3" t="s">
        <v>3</v>
      </c>
      <c r="E10">
        <f>MODE(B:B)</f>
        <v>4</v>
      </c>
    </row>
    <row r="11" spans="1:5" x14ac:dyDescent="0.25">
      <c r="A11" s="8">
        <v>4</v>
      </c>
      <c r="B11" s="8">
        <v>4</v>
      </c>
      <c r="D11" s="3" t="s">
        <v>14</v>
      </c>
      <c r="E11">
        <f>STDEV(B:B)</f>
        <v>1.2508735686250168</v>
      </c>
    </row>
    <row r="12" spans="1:5" x14ac:dyDescent="0.25">
      <c r="A12" s="8">
        <v>2</v>
      </c>
      <c r="B12" s="8">
        <v>4</v>
      </c>
      <c r="D12" s="5" t="s">
        <v>5</v>
      </c>
      <c r="E12">
        <f>COUNT(B:B)</f>
        <v>75</v>
      </c>
    </row>
    <row r="13" spans="1:5" x14ac:dyDescent="0.25">
      <c r="A13" s="8">
        <v>3</v>
      </c>
      <c r="B13" s="8">
        <v>4</v>
      </c>
    </row>
    <row r="14" spans="1:5" x14ac:dyDescent="0.25">
      <c r="A14" s="8">
        <v>4</v>
      </c>
      <c r="B14" s="8">
        <v>3</v>
      </c>
    </row>
    <row r="15" spans="1:5" x14ac:dyDescent="0.25">
      <c r="A15" s="8">
        <v>1</v>
      </c>
      <c r="B15" s="8">
        <v>4</v>
      </c>
    </row>
    <row r="16" spans="1:5" x14ac:dyDescent="0.25">
      <c r="A16" s="8">
        <v>3</v>
      </c>
      <c r="B16" s="8">
        <v>3</v>
      </c>
    </row>
    <row r="17" spans="1:5" x14ac:dyDescent="0.25">
      <c r="A17" s="8">
        <v>2</v>
      </c>
      <c r="B17" s="8">
        <v>5</v>
      </c>
      <c r="D17" s="2" t="s">
        <v>6</v>
      </c>
      <c r="E17" s="2"/>
    </row>
    <row r="18" spans="1:5" x14ac:dyDescent="0.25">
      <c r="A18" s="8">
        <v>5</v>
      </c>
      <c r="B18" s="8">
        <v>5</v>
      </c>
    </row>
    <row r="19" spans="1:5" x14ac:dyDescent="0.25">
      <c r="A19" s="8">
        <v>1</v>
      </c>
      <c r="B19" s="8">
        <v>4</v>
      </c>
    </row>
    <row r="20" spans="1:5" x14ac:dyDescent="0.25">
      <c r="A20" s="8">
        <v>3</v>
      </c>
      <c r="B20" s="8">
        <v>4</v>
      </c>
    </row>
    <row r="21" spans="1:5" x14ac:dyDescent="0.25">
      <c r="A21" s="8">
        <v>3</v>
      </c>
      <c r="B21" s="8">
        <v>2</v>
      </c>
    </row>
    <row r="22" spans="1:5" x14ac:dyDescent="0.25">
      <c r="A22" s="8">
        <v>1</v>
      </c>
      <c r="B22" s="8">
        <v>5</v>
      </c>
    </row>
    <row r="23" spans="1:5" x14ac:dyDescent="0.25">
      <c r="A23" s="8">
        <v>4</v>
      </c>
      <c r="B23" s="8">
        <v>4</v>
      </c>
    </row>
    <row r="24" spans="1:5" x14ac:dyDescent="0.25">
      <c r="A24" s="8">
        <v>4</v>
      </c>
      <c r="B24" s="8">
        <v>4</v>
      </c>
    </row>
    <row r="25" spans="1:5" x14ac:dyDescent="0.25">
      <c r="A25" s="8">
        <v>1</v>
      </c>
      <c r="B25" s="8">
        <v>5</v>
      </c>
    </row>
    <row r="26" spans="1:5" x14ac:dyDescent="0.25">
      <c r="A26" s="8">
        <v>4</v>
      </c>
      <c r="B26" s="8">
        <v>4</v>
      </c>
    </row>
    <row r="27" spans="1:5" x14ac:dyDescent="0.25">
      <c r="A27" s="8">
        <v>5</v>
      </c>
      <c r="B27" s="8">
        <v>4</v>
      </c>
    </row>
    <row r="28" spans="1:5" x14ac:dyDescent="0.25">
      <c r="A28" s="8">
        <v>3</v>
      </c>
      <c r="B28" s="8">
        <v>5</v>
      </c>
    </row>
    <row r="29" spans="1:5" x14ac:dyDescent="0.25">
      <c r="A29" s="8">
        <v>4</v>
      </c>
      <c r="B29" s="8">
        <v>1</v>
      </c>
      <c r="D29" t="s">
        <v>11</v>
      </c>
      <c r="E29">
        <f>(E2-E8)/SQRT(((E5^2)/E6)+((E11^2)/E12))</f>
        <v>-1.9300903888869987</v>
      </c>
    </row>
    <row r="30" spans="1:5" x14ac:dyDescent="0.25">
      <c r="A30" s="8">
        <v>5</v>
      </c>
      <c r="B30" s="8">
        <v>1</v>
      </c>
    </row>
    <row r="31" spans="1:5" x14ac:dyDescent="0.25">
      <c r="A31" s="8">
        <v>4</v>
      </c>
      <c r="B31" s="8">
        <v>3</v>
      </c>
      <c r="D31" s="2" t="s">
        <v>7</v>
      </c>
      <c r="E31" s="2"/>
    </row>
    <row r="32" spans="1:5" x14ac:dyDescent="0.25">
      <c r="A32" s="8">
        <v>5</v>
      </c>
      <c r="B32" s="8">
        <v>5</v>
      </c>
    </row>
    <row r="33" spans="1:6" x14ac:dyDescent="0.25">
      <c r="A33" s="8">
        <v>5</v>
      </c>
      <c r="B33" s="8">
        <v>5</v>
      </c>
    </row>
    <row r="34" spans="1:6" x14ac:dyDescent="0.25">
      <c r="A34" s="8">
        <v>3</v>
      </c>
      <c r="B34" s="8">
        <v>3</v>
      </c>
    </row>
    <row r="35" spans="1:6" x14ac:dyDescent="0.25">
      <c r="A35" s="8">
        <v>5</v>
      </c>
      <c r="B35" s="8">
        <v>3</v>
      </c>
    </row>
    <row r="36" spans="1:6" x14ac:dyDescent="0.25">
      <c r="A36" s="8">
        <v>5</v>
      </c>
      <c r="B36" s="8">
        <v>5</v>
      </c>
    </row>
    <row r="37" spans="1:6" x14ac:dyDescent="0.25">
      <c r="A37" s="8">
        <v>4</v>
      </c>
      <c r="B37" s="8">
        <v>3</v>
      </c>
    </row>
    <row r="38" spans="1:6" x14ac:dyDescent="0.25">
      <c r="A38" s="8">
        <v>2</v>
      </c>
      <c r="B38" s="8">
        <v>5</v>
      </c>
    </row>
    <row r="39" spans="1:6" x14ac:dyDescent="0.25">
      <c r="A39" s="8">
        <v>2</v>
      </c>
      <c r="B39" s="8">
        <v>2</v>
      </c>
    </row>
    <row r="40" spans="1:6" x14ac:dyDescent="0.25">
      <c r="A40" s="8">
        <v>3</v>
      </c>
      <c r="B40" s="8">
        <v>5</v>
      </c>
    </row>
    <row r="41" spans="1:6" ht="29.25" customHeight="1" x14ac:dyDescent="0.25">
      <c r="A41" s="8">
        <v>5</v>
      </c>
      <c r="B41" s="8">
        <v>4</v>
      </c>
      <c r="D41" t="s">
        <v>8</v>
      </c>
      <c r="E41">
        <f>(((E5^2)/E6)+((E11^2)/E12))^2</f>
        <v>1.8447153979204434E-3</v>
      </c>
    </row>
    <row r="42" spans="1:6" ht="47.25" customHeight="1" x14ac:dyDescent="0.25">
      <c r="A42" s="8">
        <v>2</v>
      </c>
      <c r="B42" s="8">
        <v>5</v>
      </c>
      <c r="D42" t="s">
        <v>9</v>
      </c>
      <c r="E42">
        <f>(((E5^2)/E6)^2)/(E6-1)</f>
        <v>6.5927830728220364E-6</v>
      </c>
    </row>
    <row r="43" spans="1:6" ht="43.5" customHeight="1" x14ac:dyDescent="0.25">
      <c r="A43" s="8">
        <v>2</v>
      </c>
      <c r="B43" s="8">
        <v>3</v>
      </c>
      <c r="D43" t="s">
        <v>10</v>
      </c>
      <c r="E43">
        <f>(((E11^2)/E12)^2)/(E12-1)</f>
        <v>5.8816532432115565E-6</v>
      </c>
    </row>
    <row r="44" spans="1:6" x14ac:dyDescent="0.25">
      <c r="A44" s="8">
        <v>4</v>
      </c>
      <c r="B44" s="8">
        <v>3</v>
      </c>
    </row>
    <row r="45" spans="1:6" x14ac:dyDescent="0.25">
      <c r="A45" s="8">
        <v>4</v>
      </c>
      <c r="B45" s="8">
        <v>4</v>
      </c>
      <c r="D45" t="s">
        <v>7</v>
      </c>
      <c r="E45">
        <f>E41/(E42+E43)</f>
        <v>147.87965974457708</v>
      </c>
      <c r="F45" s="6" t="s">
        <v>12</v>
      </c>
    </row>
    <row r="46" spans="1:6" x14ac:dyDescent="0.25">
      <c r="A46" s="8">
        <v>4</v>
      </c>
      <c r="B46" s="8">
        <v>2</v>
      </c>
    </row>
    <row r="47" spans="1:6" x14ac:dyDescent="0.25">
      <c r="A47" s="8">
        <v>4</v>
      </c>
      <c r="B47" s="8">
        <v>3</v>
      </c>
      <c r="D47" t="s">
        <v>13</v>
      </c>
      <c r="E47">
        <v>0.05</v>
      </c>
      <c r="F47" s="6" t="s">
        <v>12</v>
      </c>
    </row>
    <row r="48" spans="1:6" x14ac:dyDescent="0.25">
      <c r="A48" s="8">
        <v>2</v>
      </c>
      <c r="B48" s="8">
        <v>1</v>
      </c>
    </row>
    <row r="49" spans="1:5" x14ac:dyDescent="0.25">
      <c r="A49" s="8">
        <v>2</v>
      </c>
      <c r="B49" s="8">
        <v>4</v>
      </c>
    </row>
    <row r="50" spans="1:5" x14ac:dyDescent="0.25">
      <c r="A50" s="8">
        <v>4</v>
      </c>
      <c r="B50" s="8">
        <v>4</v>
      </c>
    </row>
    <row r="51" spans="1:5" x14ac:dyDescent="0.25">
      <c r="A51" s="8">
        <v>2</v>
      </c>
      <c r="B51" s="8">
        <v>1</v>
      </c>
      <c r="D51" s="5"/>
      <c r="E51" s="5"/>
    </row>
    <row r="52" spans="1:5" x14ac:dyDescent="0.25">
      <c r="A52" s="8">
        <v>4</v>
      </c>
      <c r="B52" s="8">
        <v>5</v>
      </c>
      <c r="D52" t="s">
        <v>16</v>
      </c>
      <c r="E52">
        <f>_xlfn.T.INV.2T(E47,E45)</f>
        <v>1.9762333088953288</v>
      </c>
    </row>
    <row r="53" spans="1:5" x14ac:dyDescent="0.25">
      <c r="A53" s="8">
        <v>4</v>
      </c>
      <c r="B53" s="8">
        <v>4</v>
      </c>
      <c r="D53" t="s">
        <v>17</v>
      </c>
      <c r="E53">
        <f>_xlfn.T.INV(E47, E45)</f>
        <v>-1.6552854366095326</v>
      </c>
    </row>
    <row r="54" spans="1:5" x14ac:dyDescent="0.25">
      <c r="A54" s="8">
        <v>1</v>
      </c>
      <c r="B54" s="8">
        <v>5</v>
      </c>
    </row>
    <row r="55" spans="1:5" x14ac:dyDescent="0.25">
      <c r="A55" s="8">
        <v>3</v>
      </c>
      <c r="B55" s="8">
        <v>5</v>
      </c>
      <c r="D55" t="s">
        <v>18</v>
      </c>
      <c r="E55">
        <f>TTEST(A:A,B:B,2,2)</f>
        <v>5.5508156144133999E-2</v>
      </c>
    </row>
    <row r="56" spans="1:5" x14ac:dyDescent="0.25">
      <c r="A56" s="8">
        <v>1</v>
      </c>
      <c r="B56" s="8">
        <v>4</v>
      </c>
      <c r="D56" t="s">
        <v>19</v>
      </c>
      <c r="E56">
        <f>TTEST(A:A,B:B,1,2)</f>
        <v>2.7754078072067E-2</v>
      </c>
    </row>
    <row r="57" spans="1:5" x14ac:dyDescent="0.25">
      <c r="A57" s="8">
        <v>3</v>
      </c>
      <c r="B57" s="8">
        <v>4</v>
      </c>
    </row>
    <row r="58" spans="1:5" x14ac:dyDescent="0.25">
      <c r="A58" s="8">
        <v>4</v>
      </c>
      <c r="B58" s="8">
        <v>2</v>
      </c>
    </row>
    <row r="59" spans="1:5" x14ac:dyDescent="0.25">
      <c r="A59" s="8">
        <v>5</v>
      </c>
      <c r="B59" s="8">
        <v>4</v>
      </c>
      <c r="D59" s="5" t="s">
        <v>20</v>
      </c>
      <c r="E59" s="5"/>
    </row>
    <row r="60" spans="1:5" x14ac:dyDescent="0.25">
      <c r="A60" s="8">
        <v>2</v>
      </c>
      <c r="B60" s="8">
        <v>4</v>
      </c>
    </row>
    <row r="61" spans="1:5" x14ac:dyDescent="0.25">
      <c r="A61" s="8">
        <v>2</v>
      </c>
      <c r="B61" s="8">
        <v>3</v>
      </c>
      <c r="D61" t="s">
        <v>21</v>
      </c>
    </row>
    <row r="62" spans="1:5" x14ac:dyDescent="0.25">
      <c r="A62" s="8">
        <v>3</v>
      </c>
      <c r="B62" s="8">
        <v>5</v>
      </c>
      <c r="D62" t="s">
        <v>22</v>
      </c>
    </row>
    <row r="63" spans="1:5" x14ac:dyDescent="0.25">
      <c r="A63" s="8">
        <v>2</v>
      </c>
      <c r="B63" s="8">
        <v>3</v>
      </c>
    </row>
    <row r="64" spans="1:5" x14ac:dyDescent="0.25">
      <c r="A64" s="8">
        <v>2</v>
      </c>
      <c r="B64" s="8">
        <v>5</v>
      </c>
      <c r="D64" t="s">
        <v>23</v>
      </c>
    </row>
    <row r="65" spans="1:4" x14ac:dyDescent="0.25">
      <c r="A65" s="8">
        <v>3</v>
      </c>
      <c r="B65" s="8">
        <v>1</v>
      </c>
      <c r="D65" t="s">
        <v>24</v>
      </c>
    </row>
    <row r="66" spans="1:4" x14ac:dyDescent="0.25">
      <c r="A66" s="8">
        <v>1</v>
      </c>
      <c r="B66" s="8">
        <v>4</v>
      </c>
    </row>
    <row r="67" spans="1:4" x14ac:dyDescent="0.25">
      <c r="A67" s="8">
        <v>3</v>
      </c>
      <c r="B67" s="8">
        <v>5</v>
      </c>
    </row>
    <row r="68" spans="1:4" x14ac:dyDescent="0.25">
      <c r="A68" s="8">
        <v>3</v>
      </c>
      <c r="B68" s="8">
        <v>5</v>
      </c>
      <c r="D68" s="7" t="s">
        <v>25</v>
      </c>
    </row>
    <row r="69" spans="1:4" x14ac:dyDescent="0.25">
      <c r="A69" s="8">
        <v>3</v>
      </c>
      <c r="B69" s="8">
        <v>2</v>
      </c>
    </row>
    <row r="70" spans="1:4" x14ac:dyDescent="0.25">
      <c r="A70" s="8">
        <v>5</v>
      </c>
      <c r="B70" s="8">
        <v>2</v>
      </c>
      <c r="D70" t="s">
        <v>26</v>
      </c>
    </row>
    <row r="71" spans="1:4" x14ac:dyDescent="0.25">
      <c r="A71" s="8">
        <v>1</v>
      </c>
      <c r="B71" s="8">
        <v>2</v>
      </c>
      <c r="D71" t="s">
        <v>27</v>
      </c>
    </row>
    <row r="72" spans="1:4" x14ac:dyDescent="0.25">
      <c r="A72" s="8">
        <v>4</v>
      </c>
      <c r="B72" s="8">
        <v>2</v>
      </c>
      <c r="D72" t="s">
        <v>28</v>
      </c>
    </row>
    <row r="73" spans="1:4" x14ac:dyDescent="0.25">
      <c r="A73" s="8">
        <v>3</v>
      </c>
      <c r="B73" s="8">
        <v>5</v>
      </c>
    </row>
    <row r="74" spans="1:4" x14ac:dyDescent="0.25">
      <c r="A74" s="8">
        <v>5</v>
      </c>
      <c r="B74" s="8">
        <v>4</v>
      </c>
    </row>
    <row r="75" spans="1:4" x14ac:dyDescent="0.25">
      <c r="A75" s="8">
        <v>5</v>
      </c>
      <c r="B75" s="8">
        <v>5</v>
      </c>
      <c r="D75" s="7" t="s">
        <v>25</v>
      </c>
    </row>
    <row r="76" spans="1:4" x14ac:dyDescent="0.25">
      <c r="A76" s="8">
        <v>1</v>
      </c>
      <c r="B76" s="8">
        <v>3</v>
      </c>
    </row>
    <row r="82" spans="4:4" x14ac:dyDescent="0.25">
      <c r="D82" t="s">
        <v>29</v>
      </c>
    </row>
    <row r="83" spans="4:4" x14ac:dyDescent="0.25">
      <c r="D83" t="s">
        <v>28</v>
      </c>
    </row>
    <row r="84" spans="4:4" x14ac:dyDescent="0.25">
      <c r="D84" t="s">
        <v>29</v>
      </c>
    </row>
    <row r="85" spans="4:4" x14ac:dyDescent="0.25">
      <c r="D85" t="s">
        <v>28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Motivación_asignatura</vt:lpstr>
      <vt:lpstr>Resolución_autónoma</vt:lpstr>
      <vt:lpstr>Desarrollo_habilidades</vt:lpstr>
      <vt:lpstr>Nivel_comprensión_programación</vt:lpstr>
      <vt:lpstr>Calificación_programación</vt:lpstr>
      <vt:lpstr>Esfuerzo_objetivos_comunes</vt:lpstr>
      <vt:lpstr>Cumplimiento_tareas</vt:lpstr>
      <vt:lpstr>Valoró_aportes</vt:lpstr>
      <vt:lpstr>Contribución_equilibrada</vt:lpstr>
      <vt:lpstr>Expresó_ideas_clara</vt:lpstr>
      <vt:lpstr>Participó_activamente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2025-11-13T20:39:00Z</dcterms:modified>
</cp:coreProperties>
</file>
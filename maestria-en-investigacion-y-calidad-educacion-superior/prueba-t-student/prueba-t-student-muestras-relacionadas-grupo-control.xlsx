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04149A9-F394-48F4-88CD-52DBBF2E020E}" xr6:coauthVersionLast="47" xr6:coauthVersionMax="47" xr10:uidLastSave="{00000000-0000-0000-0000-000000000000}"/>
  <bookViews>
    <workbookView xWindow="11400" yWindow="0" windowWidth="9000" windowHeight="11070" xr2:uid="{00000000-000D-0000-FFFF-FFFF00000000}"/>
  </bookViews>
  <sheets>
    <sheet name="Motivación_asignatura" sheetId="11" r:id="rId1"/>
    <sheet name="Resolución_autónoma" sheetId="10" r:id="rId2"/>
    <sheet name="Desarrollo_habilidades" sheetId="9" r:id="rId3"/>
    <sheet name="Nivel_comprensión_programación" sheetId="8" r:id="rId4"/>
    <sheet name="Calificación_programación" sheetId="7" r:id="rId5"/>
    <sheet name="Esfuerzo_objetivos_comunes" sheetId="6" r:id="rId6"/>
    <sheet name="Cumplimiento_tareas" sheetId="5" r:id="rId7"/>
    <sheet name="Valoró_aportes" sheetId="4" r:id="rId8"/>
    <sheet name="Contribución_equilibrada " sheetId="3" r:id="rId9"/>
    <sheet name="Expresó_ideas_clara" sheetId="2" r:id="rId10"/>
    <sheet name="Participó_activamente" sheetId="1" r:id="rId11"/>
  </sheets>
  <calcPr calcId="191029"/>
</workbook>
</file>

<file path=xl/calcChain.xml><?xml version="1.0" encoding="utf-8"?>
<calcChain xmlns="http://schemas.openxmlformats.org/spreadsheetml/2006/main">
  <c r="C76" i="11" l="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G42" i="11"/>
  <c r="C42" i="11"/>
  <c r="G41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G4" i="11"/>
  <c r="G18" i="11" s="1"/>
  <c r="C4" i="11"/>
  <c r="C3" i="11"/>
  <c r="C2" i="11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G42" i="10"/>
  <c r="C42" i="10"/>
  <c r="G41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G4" i="10"/>
  <c r="G18" i="10" s="1"/>
  <c r="C4" i="10"/>
  <c r="C3" i="10"/>
  <c r="C2" i="10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G42" i="9"/>
  <c r="C42" i="9"/>
  <c r="G41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G4" i="9"/>
  <c r="G18" i="9" s="1"/>
  <c r="C4" i="9"/>
  <c r="C3" i="9"/>
  <c r="C2" i="9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G42" i="8"/>
  <c r="C42" i="8"/>
  <c r="G41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G4" i="8"/>
  <c r="G18" i="8" s="1"/>
  <c r="C4" i="8"/>
  <c r="C3" i="8"/>
  <c r="C2" i="8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G42" i="7"/>
  <c r="C42" i="7"/>
  <c r="G41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G4" i="7"/>
  <c r="G18" i="7" s="1"/>
  <c r="G24" i="7" s="1"/>
  <c r="C4" i="7"/>
  <c r="C3" i="7"/>
  <c r="C2" i="7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G42" i="6"/>
  <c r="C42" i="6"/>
  <c r="G41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G4" i="6"/>
  <c r="G18" i="6" s="1"/>
  <c r="C4" i="6"/>
  <c r="C3" i="6"/>
  <c r="C2" i="6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G42" i="5"/>
  <c r="C42" i="5"/>
  <c r="G41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G4" i="5"/>
  <c r="G18" i="5" s="1"/>
  <c r="C4" i="5"/>
  <c r="C3" i="5"/>
  <c r="C2" i="5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G42" i="4"/>
  <c r="C42" i="4"/>
  <c r="G41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G4" i="4"/>
  <c r="G18" i="4" s="1"/>
  <c r="C4" i="4"/>
  <c r="C3" i="4"/>
  <c r="C2" i="4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G42" i="3"/>
  <c r="C42" i="3"/>
  <c r="G41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G4" i="3"/>
  <c r="G18" i="3" s="1"/>
  <c r="C4" i="3"/>
  <c r="C3" i="3"/>
  <c r="C2" i="3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G42" i="2"/>
  <c r="C42" i="2"/>
  <c r="G41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G4" i="2"/>
  <c r="G18" i="2" s="1"/>
  <c r="C4" i="2"/>
  <c r="C3" i="2"/>
  <c r="C2" i="2"/>
  <c r="G4" i="1"/>
  <c r="G24" i="11" l="1"/>
  <c r="G23" i="11"/>
  <c r="G5" i="11"/>
  <c r="G6" i="11" s="1"/>
  <c r="G5" i="10"/>
  <c r="G6" i="10" s="1"/>
  <c r="G24" i="10"/>
  <c r="G23" i="10"/>
  <c r="G24" i="9"/>
  <c r="G23" i="9"/>
  <c r="G5" i="9"/>
  <c r="G6" i="9" s="1"/>
  <c r="G5" i="8"/>
  <c r="G6" i="8" s="1"/>
  <c r="G24" i="8"/>
  <c r="G23" i="8"/>
  <c r="G5" i="7"/>
  <c r="G6" i="7" s="1"/>
  <c r="G23" i="7"/>
  <c r="G5" i="6"/>
  <c r="G6" i="6" s="1"/>
  <c r="G24" i="6"/>
  <c r="G23" i="6"/>
  <c r="G5" i="5"/>
  <c r="G6" i="5" s="1"/>
  <c r="D5" i="5" s="1"/>
  <c r="G24" i="5"/>
  <c r="G23" i="5"/>
  <c r="G5" i="4"/>
  <c r="G6" i="4" s="1"/>
  <c r="G24" i="4"/>
  <c r="G23" i="4"/>
  <c r="G5" i="3"/>
  <c r="G6" i="3" s="1"/>
  <c r="G24" i="3"/>
  <c r="G23" i="3"/>
  <c r="G5" i="2"/>
  <c r="G6" i="2" s="1"/>
  <c r="G24" i="2"/>
  <c r="G23" i="2"/>
  <c r="G42" i="1"/>
  <c r="D18" i="11" l="1"/>
  <c r="D14" i="11"/>
  <c r="D39" i="11"/>
  <c r="D35" i="11"/>
  <c r="D31" i="11"/>
  <c r="D27" i="11"/>
  <c r="D20" i="11"/>
  <c r="D9" i="11"/>
  <c r="D15" i="11"/>
  <c r="D8" i="11"/>
  <c r="D2" i="11"/>
  <c r="D73" i="11"/>
  <c r="D69" i="11"/>
  <c r="D65" i="11"/>
  <c r="D61" i="11"/>
  <c r="D57" i="11"/>
  <c r="D53" i="11"/>
  <c r="D49" i="11"/>
  <c r="D45" i="11"/>
  <c r="D32" i="11"/>
  <c r="D16" i="11"/>
  <c r="D6" i="11"/>
  <c r="D3" i="11"/>
  <c r="D66" i="11"/>
  <c r="D25" i="11"/>
  <c r="D75" i="11"/>
  <c r="D64" i="11"/>
  <c r="D52" i="11"/>
  <c r="D50" i="11"/>
  <c r="D11" i="11"/>
  <c r="D56" i="11"/>
  <c r="D41" i="11"/>
  <c r="D23" i="11"/>
  <c r="D22" i="11"/>
  <c r="D70" i="11"/>
  <c r="D76" i="11"/>
  <c r="D74" i="11"/>
  <c r="D24" i="11"/>
  <c r="D59" i="11"/>
  <c r="D46" i="11"/>
  <c r="D58" i="11"/>
  <c r="D47" i="11"/>
  <c r="D43" i="11"/>
  <c r="D36" i="11"/>
  <c r="D4" i="11"/>
  <c r="D48" i="11"/>
  <c r="D17" i="11"/>
  <c r="D7" i="11"/>
  <c r="D10" i="11"/>
  <c r="D71" i="11"/>
  <c r="D68" i="11"/>
  <c r="D42" i="11"/>
  <c r="D63" i="11"/>
  <c r="D60" i="11"/>
  <c r="D19" i="11"/>
  <c r="D54" i="11"/>
  <c r="D51" i="11"/>
  <c r="D44" i="11"/>
  <c r="D38" i="11"/>
  <c r="D29" i="11"/>
  <c r="D28" i="11"/>
  <c r="D55" i="11"/>
  <c r="D34" i="11"/>
  <c r="D62" i="11"/>
  <c r="D67" i="11"/>
  <c r="D30" i="11"/>
  <c r="D13" i="11"/>
  <c r="D12" i="11"/>
  <c r="D33" i="11"/>
  <c r="D26" i="11"/>
  <c r="D40" i="11"/>
  <c r="D37" i="11"/>
  <c r="D21" i="11"/>
  <c r="D5" i="11"/>
  <c r="D72" i="11"/>
  <c r="D54" i="10"/>
  <c r="D39" i="10"/>
  <c r="D65" i="10"/>
  <c r="D13" i="10"/>
  <c r="D10" i="10"/>
  <c r="D75" i="10"/>
  <c r="D26" i="10"/>
  <c r="D8" i="10"/>
  <c r="D67" i="10"/>
  <c r="D58" i="10"/>
  <c r="D2" i="10"/>
  <c r="D29" i="10"/>
  <c r="D50" i="10"/>
  <c r="D21" i="10"/>
  <c r="D36" i="10"/>
  <c r="D69" i="10"/>
  <c r="D28" i="10"/>
  <c r="D52" i="10"/>
  <c r="D73" i="10"/>
  <c r="D11" i="10"/>
  <c r="D71" i="10"/>
  <c r="D25" i="10"/>
  <c r="D17" i="10"/>
  <c r="D23" i="10"/>
  <c r="D76" i="10"/>
  <c r="D14" i="10"/>
  <c r="D45" i="10"/>
  <c r="D18" i="10"/>
  <c r="D72" i="10"/>
  <c r="D22" i="10"/>
  <c r="D49" i="10"/>
  <c r="D9" i="10"/>
  <c r="D12" i="10"/>
  <c r="D63" i="10"/>
  <c r="D51" i="10"/>
  <c r="D53" i="10"/>
  <c r="D27" i="10"/>
  <c r="D20" i="10"/>
  <c r="D5" i="10"/>
  <c r="D56" i="10"/>
  <c r="D55" i="10"/>
  <c r="D62" i="10"/>
  <c r="D60" i="10"/>
  <c r="D24" i="10"/>
  <c r="D43" i="10"/>
  <c r="D57" i="10"/>
  <c r="D31" i="10"/>
  <c r="D74" i="10"/>
  <c r="D42" i="10"/>
  <c r="D48" i="10"/>
  <c r="D47" i="10"/>
  <c r="D46" i="10"/>
  <c r="D44" i="10"/>
  <c r="D16" i="10"/>
  <c r="D37" i="10"/>
  <c r="D61" i="10"/>
  <c r="D35" i="10"/>
  <c r="D66" i="10"/>
  <c r="D19" i="10"/>
  <c r="D34" i="10"/>
  <c r="D41" i="10"/>
  <c r="D40" i="10"/>
  <c r="D38" i="10"/>
  <c r="D33" i="10"/>
  <c r="D32" i="10"/>
  <c r="D30" i="10"/>
  <c r="D4" i="10"/>
  <c r="D3" i="10"/>
  <c r="D7" i="10"/>
  <c r="D6" i="10"/>
  <c r="D59" i="10"/>
  <c r="D15" i="10"/>
  <c r="D64" i="10"/>
  <c r="D70" i="10"/>
  <c r="D68" i="10"/>
  <c r="D35" i="9"/>
  <c r="D9" i="9"/>
  <c r="D39" i="9"/>
  <c r="D20" i="9"/>
  <c r="D15" i="9"/>
  <c r="D8" i="9"/>
  <c r="D2" i="9"/>
  <c r="D27" i="9"/>
  <c r="D31" i="9"/>
  <c r="D74" i="9"/>
  <c r="D70" i="9"/>
  <c r="D66" i="9"/>
  <c r="D62" i="9"/>
  <c r="D58" i="9"/>
  <c r="D54" i="9"/>
  <c r="D50" i="9"/>
  <c r="D46" i="9"/>
  <c r="D73" i="9"/>
  <c r="D69" i="9"/>
  <c r="D65" i="9"/>
  <c r="D61" i="9"/>
  <c r="D57" i="9"/>
  <c r="D53" i="9"/>
  <c r="D49" i="9"/>
  <c r="D45" i="9"/>
  <c r="D5" i="9"/>
  <c r="D33" i="9"/>
  <c r="D26" i="9"/>
  <c r="D51" i="9"/>
  <c r="D36" i="9"/>
  <c r="D42" i="9"/>
  <c r="D18" i="9"/>
  <c r="D63" i="9"/>
  <c r="D68" i="9"/>
  <c r="D72" i="9"/>
  <c r="D52" i="9"/>
  <c r="D29" i="9"/>
  <c r="D4" i="9"/>
  <c r="D59" i="9"/>
  <c r="D25" i="9"/>
  <c r="D17" i="9"/>
  <c r="D76" i="9"/>
  <c r="D6" i="9"/>
  <c r="D43" i="9"/>
  <c r="D28" i="9"/>
  <c r="D11" i="9"/>
  <c r="D10" i="9"/>
  <c r="D40" i="9"/>
  <c r="D60" i="9"/>
  <c r="D64" i="9"/>
  <c r="D71" i="9"/>
  <c r="D24" i="9"/>
  <c r="D44" i="9"/>
  <c r="D37" i="9"/>
  <c r="D32" i="9"/>
  <c r="D14" i="9"/>
  <c r="D21" i="9"/>
  <c r="D56" i="9"/>
  <c r="D55" i="9"/>
  <c r="D16" i="9"/>
  <c r="D38" i="9"/>
  <c r="D75" i="9"/>
  <c r="D13" i="9"/>
  <c r="D19" i="9"/>
  <c r="D48" i="9"/>
  <c r="D47" i="9"/>
  <c r="D23" i="9"/>
  <c r="D30" i="9"/>
  <c r="D12" i="9"/>
  <c r="D3" i="9"/>
  <c r="D67" i="9"/>
  <c r="D34" i="9"/>
  <c r="D41" i="9"/>
  <c r="D7" i="9"/>
  <c r="D22" i="9"/>
  <c r="D71" i="8"/>
  <c r="D74" i="8"/>
  <c r="D75" i="8"/>
  <c r="D53" i="8"/>
  <c r="D70" i="8"/>
  <c r="D35" i="8"/>
  <c r="D6" i="8"/>
  <c r="D61" i="8"/>
  <c r="D63" i="8"/>
  <c r="D24" i="8"/>
  <c r="D5" i="8"/>
  <c r="D41" i="8"/>
  <c r="D62" i="8"/>
  <c r="D15" i="8"/>
  <c r="D22" i="8"/>
  <c r="D16" i="8"/>
  <c r="D4" i="8"/>
  <c r="D28" i="8"/>
  <c r="D23" i="8"/>
  <c r="D54" i="8"/>
  <c r="D8" i="8"/>
  <c r="D44" i="8"/>
  <c r="D40" i="8"/>
  <c r="D10" i="8"/>
  <c r="D36" i="8"/>
  <c r="D67" i="8"/>
  <c r="D59" i="8"/>
  <c r="D73" i="8"/>
  <c r="D66" i="8"/>
  <c r="D13" i="8"/>
  <c r="D60" i="8"/>
  <c r="D3" i="8"/>
  <c r="D26" i="8"/>
  <c r="D19" i="8"/>
  <c r="D64" i="8"/>
  <c r="D55" i="8"/>
  <c r="D31" i="8"/>
  <c r="D21" i="8"/>
  <c r="D68" i="8"/>
  <c r="D17" i="8"/>
  <c r="D34" i="8"/>
  <c r="D42" i="8"/>
  <c r="D9" i="8"/>
  <c r="D20" i="8"/>
  <c r="D43" i="8"/>
  <c r="D7" i="8"/>
  <c r="D33" i="8"/>
  <c r="D56" i="8"/>
  <c r="D49" i="8"/>
  <c r="D57" i="8"/>
  <c r="D72" i="8"/>
  <c r="D12" i="8"/>
  <c r="D11" i="8"/>
  <c r="D48" i="8"/>
  <c r="D47" i="8"/>
  <c r="D69" i="8"/>
  <c r="D52" i="8"/>
  <c r="D51" i="8"/>
  <c r="D2" i="8"/>
  <c r="D46" i="8"/>
  <c r="D38" i="8"/>
  <c r="D37" i="8"/>
  <c r="D50" i="8"/>
  <c r="D27" i="8"/>
  <c r="D65" i="8"/>
  <c r="D32" i="8"/>
  <c r="D18" i="8"/>
  <c r="D25" i="8"/>
  <c r="D45" i="8"/>
  <c r="D30" i="8"/>
  <c r="D29" i="8"/>
  <c r="D58" i="8"/>
  <c r="D39" i="8"/>
  <c r="D14" i="8"/>
  <c r="D76" i="8"/>
  <c r="D8" i="7"/>
  <c r="D64" i="7"/>
  <c r="D24" i="7"/>
  <c r="D51" i="7"/>
  <c r="D74" i="7"/>
  <c r="D40" i="7"/>
  <c r="D75" i="7"/>
  <c r="D23" i="7"/>
  <c r="D18" i="7"/>
  <c r="D54" i="7"/>
  <c r="D3" i="7"/>
  <c r="D7" i="7"/>
  <c r="D50" i="7"/>
  <c r="D10" i="7"/>
  <c r="D15" i="7"/>
  <c r="D37" i="7"/>
  <c r="D76" i="7"/>
  <c r="D39" i="7"/>
  <c r="D13" i="7"/>
  <c r="D14" i="7"/>
  <c r="D4" i="7"/>
  <c r="D48" i="7"/>
  <c r="D31" i="7"/>
  <c r="D33" i="7"/>
  <c r="D6" i="7"/>
  <c r="D9" i="7"/>
  <c r="D25" i="7"/>
  <c r="D21" i="7"/>
  <c r="D65" i="7"/>
  <c r="D57" i="7"/>
  <c r="D38" i="7"/>
  <c r="D36" i="7"/>
  <c r="D22" i="7"/>
  <c r="D58" i="7"/>
  <c r="D44" i="7"/>
  <c r="D69" i="7"/>
  <c r="D30" i="7"/>
  <c r="D28" i="7"/>
  <c r="D5" i="7"/>
  <c r="D66" i="7"/>
  <c r="D67" i="7"/>
  <c r="D16" i="7"/>
  <c r="D32" i="7"/>
  <c r="D41" i="7"/>
  <c r="D62" i="7"/>
  <c r="D27" i="7"/>
  <c r="D60" i="7"/>
  <c r="D61" i="7"/>
  <c r="D42" i="7"/>
  <c r="D68" i="7"/>
  <c r="D53" i="7"/>
  <c r="D19" i="7"/>
  <c r="D59" i="7"/>
  <c r="D26" i="7"/>
  <c r="D17" i="7"/>
  <c r="D56" i="7"/>
  <c r="D70" i="7"/>
  <c r="D35" i="7"/>
  <c r="D63" i="7"/>
  <c r="D45" i="7"/>
  <c r="D12" i="7"/>
  <c r="D2" i="7"/>
  <c r="D43" i="7"/>
  <c r="D55" i="7"/>
  <c r="D72" i="7"/>
  <c r="D46" i="7"/>
  <c r="D11" i="7"/>
  <c r="D29" i="7"/>
  <c r="D71" i="7"/>
  <c r="D73" i="7"/>
  <c r="D34" i="7"/>
  <c r="D20" i="7"/>
  <c r="D52" i="7"/>
  <c r="D47" i="7"/>
  <c r="D49" i="7"/>
  <c r="D24" i="6"/>
  <c r="D4" i="6"/>
  <c r="D50" i="6"/>
  <c r="D48" i="6"/>
  <c r="D61" i="6"/>
  <c r="D37" i="6"/>
  <c r="D44" i="6"/>
  <c r="D74" i="6"/>
  <c r="D27" i="6"/>
  <c r="D51" i="6"/>
  <c r="D16" i="6"/>
  <c r="D35" i="6"/>
  <c r="D19" i="6"/>
  <c r="D30" i="6"/>
  <c r="D52" i="6"/>
  <c r="D29" i="6"/>
  <c r="D10" i="6"/>
  <c r="D58" i="6"/>
  <c r="D31" i="6"/>
  <c r="D57" i="6"/>
  <c r="D43" i="6"/>
  <c r="D53" i="6"/>
  <c r="D60" i="6"/>
  <c r="D22" i="6"/>
  <c r="D56" i="6"/>
  <c r="D2" i="6"/>
  <c r="D71" i="6"/>
  <c r="D38" i="6"/>
  <c r="D76" i="6"/>
  <c r="D39" i="6"/>
  <c r="D49" i="6"/>
  <c r="D59" i="6"/>
  <c r="D64" i="6"/>
  <c r="D20" i="6"/>
  <c r="D45" i="6"/>
  <c r="D6" i="6"/>
  <c r="D11" i="6"/>
  <c r="D15" i="6"/>
  <c r="D63" i="6"/>
  <c r="D21" i="6"/>
  <c r="D36" i="6"/>
  <c r="D73" i="6"/>
  <c r="D25" i="6"/>
  <c r="D3" i="6"/>
  <c r="D66" i="6"/>
  <c r="D12" i="6"/>
  <c r="D40" i="6"/>
  <c r="D32" i="6"/>
  <c r="D23" i="6"/>
  <c r="D33" i="6"/>
  <c r="D70" i="6"/>
  <c r="D55" i="6"/>
  <c r="D62" i="6"/>
  <c r="D7" i="6"/>
  <c r="D75" i="6"/>
  <c r="D13" i="6"/>
  <c r="D65" i="6"/>
  <c r="D14" i="6"/>
  <c r="D68" i="6"/>
  <c r="D28" i="6"/>
  <c r="D5" i="6"/>
  <c r="D47" i="6"/>
  <c r="D54" i="6"/>
  <c r="D34" i="6"/>
  <c r="D67" i="6"/>
  <c r="D8" i="6"/>
  <c r="D69" i="6"/>
  <c r="D9" i="6"/>
  <c r="D72" i="6"/>
  <c r="D42" i="6"/>
  <c r="D26" i="6"/>
  <c r="D41" i="6"/>
  <c r="D46" i="6"/>
  <c r="D18" i="6"/>
  <c r="D17" i="6"/>
  <c r="D55" i="5"/>
  <c r="D40" i="5"/>
  <c r="D18" i="5"/>
  <c r="D43" i="5"/>
  <c r="D62" i="5"/>
  <c r="D2" i="5"/>
  <c r="D37" i="5"/>
  <c r="D68" i="5"/>
  <c r="D73" i="5"/>
  <c r="D34" i="5"/>
  <c r="D47" i="5"/>
  <c r="D32" i="5"/>
  <c r="D4" i="5"/>
  <c r="D21" i="5"/>
  <c r="D66" i="5"/>
  <c r="D31" i="5"/>
  <c r="D41" i="5"/>
  <c r="D72" i="5"/>
  <c r="D65" i="5"/>
  <c r="D30" i="5"/>
  <c r="D17" i="5"/>
  <c r="D24" i="5"/>
  <c r="D54" i="5"/>
  <c r="D60" i="5"/>
  <c r="D12" i="5"/>
  <c r="D16" i="5"/>
  <c r="D59" i="5"/>
  <c r="D29" i="5"/>
  <c r="D70" i="5"/>
  <c r="D63" i="5"/>
  <c r="D26" i="5"/>
  <c r="D51" i="5"/>
  <c r="D58" i="5"/>
  <c r="D20" i="5"/>
  <c r="D33" i="5"/>
  <c r="D64" i="5"/>
  <c r="D13" i="5"/>
  <c r="D27" i="5"/>
  <c r="D44" i="5"/>
  <c r="D76" i="5"/>
  <c r="D57" i="5"/>
  <c r="D14" i="5"/>
  <c r="D3" i="5"/>
  <c r="D38" i="5"/>
  <c r="D8" i="5"/>
  <c r="D15" i="5"/>
  <c r="D11" i="5"/>
  <c r="D48" i="5"/>
  <c r="D74" i="5"/>
  <c r="D49" i="5"/>
  <c r="D6" i="5"/>
  <c r="D61" i="5"/>
  <c r="D69" i="5"/>
  <c r="D75" i="5"/>
  <c r="D46" i="5"/>
  <c r="D9" i="5"/>
  <c r="D22" i="5"/>
  <c r="D52" i="5"/>
  <c r="D36" i="5"/>
  <c r="D42" i="5"/>
  <c r="D10" i="5"/>
  <c r="D53" i="5"/>
  <c r="D45" i="5"/>
  <c r="D67" i="5"/>
  <c r="D50" i="5"/>
  <c r="D35" i="5"/>
  <c r="D25" i="5"/>
  <c r="D56" i="5"/>
  <c r="D28" i="5"/>
  <c r="D19" i="5"/>
  <c r="D71" i="5"/>
  <c r="D23" i="5"/>
  <c r="D7" i="5"/>
  <c r="D39" i="5"/>
  <c r="D64" i="4"/>
  <c r="D46" i="4"/>
  <c r="D72" i="4"/>
  <c r="D66" i="4"/>
  <c r="D49" i="4"/>
  <c r="D6" i="4"/>
  <c r="D40" i="4"/>
  <c r="D10" i="4"/>
  <c r="D68" i="4"/>
  <c r="D62" i="4"/>
  <c r="D45" i="4"/>
  <c r="D22" i="4"/>
  <c r="D3" i="4"/>
  <c r="D18" i="4"/>
  <c r="D39" i="4"/>
  <c r="D58" i="4"/>
  <c r="D8" i="4"/>
  <c r="D52" i="4"/>
  <c r="D17" i="4"/>
  <c r="D31" i="4"/>
  <c r="D43" i="4"/>
  <c r="D7" i="4"/>
  <c r="D33" i="4"/>
  <c r="D12" i="4"/>
  <c r="D27" i="4"/>
  <c r="D73" i="4"/>
  <c r="D59" i="4"/>
  <c r="D23" i="4"/>
  <c r="D41" i="4"/>
  <c r="D28" i="4"/>
  <c r="D15" i="4"/>
  <c r="D61" i="4"/>
  <c r="D67" i="4"/>
  <c r="D5" i="4"/>
  <c r="D71" i="4"/>
  <c r="D36" i="4"/>
  <c r="D2" i="4"/>
  <c r="D57" i="4"/>
  <c r="D75" i="4"/>
  <c r="D13" i="4"/>
  <c r="D4" i="4"/>
  <c r="D26" i="4"/>
  <c r="D20" i="4"/>
  <c r="D50" i="4"/>
  <c r="D21" i="4"/>
  <c r="D76" i="4"/>
  <c r="D25" i="4"/>
  <c r="D48" i="4"/>
  <c r="D60" i="4"/>
  <c r="D42" i="4"/>
  <c r="D63" i="4"/>
  <c r="D32" i="4"/>
  <c r="D38" i="4"/>
  <c r="D37" i="4"/>
  <c r="D65" i="4"/>
  <c r="D70" i="4"/>
  <c r="D14" i="4"/>
  <c r="D19" i="4"/>
  <c r="D56" i="4"/>
  <c r="D55" i="4"/>
  <c r="D16" i="4"/>
  <c r="D30" i="4"/>
  <c r="D29" i="4"/>
  <c r="D69" i="4"/>
  <c r="D74" i="4"/>
  <c r="D35" i="4"/>
  <c r="D11" i="4"/>
  <c r="D34" i="4"/>
  <c r="D47" i="4"/>
  <c r="D24" i="4"/>
  <c r="D44" i="4"/>
  <c r="D51" i="4"/>
  <c r="D53" i="4"/>
  <c r="D54" i="4"/>
  <c r="D9" i="4"/>
  <c r="D70" i="3"/>
  <c r="D39" i="3"/>
  <c r="D11" i="3"/>
  <c r="D44" i="3"/>
  <c r="D51" i="3"/>
  <c r="D43" i="3"/>
  <c r="D48" i="3"/>
  <c r="D37" i="3"/>
  <c r="D34" i="3"/>
  <c r="D3" i="3"/>
  <c r="D12" i="3"/>
  <c r="D6" i="3"/>
  <c r="D42" i="3"/>
  <c r="D55" i="3"/>
  <c r="D38" i="3"/>
  <c r="D14" i="3"/>
  <c r="D46" i="3"/>
  <c r="D18" i="3"/>
  <c r="D36" i="3"/>
  <c r="D23" i="3"/>
  <c r="D28" i="3"/>
  <c r="D7" i="3"/>
  <c r="D26" i="3"/>
  <c r="D52" i="3"/>
  <c r="D16" i="3"/>
  <c r="D19" i="3"/>
  <c r="D41" i="3"/>
  <c r="D40" i="3"/>
  <c r="D10" i="3"/>
  <c r="D33" i="3"/>
  <c r="D24" i="3"/>
  <c r="D30" i="3"/>
  <c r="D29" i="3"/>
  <c r="D8" i="3"/>
  <c r="D20" i="3"/>
  <c r="D5" i="3"/>
  <c r="D22" i="3"/>
  <c r="D21" i="3"/>
  <c r="D9" i="3"/>
  <c r="D74" i="3"/>
  <c r="D73" i="3"/>
  <c r="D61" i="3"/>
  <c r="D4" i="3"/>
  <c r="D25" i="3"/>
  <c r="D69" i="3"/>
  <c r="D76" i="3"/>
  <c r="D75" i="3"/>
  <c r="D13" i="3"/>
  <c r="D27" i="3"/>
  <c r="D66" i="3"/>
  <c r="D65" i="3"/>
  <c r="D72" i="3"/>
  <c r="D47" i="3"/>
  <c r="D17" i="3"/>
  <c r="D68" i="3"/>
  <c r="D67" i="3"/>
  <c r="D2" i="3"/>
  <c r="D31" i="3"/>
  <c r="D58" i="3"/>
  <c r="D57" i="3"/>
  <c r="D64" i="3"/>
  <c r="D71" i="3"/>
  <c r="D62" i="3"/>
  <c r="D53" i="3"/>
  <c r="D60" i="3"/>
  <c r="D59" i="3"/>
  <c r="D15" i="3"/>
  <c r="D35" i="3"/>
  <c r="D50" i="3"/>
  <c r="D49" i="3"/>
  <c r="D56" i="3"/>
  <c r="D63" i="3"/>
  <c r="D54" i="3"/>
  <c r="D45" i="3"/>
  <c r="D32" i="3"/>
  <c r="D74" i="2"/>
  <c r="D68" i="2"/>
  <c r="D9" i="2"/>
  <c r="D64" i="2"/>
  <c r="D73" i="2"/>
  <c r="D55" i="2"/>
  <c r="D27" i="2"/>
  <c r="D4" i="2"/>
  <c r="D69" i="2"/>
  <c r="D60" i="2"/>
  <c r="D57" i="2"/>
  <c r="D40" i="2"/>
  <c r="D20" i="2"/>
  <c r="D6" i="2"/>
  <c r="D31" i="2"/>
  <c r="D19" i="2"/>
  <c r="D44" i="2"/>
  <c r="D53" i="2"/>
  <c r="D36" i="2"/>
  <c r="D65" i="2"/>
  <c r="D14" i="2"/>
  <c r="D42" i="2"/>
  <c r="D41" i="2"/>
  <c r="D61" i="2"/>
  <c r="D32" i="2"/>
  <c r="D62" i="2"/>
  <c r="D30" i="2"/>
  <c r="D16" i="2"/>
  <c r="D71" i="2"/>
  <c r="D28" i="2"/>
  <c r="D58" i="2"/>
  <c r="D38" i="2"/>
  <c r="D72" i="2"/>
  <c r="D29" i="2"/>
  <c r="D63" i="2"/>
  <c r="D35" i="2"/>
  <c r="D50" i="2"/>
  <c r="D59" i="2"/>
  <c r="D37" i="2"/>
  <c r="D18" i="2"/>
  <c r="D33" i="2"/>
  <c r="D67" i="2"/>
  <c r="D21" i="2"/>
  <c r="D54" i="2"/>
  <c r="D23" i="2"/>
  <c r="D75" i="2"/>
  <c r="D66" i="2"/>
  <c r="D39" i="2"/>
  <c r="D43" i="2"/>
  <c r="D2" i="2"/>
  <c r="D11" i="2"/>
  <c r="D48" i="2"/>
  <c r="D12" i="2"/>
  <c r="D13" i="2"/>
  <c r="D70" i="2"/>
  <c r="D7" i="2"/>
  <c r="D47" i="2"/>
  <c r="D15" i="2"/>
  <c r="D22" i="2"/>
  <c r="D52" i="2"/>
  <c r="D5" i="2"/>
  <c r="D17" i="2"/>
  <c r="D76" i="2"/>
  <c r="D8" i="2"/>
  <c r="D45" i="2"/>
  <c r="D10" i="2"/>
  <c r="D51" i="2"/>
  <c r="D49" i="2"/>
  <c r="D25" i="2"/>
  <c r="D56" i="2"/>
  <c r="D26" i="2"/>
  <c r="D3" i="2"/>
  <c r="D46" i="2"/>
  <c r="D24" i="2"/>
  <c r="D34" i="2"/>
  <c r="G41" i="1"/>
  <c r="G7" i="11" l="1"/>
  <c r="G8" i="11" s="1"/>
  <c r="G12" i="11" s="1"/>
  <c r="G7" i="10"/>
  <c r="G8" i="10" s="1"/>
  <c r="G12" i="10" s="1"/>
  <c r="G7" i="9"/>
  <c r="G8" i="9" s="1"/>
  <c r="G12" i="9" s="1"/>
  <c r="G7" i="8"/>
  <c r="G8" i="8" s="1"/>
  <c r="G12" i="8" s="1"/>
  <c r="G7" i="7"/>
  <c r="G8" i="7" s="1"/>
  <c r="G12" i="7" s="1"/>
  <c r="G7" i="6"/>
  <c r="G8" i="6" s="1"/>
  <c r="G12" i="6" s="1"/>
  <c r="G7" i="5"/>
  <c r="G8" i="5" s="1"/>
  <c r="G12" i="5" s="1"/>
  <c r="G7" i="4"/>
  <c r="G8" i="4" s="1"/>
  <c r="G12" i="4" s="1"/>
  <c r="G7" i="3"/>
  <c r="G8" i="3" s="1"/>
  <c r="G12" i="3" s="1"/>
  <c r="G7" i="2"/>
  <c r="G8" i="2" s="1"/>
  <c r="G12" i="2" s="1"/>
  <c r="G18" i="1"/>
  <c r="G24" i="1" l="1"/>
  <c r="G2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2" i="1"/>
  <c r="G5" i="1" l="1"/>
  <c r="G6" i="1" s="1"/>
  <c r="D71" i="1" s="1"/>
  <c r="D8" i="1" l="1"/>
  <c r="D24" i="1"/>
  <c r="D40" i="1"/>
  <c r="D56" i="1"/>
  <c r="D72" i="1"/>
  <c r="D13" i="1"/>
  <c r="D29" i="1"/>
  <c r="D45" i="1"/>
  <c r="D61" i="1"/>
  <c r="D18" i="1"/>
  <c r="D50" i="1"/>
  <c r="D16" i="1"/>
  <c r="D32" i="1"/>
  <c r="D48" i="1"/>
  <c r="D64" i="1"/>
  <c r="D5" i="1"/>
  <c r="D21" i="1"/>
  <c r="D37" i="1"/>
  <c r="D53" i="1"/>
  <c r="D69" i="1"/>
  <c r="D10" i="1"/>
  <c r="D26" i="1"/>
  <c r="D42" i="1"/>
  <c r="D58" i="1"/>
  <c r="D74" i="1"/>
  <c r="D3" i="1"/>
  <c r="D19" i="1"/>
  <c r="D35" i="1"/>
  <c r="D51" i="1"/>
  <c r="D67" i="1"/>
  <c r="D4" i="1"/>
  <c r="D20" i="1"/>
  <c r="D36" i="1"/>
  <c r="D52" i="1"/>
  <c r="D68" i="1"/>
  <c r="D9" i="1"/>
  <c r="D25" i="1"/>
  <c r="D41" i="1"/>
  <c r="D57" i="1"/>
  <c r="D73" i="1"/>
  <c r="D2" i="1"/>
  <c r="D14" i="1"/>
  <c r="D30" i="1"/>
  <c r="D46" i="1"/>
  <c r="D62" i="1"/>
  <c r="D7" i="1"/>
  <c r="D23" i="1"/>
  <c r="D39" i="1"/>
  <c r="D55" i="1"/>
  <c r="D34" i="1"/>
  <c r="D66" i="1"/>
  <c r="D11" i="1"/>
  <c r="D27" i="1"/>
  <c r="D43" i="1"/>
  <c r="D59" i="1"/>
  <c r="D75" i="1"/>
  <c r="D12" i="1"/>
  <c r="D28" i="1"/>
  <c r="D44" i="1"/>
  <c r="D60" i="1"/>
  <c r="D76" i="1"/>
  <c r="D17" i="1"/>
  <c r="D33" i="1"/>
  <c r="D49" i="1"/>
  <c r="D65" i="1"/>
  <c r="D6" i="1"/>
  <c r="D22" i="1"/>
  <c r="D38" i="1"/>
  <c r="D54" i="1"/>
  <c r="D70" i="1"/>
  <c r="D15" i="1"/>
  <c r="D31" i="1"/>
  <c r="D47" i="1"/>
  <c r="D63" i="1"/>
  <c r="G7" i="1" l="1"/>
  <c r="G8" i="1" s="1"/>
  <c r="G12" i="1" s="1"/>
</calcChain>
</file>

<file path=xl/sharedStrings.xml><?xml version="1.0" encoding="utf-8"?>
<sst xmlns="http://schemas.openxmlformats.org/spreadsheetml/2006/main" count="385" uniqueCount="50">
  <si>
    <t>Diferencia</t>
  </si>
  <si>
    <t>Media de las diferencias</t>
  </si>
  <si>
    <t>Sumatoria Diferencias</t>
  </si>
  <si>
    <t>Sumatoria</t>
  </si>
  <si>
    <t>numero de datos</t>
  </si>
  <si>
    <t>desviación estándar de las diferencias</t>
  </si>
  <si>
    <t>nivel de significancia (α)</t>
  </si>
  <si>
    <t>grados de libertad   (DF)</t>
  </si>
  <si>
    <t>Valor critico t</t>
  </si>
  <si>
    <t>t crítico: te dice si tu t calculado cae en la zona de rechazo.</t>
  </si>
  <si>
    <t>Si t calculado &gt; valor critico el aumento de calificaciones es estadísticamente significativo.</t>
  </si>
  <si>
    <t>t calculado (estadistico t):</t>
  </si>
  <si>
    <t>p valor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</si>
  <si>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</si>
  <si>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</si>
  <si>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>Hipotesis</t>
  </si>
  <si>
    <t>Datos</t>
  </si>
  <si>
    <t>si te calculado &gt; a t critico (de tabla) ---&gt; se rechaza la hipotesis nula y se acepta la hipotesis alternativa ?</t>
  </si>
  <si>
    <t>y si p valor &lt; 0.05 ---&gt; se rechaza la hipotesis nula y se acepta la hipotesis alternativa ?</t>
  </si>
  <si>
    <t>La diferencia observada es lo suficientemente grande como para que no sea atribuible al azar.</t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</si>
  <si>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</si>
  <si>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r>
      <t xml:space="preserve">Se </t>
    </r>
    <r>
      <rPr>
        <sz val="11"/>
        <color rgb="FFC00000"/>
        <rFont val="Calibri"/>
        <family val="2"/>
        <scheme val="minor"/>
      </rPr>
      <t>rechaza</t>
    </r>
    <r>
      <rPr>
        <sz val="11"/>
        <color theme="1"/>
        <rFont val="Calibri"/>
        <family val="2"/>
        <scheme val="minor"/>
      </rPr>
      <t xml:space="preserve"> la hipotesis nula </t>
    </r>
    <r>
      <rPr>
        <sz val="11"/>
        <color rgb="FFC00000"/>
        <rFont val="Calibri"/>
        <family val="2"/>
        <scheme val="minor"/>
      </rPr>
      <t>Ho</t>
    </r>
    <r>
      <rPr>
        <sz val="11"/>
        <color theme="1"/>
        <rFont val="Calibri"/>
        <family val="2"/>
        <scheme val="minor"/>
      </rPr>
      <t xml:space="preserve"> y se </t>
    </r>
    <r>
      <rPr>
        <sz val="11"/>
        <color rgb="FF00B050"/>
        <rFont val="Calibri"/>
        <family val="2"/>
        <scheme val="minor"/>
      </rPr>
      <t>acepta</t>
    </r>
    <r>
      <rPr>
        <sz val="11"/>
        <color theme="1"/>
        <rFont val="Calibri"/>
        <family val="2"/>
        <scheme val="minor"/>
      </rPr>
      <t xml:space="preserve"> la hipotesis alternativa </t>
    </r>
    <r>
      <rPr>
        <sz val="11"/>
        <color rgb="FF00B050"/>
        <rFont val="Calibri"/>
        <family val="2"/>
        <scheme val="minor"/>
      </rPr>
      <t>H1</t>
    </r>
  </si>
  <si>
    <t>Concluciones</t>
  </si>
  <si>
    <t xml:space="preserve">Como p valor es menor que  el nivel de significancia  </t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</si>
  <si>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dos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</si>
  <si>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</si>
  <si>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- 1 colas</t>
    </r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</si>
  <si>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una cola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</si>
  <si>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Participó_activamente
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</si>
  <si>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Participó_activamente
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</si>
  <si>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Expresó_ideas_clara                              a) Siempre = 5
b) Frecuente = 4
c) A veces = 3
d) Raro = 2
e) Nunca = 1
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</si>
  <si>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Contribución_equilibrada                    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</si>
  <si>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Valoró_aportes
a) Siempre = 5
b) Frecuente = 4
c) A veces = 3
d) Raro = 2
e) Nunca = 1
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</si>
  <si>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Expresó_ideas_clara                              a) Siempre = 5
b) Frecuente = 4
c) A veces = 3
d) Raro = 2
e) Nunca = 1
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</si>
  <si>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Contribución_equilibrada                    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</si>
  <si>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Valoró_aportes
a) Siempre = 5
b) Frecuente = 4
c) A veces = 3
d) Raro = 2
e) Nunca = 1
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</si>
  <si>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Cumplimiento_tareas
a) Siempre = 5
b) Muchas veces = 4
c) A veces = 3
d) Pocas veces = 2
e) Nunca = 1
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</si>
  <si>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Cumplimiento_tareas
a) Siempre = 5
b) Muchas veces = 4
c) A veces = 3
d) Pocas veces = 2
e) Nunca = 1
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</si>
  <si>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Esfuerzo_objetivos_comunes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</si>
  <si>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Esfuerzo_objetivos_comunes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</si>
  <si>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Calificación_programación
a) 81 - 100 = 5
b) 61 - 80 = 4
c) 41 - 60 = 3
d) 21 - 40 = 2
e) 0 - 20 = 1
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</si>
  <si>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Calificación_programación
a) 81 - 100 = 5
b) 61 - 80 = 4
c) 41 - 60 = 3
d) 21 - 40 = 2
e) 0 - 20 = 1
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</si>
  <si>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Nivel_comprensión_programación
a) Muy Bueno = 5
b) bueno = 4
c) Regular = 3
d) Malo = 2
e) Muy malo = 1
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</si>
  <si>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Nivel_comprensión_programación
a) Muy Bueno = 5
b) bueno = 4
c) Regular = 3
d) Malo = 2
e) Muy malo = 1
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</si>
  <si>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Desarrollo_habilidades
a) Siempre = 5
b) Muchas veces = 4
c) A veces = 3
d) Pocas veces = 2
e) Nunca = 1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</si>
  <si>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Desarrollo_habilidades
a) Siempre = 5
b) Muchas veces = 4
c) A veces = 3
d) Pocas veces = 2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</si>
  <si>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Resolución_autónoma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</si>
  <si>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Resolución_autónoma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</si>
  <si>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Motivación_asignatura
a) Muy Alta = 5
b) Alta = 4
c) Regular = 3
d) Baja = 2
e) Muy Baja = 1
</t>
    </r>
  </si>
  <si>
    <r>
      <rPr>
        <sz val="11"/>
        <color rgb="FFC00000"/>
        <rFont val="Calibri"/>
        <family val="2"/>
        <scheme val="minor"/>
      </rPr>
      <t>(Sin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Motivación_asignatura
a) Muy Alta = 5
b) Alta = 4
c) Regular = 3
d) Baja = 2
e) Muy Baja = 1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</si>
</sst>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6" fillId="4" borderId="0" applyNumberFormat="0" applyBorder="0" applyAlignment="0" applyProtection="0"/>
    <xf numFmtId="0" fontId="3" fillId="0" borderId="0"/>
    <xf numFmtId="0" fontId="9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2" applyAlignment="1">
      <alignment horizontal="center"/>
    </xf>
    <xf numFmtId="0" fontId="0" fillId="0" borderId="1" xfId="0" applyBorder="1" applyAlignment="1">
      <alignment horizontal="center" vertical="top" wrapText="1"/>
    </xf>
    <xf numFmtId="0" fontId="1" fillId="3" borderId="1" xfId="1" applyFill="1" applyBorder="1" applyAlignment="1">
      <alignment horizontal="center" vertical="center" wrapText="1"/>
    </xf>
    <xf numFmtId="0" fontId="0" fillId="3" borderId="1" xfId="1" applyFont="1" applyFill="1" applyBorder="1" applyAlignment="1">
      <alignment horizontal="center" vertical="center" wrapText="1"/>
    </xf>
    <xf numFmtId="0" fontId="6" fillId="4" borderId="0" xfId="6"/>
    <xf numFmtId="0" fontId="0" fillId="0" borderId="0" xfId="0" applyAlignment="1">
      <alignment wrapText="1"/>
    </xf>
  </cellXfs>
  <cellStyles count="9">
    <cellStyle name="Bueno" xfId="1" builtinId="26"/>
    <cellStyle name="Neutral" xfId="6" builtinId="28"/>
    <cellStyle name="Normal" xfId="0" builtinId="0"/>
    <cellStyle name="Normal 2" xfId="3" xr:uid="{00000000-0005-0000-0000-000003000000}"/>
    <cellStyle name="Normal 2 2" xfId="5" xr:uid="{00000000-0005-0000-0000-000004000000}"/>
    <cellStyle name="Normal 3" xfId="2" xr:uid="{00000000-0005-0000-0000-000005000000}"/>
    <cellStyle name="Normal 3 2" xfId="4" xr:uid="{00000000-0005-0000-0000-000006000000}"/>
    <cellStyle name="Normal 4" xfId="7" xr:uid="{00000000-0005-0000-0000-000007000000}"/>
    <cellStyle name="Normal 4 2" xfId="8" xr:uid="{88904BEF-13A6-42EB-B213-3BBB1BB4173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7B56E8-3F68-482D-B9A1-84B8CA15B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9750214" y="2377416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47E6AF-0699-4513-820A-68267A0C54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39864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561380</xdr:colOff>
      <xdr:row>0</xdr:row>
      <xdr:rowOff>998491</xdr:rowOff>
    </xdr:from>
    <xdr:to>
      <xdr:col>2</xdr:col>
      <xdr:colOff>847130</xdr:colOff>
      <xdr:row>0</xdr:row>
      <xdr:rowOff>1220741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8FA5DC-AE85-4723-B734-264A3FA32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555" y="99849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9EDEDA5-7369-4DA0-9C6B-817268A3B8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9301484" y="2574048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53DCBD8-5F76-4CC2-B7C7-A04D46CDFC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9598819" y="2203792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D451040-7899-4877-B053-B60B389E76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9737742" y="2017022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90A1FDF-BB13-4087-A3D6-721067ED9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472" y="2758741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A18ECFC-2ED4-420D-AD78-76E5D134B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352" y="2949242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25058F2-1E6A-442D-85D9-47653ABB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49603" y="3691189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7DEB3F6-1287-4FBE-81FA-7BC75204C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471" y="4643687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1EBB934-3746-4DCB-90D4-00A7D6B93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992" y="6093989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D1D06C5-E2F3-4F13-9888-ED8EC60C0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0182" y="121577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F9E99E5-AAC5-461C-99C0-1F65D5728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37560" y="13904302"/>
          <a:ext cx="2868490" cy="8092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56DC4E-C9C4-48B7-AE16-BD418872F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9750214" y="2377416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F96080-5C0C-44F5-AAFE-A50FD493E4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39864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561380</xdr:colOff>
      <xdr:row>0</xdr:row>
      <xdr:rowOff>998491</xdr:rowOff>
    </xdr:from>
    <xdr:to>
      <xdr:col>2</xdr:col>
      <xdr:colOff>847130</xdr:colOff>
      <xdr:row>0</xdr:row>
      <xdr:rowOff>1220741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A75EE5-35F9-4740-BB67-11D6321B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555" y="99849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AA9AA3C-1F63-443C-9174-F62DEF2D32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9301484" y="2574048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B8E97EC-DAA6-4DD7-BDC4-78C17D2438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9598819" y="2203792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2C07D0F-F4ED-4876-B5D8-2477FAD66D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9737742" y="2017022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636C28C-85C5-4E92-83BC-9612F8F14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472" y="2758741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50043EB-0B40-4A7E-9F16-209A877AE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352" y="2949242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683007D-CB95-4B61-8210-F0C46E437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49603" y="3691189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81035C2-00BC-4A99-8A9B-D3070E56E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471" y="4643687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CAFB49-3E94-4699-9C31-1341BA8FD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992" y="6093989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E8D6A80-7DE5-4055-8F6A-65821C1A0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0182" y="121577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D8C497C-446F-4172-8DAE-DABCB1709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37560" y="13904302"/>
          <a:ext cx="2868490" cy="8092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AF38B3-8A0D-4AE2-A917-B70275F6F1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9750214" y="2377416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F31029-B8F8-4692-B201-2BEAF4AAB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39864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561380</xdr:colOff>
      <xdr:row>0</xdr:row>
      <xdr:rowOff>998491</xdr:rowOff>
    </xdr:from>
    <xdr:to>
      <xdr:col>2</xdr:col>
      <xdr:colOff>847130</xdr:colOff>
      <xdr:row>0</xdr:row>
      <xdr:rowOff>1220741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0627D7-B0AC-4982-B803-11AD7F1EB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555" y="99849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3879DD-586E-43F5-A829-12DCE6424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9301484" y="2574048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F91FFD2-2190-42DE-95E8-1495EC6246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9598819" y="2203792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3FC53E3-EC8A-4260-8EE4-4B4E2E7B9A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9737742" y="2017022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5390FF9-8811-478B-A10D-C667035E8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472" y="2758741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8D7DD8B-B933-476F-8294-BD4D975D4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352" y="2949242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E8068B3-63CC-47A0-97F3-BD1317E47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49603" y="3691189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7EFAA4F-454C-4E9C-A4C5-EB20B4DE8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471" y="4643687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90EAE05-A864-4FCB-BF16-C2E6E5271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992" y="6093989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2225FF1-2097-47FB-AD14-B1D5D3646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0182" y="121577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DCAC6CA-3692-4E47-B6C7-B7B8BA80D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37560" y="13904302"/>
          <a:ext cx="2868490" cy="8092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425132-2AEF-4621-ACC2-603990E9E1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9750214" y="21964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88569D-58FE-4D54-9F66-CF51A6BD2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39864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561380</xdr:colOff>
      <xdr:row>0</xdr:row>
      <xdr:rowOff>998491</xdr:rowOff>
    </xdr:from>
    <xdr:to>
      <xdr:col>2</xdr:col>
      <xdr:colOff>847130</xdr:colOff>
      <xdr:row>0</xdr:row>
      <xdr:rowOff>1220741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99C296-34A0-401A-A5B6-7EFBD89D5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916" y="99849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9E5DCAD-757A-4EBD-9D52-7942D69A86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9301484" y="23930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0AE7F28-61E9-4B01-8A49-31507B0707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9598819" y="20228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EBCC60-DDAD-45B5-9719-AF603BC81F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9737742" y="18360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31D25E2-C5F0-49E7-A3F5-216C349C7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472" y="25777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6E0C863-C22B-42F4-8E52-A443E8C0D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352" y="27682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A5D02DF-D653-4744-A6A4-E89384D5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49603" y="35102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6E2271C-9C03-4A0A-A3D9-D2BC46F39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471" y="44627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4B9081C-E49A-4D37-B371-E0418736D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992" y="59130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096DFA6-3388-4532-8040-AE6D7E130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0182" y="119767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5E72BFD-752A-455D-A10F-293C6714B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37560" y="13723327"/>
          <a:ext cx="2868490" cy="8092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E41BA3-2A41-41D3-92C5-FADF80C11C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9750214" y="21964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A2BEA4-8990-4CE0-B75A-D0C6292C6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39864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534166</xdr:colOff>
      <xdr:row>0</xdr:row>
      <xdr:rowOff>835205</xdr:rowOff>
    </xdr:from>
    <xdr:to>
      <xdr:col>2</xdr:col>
      <xdr:colOff>819916</xdr:colOff>
      <xdr:row>0</xdr:row>
      <xdr:rowOff>1057455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B26EC5-19AE-40DE-AF7D-5C70F87B8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0341" y="835205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98E92F9-42D1-46A4-87BA-5A7AF0D1F3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9301484" y="23930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0348A12-E5E5-43E1-B6F7-C4B1560065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9598819" y="20228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DDED5F-8C9C-4EA6-9B35-991E55EA0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9737742" y="18360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551FE59-90AF-4DCD-8E49-3B52025AC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472" y="25777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0F6E69E-A715-4475-A070-8809013A4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352" y="27682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5812A3E-56C9-4700-990D-5A6DE59E4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49603" y="35102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0E68781-3121-4CB8-84B0-7C5AF5001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471" y="44627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5FAE52A-E4C5-4109-9E83-A9567FA97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992" y="59130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375DD7F-F8B4-4D24-B0C2-4B110E4B7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0182" y="119767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2116FBB-84BD-469D-8ABA-921B5FF95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37560" y="13723327"/>
          <a:ext cx="2868490" cy="8092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F4C64C-BE93-4CA1-B6D6-6ED77F81B9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9750214" y="21964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034DC-C6DD-406C-9EFB-3759509488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39864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534166</xdr:colOff>
      <xdr:row>0</xdr:row>
      <xdr:rowOff>835205</xdr:rowOff>
    </xdr:from>
    <xdr:to>
      <xdr:col>2</xdr:col>
      <xdr:colOff>819916</xdr:colOff>
      <xdr:row>0</xdr:row>
      <xdr:rowOff>1057455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6F2EF08-566E-4CF5-9F26-89123273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0341" y="835205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5EE1038-B0CC-41D9-885D-F4E408268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9301484" y="23930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B1FEAA2-05AE-45A2-B8E4-5C7247C760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9598819" y="20228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4A5FC58-C8D2-4CD9-B6E8-76C1EB4FFF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9737742" y="18360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3A61A50-DEC8-416F-9484-D4C1E9EC0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472" y="25777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D6845B4-D137-460E-9B19-B1184F8E9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352" y="27682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5DC408F-CF3C-4EC2-8181-674AE3FF6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49603" y="35102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35F4AC8-A8FB-43C4-85C4-33FD71AE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471" y="44627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C0AB137-53C2-4FBC-ADE1-8B558974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992" y="59130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C830247-A8AB-48EA-92B7-57DFCED03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0182" y="119767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3B185A4-A680-494E-844F-068D55390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37560" y="13723327"/>
          <a:ext cx="2868490" cy="8092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A818FC-EAFD-4F05-85C0-89F80FCEBD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9750214" y="21964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0300CA-EC48-4D7B-A90C-F8F43C25A9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39864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534166</xdr:colOff>
      <xdr:row>0</xdr:row>
      <xdr:rowOff>835205</xdr:rowOff>
    </xdr:from>
    <xdr:to>
      <xdr:col>2</xdr:col>
      <xdr:colOff>819916</xdr:colOff>
      <xdr:row>0</xdr:row>
      <xdr:rowOff>1057455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9DA8BA-C7EF-4E1C-A95E-36E38DE7B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0341" y="835205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9FDD2F7-B557-42EE-9E32-71B12D7D9A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9301484" y="23930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F505B5F-ABE4-441B-A0AA-8DE87A2644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9598819" y="20228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997CB75-3F5E-4607-9C7F-3B118551B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9737742" y="18360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53C1A24-0714-458A-8F93-CE0885412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472" y="25777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49514C4-A0D2-4912-B478-91E56BA20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352" y="27682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6187ACF-C8BC-48E4-AE98-64285CBE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49603" y="35102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BBD14AF-016D-4A22-8EA0-B67FEEE4F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471" y="44627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1499876-3289-4F36-AFD6-D3C1DB1B9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992" y="59130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097B8EC-C5B7-4FFA-97F7-24535F37A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0182" y="119767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FEFC256-984E-46E9-84B0-C06DA2BDB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37560" y="13723327"/>
          <a:ext cx="2868490" cy="8092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3C94C8-57E9-40D6-901C-28F6AE91D4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9750214" y="21964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808FEA-265F-43A2-8C78-86039B76B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39864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534166</xdr:colOff>
      <xdr:row>0</xdr:row>
      <xdr:rowOff>835205</xdr:rowOff>
    </xdr:from>
    <xdr:to>
      <xdr:col>2</xdr:col>
      <xdr:colOff>819916</xdr:colOff>
      <xdr:row>0</xdr:row>
      <xdr:rowOff>1057455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149320-5AD5-446F-B11A-DB0D0955A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0341" y="835205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F1BC9B-E66E-4B95-9BFE-CEFB04FAA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9301484" y="23930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BDBCEE2-1E4C-49DB-A2BE-B26008ECBB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9598819" y="20228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5D24817-CD5D-498C-9A91-01051ABC7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9737742" y="18360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8EB95C7-9255-4780-8003-F07CCAE24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472" y="25777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E1907D7-04EE-4A22-ACAD-BF4A323F1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352" y="27682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ECB5BD2-F1DA-4BC6-B0DC-7F1C2BA87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49603" y="35102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6AD05FA-5B2F-43C9-85C6-F21BE033C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471" y="44627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F84231F-EC4E-4C8D-BEBE-C242C395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992" y="59130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81F0B32-193D-4D0A-8EA6-3B83CB502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0182" y="119767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81BED03-C864-48C2-A18D-D18247CDC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37560" y="13723327"/>
          <a:ext cx="2868490" cy="80922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594155-2F4C-4BCC-AD05-3978AE57B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9750214" y="21964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F3C90-1B9A-480A-862A-BA0D8DC8FE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39864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534166</xdr:colOff>
      <xdr:row>0</xdr:row>
      <xdr:rowOff>835205</xdr:rowOff>
    </xdr:from>
    <xdr:to>
      <xdr:col>2</xdr:col>
      <xdr:colOff>819916</xdr:colOff>
      <xdr:row>0</xdr:row>
      <xdr:rowOff>1057455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FB6F7C-552F-48F5-9AFF-2F508CC39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0341" y="835205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26C2724-82C1-4800-A468-60A87050CD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9301484" y="23930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14448F3-8A25-46BD-8329-D05C0B32A4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9598819" y="20228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D653C8E-7760-4650-84BD-82ADBA415F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9737742" y="18360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ED59413-E8CF-48C9-8749-DAEF5A3B1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472" y="25777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1C6848A-C2DA-48F1-AEB8-000192F56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352" y="27682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6FF2B80-7298-4519-A8DD-4DE5FB996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49603" y="35102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FF16864-CB5C-4B08-A861-0952ED25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471" y="44627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F91050-A7CB-440E-B19F-E3D8D6EAC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992" y="59130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942ED09-7A81-4C20-8AC0-338261C85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0182" y="119767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604431C-4225-4A82-A2E7-DAF443556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37560" y="13723327"/>
          <a:ext cx="2868490" cy="8092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DBBB94-086F-4324-A680-4D5E14B90E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9750214" y="21964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515248-92CF-444F-830A-65E1346AEE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39864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534166</xdr:colOff>
      <xdr:row>0</xdr:row>
      <xdr:rowOff>835205</xdr:rowOff>
    </xdr:from>
    <xdr:to>
      <xdr:col>2</xdr:col>
      <xdr:colOff>819916</xdr:colOff>
      <xdr:row>0</xdr:row>
      <xdr:rowOff>1057455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3C88BC-FEA0-4488-A984-B50EDF63A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0341" y="835205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9A9B51-88FF-4188-BF4D-61B41FBA3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9301484" y="23930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7E90864-19F2-46A2-83C1-8225BB8F2E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9598819" y="20228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A29D412-E3AC-47D9-A7DE-4E1A0C8DD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9737742" y="18360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2F63CAB-6642-46C1-AFC8-5B581F720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472" y="25777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8D86C4C-28F8-4250-B517-15A6A3AC8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352" y="27682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4E50762-E9C3-4649-B572-2E7258693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49603" y="35102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9227DD4-276B-4D1F-9B09-127BFCD1F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471" y="44627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E47B533-C9E7-443B-B582-023E6FAA6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992" y="59130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D815BC0-39F1-4767-9556-9534DFF00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0182" y="119767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CA32980-2A5B-4B7C-821A-F14448D50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37560" y="13723327"/>
          <a:ext cx="2868490" cy="8092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2072309" y="1884623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0656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534166</xdr:colOff>
      <xdr:row>0</xdr:row>
      <xdr:rowOff>835205</xdr:rowOff>
    </xdr:from>
    <xdr:to>
      <xdr:col>2</xdr:col>
      <xdr:colOff>819916</xdr:colOff>
      <xdr:row>0</xdr:row>
      <xdr:rowOff>1057455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418" y="835205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1623579" y="2081255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1920914" y="1710999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2059837" y="1524229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26567" y="2265948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76447" y="2456449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71698" y="3198396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45566" y="4722394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598689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654282" y="13756542"/>
          <a:ext cx="1228960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5504502"/>
          <a:ext cx="2868490" cy="809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8368-F32B-4D2C-BF57-1038FC15F441}">
  <dimension ref="A1:G93"/>
  <sheetViews>
    <sheetView tabSelected="1" topLeftCell="D13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5.25" customHeight="1" x14ac:dyDescent="0.25">
      <c r="A1" s="3" t="s">
        <v>48</v>
      </c>
      <c r="B1" s="3" t="s">
        <v>49</v>
      </c>
      <c r="C1" s="5" t="s">
        <v>0</v>
      </c>
      <c r="D1" s="5"/>
    </row>
    <row r="2" spans="1:7" x14ac:dyDescent="0.25">
      <c r="A2" s="1">
        <v>3</v>
      </c>
      <c r="B2" s="1">
        <v>3</v>
      </c>
      <c r="C2" s="2">
        <f>B2-A2</f>
        <v>0</v>
      </c>
      <c r="D2" s="1">
        <f>(C2-$G$6)^2</f>
        <v>7.1111111111111125E-4</v>
      </c>
    </row>
    <row r="3" spans="1:7" x14ac:dyDescent="0.25">
      <c r="A3" s="1">
        <v>4</v>
      </c>
      <c r="B3" s="1">
        <v>2</v>
      </c>
      <c r="C3" s="2">
        <f t="shared" ref="C3:C66" si="0">B3-A3</f>
        <v>-2</v>
      </c>
      <c r="D3" s="1">
        <f>(C3-$G$6)^2</f>
        <v>3.8940444444444449</v>
      </c>
      <c r="F3" s="6" t="s">
        <v>16</v>
      </c>
      <c r="G3" s="6"/>
    </row>
    <row r="4" spans="1:7" x14ac:dyDescent="0.25">
      <c r="A4" s="1">
        <v>2</v>
      </c>
      <c r="B4" s="1">
        <v>3</v>
      </c>
      <c r="C4" s="2">
        <f t="shared" si="0"/>
        <v>1</v>
      </c>
      <c r="D4" s="1">
        <f>(C4-$G$6)^2</f>
        <v>1.0540444444444443</v>
      </c>
      <c r="F4" t="s">
        <v>4</v>
      </c>
      <c r="G4">
        <f>COUNT(A:A)</f>
        <v>75</v>
      </c>
    </row>
    <row r="5" spans="1:7" x14ac:dyDescent="0.25">
      <c r="A5" s="1">
        <v>3</v>
      </c>
      <c r="B5" s="1">
        <v>2</v>
      </c>
      <c r="C5" s="2">
        <f t="shared" si="0"/>
        <v>-1</v>
      </c>
      <c r="D5" s="1">
        <f t="shared" ref="D5:D68" si="1">(C5-$G$6)^2</f>
        <v>0.94737777777777787</v>
      </c>
      <c r="F5" t="s">
        <v>2</v>
      </c>
      <c r="G5">
        <f>SUM(C:C)</f>
        <v>-2</v>
      </c>
    </row>
    <row r="6" spans="1:7" x14ac:dyDescent="0.25">
      <c r="A6" s="1">
        <v>4</v>
      </c>
      <c r="B6" s="1">
        <v>3</v>
      </c>
      <c r="C6" s="2">
        <f t="shared" si="0"/>
        <v>-1</v>
      </c>
      <c r="D6" s="1">
        <f t="shared" si="1"/>
        <v>0.94737777777777787</v>
      </c>
      <c r="F6" t="s">
        <v>1</v>
      </c>
      <c r="G6">
        <f>G5/G4</f>
        <v>-2.6666666666666668E-2</v>
      </c>
    </row>
    <row r="7" spans="1:7" x14ac:dyDescent="0.25">
      <c r="A7" s="1">
        <v>5</v>
      </c>
      <c r="B7" s="1">
        <v>4</v>
      </c>
      <c r="C7" s="2">
        <f t="shared" si="0"/>
        <v>-1</v>
      </c>
      <c r="D7" s="1">
        <f t="shared" si="1"/>
        <v>0.94737777777777787</v>
      </c>
      <c r="F7" t="s">
        <v>3</v>
      </c>
      <c r="G7">
        <f>SUM(D:D)</f>
        <v>157.94666666666669</v>
      </c>
    </row>
    <row r="8" spans="1:7" x14ac:dyDescent="0.25">
      <c r="A8" s="1">
        <v>1</v>
      </c>
      <c r="B8" s="1">
        <v>2</v>
      </c>
      <c r="C8" s="2">
        <f t="shared" si="0"/>
        <v>1</v>
      </c>
      <c r="D8" s="1">
        <f t="shared" si="1"/>
        <v>1.0540444444444443</v>
      </c>
      <c r="F8" t="s">
        <v>5</v>
      </c>
      <c r="G8">
        <f>SQRT(G7/(G4-1))</f>
        <v>1.4609635226159532</v>
      </c>
    </row>
    <row r="9" spans="1:7" x14ac:dyDescent="0.25">
      <c r="A9" s="1">
        <v>4</v>
      </c>
      <c r="B9" s="1">
        <v>4</v>
      </c>
      <c r="C9" s="2">
        <f t="shared" si="0"/>
        <v>0</v>
      </c>
      <c r="D9" s="1">
        <f t="shared" si="1"/>
        <v>7.1111111111111125E-4</v>
      </c>
    </row>
    <row r="10" spans="1:7" x14ac:dyDescent="0.25">
      <c r="A10" s="1">
        <v>5</v>
      </c>
      <c r="B10" s="1">
        <v>5</v>
      </c>
      <c r="C10" s="2">
        <f t="shared" si="0"/>
        <v>0</v>
      </c>
      <c r="D10" s="1">
        <f t="shared" si="1"/>
        <v>7.1111111111111125E-4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7.1111111111111125E-4</v>
      </c>
    </row>
    <row r="12" spans="1:7" x14ac:dyDescent="0.25">
      <c r="A12" s="1">
        <v>2</v>
      </c>
      <c r="B12" s="1">
        <v>3</v>
      </c>
      <c r="C12" s="2">
        <f t="shared" si="0"/>
        <v>1</v>
      </c>
      <c r="D12" s="1">
        <f t="shared" si="1"/>
        <v>1.0540444444444443</v>
      </c>
      <c r="F12" t="s">
        <v>11</v>
      </c>
      <c r="G12">
        <f>G6/(G8/SQRT(G4))</f>
        <v>-0.15807383558922578</v>
      </c>
    </row>
    <row r="13" spans="1:7" x14ac:dyDescent="0.25">
      <c r="A13" s="1">
        <v>3</v>
      </c>
      <c r="B13" s="1">
        <v>3</v>
      </c>
      <c r="C13" s="2">
        <f t="shared" si="0"/>
        <v>0</v>
      </c>
      <c r="D13" s="1">
        <f t="shared" si="1"/>
        <v>7.1111111111111125E-4</v>
      </c>
    </row>
    <row r="14" spans="1:7" x14ac:dyDescent="0.25">
      <c r="A14" s="1">
        <v>2</v>
      </c>
      <c r="B14" s="1">
        <v>2</v>
      </c>
      <c r="C14" s="2">
        <f t="shared" si="0"/>
        <v>0</v>
      </c>
      <c r="D14" s="1">
        <f t="shared" si="1"/>
        <v>7.1111111111111125E-4</v>
      </c>
    </row>
    <row r="15" spans="1:7" x14ac:dyDescent="0.25">
      <c r="A15" s="1">
        <v>4</v>
      </c>
      <c r="B15" s="1">
        <v>4</v>
      </c>
      <c r="C15" s="2">
        <f t="shared" si="0"/>
        <v>0</v>
      </c>
      <c r="D15" s="1">
        <f t="shared" si="1"/>
        <v>7.1111111111111125E-4</v>
      </c>
    </row>
    <row r="16" spans="1:7" x14ac:dyDescent="0.25">
      <c r="A16" s="1">
        <v>4</v>
      </c>
      <c r="B16" s="1">
        <v>4</v>
      </c>
      <c r="C16" s="2">
        <f t="shared" si="0"/>
        <v>0</v>
      </c>
      <c r="D16" s="1">
        <f t="shared" si="1"/>
        <v>7.1111111111111125E-4</v>
      </c>
    </row>
    <row r="17" spans="1:7" x14ac:dyDescent="0.25">
      <c r="A17" s="1">
        <v>3</v>
      </c>
      <c r="B17" s="1">
        <v>2</v>
      </c>
      <c r="C17" s="2">
        <f t="shared" si="0"/>
        <v>-1</v>
      </c>
      <c r="D17" s="1">
        <f t="shared" si="1"/>
        <v>0.94737777777777787</v>
      </c>
      <c r="F17" t="s">
        <v>6</v>
      </c>
      <c r="G17">
        <v>0.05</v>
      </c>
    </row>
    <row r="18" spans="1:7" x14ac:dyDescent="0.25">
      <c r="A18" s="1">
        <v>2</v>
      </c>
      <c r="B18" s="1">
        <v>1</v>
      </c>
      <c r="C18" s="2">
        <f t="shared" si="0"/>
        <v>-1</v>
      </c>
      <c r="D18" s="1">
        <f t="shared" si="1"/>
        <v>0.94737777777777787</v>
      </c>
      <c r="F18" t="s">
        <v>7</v>
      </c>
      <c r="G18">
        <f>G4-1</f>
        <v>74</v>
      </c>
    </row>
    <row r="19" spans="1:7" x14ac:dyDescent="0.25">
      <c r="A19" s="1">
        <v>4</v>
      </c>
      <c r="B19" s="1">
        <v>5</v>
      </c>
      <c r="C19" s="2">
        <f t="shared" si="0"/>
        <v>1</v>
      </c>
      <c r="D19" s="1">
        <f t="shared" si="1"/>
        <v>1.0540444444444443</v>
      </c>
    </row>
    <row r="20" spans="1:7" x14ac:dyDescent="0.25">
      <c r="A20" s="1">
        <v>4</v>
      </c>
      <c r="B20" s="1">
        <v>3</v>
      </c>
      <c r="C20" s="2">
        <f t="shared" si="0"/>
        <v>-1</v>
      </c>
      <c r="D20" s="1">
        <f t="shared" si="1"/>
        <v>0.94737777777777787</v>
      </c>
    </row>
    <row r="21" spans="1:7" x14ac:dyDescent="0.25">
      <c r="A21" s="1">
        <v>4</v>
      </c>
      <c r="B21" s="1">
        <v>1</v>
      </c>
      <c r="C21" s="2">
        <f t="shared" si="0"/>
        <v>-3</v>
      </c>
      <c r="D21" s="1">
        <f t="shared" si="1"/>
        <v>8.8407111111111103</v>
      </c>
    </row>
    <row r="22" spans="1:7" x14ac:dyDescent="0.25">
      <c r="A22" s="1">
        <v>5</v>
      </c>
      <c r="B22" s="1">
        <v>4</v>
      </c>
      <c r="C22" s="2">
        <f t="shared" si="0"/>
        <v>-1</v>
      </c>
      <c r="D22" s="1">
        <f t="shared" si="1"/>
        <v>0.94737777777777787</v>
      </c>
      <c r="F22" s="6" t="s">
        <v>8</v>
      </c>
      <c r="G22" s="6"/>
    </row>
    <row r="23" spans="1:7" x14ac:dyDescent="0.25">
      <c r="A23" s="1">
        <v>4</v>
      </c>
      <c r="B23" s="1">
        <v>4</v>
      </c>
      <c r="C23" s="2">
        <f t="shared" si="0"/>
        <v>0</v>
      </c>
      <c r="D23" s="1">
        <f t="shared" si="1"/>
        <v>7.1111111111111125E-4</v>
      </c>
      <c r="F23" t="s">
        <v>25</v>
      </c>
      <c r="G23">
        <f>_xlfn.T.INV.2T(G17,G18)</f>
        <v>1.992543495180934</v>
      </c>
    </row>
    <row r="24" spans="1:7" x14ac:dyDescent="0.25">
      <c r="A24" s="1">
        <v>4</v>
      </c>
      <c r="B24" s="1">
        <v>4</v>
      </c>
      <c r="C24" s="2">
        <f t="shared" si="0"/>
        <v>0</v>
      </c>
      <c r="D24" s="1">
        <f t="shared" si="1"/>
        <v>7.1111111111111125E-4</v>
      </c>
      <c r="F24" t="s">
        <v>26</v>
      </c>
      <c r="G24">
        <f>_xlfn.T.INV(G17,G18)</f>
        <v>-1.6657068927340244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0.94737777777777787</v>
      </c>
    </row>
    <row r="26" spans="1:7" x14ac:dyDescent="0.25">
      <c r="A26" s="1">
        <v>4</v>
      </c>
      <c r="B26" s="1">
        <v>4</v>
      </c>
      <c r="C26" s="2">
        <f t="shared" si="0"/>
        <v>0</v>
      </c>
      <c r="D26" s="1">
        <f t="shared" si="1"/>
        <v>7.1111111111111125E-4</v>
      </c>
    </row>
    <row r="27" spans="1:7" x14ac:dyDescent="0.25">
      <c r="A27" s="1">
        <v>1</v>
      </c>
      <c r="B27" s="1">
        <v>4</v>
      </c>
      <c r="C27" s="2">
        <f t="shared" si="0"/>
        <v>3</v>
      </c>
      <c r="D27" s="1">
        <f t="shared" si="1"/>
        <v>9.1607111111111124</v>
      </c>
    </row>
    <row r="28" spans="1:7" x14ac:dyDescent="0.25">
      <c r="A28" s="1">
        <v>4</v>
      </c>
      <c r="B28" s="1">
        <v>4</v>
      </c>
      <c r="C28" s="2">
        <f t="shared" si="0"/>
        <v>0</v>
      </c>
      <c r="D28" s="1">
        <f t="shared" si="1"/>
        <v>7.1111111111111125E-4</v>
      </c>
    </row>
    <row r="29" spans="1:7" x14ac:dyDescent="0.25">
      <c r="A29" s="1">
        <v>3</v>
      </c>
      <c r="B29" s="1">
        <v>2</v>
      </c>
      <c r="C29" s="2">
        <f t="shared" si="0"/>
        <v>-1</v>
      </c>
      <c r="D29" s="1">
        <f t="shared" si="1"/>
        <v>0.94737777777777787</v>
      </c>
    </row>
    <row r="30" spans="1:7" x14ac:dyDescent="0.25">
      <c r="A30" s="1">
        <v>4</v>
      </c>
      <c r="B30" s="1">
        <v>3</v>
      </c>
      <c r="C30" s="2">
        <f t="shared" si="0"/>
        <v>-1</v>
      </c>
      <c r="D30" s="1">
        <f t="shared" si="1"/>
        <v>0.94737777777777787</v>
      </c>
    </row>
    <row r="31" spans="1:7" x14ac:dyDescent="0.25">
      <c r="A31" s="1">
        <v>4</v>
      </c>
      <c r="B31" s="1">
        <v>5</v>
      </c>
      <c r="C31" s="2">
        <f t="shared" si="0"/>
        <v>1</v>
      </c>
      <c r="D31" s="1">
        <f t="shared" si="1"/>
        <v>1.0540444444444443</v>
      </c>
    </row>
    <row r="32" spans="1:7" x14ac:dyDescent="0.25">
      <c r="A32" s="1">
        <v>3</v>
      </c>
      <c r="B32" s="1">
        <v>4</v>
      </c>
      <c r="C32" s="2">
        <f t="shared" si="0"/>
        <v>1</v>
      </c>
      <c r="D32" s="1">
        <f t="shared" si="1"/>
        <v>1.0540444444444443</v>
      </c>
    </row>
    <row r="33" spans="1:7" x14ac:dyDescent="0.25">
      <c r="A33" s="1">
        <v>4</v>
      </c>
      <c r="B33" s="1">
        <v>2</v>
      </c>
      <c r="C33" s="2">
        <f t="shared" si="0"/>
        <v>-2</v>
      </c>
      <c r="D33" s="1">
        <f t="shared" si="1"/>
        <v>3.8940444444444449</v>
      </c>
    </row>
    <row r="34" spans="1:7" x14ac:dyDescent="0.25">
      <c r="A34" s="1">
        <v>5</v>
      </c>
      <c r="B34" s="1">
        <v>3</v>
      </c>
      <c r="C34" s="2">
        <f t="shared" si="0"/>
        <v>-2</v>
      </c>
      <c r="D34" s="1">
        <f t="shared" si="1"/>
        <v>3.8940444444444449</v>
      </c>
      <c r="F34" t="s">
        <v>9</v>
      </c>
    </row>
    <row r="35" spans="1:7" x14ac:dyDescent="0.25">
      <c r="A35" s="1">
        <v>3</v>
      </c>
      <c r="B35" s="1">
        <v>3</v>
      </c>
      <c r="C35" s="2">
        <f t="shared" si="0"/>
        <v>0</v>
      </c>
      <c r="D35" s="1">
        <f t="shared" si="1"/>
        <v>7.1111111111111125E-4</v>
      </c>
      <c r="F35" t="s">
        <v>10</v>
      </c>
    </row>
    <row r="36" spans="1:7" x14ac:dyDescent="0.25">
      <c r="A36" s="1">
        <v>5</v>
      </c>
      <c r="B36" s="1">
        <v>5</v>
      </c>
      <c r="C36" s="2">
        <f t="shared" si="0"/>
        <v>0</v>
      </c>
      <c r="D36" s="1">
        <f t="shared" si="1"/>
        <v>7.1111111111111125E-4</v>
      </c>
    </row>
    <row r="37" spans="1:7" x14ac:dyDescent="0.25">
      <c r="A37" s="1">
        <v>3</v>
      </c>
      <c r="B37" s="1">
        <v>4</v>
      </c>
      <c r="C37" s="2">
        <f t="shared" si="0"/>
        <v>1</v>
      </c>
      <c r="D37" s="1">
        <f t="shared" si="1"/>
        <v>1.0540444444444443</v>
      </c>
    </row>
    <row r="38" spans="1:7" x14ac:dyDescent="0.25">
      <c r="A38" s="1">
        <v>1</v>
      </c>
      <c r="B38" s="1">
        <v>2</v>
      </c>
      <c r="C38" s="2">
        <f t="shared" si="0"/>
        <v>1</v>
      </c>
      <c r="D38" s="1">
        <f t="shared" si="1"/>
        <v>1.0540444444444443</v>
      </c>
    </row>
    <row r="39" spans="1:7" x14ac:dyDescent="0.25">
      <c r="A39" s="1">
        <v>4</v>
      </c>
      <c r="B39" s="1">
        <v>5</v>
      </c>
      <c r="C39" s="2">
        <f t="shared" si="0"/>
        <v>1</v>
      </c>
      <c r="D39" s="1">
        <f t="shared" si="1"/>
        <v>1.0540444444444443</v>
      </c>
      <c r="F39" s="6" t="s">
        <v>12</v>
      </c>
      <c r="G39" s="6"/>
    </row>
    <row r="40" spans="1:7" x14ac:dyDescent="0.25">
      <c r="A40" s="1">
        <v>2</v>
      </c>
      <c r="B40" s="1">
        <v>5</v>
      </c>
      <c r="C40" s="2">
        <f t="shared" si="0"/>
        <v>3</v>
      </c>
      <c r="D40" s="1">
        <f t="shared" si="1"/>
        <v>9.1607111111111124</v>
      </c>
      <c r="F40" t="s">
        <v>12</v>
      </c>
    </row>
    <row r="41" spans="1:7" x14ac:dyDescent="0.25">
      <c r="A41" s="1">
        <v>4</v>
      </c>
      <c r="B41" s="1">
        <v>4</v>
      </c>
      <c r="C41" s="2">
        <f t="shared" si="0"/>
        <v>0</v>
      </c>
      <c r="D41" s="1">
        <f t="shared" si="1"/>
        <v>7.1111111111111125E-4</v>
      </c>
      <c r="F41" t="s">
        <v>24</v>
      </c>
      <c r="G41">
        <f>TTEST(A:A,B:B,2,1)</f>
        <v>0.8748291853897352</v>
      </c>
    </row>
    <row r="42" spans="1:7" x14ac:dyDescent="0.25">
      <c r="A42" s="1">
        <v>4</v>
      </c>
      <c r="B42" s="1">
        <v>4</v>
      </c>
      <c r="C42" s="2">
        <f t="shared" si="0"/>
        <v>0</v>
      </c>
      <c r="D42" s="1">
        <f t="shared" si="1"/>
        <v>7.1111111111111125E-4</v>
      </c>
      <c r="F42" t="s">
        <v>27</v>
      </c>
      <c r="G42">
        <f>TTEST(A:A,B:B,1,1)</f>
        <v>0.4374145926948676</v>
      </c>
    </row>
    <row r="43" spans="1:7" x14ac:dyDescent="0.25">
      <c r="A43" s="1">
        <v>2</v>
      </c>
      <c r="B43" s="1">
        <v>3</v>
      </c>
      <c r="C43" s="2">
        <f t="shared" si="0"/>
        <v>1</v>
      </c>
      <c r="D43" s="1">
        <f t="shared" si="1"/>
        <v>1.0540444444444443</v>
      </c>
    </row>
    <row r="44" spans="1:7" x14ac:dyDescent="0.25">
      <c r="A44" s="1">
        <v>1</v>
      </c>
      <c r="B44" s="1">
        <v>5</v>
      </c>
      <c r="C44" s="2">
        <f t="shared" si="0"/>
        <v>4</v>
      </c>
      <c r="D44" s="1">
        <f t="shared" si="1"/>
        <v>16.214044444444443</v>
      </c>
    </row>
    <row r="45" spans="1:7" x14ac:dyDescent="0.25">
      <c r="A45" s="1">
        <v>5</v>
      </c>
      <c r="B45" s="1">
        <v>3</v>
      </c>
      <c r="C45" s="2">
        <f t="shared" si="0"/>
        <v>-2</v>
      </c>
      <c r="D45" s="1">
        <f t="shared" si="1"/>
        <v>3.8940444444444449</v>
      </c>
      <c r="F45" s="6" t="s">
        <v>15</v>
      </c>
      <c r="G45" s="6"/>
    </row>
    <row r="46" spans="1:7" x14ac:dyDescent="0.25">
      <c r="A46" s="1">
        <v>4</v>
      </c>
      <c r="B46" s="1">
        <v>1</v>
      </c>
      <c r="C46" s="2">
        <f t="shared" si="0"/>
        <v>-3</v>
      </c>
      <c r="D46" s="1">
        <f t="shared" si="1"/>
        <v>8.8407111111111103</v>
      </c>
    </row>
    <row r="47" spans="1:7" x14ac:dyDescent="0.25">
      <c r="A47" s="1">
        <v>3</v>
      </c>
      <c r="B47" s="1">
        <v>2</v>
      </c>
      <c r="C47" s="2">
        <f t="shared" si="0"/>
        <v>-1</v>
      </c>
      <c r="D47" s="1">
        <f t="shared" si="1"/>
        <v>0.94737777777777787</v>
      </c>
      <c r="F47" t="s">
        <v>13</v>
      </c>
    </row>
    <row r="48" spans="1:7" x14ac:dyDescent="0.25">
      <c r="A48" s="1">
        <v>3</v>
      </c>
      <c r="B48" s="1">
        <v>2</v>
      </c>
      <c r="C48" s="2">
        <f t="shared" si="0"/>
        <v>-1</v>
      </c>
      <c r="D48" s="1">
        <f t="shared" si="1"/>
        <v>0.94737777777777787</v>
      </c>
      <c r="F48" t="s">
        <v>14</v>
      </c>
    </row>
    <row r="49" spans="1:6" x14ac:dyDescent="0.25">
      <c r="A49" s="1">
        <v>5</v>
      </c>
      <c r="B49" s="1">
        <v>4</v>
      </c>
      <c r="C49" s="2">
        <f t="shared" si="0"/>
        <v>-1</v>
      </c>
      <c r="D49" s="1">
        <f t="shared" si="1"/>
        <v>0.94737777777777787</v>
      </c>
    </row>
    <row r="50" spans="1:6" x14ac:dyDescent="0.25">
      <c r="A50" s="1">
        <v>3</v>
      </c>
      <c r="B50" s="1">
        <v>3</v>
      </c>
      <c r="C50" s="2">
        <f t="shared" si="0"/>
        <v>0</v>
      </c>
      <c r="D50" s="1">
        <f t="shared" si="1"/>
        <v>7.1111111111111125E-4</v>
      </c>
      <c r="F50" t="s">
        <v>17</v>
      </c>
    </row>
    <row r="51" spans="1:6" x14ac:dyDescent="0.25">
      <c r="A51" s="1">
        <v>5</v>
      </c>
      <c r="B51" s="1">
        <v>3</v>
      </c>
      <c r="C51" s="2">
        <f t="shared" si="0"/>
        <v>-2</v>
      </c>
      <c r="D51" s="1">
        <f t="shared" si="1"/>
        <v>3.8940444444444449</v>
      </c>
      <c r="F51" t="s">
        <v>18</v>
      </c>
    </row>
    <row r="52" spans="1:6" x14ac:dyDescent="0.25">
      <c r="A52" s="1">
        <v>3</v>
      </c>
      <c r="B52" s="1">
        <v>5</v>
      </c>
      <c r="C52" s="2">
        <f t="shared" si="0"/>
        <v>2</v>
      </c>
      <c r="D52" s="1">
        <f t="shared" si="1"/>
        <v>4.1073777777777787</v>
      </c>
    </row>
    <row r="53" spans="1:6" x14ac:dyDescent="0.25">
      <c r="A53" s="1">
        <v>1</v>
      </c>
      <c r="B53" s="1">
        <v>1</v>
      </c>
      <c r="C53" s="2">
        <f t="shared" si="0"/>
        <v>0</v>
      </c>
      <c r="D53" s="1">
        <f t="shared" si="1"/>
        <v>7.1111111111111125E-4</v>
      </c>
    </row>
    <row r="54" spans="1:6" x14ac:dyDescent="0.25">
      <c r="A54" s="1">
        <v>4</v>
      </c>
      <c r="B54" s="1">
        <v>3</v>
      </c>
      <c r="C54" s="2">
        <f t="shared" si="0"/>
        <v>-1</v>
      </c>
      <c r="D54" s="1">
        <f t="shared" si="1"/>
        <v>0.94737777777777787</v>
      </c>
    </row>
    <row r="55" spans="1:6" x14ac:dyDescent="0.25">
      <c r="A55" s="1">
        <v>4</v>
      </c>
      <c r="B55" s="1">
        <v>4</v>
      </c>
      <c r="C55" s="2">
        <f t="shared" si="0"/>
        <v>0</v>
      </c>
      <c r="D55" s="1">
        <f t="shared" si="1"/>
        <v>7.1111111111111125E-4</v>
      </c>
    </row>
    <row r="56" spans="1:6" x14ac:dyDescent="0.25">
      <c r="A56" s="1">
        <v>3</v>
      </c>
      <c r="B56" s="1">
        <v>1</v>
      </c>
      <c r="C56" s="2">
        <f t="shared" si="0"/>
        <v>-2</v>
      </c>
      <c r="D56" s="1">
        <f t="shared" si="1"/>
        <v>3.8940444444444449</v>
      </c>
      <c r="F56" s="6" t="s">
        <v>22</v>
      </c>
    </row>
    <row r="57" spans="1:6" x14ac:dyDescent="0.25">
      <c r="A57" s="1">
        <v>4</v>
      </c>
      <c r="B57" s="1">
        <v>3</v>
      </c>
      <c r="C57" s="2">
        <f t="shared" si="0"/>
        <v>-1</v>
      </c>
      <c r="D57" s="1">
        <f t="shared" si="1"/>
        <v>0.94737777777777787</v>
      </c>
    </row>
    <row r="58" spans="1:6" x14ac:dyDescent="0.25">
      <c r="A58" s="1">
        <v>4</v>
      </c>
      <c r="B58" s="1">
        <v>4</v>
      </c>
      <c r="C58" s="2">
        <f t="shared" si="0"/>
        <v>0</v>
      </c>
      <c r="D58" s="1">
        <f t="shared" si="1"/>
        <v>7.1111111111111125E-4</v>
      </c>
      <c r="F58" t="s">
        <v>20</v>
      </c>
    </row>
    <row r="59" spans="1:6" x14ac:dyDescent="0.25">
      <c r="A59" s="1">
        <v>2</v>
      </c>
      <c r="B59" s="1">
        <v>5</v>
      </c>
      <c r="C59" s="2">
        <f t="shared" si="0"/>
        <v>3</v>
      </c>
      <c r="D59" s="1">
        <f t="shared" si="1"/>
        <v>9.1607111111111124</v>
      </c>
      <c r="F59" t="s">
        <v>19</v>
      </c>
    </row>
    <row r="60" spans="1:6" x14ac:dyDescent="0.25">
      <c r="A60" s="1">
        <v>3</v>
      </c>
      <c r="B60" s="1">
        <v>4</v>
      </c>
      <c r="C60" s="2">
        <f t="shared" si="0"/>
        <v>1</v>
      </c>
      <c r="D60" s="1">
        <f t="shared" si="1"/>
        <v>1.0540444444444443</v>
      </c>
      <c r="F60" t="s">
        <v>21</v>
      </c>
    </row>
    <row r="61" spans="1:6" x14ac:dyDescent="0.25">
      <c r="A61" s="1">
        <v>2</v>
      </c>
      <c r="B61" s="1">
        <v>4</v>
      </c>
      <c r="C61" s="2">
        <f t="shared" si="0"/>
        <v>2</v>
      </c>
      <c r="D61" s="1">
        <f t="shared" si="1"/>
        <v>4.1073777777777787</v>
      </c>
    </row>
    <row r="62" spans="1:6" x14ac:dyDescent="0.25">
      <c r="A62" s="1">
        <v>1</v>
      </c>
      <c r="B62" s="1">
        <v>2</v>
      </c>
      <c r="C62" s="2">
        <f t="shared" si="0"/>
        <v>1</v>
      </c>
      <c r="D62" s="1">
        <f t="shared" si="1"/>
        <v>1.0540444444444443</v>
      </c>
    </row>
    <row r="63" spans="1:6" x14ac:dyDescent="0.25">
      <c r="A63" s="1">
        <v>5</v>
      </c>
      <c r="B63" s="1">
        <v>2</v>
      </c>
      <c r="C63" s="2">
        <f t="shared" si="0"/>
        <v>-3</v>
      </c>
      <c r="D63" s="1">
        <f t="shared" si="1"/>
        <v>8.8407111111111103</v>
      </c>
    </row>
    <row r="64" spans="1:6" x14ac:dyDescent="0.25">
      <c r="A64" s="1">
        <v>3</v>
      </c>
      <c r="B64" s="1">
        <v>4</v>
      </c>
      <c r="C64" s="2">
        <f t="shared" si="0"/>
        <v>1</v>
      </c>
      <c r="D64" s="1">
        <f t="shared" si="1"/>
        <v>1.0540444444444443</v>
      </c>
    </row>
    <row r="65" spans="1:6" x14ac:dyDescent="0.25">
      <c r="A65" s="1">
        <v>4</v>
      </c>
      <c r="B65" s="1">
        <v>2</v>
      </c>
      <c r="C65" s="2">
        <f t="shared" si="0"/>
        <v>-2</v>
      </c>
      <c r="D65" s="1">
        <f t="shared" si="1"/>
        <v>3.8940444444444449</v>
      </c>
      <c r="F65" s="6" t="s">
        <v>22</v>
      </c>
    </row>
    <row r="66" spans="1:6" x14ac:dyDescent="0.25">
      <c r="A66" s="1">
        <v>3</v>
      </c>
      <c r="B66" s="1">
        <v>5</v>
      </c>
      <c r="C66" s="2">
        <f t="shared" si="0"/>
        <v>2</v>
      </c>
      <c r="D66" s="1">
        <f t="shared" si="1"/>
        <v>4.1073777777777787</v>
      </c>
    </row>
    <row r="67" spans="1:6" x14ac:dyDescent="0.25">
      <c r="A67" s="1">
        <v>4</v>
      </c>
      <c r="B67" s="1">
        <v>4</v>
      </c>
      <c r="C67" s="2">
        <f t="shared" ref="C67:C76" si="2">B67-A67</f>
        <v>0</v>
      </c>
      <c r="D67" s="1">
        <f t="shared" si="1"/>
        <v>7.1111111111111125E-4</v>
      </c>
    </row>
    <row r="68" spans="1:6" x14ac:dyDescent="0.25">
      <c r="A68" s="1">
        <v>3</v>
      </c>
      <c r="B68" s="1">
        <v>3</v>
      </c>
      <c r="C68" s="2">
        <f t="shared" si="2"/>
        <v>0</v>
      </c>
      <c r="D68" s="1">
        <f t="shared" si="1"/>
        <v>7.1111111111111125E-4</v>
      </c>
    </row>
    <row r="69" spans="1:6" x14ac:dyDescent="0.25">
      <c r="A69" s="1">
        <v>4</v>
      </c>
      <c r="B69" s="1">
        <v>5</v>
      </c>
      <c r="C69" s="2">
        <f t="shared" si="2"/>
        <v>1</v>
      </c>
      <c r="D69" s="1">
        <f t="shared" ref="D69:D76" si="3">(C69-$G$6)^2</f>
        <v>1.0540444444444443</v>
      </c>
    </row>
    <row r="70" spans="1:6" x14ac:dyDescent="0.25">
      <c r="A70" s="1">
        <v>5</v>
      </c>
      <c r="B70" s="1">
        <v>5</v>
      </c>
      <c r="C70" s="2">
        <f t="shared" si="2"/>
        <v>0</v>
      </c>
      <c r="D70" s="1">
        <f t="shared" si="3"/>
        <v>7.1111111111111125E-4</v>
      </c>
    </row>
    <row r="71" spans="1:6" x14ac:dyDescent="0.25">
      <c r="A71" s="1">
        <v>1</v>
      </c>
      <c r="B71" s="1">
        <v>4</v>
      </c>
      <c r="C71" s="2">
        <f t="shared" si="2"/>
        <v>3</v>
      </c>
      <c r="D71" s="1">
        <f t="shared" si="3"/>
        <v>9.1607111111111124</v>
      </c>
    </row>
    <row r="72" spans="1:6" x14ac:dyDescent="0.25">
      <c r="A72" s="1">
        <v>4</v>
      </c>
      <c r="B72" s="1">
        <v>3</v>
      </c>
      <c r="C72" s="2">
        <f t="shared" si="2"/>
        <v>-1</v>
      </c>
      <c r="D72" s="1">
        <f t="shared" si="3"/>
        <v>0.94737777777777787</v>
      </c>
      <c r="F72" t="s">
        <v>23</v>
      </c>
    </row>
    <row r="73" spans="1:6" x14ac:dyDescent="0.25">
      <c r="A73" s="1">
        <v>3</v>
      </c>
      <c r="B73" s="1">
        <v>4</v>
      </c>
      <c r="C73" s="2">
        <f t="shared" si="2"/>
        <v>1</v>
      </c>
      <c r="D73" s="1">
        <f t="shared" si="3"/>
        <v>1.0540444444444443</v>
      </c>
      <c r="F73" t="s">
        <v>21</v>
      </c>
    </row>
    <row r="74" spans="1:6" x14ac:dyDescent="0.25">
      <c r="A74" s="1">
        <v>2</v>
      </c>
      <c r="B74" s="1">
        <v>2</v>
      </c>
      <c r="C74" s="2">
        <f t="shared" si="2"/>
        <v>0</v>
      </c>
      <c r="D74" s="1">
        <f t="shared" si="3"/>
        <v>7.1111111111111125E-4</v>
      </c>
      <c r="F74" t="s">
        <v>23</v>
      </c>
    </row>
    <row r="75" spans="1:6" x14ac:dyDescent="0.25">
      <c r="A75" s="1">
        <v>2</v>
      </c>
      <c r="B75" s="1">
        <v>4</v>
      </c>
      <c r="C75" s="2">
        <f t="shared" si="2"/>
        <v>2</v>
      </c>
      <c r="D75" s="1">
        <f t="shared" si="3"/>
        <v>4.1073777777777787</v>
      </c>
      <c r="F75" t="s">
        <v>21</v>
      </c>
    </row>
    <row r="76" spans="1:6" x14ac:dyDescent="0.25">
      <c r="A76" s="1">
        <v>3</v>
      </c>
      <c r="B76" s="1">
        <v>1</v>
      </c>
      <c r="C76" s="2">
        <f t="shared" si="2"/>
        <v>-2</v>
      </c>
      <c r="D76" s="1">
        <f t="shared" si="3"/>
        <v>3.8940444444444449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4303-5783-4D89-B136-03B28A7C0519}">
  <dimension ref="A1:G93"/>
  <sheetViews>
    <sheetView topLeftCell="D17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5.25" customHeight="1" x14ac:dyDescent="0.25">
      <c r="A1" s="3" t="s">
        <v>46</v>
      </c>
      <c r="B1" s="3" t="s">
        <v>47</v>
      </c>
      <c r="C1" s="5" t="s">
        <v>0</v>
      </c>
      <c r="D1" s="5"/>
    </row>
    <row r="2" spans="1:7" x14ac:dyDescent="0.25">
      <c r="A2" s="1">
        <v>3</v>
      </c>
      <c r="B2" s="1">
        <v>5</v>
      </c>
      <c r="C2" s="2">
        <f>B2-A2</f>
        <v>2</v>
      </c>
      <c r="D2" s="1">
        <f>(C2-$G$6)^2</f>
        <v>3.7895111111111115</v>
      </c>
    </row>
    <row r="3" spans="1:7" x14ac:dyDescent="0.25">
      <c r="A3" s="1">
        <v>2</v>
      </c>
      <c r="B3" s="1">
        <v>1</v>
      </c>
      <c r="C3" s="2">
        <f t="shared" ref="C3:C66" si="0">B3-A3</f>
        <v>-1</v>
      </c>
      <c r="D3" s="1">
        <f>(C3-$G$6)^2</f>
        <v>1.1095111111111109</v>
      </c>
      <c r="F3" s="6" t="s">
        <v>16</v>
      </c>
      <c r="G3" s="6"/>
    </row>
    <row r="4" spans="1:7" x14ac:dyDescent="0.25">
      <c r="A4" s="1">
        <v>4</v>
      </c>
      <c r="B4" s="1">
        <v>2</v>
      </c>
      <c r="C4" s="2">
        <f t="shared" si="0"/>
        <v>-2</v>
      </c>
      <c r="D4" s="1">
        <f>(C4-$G$6)^2</f>
        <v>4.2161777777777774</v>
      </c>
      <c r="F4" t="s">
        <v>4</v>
      </c>
      <c r="G4">
        <f>COUNT(A:A)</f>
        <v>75</v>
      </c>
    </row>
    <row r="5" spans="1:7" x14ac:dyDescent="0.25">
      <c r="A5" s="1">
        <v>3</v>
      </c>
      <c r="B5" s="1">
        <v>4</v>
      </c>
      <c r="C5" s="2">
        <f t="shared" si="0"/>
        <v>1</v>
      </c>
      <c r="D5" s="1">
        <f t="shared" ref="D5:D68" si="1">(C5-$G$6)^2</f>
        <v>0.89617777777777774</v>
      </c>
      <c r="F5" t="s">
        <v>2</v>
      </c>
      <c r="G5">
        <f>SUM(C:C)</f>
        <v>4</v>
      </c>
    </row>
    <row r="6" spans="1:7" x14ac:dyDescent="0.25">
      <c r="A6" s="1">
        <v>3</v>
      </c>
      <c r="B6" s="1">
        <v>3</v>
      </c>
      <c r="C6" s="2">
        <f t="shared" si="0"/>
        <v>0</v>
      </c>
      <c r="D6" s="1">
        <f t="shared" si="1"/>
        <v>2.844444444444445E-3</v>
      </c>
      <c r="F6" t="s">
        <v>1</v>
      </c>
      <c r="G6">
        <f>G5/G4</f>
        <v>5.3333333333333337E-2</v>
      </c>
    </row>
    <row r="7" spans="1:7" x14ac:dyDescent="0.25">
      <c r="A7" s="1">
        <v>2</v>
      </c>
      <c r="B7" s="1">
        <v>1</v>
      </c>
      <c r="C7" s="2">
        <f t="shared" si="0"/>
        <v>-1</v>
      </c>
      <c r="D7" s="1">
        <f t="shared" si="1"/>
        <v>1.1095111111111109</v>
      </c>
      <c r="F7" t="s">
        <v>3</v>
      </c>
      <c r="G7">
        <f>SUM(D:D)</f>
        <v>217.78666666666678</v>
      </c>
    </row>
    <row r="8" spans="1:7" x14ac:dyDescent="0.25">
      <c r="A8" s="1">
        <v>3</v>
      </c>
      <c r="B8" s="1">
        <v>5</v>
      </c>
      <c r="C8" s="2">
        <f t="shared" si="0"/>
        <v>2</v>
      </c>
      <c r="D8" s="1">
        <f t="shared" si="1"/>
        <v>3.7895111111111115</v>
      </c>
      <c r="F8" t="s">
        <v>5</v>
      </c>
      <c r="G8">
        <f>SQRT(G7/(G4-1))</f>
        <v>1.7155357947484118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1.1095111111111109</v>
      </c>
    </row>
    <row r="10" spans="1:7" x14ac:dyDescent="0.25">
      <c r="A10" s="1">
        <v>3</v>
      </c>
      <c r="B10" s="1">
        <v>1</v>
      </c>
      <c r="C10" s="2">
        <f t="shared" si="0"/>
        <v>-2</v>
      </c>
      <c r="D10" s="1">
        <f t="shared" si="1"/>
        <v>4.2161777777777774</v>
      </c>
    </row>
    <row r="11" spans="1:7" x14ac:dyDescent="0.25">
      <c r="A11" s="1">
        <v>1</v>
      </c>
      <c r="B11" s="1">
        <v>1</v>
      </c>
      <c r="C11" s="2">
        <f t="shared" si="0"/>
        <v>0</v>
      </c>
      <c r="D11" s="1">
        <f t="shared" si="1"/>
        <v>2.844444444444445E-3</v>
      </c>
    </row>
    <row r="12" spans="1:7" x14ac:dyDescent="0.25">
      <c r="A12" s="1">
        <v>1</v>
      </c>
      <c r="B12" s="1">
        <v>5</v>
      </c>
      <c r="C12" s="2">
        <f t="shared" si="0"/>
        <v>4</v>
      </c>
      <c r="D12" s="1">
        <f t="shared" si="1"/>
        <v>15.576177777777779</v>
      </c>
      <c r="F12" t="s">
        <v>11</v>
      </c>
      <c r="G12">
        <f>G6/(G8/SQRT(G4))</f>
        <v>0.2692337966748381</v>
      </c>
    </row>
    <row r="13" spans="1:7" x14ac:dyDescent="0.25">
      <c r="A13" s="1">
        <v>3</v>
      </c>
      <c r="B13" s="1">
        <v>4</v>
      </c>
      <c r="C13" s="2">
        <f t="shared" si="0"/>
        <v>1</v>
      </c>
      <c r="D13" s="1">
        <f t="shared" si="1"/>
        <v>0.89617777777777774</v>
      </c>
    </row>
    <row r="14" spans="1:7" x14ac:dyDescent="0.25">
      <c r="A14" s="1">
        <v>4</v>
      </c>
      <c r="B14" s="1">
        <v>2</v>
      </c>
      <c r="C14" s="2">
        <f t="shared" si="0"/>
        <v>-2</v>
      </c>
      <c r="D14" s="1">
        <f t="shared" si="1"/>
        <v>4.2161777777777774</v>
      </c>
    </row>
    <row r="15" spans="1:7" x14ac:dyDescent="0.25">
      <c r="A15" s="1">
        <v>2</v>
      </c>
      <c r="B15" s="1">
        <v>3</v>
      </c>
      <c r="C15" s="2">
        <f t="shared" si="0"/>
        <v>1</v>
      </c>
      <c r="D15" s="1">
        <f t="shared" si="1"/>
        <v>0.89617777777777774</v>
      </c>
    </row>
    <row r="16" spans="1:7" x14ac:dyDescent="0.25">
      <c r="A16" s="1">
        <v>3</v>
      </c>
      <c r="B16" s="1">
        <v>5</v>
      </c>
      <c r="C16" s="2">
        <f t="shared" si="0"/>
        <v>2</v>
      </c>
      <c r="D16" s="1">
        <f t="shared" si="1"/>
        <v>3.7895111111111115</v>
      </c>
    </row>
    <row r="17" spans="1:7" x14ac:dyDescent="0.25">
      <c r="A17" s="1">
        <v>3</v>
      </c>
      <c r="B17" s="1">
        <v>3</v>
      </c>
      <c r="C17" s="2">
        <f t="shared" si="0"/>
        <v>0</v>
      </c>
      <c r="D17" s="1">
        <f t="shared" si="1"/>
        <v>2.844444444444445E-3</v>
      </c>
      <c r="F17" t="s">
        <v>6</v>
      </c>
      <c r="G17">
        <v>0.05</v>
      </c>
    </row>
    <row r="18" spans="1:7" x14ac:dyDescent="0.25">
      <c r="A18" s="1">
        <v>2</v>
      </c>
      <c r="B18" s="1">
        <v>1</v>
      </c>
      <c r="C18" s="2">
        <f t="shared" si="0"/>
        <v>-1</v>
      </c>
      <c r="D18" s="1">
        <f t="shared" si="1"/>
        <v>1.1095111111111109</v>
      </c>
      <c r="F18" t="s">
        <v>7</v>
      </c>
      <c r="G18">
        <f>G4-1</f>
        <v>74</v>
      </c>
    </row>
    <row r="19" spans="1:7" x14ac:dyDescent="0.25">
      <c r="A19" s="1">
        <v>3</v>
      </c>
      <c r="B19" s="1">
        <v>5</v>
      </c>
      <c r="C19" s="2">
        <f t="shared" si="0"/>
        <v>2</v>
      </c>
      <c r="D19" s="1">
        <f t="shared" si="1"/>
        <v>3.7895111111111115</v>
      </c>
    </row>
    <row r="20" spans="1:7" x14ac:dyDescent="0.25">
      <c r="A20" s="1">
        <v>3</v>
      </c>
      <c r="B20" s="1">
        <v>3</v>
      </c>
      <c r="C20" s="2">
        <f t="shared" si="0"/>
        <v>0</v>
      </c>
      <c r="D20" s="1">
        <f t="shared" si="1"/>
        <v>2.844444444444445E-3</v>
      </c>
    </row>
    <row r="21" spans="1:7" x14ac:dyDescent="0.25">
      <c r="A21" s="1">
        <v>3</v>
      </c>
      <c r="B21" s="1">
        <v>5</v>
      </c>
      <c r="C21" s="2">
        <f t="shared" si="0"/>
        <v>2</v>
      </c>
      <c r="D21" s="1">
        <f t="shared" si="1"/>
        <v>3.7895111111111115</v>
      </c>
    </row>
    <row r="22" spans="1:7" x14ac:dyDescent="0.25">
      <c r="A22" s="1">
        <v>3</v>
      </c>
      <c r="B22" s="1">
        <v>1</v>
      </c>
      <c r="C22" s="2">
        <f t="shared" si="0"/>
        <v>-2</v>
      </c>
      <c r="D22" s="1">
        <f t="shared" si="1"/>
        <v>4.2161777777777774</v>
      </c>
      <c r="F22" s="6" t="s">
        <v>8</v>
      </c>
      <c r="G22" s="6"/>
    </row>
    <row r="23" spans="1:7" x14ac:dyDescent="0.25">
      <c r="A23" s="1">
        <v>1</v>
      </c>
      <c r="B23" s="1">
        <v>3</v>
      </c>
      <c r="C23" s="2">
        <f t="shared" si="0"/>
        <v>2</v>
      </c>
      <c r="D23" s="1">
        <f t="shared" si="1"/>
        <v>3.7895111111111115</v>
      </c>
      <c r="F23" t="s">
        <v>25</v>
      </c>
      <c r="G23">
        <f>_xlfn.T.INV.2T(G17,G18)</f>
        <v>1.992543495180934</v>
      </c>
    </row>
    <row r="24" spans="1:7" x14ac:dyDescent="0.25">
      <c r="A24" s="1">
        <v>5</v>
      </c>
      <c r="B24" s="1">
        <v>4</v>
      </c>
      <c r="C24" s="2">
        <f t="shared" si="0"/>
        <v>-1</v>
      </c>
      <c r="D24" s="1">
        <f t="shared" si="1"/>
        <v>1.1095111111111109</v>
      </c>
      <c r="F24" t="s">
        <v>26</v>
      </c>
      <c r="G24">
        <f>_xlfn.T.INV(G17,G18)</f>
        <v>-1.6657068927340244</v>
      </c>
    </row>
    <row r="25" spans="1:7" x14ac:dyDescent="0.25">
      <c r="A25" s="1">
        <v>1</v>
      </c>
      <c r="B25" s="1">
        <v>4</v>
      </c>
      <c r="C25" s="2">
        <f t="shared" si="0"/>
        <v>3</v>
      </c>
      <c r="D25" s="1">
        <f t="shared" si="1"/>
        <v>8.682844444444445</v>
      </c>
    </row>
    <row r="26" spans="1:7" x14ac:dyDescent="0.25">
      <c r="A26" s="1">
        <v>5</v>
      </c>
      <c r="B26" s="1">
        <v>3</v>
      </c>
      <c r="C26" s="2">
        <f t="shared" si="0"/>
        <v>-2</v>
      </c>
      <c r="D26" s="1">
        <f t="shared" si="1"/>
        <v>4.2161777777777774</v>
      </c>
    </row>
    <row r="27" spans="1:7" x14ac:dyDescent="0.25">
      <c r="A27" s="1">
        <v>4</v>
      </c>
      <c r="B27" s="1">
        <v>2</v>
      </c>
      <c r="C27" s="2">
        <f t="shared" si="0"/>
        <v>-2</v>
      </c>
      <c r="D27" s="1">
        <f t="shared" si="1"/>
        <v>4.2161777777777774</v>
      </c>
    </row>
    <row r="28" spans="1:7" x14ac:dyDescent="0.25">
      <c r="A28" s="1">
        <v>1</v>
      </c>
      <c r="B28" s="1">
        <v>3</v>
      </c>
      <c r="C28" s="2">
        <f t="shared" si="0"/>
        <v>2</v>
      </c>
      <c r="D28" s="1">
        <f t="shared" si="1"/>
        <v>3.7895111111111115</v>
      </c>
    </row>
    <row r="29" spans="1:7" x14ac:dyDescent="0.25">
      <c r="A29" s="1">
        <v>5</v>
      </c>
      <c r="B29" s="1">
        <v>4</v>
      </c>
      <c r="C29" s="2">
        <f t="shared" si="0"/>
        <v>-1</v>
      </c>
      <c r="D29" s="1">
        <f t="shared" si="1"/>
        <v>1.1095111111111109</v>
      </c>
    </row>
    <row r="30" spans="1:7" x14ac:dyDescent="0.25">
      <c r="A30" s="1">
        <v>3</v>
      </c>
      <c r="B30" s="1">
        <v>4</v>
      </c>
      <c r="C30" s="2">
        <f t="shared" si="0"/>
        <v>1</v>
      </c>
      <c r="D30" s="1">
        <f t="shared" si="1"/>
        <v>0.89617777777777774</v>
      </c>
    </row>
    <row r="31" spans="1:7" x14ac:dyDescent="0.25">
      <c r="A31" s="1">
        <v>2</v>
      </c>
      <c r="B31" s="1">
        <v>3</v>
      </c>
      <c r="C31" s="2">
        <f t="shared" si="0"/>
        <v>1</v>
      </c>
      <c r="D31" s="1">
        <f t="shared" si="1"/>
        <v>0.89617777777777774</v>
      </c>
    </row>
    <row r="32" spans="1:7" x14ac:dyDescent="0.25">
      <c r="A32" s="1">
        <v>3</v>
      </c>
      <c r="B32" s="1">
        <v>1</v>
      </c>
      <c r="C32" s="2">
        <f t="shared" si="0"/>
        <v>-2</v>
      </c>
      <c r="D32" s="1">
        <f t="shared" si="1"/>
        <v>4.2161777777777774</v>
      </c>
    </row>
    <row r="33" spans="1:7" x14ac:dyDescent="0.25">
      <c r="A33" s="1">
        <v>3</v>
      </c>
      <c r="B33" s="1">
        <v>2</v>
      </c>
      <c r="C33" s="2">
        <f t="shared" si="0"/>
        <v>-1</v>
      </c>
      <c r="D33" s="1">
        <f t="shared" si="1"/>
        <v>1.1095111111111109</v>
      </c>
    </row>
    <row r="34" spans="1:7" x14ac:dyDescent="0.25">
      <c r="A34" s="1">
        <v>3</v>
      </c>
      <c r="B34" s="1">
        <v>2</v>
      </c>
      <c r="C34" s="2">
        <f t="shared" si="0"/>
        <v>-1</v>
      </c>
      <c r="D34" s="1">
        <f t="shared" si="1"/>
        <v>1.1095111111111109</v>
      </c>
      <c r="F34" t="s">
        <v>9</v>
      </c>
    </row>
    <row r="35" spans="1:7" x14ac:dyDescent="0.25">
      <c r="A35" s="1">
        <v>4</v>
      </c>
      <c r="B35" s="1">
        <v>4</v>
      </c>
      <c r="C35" s="2">
        <f t="shared" si="0"/>
        <v>0</v>
      </c>
      <c r="D35" s="1">
        <f t="shared" si="1"/>
        <v>2.844444444444445E-3</v>
      </c>
      <c r="F35" t="s">
        <v>10</v>
      </c>
    </row>
    <row r="36" spans="1:7" x14ac:dyDescent="0.25">
      <c r="A36" s="1">
        <v>3</v>
      </c>
      <c r="B36" s="1">
        <v>2</v>
      </c>
      <c r="C36" s="2">
        <f t="shared" si="0"/>
        <v>-1</v>
      </c>
      <c r="D36" s="1">
        <f t="shared" si="1"/>
        <v>1.1095111111111109</v>
      </c>
    </row>
    <row r="37" spans="1:7" x14ac:dyDescent="0.25">
      <c r="A37" s="1">
        <v>5</v>
      </c>
      <c r="B37" s="1">
        <v>3</v>
      </c>
      <c r="C37" s="2">
        <f t="shared" si="0"/>
        <v>-2</v>
      </c>
      <c r="D37" s="1">
        <f t="shared" si="1"/>
        <v>4.2161777777777774</v>
      </c>
    </row>
    <row r="38" spans="1:7" x14ac:dyDescent="0.25">
      <c r="A38" s="1">
        <v>5</v>
      </c>
      <c r="B38" s="1">
        <v>5</v>
      </c>
      <c r="C38" s="2">
        <f t="shared" si="0"/>
        <v>0</v>
      </c>
      <c r="D38" s="1">
        <f t="shared" si="1"/>
        <v>2.844444444444445E-3</v>
      </c>
    </row>
    <row r="39" spans="1:7" x14ac:dyDescent="0.25">
      <c r="A39" s="1">
        <v>2</v>
      </c>
      <c r="B39" s="1">
        <v>4</v>
      </c>
      <c r="C39" s="2">
        <f t="shared" si="0"/>
        <v>2</v>
      </c>
      <c r="D39" s="1">
        <f t="shared" si="1"/>
        <v>3.7895111111111115</v>
      </c>
      <c r="F39" s="6" t="s">
        <v>12</v>
      </c>
      <c r="G39" s="6"/>
    </row>
    <row r="40" spans="1:7" x14ac:dyDescent="0.25">
      <c r="A40" s="1">
        <v>3</v>
      </c>
      <c r="B40" s="1">
        <v>2</v>
      </c>
      <c r="C40" s="2">
        <f t="shared" si="0"/>
        <v>-1</v>
      </c>
      <c r="D40" s="1">
        <f t="shared" si="1"/>
        <v>1.1095111111111109</v>
      </c>
      <c r="F40" t="s">
        <v>12</v>
      </c>
    </row>
    <row r="41" spans="1:7" x14ac:dyDescent="0.25">
      <c r="A41" s="1">
        <v>1</v>
      </c>
      <c r="B41" s="1">
        <v>2</v>
      </c>
      <c r="C41" s="2">
        <f t="shared" si="0"/>
        <v>1</v>
      </c>
      <c r="D41" s="1">
        <f t="shared" si="1"/>
        <v>0.89617777777777774</v>
      </c>
      <c r="F41" t="s">
        <v>24</v>
      </c>
      <c r="G41">
        <f>TTEST(A:A,B:B,2,1)</f>
        <v>0.78849905119794372</v>
      </c>
    </row>
    <row r="42" spans="1:7" x14ac:dyDescent="0.25">
      <c r="A42" s="1">
        <v>4</v>
      </c>
      <c r="B42" s="1">
        <v>3</v>
      </c>
      <c r="C42" s="2">
        <f t="shared" si="0"/>
        <v>-1</v>
      </c>
      <c r="D42" s="1">
        <f t="shared" si="1"/>
        <v>1.1095111111111109</v>
      </c>
      <c r="F42" t="s">
        <v>27</v>
      </c>
      <c r="G42">
        <f>TTEST(A:A,B:B,1,1)</f>
        <v>0.39424952559897186</v>
      </c>
    </row>
    <row r="43" spans="1:7" x14ac:dyDescent="0.25">
      <c r="A43" s="1">
        <v>5</v>
      </c>
      <c r="B43" s="1">
        <v>5</v>
      </c>
      <c r="C43" s="2">
        <f t="shared" si="0"/>
        <v>0</v>
      </c>
      <c r="D43" s="1">
        <f t="shared" si="1"/>
        <v>2.844444444444445E-3</v>
      </c>
    </row>
    <row r="44" spans="1:7" x14ac:dyDescent="0.25">
      <c r="A44" s="1">
        <v>1</v>
      </c>
      <c r="B44" s="1">
        <v>3</v>
      </c>
      <c r="C44" s="2">
        <f t="shared" si="0"/>
        <v>2</v>
      </c>
      <c r="D44" s="1">
        <f t="shared" si="1"/>
        <v>3.7895111111111115</v>
      </c>
    </row>
    <row r="45" spans="1:7" x14ac:dyDescent="0.25">
      <c r="A45" s="1">
        <v>2</v>
      </c>
      <c r="B45" s="1">
        <v>5</v>
      </c>
      <c r="C45" s="2">
        <f t="shared" si="0"/>
        <v>3</v>
      </c>
      <c r="D45" s="1">
        <f t="shared" si="1"/>
        <v>8.682844444444445</v>
      </c>
      <c r="F45" s="6" t="s">
        <v>15</v>
      </c>
      <c r="G45" s="6"/>
    </row>
    <row r="46" spans="1:7" x14ac:dyDescent="0.25">
      <c r="A46" s="1">
        <v>1</v>
      </c>
      <c r="B46" s="1">
        <v>1</v>
      </c>
      <c r="C46" s="2">
        <f t="shared" si="0"/>
        <v>0</v>
      </c>
      <c r="D46" s="1">
        <f t="shared" si="1"/>
        <v>2.844444444444445E-3</v>
      </c>
    </row>
    <row r="47" spans="1:7" x14ac:dyDescent="0.25">
      <c r="A47" s="1">
        <v>4</v>
      </c>
      <c r="B47" s="1">
        <v>1</v>
      </c>
      <c r="C47" s="2">
        <f t="shared" si="0"/>
        <v>-3</v>
      </c>
      <c r="D47" s="1">
        <f t="shared" si="1"/>
        <v>9.3228444444444438</v>
      </c>
      <c r="F47" t="s">
        <v>13</v>
      </c>
    </row>
    <row r="48" spans="1:7" x14ac:dyDescent="0.25">
      <c r="A48" s="1">
        <v>4</v>
      </c>
      <c r="B48" s="1">
        <v>1</v>
      </c>
      <c r="C48" s="2">
        <f t="shared" si="0"/>
        <v>-3</v>
      </c>
      <c r="D48" s="1">
        <f t="shared" si="1"/>
        <v>9.3228444444444438</v>
      </c>
      <c r="F48" t="s">
        <v>14</v>
      </c>
    </row>
    <row r="49" spans="1:6" x14ac:dyDescent="0.25">
      <c r="A49" s="1">
        <v>1</v>
      </c>
      <c r="B49" s="1">
        <v>3</v>
      </c>
      <c r="C49" s="2">
        <f t="shared" si="0"/>
        <v>2</v>
      </c>
      <c r="D49" s="1">
        <f t="shared" si="1"/>
        <v>3.7895111111111115</v>
      </c>
    </row>
    <row r="50" spans="1:6" x14ac:dyDescent="0.25">
      <c r="A50" s="1">
        <v>4</v>
      </c>
      <c r="B50" s="1">
        <v>3</v>
      </c>
      <c r="C50" s="2">
        <f t="shared" si="0"/>
        <v>-1</v>
      </c>
      <c r="D50" s="1">
        <f t="shared" si="1"/>
        <v>1.1095111111111109</v>
      </c>
      <c r="F50" t="s">
        <v>17</v>
      </c>
    </row>
    <row r="51" spans="1:6" x14ac:dyDescent="0.25">
      <c r="A51" s="1">
        <v>2</v>
      </c>
      <c r="B51" s="1">
        <v>3</v>
      </c>
      <c r="C51" s="2">
        <f t="shared" si="0"/>
        <v>1</v>
      </c>
      <c r="D51" s="1">
        <f t="shared" si="1"/>
        <v>0.89617777777777774</v>
      </c>
      <c r="F51" t="s">
        <v>18</v>
      </c>
    </row>
    <row r="52" spans="1:6" x14ac:dyDescent="0.25">
      <c r="A52" s="1">
        <v>4</v>
      </c>
      <c r="B52" s="1">
        <v>2</v>
      </c>
      <c r="C52" s="2">
        <f t="shared" si="0"/>
        <v>-2</v>
      </c>
      <c r="D52" s="1">
        <f t="shared" si="1"/>
        <v>4.2161777777777774</v>
      </c>
    </row>
    <row r="53" spans="1:6" x14ac:dyDescent="0.25">
      <c r="A53" s="1">
        <v>1</v>
      </c>
      <c r="B53" s="1">
        <v>3</v>
      </c>
      <c r="C53" s="2">
        <f t="shared" si="0"/>
        <v>2</v>
      </c>
      <c r="D53" s="1">
        <f t="shared" si="1"/>
        <v>3.7895111111111115</v>
      </c>
    </row>
    <row r="54" spans="1:6" x14ac:dyDescent="0.25">
      <c r="A54" s="1">
        <v>1</v>
      </c>
      <c r="B54" s="1">
        <v>3</v>
      </c>
      <c r="C54" s="2">
        <f t="shared" si="0"/>
        <v>2</v>
      </c>
      <c r="D54" s="1">
        <f t="shared" si="1"/>
        <v>3.7895111111111115</v>
      </c>
    </row>
    <row r="55" spans="1:6" x14ac:dyDescent="0.25">
      <c r="A55" s="1">
        <v>2</v>
      </c>
      <c r="B55" s="1">
        <v>4</v>
      </c>
      <c r="C55" s="2">
        <f t="shared" si="0"/>
        <v>2</v>
      </c>
      <c r="D55" s="1">
        <f t="shared" si="1"/>
        <v>3.7895111111111115</v>
      </c>
    </row>
    <row r="56" spans="1:6" x14ac:dyDescent="0.25">
      <c r="A56" s="1">
        <v>5</v>
      </c>
      <c r="B56" s="1">
        <v>3</v>
      </c>
      <c r="C56" s="2">
        <f t="shared" si="0"/>
        <v>-2</v>
      </c>
      <c r="D56" s="1">
        <f t="shared" si="1"/>
        <v>4.2161777777777774</v>
      </c>
      <c r="F56" s="6" t="s">
        <v>22</v>
      </c>
    </row>
    <row r="57" spans="1:6" x14ac:dyDescent="0.25">
      <c r="A57" s="1">
        <v>5</v>
      </c>
      <c r="B57" s="1">
        <v>5</v>
      </c>
      <c r="C57" s="2">
        <f t="shared" si="0"/>
        <v>0</v>
      </c>
      <c r="D57" s="1">
        <f t="shared" si="1"/>
        <v>2.844444444444445E-3</v>
      </c>
    </row>
    <row r="58" spans="1:6" x14ac:dyDescent="0.25">
      <c r="A58" s="1">
        <v>4</v>
      </c>
      <c r="B58" s="1">
        <v>3</v>
      </c>
      <c r="C58" s="2">
        <f t="shared" si="0"/>
        <v>-1</v>
      </c>
      <c r="D58" s="1">
        <f t="shared" si="1"/>
        <v>1.1095111111111109</v>
      </c>
      <c r="F58" t="s">
        <v>20</v>
      </c>
    </row>
    <row r="59" spans="1:6" x14ac:dyDescent="0.25">
      <c r="A59" s="1">
        <v>1</v>
      </c>
      <c r="B59" s="1">
        <v>3</v>
      </c>
      <c r="C59" s="2">
        <f t="shared" si="0"/>
        <v>2</v>
      </c>
      <c r="D59" s="1">
        <f t="shared" si="1"/>
        <v>3.7895111111111115</v>
      </c>
      <c r="F59" t="s">
        <v>19</v>
      </c>
    </row>
    <row r="60" spans="1:6" x14ac:dyDescent="0.25">
      <c r="A60" s="1">
        <v>4</v>
      </c>
      <c r="B60" s="1">
        <v>1</v>
      </c>
      <c r="C60" s="2">
        <f t="shared" si="0"/>
        <v>-3</v>
      </c>
      <c r="D60" s="1">
        <f t="shared" si="1"/>
        <v>9.3228444444444438</v>
      </c>
      <c r="F60" t="s">
        <v>21</v>
      </c>
    </row>
    <row r="61" spans="1:6" x14ac:dyDescent="0.25">
      <c r="A61" s="1">
        <v>2</v>
      </c>
      <c r="B61" s="1">
        <v>2</v>
      </c>
      <c r="C61" s="2">
        <f t="shared" si="0"/>
        <v>0</v>
      </c>
      <c r="D61" s="1">
        <f t="shared" si="1"/>
        <v>2.844444444444445E-3</v>
      </c>
    </row>
    <row r="62" spans="1:6" x14ac:dyDescent="0.25">
      <c r="A62" s="1">
        <v>4</v>
      </c>
      <c r="B62" s="1">
        <v>2</v>
      </c>
      <c r="C62" s="2">
        <f t="shared" si="0"/>
        <v>-2</v>
      </c>
      <c r="D62" s="1">
        <f t="shared" si="1"/>
        <v>4.2161777777777774</v>
      </c>
    </row>
    <row r="63" spans="1:6" x14ac:dyDescent="0.25">
      <c r="A63" s="1">
        <v>3</v>
      </c>
      <c r="B63" s="1">
        <v>1</v>
      </c>
      <c r="C63" s="2">
        <f t="shared" si="0"/>
        <v>-2</v>
      </c>
      <c r="D63" s="1">
        <f t="shared" si="1"/>
        <v>4.2161777777777774</v>
      </c>
    </row>
    <row r="64" spans="1:6" x14ac:dyDescent="0.25">
      <c r="A64" s="1">
        <v>2</v>
      </c>
      <c r="B64" s="1">
        <v>2</v>
      </c>
      <c r="C64" s="2">
        <f t="shared" si="0"/>
        <v>0</v>
      </c>
      <c r="D64" s="1">
        <f t="shared" si="1"/>
        <v>2.844444444444445E-3</v>
      </c>
    </row>
    <row r="65" spans="1:6" x14ac:dyDescent="0.25">
      <c r="A65" s="1">
        <v>3</v>
      </c>
      <c r="B65" s="1">
        <v>4</v>
      </c>
      <c r="C65" s="2">
        <f t="shared" si="0"/>
        <v>1</v>
      </c>
      <c r="D65" s="1">
        <f t="shared" si="1"/>
        <v>0.89617777777777774</v>
      </c>
      <c r="F65" s="6" t="s">
        <v>22</v>
      </c>
    </row>
    <row r="66" spans="1:6" x14ac:dyDescent="0.25">
      <c r="A66" s="1">
        <v>5</v>
      </c>
      <c r="B66" s="1">
        <v>3</v>
      </c>
      <c r="C66" s="2">
        <f t="shared" si="0"/>
        <v>-2</v>
      </c>
      <c r="D66" s="1">
        <f t="shared" si="1"/>
        <v>4.2161777777777774</v>
      </c>
    </row>
    <row r="67" spans="1:6" x14ac:dyDescent="0.25">
      <c r="A67" s="1">
        <v>3</v>
      </c>
      <c r="B67" s="1">
        <v>3</v>
      </c>
      <c r="C67" s="2">
        <f t="shared" ref="C67:C76" si="2">B67-A67</f>
        <v>0</v>
      </c>
      <c r="D67" s="1">
        <f t="shared" si="1"/>
        <v>2.844444444444445E-3</v>
      </c>
    </row>
    <row r="68" spans="1:6" x14ac:dyDescent="0.25">
      <c r="A68" s="1">
        <v>5</v>
      </c>
      <c r="B68" s="1">
        <v>4</v>
      </c>
      <c r="C68" s="2">
        <f t="shared" si="2"/>
        <v>-1</v>
      </c>
      <c r="D68" s="1">
        <f t="shared" si="1"/>
        <v>1.1095111111111109</v>
      </c>
    </row>
    <row r="69" spans="1:6" x14ac:dyDescent="0.25">
      <c r="A69" s="1">
        <v>3</v>
      </c>
      <c r="B69" s="1">
        <v>3</v>
      </c>
      <c r="C69" s="2">
        <f t="shared" si="2"/>
        <v>0</v>
      </c>
      <c r="D69" s="1">
        <f t="shared" ref="D69:D76" si="3">(C69-$G$6)^2</f>
        <v>2.844444444444445E-3</v>
      </c>
    </row>
    <row r="70" spans="1:6" x14ac:dyDescent="0.25">
      <c r="A70" s="1">
        <v>2</v>
      </c>
      <c r="B70" s="1">
        <v>4</v>
      </c>
      <c r="C70" s="2">
        <f t="shared" si="2"/>
        <v>2</v>
      </c>
      <c r="D70" s="1">
        <f t="shared" si="3"/>
        <v>3.7895111111111115</v>
      </c>
    </row>
    <row r="71" spans="1:6" x14ac:dyDescent="0.25">
      <c r="A71" s="1">
        <v>3</v>
      </c>
      <c r="B71" s="1">
        <v>5</v>
      </c>
      <c r="C71" s="2">
        <f t="shared" si="2"/>
        <v>2</v>
      </c>
      <c r="D71" s="1">
        <f t="shared" si="3"/>
        <v>3.7895111111111115</v>
      </c>
    </row>
    <row r="72" spans="1:6" x14ac:dyDescent="0.25">
      <c r="A72" s="1">
        <v>5</v>
      </c>
      <c r="B72" s="1">
        <v>4</v>
      </c>
      <c r="C72" s="2">
        <f t="shared" si="2"/>
        <v>-1</v>
      </c>
      <c r="D72" s="1">
        <f t="shared" si="3"/>
        <v>1.1095111111111109</v>
      </c>
      <c r="F72" t="s">
        <v>23</v>
      </c>
    </row>
    <row r="73" spans="1:6" x14ac:dyDescent="0.25">
      <c r="A73" s="1">
        <v>2</v>
      </c>
      <c r="B73" s="1">
        <v>2</v>
      </c>
      <c r="C73" s="2">
        <f t="shared" si="2"/>
        <v>0</v>
      </c>
      <c r="D73" s="1">
        <f t="shared" si="3"/>
        <v>2.844444444444445E-3</v>
      </c>
      <c r="F73" t="s">
        <v>21</v>
      </c>
    </row>
    <row r="74" spans="1:6" x14ac:dyDescent="0.25">
      <c r="A74" s="1">
        <v>1</v>
      </c>
      <c r="B74" s="1">
        <v>5</v>
      </c>
      <c r="C74" s="2">
        <f t="shared" si="2"/>
        <v>4</v>
      </c>
      <c r="D74" s="1">
        <f t="shared" si="3"/>
        <v>15.576177777777779</v>
      </c>
      <c r="F74" t="s">
        <v>23</v>
      </c>
    </row>
    <row r="75" spans="1:6" x14ac:dyDescent="0.25">
      <c r="A75" s="1">
        <v>2</v>
      </c>
      <c r="B75" s="1">
        <v>3</v>
      </c>
      <c r="C75" s="2">
        <f t="shared" si="2"/>
        <v>1</v>
      </c>
      <c r="D75" s="1">
        <f t="shared" si="3"/>
        <v>0.89617777777777774</v>
      </c>
      <c r="F75" t="s">
        <v>21</v>
      </c>
    </row>
    <row r="76" spans="1:6" x14ac:dyDescent="0.25">
      <c r="A76" s="1">
        <v>5</v>
      </c>
      <c r="B76" s="1">
        <v>4</v>
      </c>
      <c r="C76" s="2">
        <f t="shared" si="2"/>
        <v>-1</v>
      </c>
      <c r="D76" s="1">
        <f t="shared" si="3"/>
        <v>1.1095111111111109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2E93-760B-47AA-B01C-74234004974B}">
  <dimension ref="A1:G93"/>
  <sheetViews>
    <sheetView topLeftCell="D17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5.25" customHeight="1" x14ac:dyDescent="0.25">
      <c r="A1" s="3" t="s">
        <v>44</v>
      </c>
      <c r="B1" s="3" t="s">
        <v>45</v>
      </c>
      <c r="C1" s="5" t="s">
        <v>0</v>
      </c>
      <c r="D1" s="5"/>
    </row>
    <row r="2" spans="1:7" x14ac:dyDescent="0.25">
      <c r="A2" s="1">
        <v>5</v>
      </c>
      <c r="B2" s="1">
        <v>5</v>
      </c>
      <c r="C2" s="2">
        <f>B2-A2</f>
        <v>0</v>
      </c>
      <c r="D2" s="1">
        <f>(C2-$G$6)^2</f>
        <v>1.6000000000000001E-3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1.6000000000000001E-3</v>
      </c>
      <c r="F3" s="6" t="s">
        <v>16</v>
      </c>
      <c r="G3" s="6"/>
    </row>
    <row r="4" spans="1:7" x14ac:dyDescent="0.25">
      <c r="A4" s="1">
        <v>4</v>
      </c>
      <c r="B4" s="1">
        <v>2</v>
      </c>
      <c r="C4" s="2">
        <f t="shared" si="0"/>
        <v>-2</v>
      </c>
      <c r="D4" s="1">
        <f>(C4-$G$6)^2</f>
        <v>3.8415999999999997</v>
      </c>
      <c r="F4" t="s">
        <v>4</v>
      </c>
      <c r="G4">
        <f>COUNT(A:A)</f>
        <v>75</v>
      </c>
    </row>
    <row r="5" spans="1:7" x14ac:dyDescent="0.25">
      <c r="A5" s="1">
        <v>2</v>
      </c>
      <c r="B5" s="1">
        <v>4</v>
      </c>
      <c r="C5" s="2">
        <f t="shared" si="0"/>
        <v>2</v>
      </c>
      <c r="D5" s="1">
        <f t="shared" ref="D5:D68" si="1">(C5-$G$6)^2</f>
        <v>4.1616</v>
      </c>
      <c r="F5" t="s">
        <v>2</v>
      </c>
      <c r="G5">
        <f>SUM(C:C)</f>
        <v>-3</v>
      </c>
    </row>
    <row r="6" spans="1:7" x14ac:dyDescent="0.25">
      <c r="A6" s="1">
        <v>3</v>
      </c>
      <c r="B6" s="1">
        <v>3</v>
      </c>
      <c r="C6" s="2">
        <f t="shared" si="0"/>
        <v>0</v>
      </c>
      <c r="D6" s="1">
        <f t="shared" si="1"/>
        <v>1.6000000000000001E-3</v>
      </c>
      <c r="F6" t="s">
        <v>1</v>
      </c>
      <c r="G6">
        <f>G5/G4</f>
        <v>-0.04</v>
      </c>
    </row>
    <row r="7" spans="1:7" x14ac:dyDescent="0.25">
      <c r="A7" s="1">
        <v>3</v>
      </c>
      <c r="B7" s="1">
        <v>3</v>
      </c>
      <c r="C7" s="2">
        <f t="shared" si="0"/>
        <v>0</v>
      </c>
      <c r="D7" s="1">
        <f t="shared" si="1"/>
        <v>1.6000000000000001E-3</v>
      </c>
      <c r="F7" t="s">
        <v>3</v>
      </c>
      <c r="G7">
        <f>SUM(D:D)</f>
        <v>184.87999999999994</v>
      </c>
    </row>
    <row r="8" spans="1:7" x14ac:dyDescent="0.25">
      <c r="A8" s="1">
        <v>5</v>
      </c>
      <c r="B8" s="1">
        <v>4</v>
      </c>
      <c r="C8" s="2">
        <f t="shared" si="0"/>
        <v>-1</v>
      </c>
      <c r="D8" s="1">
        <f t="shared" si="1"/>
        <v>0.92159999999999997</v>
      </c>
      <c r="F8" t="s">
        <v>5</v>
      </c>
      <c r="G8">
        <f>SQRT(G7/(G4-1))</f>
        <v>1.5806259451174327</v>
      </c>
    </row>
    <row r="9" spans="1:7" x14ac:dyDescent="0.25">
      <c r="A9" s="1">
        <v>2</v>
      </c>
      <c r="B9" s="1">
        <v>5</v>
      </c>
      <c r="C9" s="2">
        <f t="shared" si="0"/>
        <v>3</v>
      </c>
      <c r="D9" s="1">
        <f t="shared" si="1"/>
        <v>9.2416</v>
      </c>
    </row>
    <row r="10" spans="1:7" x14ac:dyDescent="0.25">
      <c r="A10" s="1">
        <v>4</v>
      </c>
      <c r="B10" s="1">
        <v>2</v>
      </c>
      <c r="C10" s="2">
        <f t="shared" si="0"/>
        <v>-2</v>
      </c>
      <c r="D10" s="1">
        <f t="shared" si="1"/>
        <v>3.8415999999999997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1.6000000000000001E-3</v>
      </c>
    </row>
    <row r="12" spans="1:7" x14ac:dyDescent="0.25">
      <c r="A12" s="1">
        <v>1</v>
      </c>
      <c r="B12" s="1">
        <v>4</v>
      </c>
      <c r="C12" s="2">
        <f t="shared" si="0"/>
        <v>3</v>
      </c>
      <c r="D12" s="1">
        <f t="shared" si="1"/>
        <v>9.2416</v>
      </c>
      <c r="F12" t="s">
        <v>11</v>
      </c>
      <c r="G12">
        <f>G6/(G8/SQRT(G4))</f>
        <v>-0.21916011348784922</v>
      </c>
    </row>
    <row r="13" spans="1:7" x14ac:dyDescent="0.25">
      <c r="A13" s="1">
        <v>3</v>
      </c>
      <c r="B13" s="1">
        <v>3</v>
      </c>
      <c r="C13" s="2">
        <f t="shared" si="0"/>
        <v>0</v>
      </c>
      <c r="D13" s="1">
        <f t="shared" si="1"/>
        <v>1.6000000000000001E-3</v>
      </c>
    </row>
    <row r="14" spans="1:7" x14ac:dyDescent="0.25">
      <c r="A14" s="1">
        <v>4</v>
      </c>
      <c r="B14" s="1">
        <v>2</v>
      </c>
      <c r="C14" s="2">
        <f t="shared" si="0"/>
        <v>-2</v>
      </c>
      <c r="D14" s="1">
        <f t="shared" si="1"/>
        <v>3.8415999999999997</v>
      </c>
    </row>
    <row r="15" spans="1:7" x14ac:dyDescent="0.25">
      <c r="A15" s="1">
        <v>3</v>
      </c>
      <c r="B15" s="1">
        <v>4</v>
      </c>
      <c r="C15" s="2">
        <f t="shared" si="0"/>
        <v>1</v>
      </c>
      <c r="D15" s="1">
        <f t="shared" si="1"/>
        <v>1.0816000000000001</v>
      </c>
    </row>
    <row r="16" spans="1:7" x14ac:dyDescent="0.25">
      <c r="A16" s="1">
        <v>2</v>
      </c>
      <c r="B16" s="1">
        <v>3</v>
      </c>
      <c r="C16" s="2">
        <f t="shared" si="0"/>
        <v>1</v>
      </c>
      <c r="D16" s="1">
        <f t="shared" si="1"/>
        <v>1.0816000000000001</v>
      </c>
    </row>
    <row r="17" spans="1:7" x14ac:dyDescent="0.25">
      <c r="A17" s="1">
        <v>3</v>
      </c>
      <c r="B17" s="1">
        <v>3</v>
      </c>
      <c r="C17" s="2">
        <f t="shared" si="0"/>
        <v>0</v>
      </c>
      <c r="D17" s="1">
        <f t="shared" si="1"/>
        <v>1.6000000000000001E-3</v>
      </c>
      <c r="F17" t="s">
        <v>6</v>
      </c>
      <c r="G17">
        <v>0.05</v>
      </c>
    </row>
    <row r="18" spans="1:7" x14ac:dyDescent="0.25">
      <c r="A18" s="1">
        <v>4</v>
      </c>
      <c r="B18" s="1">
        <v>3</v>
      </c>
      <c r="C18" s="2">
        <f t="shared" si="0"/>
        <v>-1</v>
      </c>
      <c r="D18" s="1">
        <f t="shared" si="1"/>
        <v>0.92159999999999997</v>
      </c>
      <c r="F18" t="s">
        <v>7</v>
      </c>
      <c r="G18">
        <f>G4-1</f>
        <v>74</v>
      </c>
    </row>
    <row r="19" spans="1:7" x14ac:dyDescent="0.25">
      <c r="A19" s="1">
        <v>3</v>
      </c>
      <c r="B19" s="1">
        <v>2</v>
      </c>
      <c r="C19" s="2">
        <f t="shared" si="0"/>
        <v>-1</v>
      </c>
      <c r="D19" s="1">
        <f t="shared" si="1"/>
        <v>0.92159999999999997</v>
      </c>
    </row>
    <row r="20" spans="1:7" x14ac:dyDescent="0.25">
      <c r="A20" s="1">
        <v>2</v>
      </c>
      <c r="B20" s="1">
        <v>3</v>
      </c>
      <c r="C20" s="2">
        <f t="shared" si="0"/>
        <v>1</v>
      </c>
      <c r="D20" s="1">
        <f t="shared" si="1"/>
        <v>1.0816000000000001</v>
      </c>
    </row>
    <row r="21" spans="1:7" x14ac:dyDescent="0.25">
      <c r="A21" s="1">
        <v>3</v>
      </c>
      <c r="B21" s="1">
        <v>3</v>
      </c>
      <c r="C21" s="2">
        <f t="shared" si="0"/>
        <v>0</v>
      </c>
      <c r="D21" s="1">
        <f t="shared" si="1"/>
        <v>1.6000000000000001E-3</v>
      </c>
    </row>
    <row r="22" spans="1:7" x14ac:dyDescent="0.25">
      <c r="A22" s="1">
        <v>5</v>
      </c>
      <c r="B22" s="1">
        <v>5</v>
      </c>
      <c r="C22" s="2">
        <f t="shared" si="0"/>
        <v>0</v>
      </c>
      <c r="D22" s="1">
        <f t="shared" si="1"/>
        <v>1.6000000000000001E-3</v>
      </c>
      <c r="F22" s="6" t="s">
        <v>8</v>
      </c>
      <c r="G22" s="6"/>
    </row>
    <row r="23" spans="1:7" x14ac:dyDescent="0.25">
      <c r="A23" s="1">
        <v>5</v>
      </c>
      <c r="B23" s="1">
        <v>4</v>
      </c>
      <c r="C23" s="2">
        <f t="shared" si="0"/>
        <v>-1</v>
      </c>
      <c r="D23" s="1">
        <f t="shared" si="1"/>
        <v>0.92159999999999997</v>
      </c>
      <c r="F23" t="s">
        <v>25</v>
      </c>
      <c r="G23">
        <f>_xlfn.T.INV.2T(G17,G18)</f>
        <v>1.992543495180934</v>
      </c>
    </row>
    <row r="24" spans="1:7" x14ac:dyDescent="0.25">
      <c r="A24" s="1">
        <v>3</v>
      </c>
      <c r="B24" s="1">
        <v>5</v>
      </c>
      <c r="C24" s="2">
        <f t="shared" si="0"/>
        <v>2</v>
      </c>
      <c r="D24" s="1">
        <f t="shared" si="1"/>
        <v>4.1616</v>
      </c>
      <c r="F24" t="s">
        <v>26</v>
      </c>
      <c r="G24">
        <f>_xlfn.T.INV(G17,G18)</f>
        <v>-1.6657068927340244</v>
      </c>
    </row>
    <row r="25" spans="1:7" x14ac:dyDescent="0.25">
      <c r="A25" s="1">
        <v>1</v>
      </c>
      <c r="B25" s="1">
        <v>3</v>
      </c>
      <c r="C25" s="2">
        <f t="shared" si="0"/>
        <v>2</v>
      </c>
      <c r="D25" s="1">
        <f t="shared" si="1"/>
        <v>4.1616</v>
      </c>
    </row>
    <row r="26" spans="1:7" x14ac:dyDescent="0.25">
      <c r="A26" s="1">
        <v>3</v>
      </c>
      <c r="B26" s="1">
        <v>2</v>
      </c>
      <c r="C26" s="2">
        <f t="shared" si="0"/>
        <v>-1</v>
      </c>
      <c r="D26" s="1">
        <f t="shared" si="1"/>
        <v>0.92159999999999997</v>
      </c>
    </row>
    <row r="27" spans="1:7" x14ac:dyDescent="0.25">
      <c r="A27" s="1">
        <v>1</v>
      </c>
      <c r="B27" s="1">
        <v>4</v>
      </c>
      <c r="C27" s="2">
        <f t="shared" si="0"/>
        <v>3</v>
      </c>
      <c r="D27" s="1">
        <f t="shared" si="1"/>
        <v>9.2416</v>
      </c>
    </row>
    <row r="28" spans="1:7" x14ac:dyDescent="0.25">
      <c r="A28" s="1">
        <v>4</v>
      </c>
      <c r="B28" s="1">
        <v>1</v>
      </c>
      <c r="C28" s="2">
        <f t="shared" si="0"/>
        <v>-3</v>
      </c>
      <c r="D28" s="1">
        <f t="shared" si="1"/>
        <v>8.7615999999999996</v>
      </c>
    </row>
    <row r="29" spans="1:7" x14ac:dyDescent="0.25">
      <c r="A29" s="1">
        <v>2</v>
      </c>
      <c r="B29" s="1">
        <v>3</v>
      </c>
      <c r="C29" s="2">
        <f t="shared" si="0"/>
        <v>1</v>
      </c>
      <c r="D29" s="1">
        <f t="shared" si="1"/>
        <v>1.0816000000000001</v>
      </c>
    </row>
    <row r="30" spans="1:7" x14ac:dyDescent="0.25">
      <c r="A30" s="1">
        <v>4</v>
      </c>
      <c r="B30" s="1">
        <v>4</v>
      </c>
      <c r="C30" s="2">
        <f t="shared" si="0"/>
        <v>0</v>
      </c>
      <c r="D30" s="1">
        <f t="shared" si="1"/>
        <v>1.6000000000000001E-3</v>
      </c>
    </row>
    <row r="31" spans="1:7" x14ac:dyDescent="0.25">
      <c r="A31" s="1">
        <v>3</v>
      </c>
      <c r="B31" s="1">
        <v>4</v>
      </c>
      <c r="C31" s="2">
        <f t="shared" si="0"/>
        <v>1</v>
      </c>
      <c r="D31" s="1">
        <f t="shared" si="1"/>
        <v>1.0816000000000001</v>
      </c>
    </row>
    <row r="32" spans="1:7" x14ac:dyDescent="0.25">
      <c r="A32" s="1">
        <v>4</v>
      </c>
      <c r="B32" s="1">
        <v>2</v>
      </c>
      <c r="C32" s="2">
        <f t="shared" si="0"/>
        <v>-2</v>
      </c>
      <c r="D32" s="1">
        <f t="shared" si="1"/>
        <v>3.8415999999999997</v>
      </c>
    </row>
    <row r="33" spans="1:7" x14ac:dyDescent="0.25">
      <c r="A33" s="1">
        <v>3</v>
      </c>
      <c r="B33" s="1">
        <v>2</v>
      </c>
      <c r="C33" s="2">
        <f t="shared" si="0"/>
        <v>-1</v>
      </c>
      <c r="D33" s="1">
        <f t="shared" si="1"/>
        <v>0.92159999999999997</v>
      </c>
    </row>
    <row r="34" spans="1:7" x14ac:dyDescent="0.25">
      <c r="A34" s="1">
        <v>4</v>
      </c>
      <c r="B34" s="1">
        <v>4</v>
      </c>
      <c r="C34" s="2">
        <f t="shared" si="0"/>
        <v>0</v>
      </c>
      <c r="D34" s="1">
        <f t="shared" si="1"/>
        <v>1.6000000000000001E-3</v>
      </c>
      <c r="F34" t="s">
        <v>9</v>
      </c>
    </row>
    <row r="35" spans="1:7" x14ac:dyDescent="0.25">
      <c r="A35" s="1">
        <v>4</v>
      </c>
      <c r="B35" s="1">
        <v>5</v>
      </c>
      <c r="C35" s="2">
        <f t="shared" si="0"/>
        <v>1</v>
      </c>
      <c r="D35" s="1">
        <f t="shared" si="1"/>
        <v>1.0816000000000001</v>
      </c>
      <c r="F35" t="s">
        <v>10</v>
      </c>
    </row>
    <row r="36" spans="1:7" x14ac:dyDescent="0.25">
      <c r="A36" s="1">
        <v>2</v>
      </c>
      <c r="B36" s="1">
        <v>3</v>
      </c>
      <c r="C36" s="2">
        <f t="shared" si="0"/>
        <v>1</v>
      </c>
      <c r="D36" s="1">
        <f t="shared" si="1"/>
        <v>1.0816000000000001</v>
      </c>
    </row>
    <row r="37" spans="1:7" x14ac:dyDescent="0.25">
      <c r="A37" s="1">
        <v>2</v>
      </c>
      <c r="B37" s="1">
        <v>3</v>
      </c>
      <c r="C37" s="2">
        <f t="shared" si="0"/>
        <v>1</v>
      </c>
      <c r="D37" s="1">
        <f t="shared" si="1"/>
        <v>1.0816000000000001</v>
      </c>
    </row>
    <row r="38" spans="1:7" x14ac:dyDescent="0.25">
      <c r="A38" s="1">
        <v>3</v>
      </c>
      <c r="B38" s="1">
        <v>4</v>
      </c>
      <c r="C38" s="2">
        <f t="shared" si="0"/>
        <v>1</v>
      </c>
      <c r="D38" s="1">
        <f t="shared" si="1"/>
        <v>1.0816000000000001</v>
      </c>
    </row>
    <row r="39" spans="1:7" x14ac:dyDescent="0.25">
      <c r="A39" s="1">
        <v>2</v>
      </c>
      <c r="B39" s="1">
        <v>4</v>
      </c>
      <c r="C39" s="2">
        <f t="shared" si="0"/>
        <v>2</v>
      </c>
      <c r="D39" s="1">
        <f t="shared" si="1"/>
        <v>4.1616</v>
      </c>
      <c r="F39" s="6" t="s">
        <v>12</v>
      </c>
      <c r="G39" s="6"/>
    </row>
    <row r="40" spans="1:7" x14ac:dyDescent="0.25">
      <c r="A40" s="1">
        <v>3</v>
      </c>
      <c r="B40" s="1">
        <v>2</v>
      </c>
      <c r="C40" s="2">
        <f t="shared" si="0"/>
        <v>-1</v>
      </c>
      <c r="D40" s="1">
        <f t="shared" si="1"/>
        <v>0.92159999999999997</v>
      </c>
      <c r="F40" t="s">
        <v>12</v>
      </c>
    </row>
    <row r="41" spans="1:7" x14ac:dyDescent="0.25">
      <c r="A41" s="1">
        <v>3</v>
      </c>
      <c r="B41" s="1">
        <v>2</v>
      </c>
      <c r="C41" s="2">
        <f t="shared" si="0"/>
        <v>-1</v>
      </c>
      <c r="D41" s="1">
        <f t="shared" si="1"/>
        <v>0.92159999999999997</v>
      </c>
      <c r="F41" t="s">
        <v>24</v>
      </c>
      <c r="G41">
        <f>TTEST(A:A,B:B,2,1)</f>
        <v>0.82712869254557353</v>
      </c>
    </row>
    <row r="42" spans="1:7" x14ac:dyDescent="0.25">
      <c r="A42" s="1">
        <v>5</v>
      </c>
      <c r="B42" s="1">
        <v>2</v>
      </c>
      <c r="C42" s="2">
        <f t="shared" si="0"/>
        <v>-3</v>
      </c>
      <c r="D42" s="1">
        <f t="shared" si="1"/>
        <v>8.7615999999999996</v>
      </c>
      <c r="F42" t="s">
        <v>27</v>
      </c>
      <c r="G42">
        <f>TTEST(A:A,B:B,1,1)</f>
        <v>0.41356434627278676</v>
      </c>
    </row>
    <row r="43" spans="1:7" x14ac:dyDescent="0.25">
      <c r="A43" s="1">
        <v>4</v>
      </c>
      <c r="B43" s="1">
        <v>3</v>
      </c>
      <c r="C43" s="2">
        <f t="shared" si="0"/>
        <v>-1</v>
      </c>
      <c r="D43" s="1">
        <f t="shared" si="1"/>
        <v>0.92159999999999997</v>
      </c>
    </row>
    <row r="44" spans="1:7" x14ac:dyDescent="0.25">
      <c r="A44" s="1">
        <v>3</v>
      </c>
      <c r="B44" s="1">
        <v>3</v>
      </c>
      <c r="C44" s="2">
        <f t="shared" si="0"/>
        <v>0</v>
      </c>
      <c r="D44" s="1">
        <f t="shared" si="1"/>
        <v>1.6000000000000001E-3</v>
      </c>
    </row>
    <row r="45" spans="1:7" x14ac:dyDescent="0.25">
      <c r="A45" s="1">
        <v>5</v>
      </c>
      <c r="B45" s="1">
        <v>2</v>
      </c>
      <c r="C45" s="2">
        <f t="shared" si="0"/>
        <v>-3</v>
      </c>
      <c r="D45" s="1">
        <f t="shared" si="1"/>
        <v>8.7615999999999996</v>
      </c>
      <c r="F45" s="6" t="s">
        <v>15</v>
      </c>
      <c r="G45" s="6"/>
    </row>
    <row r="46" spans="1:7" x14ac:dyDescent="0.25">
      <c r="A46" s="1">
        <v>5</v>
      </c>
      <c r="B46" s="1">
        <v>5</v>
      </c>
      <c r="C46" s="2">
        <f t="shared" si="0"/>
        <v>0</v>
      </c>
      <c r="D46" s="1">
        <f t="shared" si="1"/>
        <v>1.6000000000000001E-3</v>
      </c>
    </row>
    <row r="47" spans="1:7" x14ac:dyDescent="0.25">
      <c r="A47" s="1">
        <v>3</v>
      </c>
      <c r="B47" s="1">
        <v>4</v>
      </c>
      <c r="C47" s="2">
        <f t="shared" si="0"/>
        <v>1</v>
      </c>
      <c r="D47" s="1">
        <f t="shared" si="1"/>
        <v>1.0816000000000001</v>
      </c>
      <c r="F47" t="s">
        <v>13</v>
      </c>
    </row>
    <row r="48" spans="1:7" x14ac:dyDescent="0.25">
      <c r="A48" s="1">
        <v>4</v>
      </c>
      <c r="B48" s="1">
        <v>1</v>
      </c>
      <c r="C48" s="2">
        <f t="shared" si="0"/>
        <v>-3</v>
      </c>
      <c r="D48" s="1">
        <f t="shared" si="1"/>
        <v>8.7615999999999996</v>
      </c>
      <c r="F48" t="s">
        <v>14</v>
      </c>
    </row>
    <row r="49" spans="1:6" x14ac:dyDescent="0.25">
      <c r="A49" s="1">
        <v>2</v>
      </c>
      <c r="B49" s="1">
        <v>3</v>
      </c>
      <c r="C49" s="2">
        <f t="shared" si="0"/>
        <v>1</v>
      </c>
      <c r="D49" s="1">
        <f t="shared" si="1"/>
        <v>1.0816000000000001</v>
      </c>
    </row>
    <row r="50" spans="1:6" x14ac:dyDescent="0.25">
      <c r="A50" s="1">
        <v>4</v>
      </c>
      <c r="B50" s="1">
        <v>3</v>
      </c>
      <c r="C50" s="2">
        <f t="shared" si="0"/>
        <v>-1</v>
      </c>
      <c r="D50" s="1">
        <f t="shared" si="1"/>
        <v>0.92159999999999997</v>
      </c>
      <c r="F50" t="s">
        <v>17</v>
      </c>
    </row>
    <row r="51" spans="1:6" x14ac:dyDescent="0.25">
      <c r="A51" s="1">
        <v>3</v>
      </c>
      <c r="B51" s="1">
        <v>5</v>
      </c>
      <c r="C51" s="2">
        <f t="shared" si="0"/>
        <v>2</v>
      </c>
      <c r="D51" s="1">
        <f t="shared" si="1"/>
        <v>4.1616</v>
      </c>
      <c r="F51" t="s">
        <v>18</v>
      </c>
    </row>
    <row r="52" spans="1:6" x14ac:dyDescent="0.25">
      <c r="A52" s="1">
        <v>3</v>
      </c>
      <c r="B52" s="1">
        <v>5</v>
      </c>
      <c r="C52" s="2">
        <f t="shared" si="0"/>
        <v>2</v>
      </c>
      <c r="D52" s="1">
        <f t="shared" si="1"/>
        <v>4.1616</v>
      </c>
    </row>
    <row r="53" spans="1:6" x14ac:dyDescent="0.25">
      <c r="A53" s="1">
        <v>5</v>
      </c>
      <c r="B53" s="1">
        <v>5</v>
      </c>
      <c r="C53" s="2">
        <f t="shared" si="0"/>
        <v>0</v>
      </c>
      <c r="D53" s="1">
        <f t="shared" si="1"/>
        <v>1.6000000000000001E-3</v>
      </c>
    </row>
    <row r="54" spans="1:6" x14ac:dyDescent="0.25">
      <c r="A54" s="1">
        <v>4</v>
      </c>
      <c r="B54" s="1">
        <v>2</v>
      </c>
      <c r="C54" s="2">
        <f t="shared" si="0"/>
        <v>-2</v>
      </c>
      <c r="D54" s="1">
        <f t="shared" si="1"/>
        <v>3.8415999999999997</v>
      </c>
    </row>
    <row r="55" spans="1:6" x14ac:dyDescent="0.25">
      <c r="A55" s="1">
        <v>1</v>
      </c>
      <c r="B55" s="1">
        <v>2</v>
      </c>
      <c r="C55" s="2">
        <f t="shared" si="0"/>
        <v>1</v>
      </c>
      <c r="D55" s="1">
        <f t="shared" si="1"/>
        <v>1.0816000000000001</v>
      </c>
    </row>
    <row r="56" spans="1:6" x14ac:dyDescent="0.25">
      <c r="A56" s="1">
        <v>4</v>
      </c>
      <c r="B56" s="1">
        <v>3</v>
      </c>
      <c r="C56" s="2">
        <f t="shared" si="0"/>
        <v>-1</v>
      </c>
      <c r="D56" s="1">
        <f t="shared" si="1"/>
        <v>0.92159999999999997</v>
      </c>
      <c r="F56" s="6" t="s">
        <v>22</v>
      </c>
    </row>
    <row r="57" spans="1:6" x14ac:dyDescent="0.25">
      <c r="A57" s="1">
        <v>2</v>
      </c>
      <c r="B57" s="1">
        <v>2</v>
      </c>
      <c r="C57" s="2">
        <f t="shared" si="0"/>
        <v>0</v>
      </c>
      <c r="D57" s="1">
        <f t="shared" si="1"/>
        <v>1.6000000000000001E-3</v>
      </c>
    </row>
    <row r="58" spans="1:6" x14ac:dyDescent="0.25">
      <c r="A58" s="1">
        <v>2</v>
      </c>
      <c r="B58" s="1">
        <v>3</v>
      </c>
      <c r="C58" s="2">
        <f t="shared" si="0"/>
        <v>1</v>
      </c>
      <c r="D58" s="1">
        <f t="shared" si="1"/>
        <v>1.0816000000000001</v>
      </c>
      <c r="F58" t="s">
        <v>20</v>
      </c>
    </row>
    <row r="59" spans="1:6" x14ac:dyDescent="0.25">
      <c r="A59" s="1">
        <v>2</v>
      </c>
      <c r="B59" s="1">
        <v>5</v>
      </c>
      <c r="C59" s="2">
        <f t="shared" si="0"/>
        <v>3</v>
      </c>
      <c r="D59" s="1">
        <f t="shared" si="1"/>
        <v>9.2416</v>
      </c>
      <c r="F59" t="s">
        <v>19</v>
      </c>
    </row>
    <row r="60" spans="1:6" x14ac:dyDescent="0.25">
      <c r="A60" s="1">
        <v>5</v>
      </c>
      <c r="B60" s="1">
        <v>3</v>
      </c>
      <c r="C60" s="2">
        <f t="shared" si="0"/>
        <v>-2</v>
      </c>
      <c r="D60" s="1">
        <f t="shared" si="1"/>
        <v>3.8415999999999997</v>
      </c>
      <c r="F60" t="s">
        <v>21</v>
      </c>
    </row>
    <row r="61" spans="1:6" x14ac:dyDescent="0.25">
      <c r="A61" s="1">
        <v>3</v>
      </c>
      <c r="B61" s="1">
        <v>1</v>
      </c>
      <c r="C61" s="2">
        <f t="shared" si="0"/>
        <v>-2</v>
      </c>
      <c r="D61" s="1">
        <f t="shared" si="1"/>
        <v>3.8415999999999997</v>
      </c>
    </row>
    <row r="62" spans="1:6" x14ac:dyDescent="0.25">
      <c r="A62" s="1">
        <v>3</v>
      </c>
      <c r="B62" s="1">
        <v>2</v>
      </c>
      <c r="C62" s="2">
        <f t="shared" si="0"/>
        <v>-1</v>
      </c>
      <c r="D62" s="1">
        <f t="shared" si="1"/>
        <v>0.92159999999999997</v>
      </c>
    </row>
    <row r="63" spans="1:6" x14ac:dyDescent="0.25">
      <c r="A63" s="1">
        <v>3</v>
      </c>
      <c r="B63" s="1">
        <v>1</v>
      </c>
      <c r="C63" s="2">
        <f t="shared" si="0"/>
        <v>-2</v>
      </c>
      <c r="D63" s="1">
        <f t="shared" si="1"/>
        <v>3.8415999999999997</v>
      </c>
    </row>
    <row r="64" spans="1:6" x14ac:dyDescent="0.25">
      <c r="A64" s="1">
        <v>4</v>
      </c>
      <c r="B64" s="1">
        <v>2</v>
      </c>
      <c r="C64" s="2">
        <f t="shared" si="0"/>
        <v>-2</v>
      </c>
      <c r="D64" s="1">
        <f t="shared" si="1"/>
        <v>3.8415999999999997</v>
      </c>
    </row>
    <row r="65" spans="1:6" x14ac:dyDescent="0.25">
      <c r="A65" s="1">
        <v>4</v>
      </c>
      <c r="B65" s="1">
        <v>4</v>
      </c>
      <c r="C65" s="2">
        <f t="shared" si="0"/>
        <v>0</v>
      </c>
      <c r="D65" s="1">
        <f t="shared" si="1"/>
        <v>1.6000000000000001E-3</v>
      </c>
      <c r="F65" s="6" t="s">
        <v>22</v>
      </c>
    </row>
    <row r="66" spans="1:6" x14ac:dyDescent="0.25">
      <c r="A66" s="1">
        <v>5</v>
      </c>
      <c r="B66" s="1">
        <v>2</v>
      </c>
      <c r="C66" s="2">
        <f t="shared" si="0"/>
        <v>-3</v>
      </c>
      <c r="D66" s="1">
        <f t="shared" si="1"/>
        <v>8.7615999999999996</v>
      </c>
    </row>
    <row r="67" spans="1:6" x14ac:dyDescent="0.25">
      <c r="A67" s="1">
        <v>1</v>
      </c>
      <c r="B67" s="1">
        <v>3</v>
      </c>
      <c r="C67" s="2">
        <f t="shared" ref="C67:C76" si="2">B67-A67</f>
        <v>2</v>
      </c>
      <c r="D67" s="1">
        <f t="shared" si="1"/>
        <v>4.1616</v>
      </c>
    </row>
    <row r="68" spans="1:6" x14ac:dyDescent="0.25">
      <c r="A68" s="1">
        <v>3</v>
      </c>
      <c r="B68" s="1">
        <v>3</v>
      </c>
      <c r="C68" s="2">
        <f t="shared" si="2"/>
        <v>0</v>
      </c>
      <c r="D68" s="1">
        <f t="shared" si="1"/>
        <v>1.6000000000000001E-3</v>
      </c>
    </row>
    <row r="69" spans="1:6" x14ac:dyDescent="0.25">
      <c r="A69" s="1">
        <v>3</v>
      </c>
      <c r="B69" s="1">
        <v>4</v>
      </c>
      <c r="C69" s="2">
        <f t="shared" si="2"/>
        <v>1</v>
      </c>
      <c r="D69" s="1">
        <f t="shared" ref="D69:D76" si="3">(C69-$G$6)^2</f>
        <v>1.0816000000000001</v>
      </c>
    </row>
    <row r="70" spans="1:6" x14ac:dyDescent="0.25">
      <c r="A70" s="1">
        <v>2</v>
      </c>
      <c r="B70" s="1">
        <v>4</v>
      </c>
      <c r="C70" s="2">
        <f t="shared" si="2"/>
        <v>2</v>
      </c>
      <c r="D70" s="1">
        <f t="shared" si="3"/>
        <v>4.1616</v>
      </c>
    </row>
    <row r="71" spans="1:6" x14ac:dyDescent="0.25">
      <c r="A71" s="1">
        <v>3</v>
      </c>
      <c r="B71" s="1">
        <v>3</v>
      </c>
      <c r="C71" s="2">
        <f t="shared" si="2"/>
        <v>0</v>
      </c>
      <c r="D71" s="1">
        <f t="shared" si="3"/>
        <v>1.6000000000000001E-3</v>
      </c>
    </row>
    <row r="72" spans="1:6" x14ac:dyDescent="0.25">
      <c r="A72" s="1">
        <v>4</v>
      </c>
      <c r="B72" s="1">
        <v>4</v>
      </c>
      <c r="C72" s="2">
        <f t="shared" si="2"/>
        <v>0</v>
      </c>
      <c r="D72" s="1">
        <f t="shared" si="3"/>
        <v>1.6000000000000001E-3</v>
      </c>
      <c r="F72" t="s">
        <v>23</v>
      </c>
    </row>
    <row r="73" spans="1:6" x14ac:dyDescent="0.25">
      <c r="A73" s="1">
        <v>2</v>
      </c>
      <c r="B73" s="1">
        <v>3</v>
      </c>
      <c r="C73" s="2">
        <f t="shared" si="2"/>
        <v>1</v>
      </c>
      <c r="D73" s="1">
        <f t="shared" si="3"/>
        <v>1.0816000000000001</v>
      </c>
      <c r="F73" t="s">
        <v>21</v>
      </c>
    </row>
    <row r="74" spans="1:6" x14ac:dyDescent="0.25">
      <c r="A74" s="1">
        <v>4</v>
      </c>
      <c r="B74" s="1">
        <v>2</v>
      </c>
      <c r="C74" s="2">
        <f t="shared" si="2"/>
        <v>-2</v>
      </c>
      <c r="D74" s="1">
        <f t="shared" si="3"/>
        <v>3.8415999999999997</v>
      </c>
      <c r="F74" t="s">
        <v>23</v>
      </c>
    </row>
    <row r="75" spans="1:6" x14ac:dyDescent="0.25">
      <c r="A75" s="1">
        <v>2</v>
      </c>
      <c r="B75" s="1">
        <v>4</v>
      </c>
      <c r="C75" s="2">
        <f t="shared" si="2"/>
        <v>2</v>
      </c>
      <c r="D75" s="1">
        <f t="shared" si="3"/>
        <v>4.1616</v>
      </c>
      <c r="F75" t="s">
        <v>21</v>
      </c>
    </row>
    <row r="76" spans="1:6" x14ac:dyDescent="0.25">
      <c r="A76" s="1">
        <v>2</v>
      </c>
      <c r="B76" s="1">
        <v>1</v>
      </c>
      <c r="C76" s="2">
        <f t="shared" si="2"/>
        <v>-1</v>
      </c>
      <c r="D76" s="1">
        <f t="shared" si="3"/>
        <v>0.92159999999999997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B98E-566C-42C2-BAD9-0487DCB1A9FA}">
  <dimension ref="A1:G93"/>
  <sheetViews>
    <sheetView topLeftCell="D13" zoomScale="70" zoomScaleNormal="70" workbookViewId="0">
      <selection activeCell="G41" sqref="G41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5.25" customHeight="1" x14ac:dyDescent="0.25">
      <c r="A1" s="3" t="s">
        <v>42</v>
      </c>
      <c r="B1" s="3" t="s">
        <v>43</v>
      </c>
      <c r="C1" s="5" t="s">
        <v>0</v>
      </c>
      <c r="D1" s="5"/>
    </row>
    <row r="2" spans="1:7" x14ac:dyDescent="0.25">
      <c r="A2" s="1">
        <v>4</v>
      </c>
      <c r="B2" s="1">
        <v>2</v>
      </c>
      <c r="C2" s="2">
        <f>B2-A2</f>
        <v>-2</v>
      </c>
      <c r="D2" s="1">
        <f>(C2-$G$6)^2</f>
        <v>4</v>
      </c>
    </row>
    <row r="3" spans="1:7" x14ac:dyDescent="0.25">
      <c r="A3" s="1">
        <v>3</v>
      </c>
      <c r="B3" s="1">
        <v>3</v>
      </c>
      <c r="C3" s="2">
        <f t="shared" ref="C3:C66" si="0">B3-A3</f>
        <v>0</v>
      </c>
      <c r="D3" s="1">
        <f>(C3-$G$6)^2</f>
        <v>0</v>
      </c>
      <c r="F3" s="6" t="s">
        <v>16</v>
      </c>
      <c r="G3" s="6"/>
    </row>
    <row r="4" spans="1:7" x14ac:dyDescent="0.25">
      <c r="A4" s="1">
        <v>1</v>
      </c>
      <c r="B4" s="1">
        <v>3</v>
      </c>
      <c r="C4" s="2">
        <f t="shared" si="0"/>
        <v>2</v>
      </c>
      <c r="D4" s="1">
        <f>(C4-$G$6)^2</f>
        <v>4</v>
      </c>
      <c r="F4" t="s">
        <v>4</v>
      </c>
      <c r="G4">
        <f>COUNT(A:A)</f>
        <v>75</v>
      </c>
    </row>
    <row r="5" spans="1:7" x14ac:dyDescent="0.25">
      <c r="A5" s="1">
        <v>5</v>
      </c>
      <c r="B5" s="1">
        <v>1</v>
      </c>
      <c r="C5" s="2">
        <f t="shared" si="0"/>
        <v>-4</v>
      </c>
      <c r="D5" s="1">
        <f t="shared" ref="D5:D68" si="1">(C5-$G$6)^2</f>
        <v>16</v>
      </c>
      <c r="F5" t="s">
        <v>2</v>
      </c>
      <c r="G5">
        <f>SUM(C:C)</f>
        <v>0</v>
      </c>
    </row>
    <row r="6" spans="1:7" x14ac:dyDescent="0.25">
      <c r="A6" s="1">
        <v>2</v>
      </c>
      <c r="B6" s="1">
        <v>5</v>
      </c>
      <c r="C6" s="2">
        <f t="shared" si="0"/>
        <v>3</v>
      </c>
      <c r="D6" s="1">
        <f t="shared" si="1"/>
        <v>9</v>
      </c>
      <c r="F6" t="s">
        <v>1</v>
      </c>
      <c r="G6">
        <f>G5/G4</f>
        <v>0</v>
      </c>
    </row>
    <row r="7" spans="1:7" x14ac:dyDescent="0.25">
      <c r="A7" s="1">
        <v>2</v>
      </c>
      <c r="B7" s="1">
        <v>4</v>
      </c>
      <c r="C7" s="2">
        <f t="shared" si="0"/>
        <v>2</v>
      </c>
      <c r="D7" s="1">
        <f t="shared" si="1"/>
        <v>4</v>
      </c>
      <c r="F7" t="s">
        <v>3</v>
      </c>
      <c r="G7">
        <f>SUM(D:D)</f>
        <v>158</v>
      </c>
    </row>
    <row r="8" spans="1:7" x14ac:dyDescent="0.25">
      <c r="A8" s="1">
        <v>3</v>
      </c>
      <c r="B8" s="1">
        <v>2</v>
      </c>
      <c r="C8" s="2">
        <f t="shared" si="0"/>
        <v>-1</v>
      </c>
      <c r="D8" s="1">
        <f t="shared" si="1"/>
        <v>1</v>
      </c>
      <c r="F8" t="s">
        <v>5</v>
      </c>
      <c r="G8">
        <f>SQRT(G7/(G4-1))</f>
        <v>1.4612101611798129</v>
      </c>
    </row>
    <row r="9" spans="1:7" x14ac:dyDescent="0.25">
      <c r="A9" s="1">
        <v>3</v>
      </c>
      <c r="B9" s="1">
        <v>4</v>
      </c>
      <c r="C9" s="2">
        <f t="shared" si="0"/>
        <v>1</v>
      </c>
      <c r="D9" s="1">
        <f t="shared" si="1"/>
        <v>1</v>
      </c>
    </row>
    <row r="10" spans="1:7" x14ac:dyDescent="0.25">
      <c r="A10" s="1">
        <v>3</v>
      </c>
      <c r="B10" s="1">
        <v>4</v>
      </c>
      <c r="C10" s="2">
        <f t="shared" si="0"/>
        <v>1</v>
      </c>
      <c r="D10" s="1">
        <f t="shared" si="1"/>
        <v>1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0</v>
      </c>
    </row>
    <row r="12" spans="1:7" x14ac:dyDescent="0.25">
      <c r="A12" s="1">
        <v>3</v>
      </c>
      <c r="B12" s="1">
        <v>3</v>
      </c>
      <c r="C12" s="2">
        <f t="shared" si="0"/>
        <v>0</v>
      </c>
      <c r="D12" s="1">
        <f t="shared" si="1"/>
        <v>0</v>
      </c>
      <c r="F12" t="s">
        <v>11</v>
      </c>
      <c r="G12">
        <f>G6/(G8/SQRT(G4))</f>
        <v>0</v>
      </c>
    </row>
    <row r="13" spans="1:7" x14ac:dyDescent="0.25">
      <c r="A13" s="1">
        <v>3</v>
      </c>
      <c r="B13" s="1">
        <v>5</v>
      </c>
      <c r="C13" s="2">
        <f t="shared" si="0"/>
        <v>2</v>
      </c>
      <c r="D13" s="1">
        <f t="shared" si="1"/>
        <v>4</v>
      </c>
    </row>
    <row r="14" spans="1:7" x14ac:dyDescent="0.25">
      <c r="A14" s="1">
        <v>3</v>
      </c>
      <c r="B14" s="1">
        <v>2</v>
      </c>
      <c r="C14" s="2">
        <f t="shared" si="0"/>
        <v>-1</v>
      </c>
      <c r="D14" s="1">
        <f t="shared" si="1"/>
        <v>1</v>
      </c>
    </row>
    <row r="15" spans="1:7" x14ac:dyDescent="0.25">
      <c r="A15" s="1">
        <v>1</v>
      </c>
      <c r="B15" s="1">
        <v>4</v>
      </c>
      <c r="C15" s="2">
        <f t="shared" si="0"/>
        <v>3</v>
      </c>
      <c r="D15" s="1">
        <f t="shared" si="1"/>
        <v>9</v>
      </c>
    </row>
    <row r="16" spans="1:7" x14ac:dyDescent="0.25">
      <c r="A16" s="1">
        <v>5</v>
      </c>
      <c r="B16" s="1">
        <v>5</v>
      </c>
      <c r="C16" s="2">
        <f t="shared" si="0"/>
        <v>0</v>
      </c>
      <c r="D16" s="1">
        <f t="shared" si="1"/>
        <v>0</v>
      </c>
    </row>
    <row r="17" spans="1:7" x14ac:dyDescent="0.25">
      <c r="A17" s="1">
        <v>2</v>
      </c>
      <c r="B17" s="1">
        <v>2</v>
      </c>
      <c r="C17" s="2">
        <f t="shared" si="0"/>
        <v>0</v>
      </c>
      <c r="D17" s="1">
        <f t="shared" si="1"/>
        <v>0</v>
      </c>
      <c r="F17" t="s">
        <v>6</v>
      </c>
      <c r="G17">
        <v>0.05</v>
      </c>
    </row>
    <row r="18" spans="1:7" x14ac:dyDescent="0.25">
      <c r="A18" s="1">
        <v>4</v>
      </c>
      <c r="B18" s="1">
        <v>2</v>
      </c>
      <c r="C18" s="2">
        <f t="shared" si="0"/>
        <v>-2</v>
      </c>
      <c r="D18" s="1">
        <f t="shared" si="1"/>
        <v>4</v>
      </c>
      <c r="F18" t="s">
        <v>7</v>
      </c>
      <c r="G18">
        <f>G4-1</f>
        <v>74</v>
      </c>
    </row>
    <row r="19" spans="1:7" x14ac:dyDescent="0.25">
      <c r="A19" s="1">
        <v>4</v>
      </c>
      <c r="B19" s="1">
        <v>3</v>
      </c>
      <c r="C19" s="2">
        <f t="shared" si="0"/>
        <v>-1</v>
      </c>
      <c r="D19" s="1">
        <f t="shared" si="1"/>
        <v>1</v>
      </c>
    </row>
    <row r="20" spans="1:7" x14ac:dyDescent="0.25">
      <c r="A20" s="1">
        <v>3</v>
      </c>
      <c r="B20" s="1">
        <v>3</v>
      </c>
      <c r="C20" s="2">
        <f t="shared" si="0"/>
        <v>0</v>
      </c>
      <c r="D20" s="1">
        <f t="shared" si="1"/>
        <v>0</v>
      </c>
    </row>
    <row r="21" spans="1:7" x14ac:dyDescent="0.25">
      <c r="A21" s="1">
        <v>5</v>
      </c>
      <c r="B21" s="1">
        <v>2</v>
      </c>
      <c r="C21" s="2">
        <f t="shared" si="0"/>
        <v>-3</v>
      </c>
      <c r="D21" s="1">
        <f t="shared" si="1"/>
        <v>9</v>
      </c>
    </row>
    <row r="22" spans="1:7" x14ac:dyDescent="0.25">
      <c r="A22" s="1">
        <v>4</v>
      </c>
      <c r="B22" s="1">
        <v>4</v>
      </c>
      <c r="C22" s="2">
        <f t="shared" si="0"/>
        <v>0</v>
      </c>
      <c r="D22" s="1">
        <f t="shared" si="1"/>
        <v>0</v>
      </c>
      <c r="F22" s="6" t="s">
        <v>8</v>
      </c>
      <c r="G22" s="6"/>
    </row>
    <row r="23" spans="1:7" x14ac:dyDescent="0.25">
      <c r="A23" s="1">
        <v>4</v>
      </c>
      <c r="B23" s="1">
        <v>5</v>
      </c>
      <c r="C23" s="2">
        <f t="shared" si="0"/>
        <v>1</v>
      </c>
      <c r="D23" s="1">
        <f t="shared" si="1"/>
        <v>1</v>
      </c>
      <c r="F23" t="s">
        <v>25</v>
      </c>
      <c r="G23">
        <f>_xlfn.T.INV.2T(G17,G18)</f>
        <v>1.992543495180934</v>
      </c>
    </row>
    <row r="24" spans="1:7" x14ac:dyDescent="0.25">
      <c r="A24" s="1">
        <v>5</v>
      </c>
      <c r="B24" s="1">
        <v>5</v>
      </c>
      <c r="C24" s="2">
        <f t="shared" si="0"/>
        <v>0</v>
      </c>
      <c r="D24" s="1">
        <f t="shared" si="1"/>
        <v>0</v>
      </c>
      <c r="F24" t="s">
        <v>26</v>
      </c>
      <c r="G24">
        <f>_xlfn.T.INV(G17,G18)</f>
        <v>-1.6657068927340244</v>
      </c>
    </row>
    <row r="25" spans="1:7" x14ac:dyDescent="0.25">
      <c r="A25" s="1">
        <v>3</v>
      </c>
      <c r="B25" s="1">
        <v>4</v>
      </c>
      <c r="C25" s="2">
        <f t="shared" si="0"/>
        <v>1</v>
      </c>
      <c r="D25" s="1">
        <f t="shared" si="1"/>
        <v>1</v>
      </c>
    </row>
    <row r="26" spans="1:7" x14ac:dyDescent="0.25">
      <c r="A26" s="1">
        <v>3</v>
      </c>
      <c r="B26" s="1">
        <v>3</v>
      </c>
      <c r="C26" s="2">
        <f t="shared" si="0"/>
        <v>0</v>
      </c>
      <c r="D26" s="1">
        <f t="shared" si="1"/>
        <v>0</v>
      </c>
    </row>
    <row r="27" spans="1:7" x14ac:dyDescent="0.25">
      <c r="A27" s="1">
        <v>3</v>
      </c>
      <c r="B27" s="1">
        <v>2</v>
      </c>
      <c r="C27" s="2">
        <f t="shared" si="0"/>
        <v>-1</v>
      </c>
      <c r="D27" s="1">
        <f t="shared" si="1"/>
        <v>1</v>
      </c>
    </row>
    <row r="28" spans="1:7" x14ac:dyDescent="0.25">
      <c r="A28" s="1">
        <v>4</v>
      </c>
      <c r="B28" s="1">
        <v>4</v>
      </c>
      <c r="C28" s="2">
        <f t="shared" si="0"/>
        <v>0</v>
      </c>
      <c r="D28" s="1">
        <f t="shared" si="1"/>
        <v>0</v>
      </c>
    </row>
    <row r="29" spans="1:7" x14ac:dyDescent="0.25">
      <c r="A29" s="1">
        <v>3</v>
      </c>
      <c r="B29" s="1">
        <v>3</v>
      </c>
      <c r="C29" s="2">
        <f t="shared" si="0"/>
        <v>0</v>
      </c>
      <c r="D29" s="1">
        <f t="shared" si="1"/>
        <v>0</v>
      </c>
    </row>
    <row r="30" spans="1:7" x14ac:dyDescent="0.25">
      <c r="A30" s="1">
        <v>4</v>
      </c>
      <c r="B30" s="1">
        <v>2</v>
      </c>
      <c r="C30" s="2">
        <f t="shared" si="0"/>
        <v>-2</v>
      </c>
      <c r="D30" s="1">
        <f t="shared" si="1"/>
        <v>4</v>
      </c>
    </row>
    <row r="31" spans="1:7" x14ac:dyDescent="0.25">
      <c r="A31" s="1">
        <v>2</v>
      </c>
      <c r="B31" s="1">
        <v>3</v>
      </c>
      <c r="C31" s="2">
        <f t="shared" si="0"/>
        <v>1</v>
      </c>
      <c r="D31" s="1">
        <f t="shared" si="1"/>
        <v>1</v>
      </c>
    </row>
    <row r="32" spans="1:7" x14ac:dyDescent="0.25">
      <c r="A32" s="1">
        <v>5</v>
      </c>
      <c r="B32" s="1">
        <v>3</v>
      </c>
      <c r="C32" s="2">
        <f t="shared" si="0"/>
        <v>-2</v>
      </c>
      <c r="D32" s="1">
        <f t="shared" si="1"/>
        <v>4</v>
      </c>
    </row>
    <row r="33" spans="1:7" x14ac:dyDescent="0.25">
      <c r="A33" s="1">
        <v>3</v>
      </c>
      <c r="B33" s="1">
        <v>4</v>
      </c>
      <c r="C33" s="2">
        <f t="shared" si="0"/>
        <v>1</v>
      </c>
      <c r="D33" s="1">
        <f t="shared" si="1"/>
        <v>1</v>
      </c>
    </row>
    <row r="34" spans="1:7" x14ac:dyDescent="0.25">
      <c r="A34" s="1">
        <v>4</v>
      </c>
      <c r="B34" s="1">
        <v>2</v>
      </c>
      <c r="C34" s="2">
        <f t="shared" si="0"/>
        <v>-2</v>
      </c>
      <c r="D34" s="1">
        <f t="shared" si="1"/>
        <v>4</v>
      </c>
      <c r="F34" t="s">
        <v>9</v>
      </c>
    </row>
    <row r="35" spans="1:7" x14ac:dyDescent="0.25">
      <c r="A35" s="1">
        <v>3</v>
      </c>
      <c r="B35" s="1">
        <v>4</v>
      </c>
      <c r="C35" s="2">
        <f t="shared" si="0"/>
        <v>1</v>
      </c>
      <c r="D35" s="1">
        <f t="shared" si="1"/>
        <v>1</v>
      </c>
      <c r="F35" t="s">
        <v>10</v>
      </c>
    </row>
    <row r="36" spans="1:7" x14ac:dyDescent="0.25">
      <c r="A36" s="1">
        <v>4</v>
      </c>
      <c r="B36" s="1">
        <v>2</v>
      </c>
      <c r="C36" s="2">
        <f t="shared" si="0"/>
        <v>-2</v>
      </c>
      <c r="D36" s="1">
        <f t="shared" si="1"/>
        <v>4</v>
      </c>
    </row>
    <row r="37" spans="1:7" x14ac:dyDescent="0.25">
      <c r="A37" s="1">
        <v>3</v>
      </c>
      <c r="B37" s="1">
        <v>5</v>
      </c>
      <c r="C37" s="2">
        <f t="shared" si="0"/>
        <v>2</v>
      </c>
      <c r="D37" s="1">
        <f t="shared" si="1"/>
        <v>4</v>
      </c>
    </row>
    <row r="38" spans="1:7" x14ac:dyDescent="0.25">
      <c r="A38" s="1">
        <v>2</v>
      </c>
      <c r="B38" s="1">
        <v>3</v>
      </c>
      <c r="C38" s="2">
        <f t="shared" si="0"/>
        <v>1</v>
      </c>
      <c r="D38" s="1">
        <f t="shared" si="1"/>
        <v>1</v>
      </c>
    </row>
    <row r="39" spans="1:7" x14ac:dyDescent="0.25">
      <c r="A39" s="1">
        <v>5</v>
      </c>
      <c r="B39" s="1">
        <v>4</v>
      </c>
      <c r="C39" s="2">
        <f t="shared" si="0"/>
        <v>-1</v>
      </c>
      <c r="D39" s="1">
        <f t="shared" si="1"/>
        <v>1</v>
      </c>
      <c r="F39" s="6" t="s">
        <v>12</v>
      </c>
      <c r="G39" s="6"/>
    </row>
    <row r="40" spans="1:7" x14ac:dyDescent="0.25">
      <c r="A40" s="1">
        <v>2</v>
      </c>
      <c r="B40" s="1">
        <v>4</v>
      </c>
      <c r="C40" s="2">
        <f t="shared" si="0"/>
        <v>2</v>
      </c>
      <c r="D40" s="1">
        <f t="shared" si="1"/>
        <v>4</v>
      </c>
      <c r="F40" t="s">
        <v>12</v>
      </c>
    </row>
    <row r="41" spans="1:7" x14ac:dyDescent="0.25">
      <c r="A41" s="1">
        <v>3</v>
      </c>
      <c r="B41" s="1">
        <v>3</v>
      </c>
      <c r="C41" s="2">
        <f t="shared" si="0"/>
        <v>0</v>
      </c>
      <c r="D41" s="1">
        <f t="shared" si="1"/>
        <v>0</v>
      </c>
      <c r="F41" t="s">
        <v>24</v>
      </c>
      <c r="G41">
        <f>TTEST(A:A,B:B,2,1)</f>
        <v>1</v>
      </c>
    </row>
    <row r="42" spans="1:7" x14ac:dyDescent="0.25">
      <c r="A42" s="1">
        <v>5</v>
      </c>
      <c r="B42" s="1">
        <v>5</v>
      </c>
      <c r="C42" s="2">
        <f t="shared" si="0"/>
        <v>0</v>
      </c>
      <c r="D42" s="1">
        <f t="shared" si="1"/>
        <v>0</v>
      </c>
      <c r="F42" t="s">
        <v>27</v>
      </c>
      <c r="G42">
        <f>TTEST(A:A,B:B,1,1)</f>
        <v>0.5</v>
      </c>
    </row>
    <row r="43" spans="1:7" x14ac:dyDescent="0.25">
      <c r="A43" s="1">
        <v>3</v>
      </c>
      <c r="B43" s="1">
        <v>3</v>
      </c>
      <c r="C43" s="2">
        <f t="shared" si="0"/>
        <v>0</v>
      </c>
      <c r="D43" s="1">
        <f t="shared" si="1"/>
        <v>0</v>
      </c>
    </row>
    <row r="44" spans="1:7" x14ac:dyDescent="0.25">
      <c r="A44" s="1">
        <v>3</v>
      </c>
      <c r="B44" s="1">
        <v>3</v>
      </c>
      <c r="C44" s="2">
        <f t="shared" si="0"/>
        <v>0</v>
      </c>
      <c r="D44" s="1">
        <f t="shared" si="1"/>
        <v>0</v>
      </c>
    </row>
    <row r="45" spans="1:7" x14ac:dyDescent="0.25">
      <c r="A45" s="1">
        <v>3</v>
      </c>
      <c r="B45" s="1">
        <v>3</v>
      </c>
      <c r="C45" s="2">
        <f t="shared" si="0"/>
        <v>0</v>
      </c>
      <c r="D45" s="1">
        <f t="shared" si="1"/>
        <v>0</v>
      </c>
      <c r="F45" s="6" t="s">
        <v>15</v>
      </c>
      <c r="G45" s="6"/>
    </row>
    <row r="46" spans="1:7" x14ac:dyDescent="0.25">
      <c r="A46" s="1">
        <v>4</v>
      </c>
      <c r="B46" s="1">
        <v>3</v>
      </c>
      <c r="C46" s="2">
        <f t="shared" si="0"/>
        <v>-1</v>
      </c>
      <c r="D46" s="1">
        <f t="shared" si="1"/>
        <v>1</v>
      </c>
    </row>
    <row r="47" spans="1:7" x14ac:dyDescent="0.25">
      <c r="A47" s="1">
        <v>4</v>
      </c>
      <c r="B47" s="1">
        <v>2</v>
      </c>
      <c r="C47" s="2">
        <f t="shared" si="0"/>
        <v>-2</v>
      </c>
      <c r="D47" s="1">
        <f t="shared" si="1"/>
        <v>4</v>
      </c>
      <c r="F47" t="s">
        <v>13</v>
      </c>
    </row>
    <row r="48" spans="1:7" x14ac:dyDescent="0.25">
      <c r="A48" s="1">
        <v>2</v>
      </c>
      <c r="B48" s="1">
        <v>3</v>
      </c>
      <c r="C48" s="2">
        <f t="shared" si="0"/>
        <v>1</v>
      </c>
      <c r="D48" s="1">
        <f t="shared" si="1"/>
        <v>1</v>
      </c>
      <c r="F48" t="s">
        <v>14</v>
      </c>
    </row>
    <row r="49" spans="1:6" x14ac:dyDescent="0.25">
      <c r="A49" s="1">
        <v>4</v>
      </c>
      <c r="B49" s="1">
        <v>3</v>
      </c>
      <c r="C49" s="2">
        <f t="shared" si="0"/>
        <v>-1</v>
      </c>
      <c r="D49" s="1">
        <f t="shared" si="1"/>
        <v>1</v>
      </c>
    </row>
    <row r="50" spans="1:6" x14ac:dyDescent="0.25">
      <c r="A50" s="1">
        <v>3</v>
      </c>
      <c r="B50" s="1">
        <v>2</v>
      </c>
      <c r="C50" s="2">
        <f t="shared" si="0"/>
        <v>-1</v>
      </c>
      <c r="D50" s="1">
        <f t="shared" si="1"/>
        <v>1</v>
      </c>
      <c r="F50" t="s">
        <v>17</v>
      </c>
    </row>
    <row r="51" spans="1:6" x14ac:dyDescent="0.25">
      <c r="A51" s="1">
        <v>4</v>
      </c>
      <c r="B51" s="1">
        <v>4</v>
      </c>
      <c r="C51" s="2">
        <f t="shared" si="0"/>
        <v>0</v>
      </c>
      <c r="D51" s="1">
        <f t="shared" si="1"/>
        <v>0</v>
      </c>
      <c r="F51" t="s">
        <v>18</v>
      </c>
    </row>
    <row r="52" spans="1:6" x14ac:dyDescent="0.25">
      <c r="A52" s="1">
        <v>5</v>
      </c>
      <c r="B52" s="1">
        <v>3</v>
      </c>
      <c r="C52" s="2">
        <f t="shared" si="0"/>
        <v>-2</v>
      </c>
      <c r="D52" s="1">
        <f t="shared" si="1"/>
        <v>4</v>
      </c>
    </row>
    <row r="53" spans="1:6" x14ac:dyDescent="0.25">
      <c r="A53" s="1">
        <v>3</v>
      </c>
      <c r="B53" s="1">
        <v>3</v>
      </c>
      <c r="C53" s="2">
        <f t="shared" si="0"/>
        <v>0</v>
      </c>
      <c r="D53" s="1">
        <f t="shared" si="1"/>
        <v>0</v>
      </c>
    </row>
    <row r="54" spans="1:6" x14ac:dyDescent="0.25">
      <c r="A54" s="1">
        <v>3</v>
      </c>
      <c r="B54" s="1">
        <v>5</v>
      </c>
      <c r="C54" s="2">
        <f t="shared" si="0"/>
        <v>2</v>
      </c>
      <c r="D54" s="1">
        <f t="shared" si="1"/>
        <v>4</v>
      </c>
    </row>
    <row r="55" spans="1:6" x14ac:dyDescent="0.25">
      <c r="A55" s="1">
        <v>4</v>
      </c>
      <c r="B55" s="1">
        <v>2</v>
      </c>
      <c r="C55" s="2">
        <f t="shared" si="0"/>
        <v>-2</v>
      </c>
      <c r="D55" s="1">
        <f t="shared" si="1"/>
        <v>4</v>
      </c>
    </row>
    <row r="56" spans="1:6" x14ac:dyDescent="0.25">
      <c r="A56" s="1">
        <v>3</v>
      </c>
      <c r="B56" s="1">
        <v>5</v>
      </c>
      <c r="C56" s="2">
        <f t="shared" si="0"/>
        <v>2</v>
      </c>
      <c r="D56" s="1">
        <f t="shared" si="1"/>
        <v>4</v>
      </c>
      <c r="F56" s="6" t="s">
        <v>22</v>
      </c>
    </row>
    <row r="57" spans="1:6" x14ac:dyDescent="0.25">
      <c r="A57" s="1">
        <v>4</v>
      </c>
      <c r="B57" s="1">
        <v>3</v>
      </c>
      <c r="C57" s="2">
        <f t="shared" si="0"/>
        <v>-1</v>
      </c>
      <c r="D57" s="1">
        <f t="shared" si="1"/>
        <v>1</v>
      </c>
    </row>
    <row r="58" spans="1:6" x14ac:dyDescent="0.25">
      <c r="A58" s="1">
        <v>2</v>
      </c>
      <c r="B58" s="1">
        <v>4</v>
      </c>
      <c r="C58" s="2">
        <f t="shared" si="0"/>
        <v>2</v>
      </c>
      <c r="D58" s="1">
        <f t="shared" si="1"/>
        <v>4</v>
      </c>
      <c r="F58" t="s">
        <v>20</v>
      </c>
    </row>
    <row r="59" spans="1:6" x14ac:dyDescent="0.25">
      <c r="A59" s="1">
        <v>3</v>
      </c>
      <c r="B59" s="1">
        <v>4</v>
      </c>
      <c r="C59" s="2">
        <f t="shared" si="0"/>
        <v>1</v>
      </c>
      <c r="D59" s="1">
        <f t="shared" si="1"/>
        <v>1</v>
      </c>
      <c r="F59" t="s">
        <v>19</v>
      </c>
    </row>
    <row r="60" spans="1:6" x14ac:dyDescent="0.25">
      <c r="A60" s="1">
        <v>4</v>
      </c>
      <c r="B60" s="1">
        <v>3</v>
      </c>
      <c r="C60" s="2">
        <f t="shared" si="0"/>
        <v>-1</v>
      </c>
      <c r="D60" s="1">
        <f t="shared" si="1"/>
        <v>1</v>
      </c>
      <c r="F60" t="s">
        <v>21</v>
      </c>
    </row>
    <row r="61" spans="1:6" x14ac:dyDescent="0.25">
      <c r="A61" s="1">
        <v>3</v>
      </c>
      <c r="B61" s="1">
        <v>4</v>
      </c>
      <c r="C61" s="2">
        <f t="shared" si="0"/>
        <v>1</v>
      </c>
      <c r="D61" s="1">
        <f t="shared" si="1"/>
        <v>1</v>
      </c>
    </row>
    <row r="62" spans="1:6" x14ac:dyDescent="0.25">
      <c r="A62" s="1">
        <v>4</v>
      </c>
      <c r="B62" s="1">
        <v>5</v>
      </c>
      <c r="C62" s="2">
        <f t="shared" si="0"/>
        <v>1</v>
      </c>
      <c r="D62" s="1">
        <f t="shared" si="1"/>
        <v>1</v>
      </c>
    </row>
    <row r="63" spans="1:6" x14ac:dyDescent="0.25">
      <c r="A63" s="1">
        <v>3</v>
      </c>
      <c r="B63" s="1">
        <v>3</v>
      </c>
      <c r="C63" s="2">
        <f t="shared" si="0"/>
        <v>0</v>
      </c>
      <c r="D63" s="1">
        <f t="shared" si="1"/>
        <v>0</v>
      </c>
    </row>
    <row r="64" spans="1:6" x14ac:dyDescent="0.25">
      <c r="A64" s="1">
        <v>2</v>
      </c>
      <c r="B64" s="1">
        <v>3</v>
      </c>
      <c r="C64" s="2">
        <f t="shared" si="0"/>
        <v>1</v>
      </c>
      <c r="D64" s="1">
        <f t="shared" si="1"/>
        <v>1</v>
      </c>
    </row>
    <row r="65" spans="1:6" x14ac:dyDescent="0.25">
      <c r="A65" s="1">
        <v>2</v>
      </c>
      <c r="B65" s="1">
        <v>3</v>
      </c>
      <c r="C65" s="2">
        <f t="shared" si="0"/>
        <v>1</v>
      </c>
      <c r="D65" s="1">
        <f t="shared" si="1"/>
        <v>1</v>
      </c>
      <c r="F65" s="6" t="s">
        <v>22</v>
      </c>
    </row>
    <row r="66" spans="1:6" x14ac:dyDescent="0.25">
      <c r="A66" s="1">
        <v>2</v>
      </c>
      <c r="B66" s="1">
        <v>4</v>
      </c>
      <c r="C66" s="2">
        <f t="shared" si="0"/>
        <v>2</v>
      </c>
      <c r="D66" s="1">
        <f t="shared" si="1"/>
        <v>4</v>
      </c>
    </row>
    <row r="67" spans="1:6" x14ac:dyDescent="0.25">
      <c r="A67" s="1">
        <v>4</v>
      </c>
      <c r="B67" s="1">
        <v>2</v>
      </c>
      <c r="C67" s="2">
        <f t="shared" ref="C67:C76" si="2">B67-A67</f>
        <v>-2</v>
      </c>
      <c r="D67" s="1">
        <f t="shared" si="1"/>
        <v>4</v>
      </c>
    </row>
    <row r="68" spans="1:6" x14ac:dyDescent="0.25">
      <c r="A68" s="1">
        <v>5</v>
      </c>
      <c r="B68" s="1">
        <v>4</v>
      </c>
      <c r="C68" s="2">
        <f t="shared" si="2"/>
        <v>-1</v>
      </c>
      <c r="D68" s="1">
        <f t="shared" si="1"/>
        <v>1</v>
      </c>
    </row>
    <row r="69" spans="1:6" x14ac:dyDescent="0.25">
      <c r="A69" s="1">
        <v>3</v>
      </c>
      <c r="B69" s="1">
        <v>4</v>
      </c>
      <c r="C69" s="2">
        <f t="shared" si="2"/>
        <v>1</v>
      </c>
      <c r="D69" s="1">
        <f t="shared" ref="D69:D76" si="3">(C69-$G$6)^2</f>
        <v>1</v>
      </c>
    </row>
    <row r="70" spans="1:6" x14ac:dyDescent="0.25">
      <c r="A70" s="1">
        <v>4</v>
      </c>
      <c r="B70" s="1">
        <v>4</v>
      </c>
      <c r="C70" s="2">
        <f t="shared" si="2"/>
        <v>0</v>
      </c>
      <c r="D70" s="1">
        <f t="shared" si="3"/>
        <v>0</v>
      </c>
    </row>
    <row r="71" spans="1:6" x14ac:dyDescent="0.25">
      <c r="A71" s="1">
        <v>5</v>
      </c>
      <c r="B71" s="1">
        <v>3</v>
      </c>
      <c r="C71" s="2">
        <f t="shared" si="2"/>
        <v>-2</v>
      </c>
      <c r="D71" s="1">
        <f t="shared" si="3"/>
        <v>4</v>
      </c>
    </row>
    <row r="72" spans="1:6" x14ac:dyDescent="0.25">
      <c r="A72" s="1">
        <v>2</v>
      </c>
      <c r="B72" s="1">
        <v>3</v>
      </c>
      <c r="C72" s="2">
        <f t="shared" si="2"/>
        <v>1</v>
      </c>
      <c r="D72" s="1">
        <f t="shared" si="3"/>
        <v>1</v>
      </c>
      <c r="F72" t="s">
        <v>23</v>
      </c>
    </row>
    <row r="73" spans="1:6" x14ac:dyDescent="0.25">
      <c r="A73" s="1">
        <v>3</v>
      </c>
      <c r="B73" s="1">
        <v>1</v>
      </c>
      <c r="C73" s="2">
        <f t="shared" si="2"/>
        <v>-2</v>
      </c>
      <c r="D73" s="1">
        <f t="shared" si="3"/>
        <v>4</v>
      </c>
      <c r="F73" t="s">
        <v>21</v>
      </c>
    </row>
    <row r="74" spans="1:6" x14ac:dyDescent="0.25">
      <c r="A74" s="1">
        <v>2</v>
      </c>
      <c r="B74" s="1">
        <v>4</v>
      </c>
      <c r="C74" s="2">
        <f t="shared" si="2"/>
        <v>2</v>
      </c>
      <c r="D74" s="1">
        <f t="shared" si="3"/>
        <v>4</v>
      </c>
      <c r="F74" t="s">
        <v>23</v>
      </c>
    </row>
    <row r="75" spans="1:6" x14ac:dyDescent="0.25">
      <c r="A75" s="1">
        <v>2</v>
      </c>
      <c r="B75" s="1">
        <v>2</v>
      </c>
      <c r="C75" s="2">
        <f t="shared" si="2"/>
        <v>0</v>
      </c>
      <c r="D75" s="1">
        <f t="shared" si="3"/>
        <v>0</v>
      </c>
      <c r="F75" t="s">
        <v>21</v>
      </c>
    </row>
    <row r="76" spans="1:6" x14ac:dyDescent="0.25">
      <c r="A76" s="1">
        <v>3</v>
      </c>
      <c r="B76" s="1">
        <v>3</v>
      </c>
      <c r="C76" s="2">
        <f t="shared" si="2"/>
        <v>0</v>
      </c>
      <c r="D76" s="1">
        <f t="shared" si="3"/>
        <v>0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9F95-9BCC-48AD-B109-B94BA6379F94}">
  <dimension ref="A1:G93"/>
  <sheetViews>
    <sheetView topLeftCell="D21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1" customHeight="1" x14ac:dyDescent="0.25">
      <c r="A1" s="3" t="s">
        <v>40</v>
      </c>
      <c r="B1" s="3" t="s">
        <v>41</v>
      </c>
      <c r="C1" s="5" t="s">
        <v>0</v>
      </c>
      <c r="D1" s="5"/>
    </row>
    <row r="2" spans="1:7" x14ac:dyDescent="0.25">
      <c r="A2" s="1">
        <v>3</v>
      </c>
      <c r="B2" s="1">
        <v>1</v>
      </c>
      <c r="C2" s="2">
        <f>B2-A2</f>
        <v>-2</v>
      </c>
      <c r="D2" s="1">
        <f>(C2-$G$6)^2</f>
        <v>4.3820444444444444</v>
      </c>
    </row>
    <row r="3" spans="1:7" x14ac:dyDescent="0.25">
      <c r="A3" s="1">
        <v>5</v>
      </c>
      <c r="B3" s="1">
        <v>4</v>
      </c>
      <c r="C3" s="2">
        <f t="shared" ref="C3:C66" si="0">B3-A3</f>
        <v>-1</v>
      </c>
      <c r="D3" s="1">
        <f>(C3-$G$6)^2</f>
        <v>1.1953777777777777</v>
      </c>
      <c r="F3" s="6" t="s">
        <v>16</v>
      </c>
      <c r="G3" s="6"/>
    </row>
    <row r="4" spans="1:7" x14ac:dyDescent="0.25">
      <c r="A4" s="1">
        <v>2</v>
      </c>
      <c r="B4" s="1">
        <v>4</v>
      </c>
      <c r="C4" s="2">
        <f t="shared" si="0"/>
        <v>2</v>
      </c>
      <c r="D4" s="1">
        <f>(C4-$G$6)^2</f>
        <v>3.6353777777777778</v>
      </c>
      <c r="F4" t="s">
        <v>4</v>
      </c>
      <c r="G4">
        <f>COUNT(A:A)</f>
        <v>75</v>
      </c>
    </row>
    <row r="5" spans="1:7" x14ac:dyDescent="0.25">
      <c r="A5" s="1">
        <v>2</v>
      </c>
      <c r="B5" s="1">
        <v>2</v>
      </c>
      <c r="C5" s="2">
        <f t="shared" si="0"/>
        <v>0</v>
      </c>
      <c r="D5" s="1">
        <f t="shared" ref="D5:D68" si="1">(C5-$G$6)^2</f>
        <v>8.7111111111111122E-3</v>
      </c>
      <c r="F5" t="s">
        <v>2</v>
      </c>
      <c r="G5">
        <f>SUM(C:C)</f>
        <v>7</v>
      </c>
    </row>
    <row r="6" spans="1:7" x14ac:dyDescent="0.25">
      <c r="A6" s="1">
        <v>3</v>
      </c>
      <c r="B6" s="1">
        <v>1</v>
      </c>
      <c r="C6" s="2">
        <f t="shared" si="0"/>
        <v>-2</v>
      </c>
      <c r="D6" s="1">
        <f t="shared" si="1"/>
        <v>4.3820444444444444</v>
      </c>
      <c r="F6" t="s">
        <v>1</v>
      </c>
      <c r="G6">
        <f>G5/G4</f>
        <v>9.3333333333333338E-2</v>
      </c>
    </row>
    <row r="7" spans="1:7" x14ac:dyDescent="0.25">
      <c r="A7" s="1">
        <v>1</v>
      </c>
      <c r="B7" s="1">
        <v>3</v>
      </c>
      <c r="C7" s="2">
        <f t="shared" si="0"/>
        <v>2</v>
      </c>
      <c r="D7" s="1">
        <f t="shared" si="1"/>
        <v>3.6353777777777778</v>
      </c>
      <c r="F7" t="s">
        <v>3</v>
      </c>
      <c r="G7">
        <f>SUM(D:D)</f>
        <v>220.34666666666661</v>
      </c>
    </row>
    <row r="8" spans="1:7" x14ac:dyDescent="0.25">
      <c r="A8" s="1">
        <v>3</v>
      </c>
      <c r="B8" s="1">
        <v>3</v>
      </c>
      <c r="C8" s="2">
        <f t="shared" si="0"/>
        <v>0</v>
      </c>
      <c r="D8" s="1">
        <f t="shared" si="1"/>
        <v>8.7111111111111122E-3</v>
      </c>
      <c r="F8" t="s">
        <v>5</v>
      </c>
      <c r="G8">
        <f>SQRT(G7/(G4-1))</f>
        <v>1.7255890755500445</v>
      </c>
    </row>
    <row r="9" spans="1:7" x14ac:dyDescent="0.25">
      <c r="A9" s="1">
        <v>5</v>
      </c>
      <c r="B9" s="1">
        <v>4</v>
      </c>
      <c r="C9" s="2">
        <f t="shared" si="0"/>
        <v>-1</v>
      </c>
      <c r="D9" s="1">
        <f t="shared" si="1"/>
        <v>1.1953777777777777</v>
      </c>
    </row>
    <row r="10" spans="1:7" x14ac:dyDescent="0.25">
      <c r="A10" s="1">
        <v>2</v>
      </c>
      <c r="B10" s="1">
        <v>3</v>
      </c>
      <c r="C10" s="2">
        <f t="shared" si="0"/>
        <v>1</v>
      </c>
      <c r="D10" s="1">
        <f t="shared" si="1"/>
        <v>0.82204444444444436</v>
      </c>
    </row>
    <row r="11" spans="1:7" x14ac:dyDescent="0.25">
      <c r="A11" s="1">
        <v>3</v>
      </c>
      <c r="B11" s="1">
        <v>2</v>
      </c>
      <c r="C11" s="2">
        <f t="shared" si="0"/>
        <v>-1</v>
      </c>
      <c r="D11" s="1">
        <f t="shared" si="1"/>
        <v>1.1953777777777777</v>
      </c>
    </row>
    <row r="12" spans="1:7" x14ac:dyDescent="0.25">
      <c r="A12" s="1">
        <v>5</v>
      </c>
      <c r="B12" s="1">
        <v>3</v>
      </c>
      <c r="C12" s="2">
        <f t="shared" si="0"/>
        <v>-2</v>
      </c>
      <c r="D12" s="1">
        <f t="shared" si="1"/>
        <v>4.3820444444444444</v>
      </c>
      <c r="F12" t="s">
        <v>11</v>
      </c>
      <c r="G12">
        <f>G6/(G8/SQRT(G4))</f>
        <v>0.4684141713216558</v>
      </c>
    </row>
    <row r="13" spans="1:7" x14ac:dyDescent="0.25">
      <c r="A13" s="1">
        <v>2</v>
      </c>
      <c r="B13" s="1">
        <v>4</v>
      </c>
      <c r="C13" s="2">
        <f t="shared" si="0"/>
        <v>2</v>
      </c>
      <c r="D13" s="1">
        <f t="shared" si="1"/>
        <v>3.6353777777777778</v>
      </c>
    </row>
    <row r="14" spans="1:7" x14ac:dyDescent="0.25">
      <c r="A14" s="1">
        <v>2</v>
      </c>
      <c r="B14" s="1">
        <v>4</v>
      </c>
      <c r="C14" s="2">
        <f t="shared" si="0"/>
        <v>2</v>
      </c>
      <c r="D14" s="1">
        <f t="shared" si="1"/>
        <v>3.6353777777777778</v>
      </c>
    </row>
    <row r="15" spans="1:7" x14ac:dyDescent="0.25">
      <c r="A15" s="1">
        <v>1</v>
      </c>
      <c r="B15" s="1">
        <v>5</v>
      </c>
      <c r="C15" s="2">
        <f t="shared" si="0"/>
        <v>4</v>
      </c>
      <c r="D15" s="1">
        <f t="shared" si="1"/>
        <v>15.262044444444445</v>
      </c>
    </row>
    <row r="16" spans="1:7" x14ac:dyDescent="0.25">
      <c r="A16" s="1">
        <v>3</v>
      </c>
      <c r="B16" s="1">
        <v>1</v>
      </c>
      <c r="C16" s="2">
        <f t="shared" si="0"/>
        <v>-2</v>
      </c>
      <c r="D16" s="1">
        <f t="shared" si="1"/>
        <v>4.3820444444444444</v>
      </c>
    </row>
    <row r="17" spans="1:7" x14ac:dyDescent="0.25">
      <c r="A17" s="1">
        <v>5</v>
      </c>
      <c r="B17" s="1">
        <v>3</v>
      </c>
      <c r="C17" s="2">
        <f t="shared" si="0"/>
        <v>-2</v>
      </c>
      <c r="D17" s="1">
        <f t="shared" si="1"/>
        <v>4.3820444444444444</v>
      </c>
      <c r="F17" t="s">
        <v>6</v>
      </c>
      <c r="G17">
        <v>0.05</v>
      </c>
    </row>
    <row r="18" spans="1:7" x14ac:dyDescent="0.25">
      <c r="A18" s="1">
        <v>4</v>
      </c>
      <c r="B18" s="1">
        <v>2</v>
      </c>
      <c r="C18" s="2">
        <f t="shared" si="0"/>
        <v>-2</v>
      </c>
      <c r="D18" s="1">
        <f t="shared" si="1"/>
        <v>4.3820444444444444</v>
      </c>
      <c r="F18" t="s">
        <v>7</v>
      </c>
      <c r="G18">
        <f>G4-1</f>
        <v>74</v>
      </c>
    </row>
    <row r="19" spans="1:7" x14ac:dyDescent="0.25">
      <c r="A19" s="1">
        <v>2</v>
      </c>
      <c r="B19" s="1">
        <v>4</v>
      </c>
      <c r="C19" s="2">
        <f t="shared" si="0"/>
        <v>2</v>
      </c>
      <c r="D19" s="1">
        <f t="shared" si="1"/>
        <v>3.6353777777777778</v>
      </c>
    </row>
    <row r="20" spans="1:7" x14ac:dyDescent="0.25">
      <c r="A20" s="1">
        <v>3</v>
      </c>
      <c r="B20" s="1">
        <v>2</v>
      </c>
      <c r="C20" s="2">
        <f t="shared" si="0"/>
        <v>-1</v>
      </c>
      <c r="D20" s="1">
        <f t="shared" si="1"/>
        <v>1.1953777777777777</v>
      </c>
    </row>
    <row r="21" spans="1:7" x14ac:dyDescent="0.25">
      <c r="A21" s="1">
        <v>5</v>
      </c>
      <c r="B21" s="1">
        <v>4</v>
      </c>
      <c r="C21" s="2">
        <f t="shared" si="0"/>
        <v>-1</v>
      </c>
      <c r="D21" s="1">
        <f t="shared" si="1"/>
        <v>1.1953777777777777</v>
      </c>
    </row>
    <row r="22" spans="1:7" x14ac:dyDescent="0.25">
      <c r="A22" s="1">
        <v>3</v>
      </c>
      <c r="B22" s="1">
        <v>2</v>
      </c>
      <c r="C22" s="2">
        <f t="shared" si="0"/>
        <v>-1</v>
      </c>
      <c r="D22" s="1">
        <f t="shared" si="1"/>
        <v>1.1953777777777777</v>
      </c>
      <c r="F22" s="6" t="s">
        <v>8</v>
      </c>
      <c r="G22" s="6"/>
    </row>
    <row r="23" spans="1:7" x14ac:dyDescent="0.25">
      <c r="A23" s="1">
        <v>4</v>
      </c>
      <c r="B23" s="1">
        <v>5</v>
      </c>
      <c r="C23" s="2">
        <f t="shared" si="0"/>
        <v>1</v>
      </c>
      <c r="D23" s="1">
        <f t="shared" si="1"/>
        <v>0.82204444444444436</v>
      </c>
      <c r="F23" t="s">
        <v>25</v>
      </c>
      <c r="G23">
        <f>_xlfn.T.INV.2T(G17,G18)</f>
        <v>1.992543495180934</v>
      </c>
    </row>
    <row r="24" spans="1:7" x14ac:dyDescent="0.25">
      <c r="A24" s="1">
        <v>1</v>
      </c>
      <c r="B24" s="1">
        <v>4</v>
      </c>
      <c r="C24" s="2">
        <f t="shared" si="0"/>
        <v>3</v>
      </c>
      <c r="D24" s="1">
        <f t="shared" si="1"/>
        <v>8.4487111111111108</v>
      </c>
      <c r="F24" t="s">
        <v>26</v>
      </c>
      <c r="G24">
        <f>_xlfn.T.INV(G17,G18)</f>
        <v>-1.6657068927340244</v>
      </c>
    </row>
    <row r="25" spans="1:7" x14ac:dyDescent="0.25">
      <c r="A25" s="1">
        <v>3</v>
      </c>
      <c r="B25" s="1">
        <v>2</v>
      </c>
      <c r="C25" s="2">
        <f t="shared" si="0"/>
        <v>-1</v>
      </c>
      <c r="D25" s="1">
        <f t="shared" si="1"/>
        <v>1.1953777777777777</v>
      </c>
    </row>
    <row r="26" spans="1:7" x14ac:dyDescent="0.25">
      <c r="A26" s="1">
        <v>2</v>
      </c>
      <c r="B26" s="1">
        <v>3</v>
      </c>
      <c r="C26" s="2">
        <f t="shared" si="0"/>
        <v>1</v>
      </c>
      <c r="D26" s="1">
        <f t="shared" si="1"/>
        <v>0.82204444444444436</v>
      </c>
    </row>
    <row r="27" spans="1:7" x14ac:dyDescent="0.25">
      <c r="A27" s="1">
        <v>4</v>
      </c>
      <c r="B27" s="1">
        <v>2</v>
      </c>
      <c r="C27" s="2">
        <f t="shared" si="0"/>
        <v>-2</v>
      </c>
      <c r="D27" s="1">
        <f t="shared" si="1"/>
        <v>4.3820444444444444</v>
      </c>
    </row>
    <row r="28" spans="1:7" x14ac:dyDescent="0.25">
      <c r="A28" s="1">
        <v>2</v>
      </c>
      <c r="B28" s="1">
        <v>1</v>
      </c>
      <c r="C28" s="2">
        <f t="shared" si="0"/>
        <v>-1</v>
      </c>
      <c r="D28" s="1">
        <f t="shared" si="1"/>
        <v>1.1953777777777777</v>
      </c>
    </row>
    <row r="29" spans="1:7" x14ac:dyDescent="0.25">
      <c r="A29" s="1">
        <v>2</v>
      </c>
      <c r="B29" s="1">
        <v>3</v>
      </c>
      <c r="C29" s="2">
        <f t="shared" si="0"/>
        <v>1</v>
      </c>
      <c r="D29" s="1">
        <f t="shared" si="1"/>
        <v>0.82204444444444436</v>
      </c>
    </row>
    <row r="30" spans="1:7" x14ac:dyDescent="0.25">
      <c r="A30" s="1">
        <v>3</v>
      </c>
      <c r="B30" s="1">
        <v>3</v>
      </c>
      <c r="C30" s="2">
        <f t="shared" si="0"/>
        <v>0</v>
      </c>
      <c r="D30" s="1">
        <f t="shared" si="1"/>
        <v>8.7111111111111122E-3</v>
      </c>
    </row>
    <row r="31" spans="1:7" x14ac:dyDescent="0.25">
      <c r="A31" s="1">
        <v>2</v>
      </c>
      <c r="B31" s="1">
        <v>2</v>
      </c>
      <c r="C31" s="2">
        <f t="shared" si="0"/>
        <v>0</v>
      </c>
      <c r="D31" s="1">
        <f t="shared" si="1"/>
        <v>8.7111111111111122E-3</v>
      </c>
    </row>
    <row r="32" spans="1:7" x14ac:dyDescent="0.25">
      <c r="A32" s="1">
        <v>1</v>
      </c>
      <c r="B32" s="1">
        <v>5</v>
      </c>
      <c r="C32" s="2">
        <f t="shared" si="0"/>
        <v>4</v>
      </c>
      <c r="D32" s="1">
        <f t="shared" si="1"/>
        <v>15.262044444444445</v>
      </c>
    </row>
    <row r="33" spans="1:7" x14ac:dyDescent="0.25">
      <c r="A33" s="1">
        <v>2</v>
      </c>
      <c r="B33" s="1">
        <v>4</v>
      </c>
      <c r="C33" s="2">
        <f t="shared" si="0"/>
        <v>2</v>
      </c>
      <c r="D33" s="1">
        <f t="shared" si="1"/>
        <v>3.6353777777777778</v>
      </c>
    </row>
    <row r="34" spans="1:7" x14ac:dyDescent="0.25">
      <c r="A34" s="1">
        <v>2</v>
      </c>
      <c r="B34" s="1">
        <v>4</v>
      </c>
      <c r="C34" s="2">
        <f t="shared" si="0"/>
        <v>2</v>
      </c>
      <c r="D34" s="1">
        <f t="shared" si="1"/>
        <v>3.6353777777777778</v>
      </c>
      <c r="F34" t="s">
        <v>9</v>
      </c>
    </row>
    <row r="35" spans="1:7" x14ac:dyDescent="0.25">
      <c r="A35" s="1">
        <v>5</v>
      </c>
      <c r="B35" s="1">
        <v>5</v>
      </c>
      <c r="C35" s="2">
        <f t="shared" si="0"/>
        <v>0</v>
      </c>
      <c r="D35" s="1">
        <f t="shared" si="1"/>
        <v>8.7111111111111122E-3</v>
      </c>
      <c r="F35" t="s">
        <v>10</v>
      </c>
    </row>
    <row r="36" spans="1:7" x14ac:dyDescent="0.25">
      <c r="A36" s="1">
        <v>3</v>
      </c>
      <c r="B36" s="1">
        <v>1</v>
      </c>
      <c r="C36" s="2">
        <f t="shared" si="0"/>
        <v>-2</v>
      </c>
      <c r="D36" s="1">
        <f t="shared" si="1"/>
        <v>4.3820444444444444</v>
      </c>
    </row>
    <row r="37" spans="1:7" x14ac:dyDescent="0.25">
      <c r="A37" s="1">
        <v>4</v>
      </c>
      <c r="B37" s="1">
        <v>2</v>
      </c>
      <c r="C37" s="2">
        <f t="shared" si="0"/>
        <v>-2</v>
      </c>
      <c r="D37" s="1">
        <f t="shared" si="1"/>
        <v>4.3820444444444444</v>
      </c>
    </row>
    <row r="38" spans="1:7" x14ac:dyDescent="0.25">
      <c r="A38" s="1">
        <v>4</v>
      </c>
      <c r="B38" s="1">
        <v>3</v>
      </c>
      <c r="C38" s="2">
        <f t="shared" si="0"/>
        <v>-1</v>
      </c>
      <c r="D38" s="1">
        <f t="shared" si="1"/>
        <v>1.1953777777777777</v>
      </c>
    </row>
    <row r="39" spans="1:7" x14ac:dyDescent="0.25">
      <c r="A39" s="1">
        <v>3</v>
      </c>
      <c r="B39" s="1">
        <v>5</v>
      </c>
      <c r="C39" s="2">
        <f t="shared" si="0"/>
        <v>2</v>
      </c>
      <c r="D39" s="1">
        <f t="shared" si="1"/>
        <v>3.6353777777777778</v>
      </c>
      <c r="F39" s="6" t="s">
        <v>12</v>
      </c>
      <c r="G39" s="6"/>
    </row>
    <row r="40" spans="1:7" x14ac:dyDescent="0.25">
      <c r="A40" s="1">
        <v>3</v>
      </c>
      <c r="B40" s="1">
        <v>5</v>
      </c>
      <c r="C40" s="2">
        <f t="shared" si="0"/>
        <v>2</v>
      </c>
      <c r="D40" s="1">
        <f t="shared" si="1"/>
        <v>3.6353777777777778</v>
      </c>
      <c r="F40" t="s">
        <v>12</v>
      </c>
    </row>
    <row r="41" spans="1:7" x14ac:dyDescent="0.25">
      <c r="A41" s="1">
        <v>4</v>
      </c>
      <c r="B41" s="1">
        <v>5</v>
      </c>
      <c r="C41" s="2">
        <f t="shared" si="0"/>
        <v>1</v>
      </c>
      <c r="D41" s="1">
        <f t="shared" si="1"/>
        <v>0.82204444444444436</v>
      </c>
      <c r="F41" t="s">
        <v>24</v>
      </c>
      <c r="G41">
        <f>TTEST(A:A,B:B,2,1)</f>
        <v>0.64086529668315251</v>
      </c>
    </row>
    <row r="42" spans="1:7" x14ac:dyDescent="0.25">
      <c r="A42" s="1">
        <v>4</v>
      </c>
      <c r="B42" s="1">
        <v>3</v>
      </c>
      <c r="C42" s="2">
        <f t="shared" si="0"/>
        <v>-1</v>
      </c>
      <c r="D42" s="1">
        <f t="shared" si="1"/>
        <v>1.1953777777777777</v>
      </c>
      <c r="F42" t="s">
        <v>27</v>
      </c>
      <c r="G42">
        <f>TTEST(A:A,B:B,1,1)</f>
        <v>0.32043264834157625</v>
      </c>
    </row>
    <row r="43" spans="1:7" x14ac:dyDescent="0.25">
      <c r="A43" s="1">
        <v>3</v>
      </c>
      <c r="B43" s="1">
        <v>4</v>
      </c>
      <c r="C43" s="2">
        <f t="shared" si="0"/>
        <v>1</v>
      </c>
      <c r="D43" s="1">
        <f t="shared" si="1"/>
        <v>0.82204444444444436</v>
      </c>
    </row>
    <row r="44" spans="1:7" x14ac:dyDescent="0.25">
      <c r="A44" s="1">
        <v>2</v>
      </c>
      <c r="B44" s="1">
        <v>4</v>
      </c>
      <c r="C44" s="2">
        <f t="shared" si="0"/>
        <v>2</v>
      </c>
      <c r="D44" s="1">
        <f t="shared" si="1"/>
        <v>3.6353777777777778</v>
      </c>
    </row>
    <row r="45" spans="1:7" x14ac:dyDescent="0.25">
      <c r="A45" s="1">
        <v>4</v>
      </c>
      <c r="B45" s="1">
        <v>4</v>
      </c>
      <c r="C45" s="2">
        <f t="shared" si="0"/>
        <v>0</v>
      </c>
      <c r="D45" s="1">
        <f t="shared" si="1"/>
        <v>8.7111111111111122E-3</v>
      </c>
      <c r="F45" s="6" t="s">
        <v>15</v>
      </c>
      <c r="G45" s="6"/>
    </row>
    <row r="46" spans="1:7" x14ac:dyDescent="0.25">
      <c r="A46" s="1">
        <v>2</v>
      </c>
      <c r="B46" s="1">
        <v>3</v>
      </c>
      <c r="C46" s="2">
        <f t="shared" si="0"/>
        <v>1</v>
      </c>
      <c r="D46" s="1">
        <f t="shared" si="1"/>
        <v>0.82204444444444436</v>
      </c>
    </row>
    <row r="47" spans="1:7" x14ac:dyDescent="0.25">
      <c r="A47" s="1">
        <v>5</v>
      </c>
      <c r="B47" s="1">
        <v>3</v>
      </c>
      <c r="C47" s="2">
        <f t="shared" si="0"/>
        <v>-2</v>
      </c>
      <c r="D47" s="1">
        <f t="shared" si="1"/>
        <v>4.3820444444444444</v>
      </c>
      <c r="F47" t="s">
        <v>13</v>
      </c>
    </row>
    <row r="48" spans="1:7" x14ac:dyDescent="0.25">
      <c r="A48" s="1">
        <v>3</v>
      </c>
      <c r="B48" s="1">
        <v>3</v>
      </c>
      <c r="C48" s="2">
        <f t="shared" si="0"/>
        <v>0</v>
      </c>
      <c r="D48" s="1">
        <f t="shared" si="1"/>
        <v>8.7111111111111122E-3</v>
      </c>
      <c r="F48" t="s">
        <v>14</v>
      </c>
    </row>
    <row r="49" spans="1:6" x14ac:dyDescent="0.25">
      <c r="A49" s="1">
        <v>3</v>
      </c>
      <c r="B49" s="1">
        <v>1</v>
      </c>
      <c r="C49" s="2">
        <f t="shared" si="0"/>
        <v>-2</v>
      </c>
      <c r="D49" s="1">
        <f t="shared" si="1"/>
        <v>4.3820444444444444</v>
      </c>
    </row>
    <row r="50" spans="1:6" x14ac:dyDescent="0.25">
      <c r="A50" s="1">
        <v>1</v>
      </c>
      <c r="B50" s="1">
        <v>5</v>
      </c>
      <c r="C50" s="2">
        <f t="shared" si="0"/>
        <v>4</v>
      </c>
      <c r="D50" s="1">
        <f t="shared" si="1"/>
        <v>15.262044444444445</v>
      </c>
      <c r="F50" t="s">
        <v>17</v>
      </c>
    </row>
    <row r="51" spans="1:6" x14ac:dyDescent="0.25">
      <c r="A51" s="1">
        <v>3</v>
      </c>
      <c r="B51" s="1">
        <v>3</v>
      </c>
      <c r="C51" s="2">
        <f t="shared" si="0"/>
        <v>0</v>
      </c>
      <c r="D51" s="1">
        <f t="shared" si="1"/>
        <v>8.7111111111111122E-3</v>
      </c>
      <c r="F51" t="s">
        <v>18</v>
      </c>
    </row>
    <row r="52" spans="1:6" x14ac:dyDescent="0.25">
      <c r="A52" s="1">
        <v>4</v>
      </c>
      <c r="B52" s="1">
        <v>4</v>
      </c>
      <c r="C52" s="2">
        <f t="shared" si="0"/>
        <v>0</v>
      </c>
      <c r="D52" s="1">
        <f t="shared" si="1"/>
        <v>8.7111111111111122E-3</v>
      </c>
    </row>
    <row r="53" spans="1:6" x14ac:dyDescent="0.25">
      <c r="A53" s="1">
        <v>2</v>
      </c>
      <c r="B53" s="1">
        <v>1</v>
      </c>
      <c r="C53" s="2">
        <f t="shared" si="0"/>
        <v>-1</v>
      </c>
      <c r="D53" s="1">
        <f t="shared" si="1"/>
        <v>1.1953777777777777</v>
      </c>
    </row>
    <row r="54" spans="1:6" x14ac:dyDescent="0.25">
      <c r="A54" s="1">
        <v>5</v>
      </c>
      <c r="B54" s="1">
        <v>2</v>
      </c>
      <c r="C54" s="2">
        <f t="shared" si="0"/>
        <v>-3</v>
      </c>
      <c r="D54" s="1">
        <f t="shared" si="1"/>
        <v>9.5687111111111101</v>
      </c>
    </row>
    <row r="55" spans="1:6" x14ac:dyDescent="0.25">
      <c r="A55" s="1">
        <v>4</v>
      </c>
      <c r="B55" s="1">
        <v>1</v>
      </c>
      <c r="C55" s="2">
        <f t="shared" si="0"/>
        <v>-3</v>
      </c>
      <c r="D55" s="1">
        <f t="shared" si="1"/>
        <v>9.5687111111111101</v>
      </c>
    </row>
    <row r="56" spans="1:6" x14ac:dyDescent="0.25">
      <c r="A56" s="1">
        <v>3</v>
      </c>
      <c r="B56" s="1">
        <v>3</v>
      </c>
      <c r="C56" s="2">
        <f t="shared" si="0"/>
        <v>0</v>
      </c>
      <c r="D56" s="1">
        <f t="shared" si="1"/>
        <v>8.7111111111111122E-3</v>
      </c>
      <c r="F56" s="6" t="s">
        <v>22</v>
      </c>
    </row>
    <row r="57" spans="1:6" x14ac:dyDescent="0.25">
      <c r="A57" s="1">
        <v>4</v>
      </c>
      <c r="B57" s="1">
        <v>2</v>
      </c>
      <c r="C57" s="2">
        <f t="shared" si="0"/>
        <v>-2</v>
      </c>
      <c r="D57" s="1">
        <f t="shared" si="1"/>
        <v>4.3820444444444444</v>
      </c>
    </row>
    <row r="58" spans="1:6" x14ac:dyDescent="0.25">
      <c r="A58" s="1">
        <v>3</v>
      </c>
      <c r="B58" s="1">
        <v>2</v>
      </c>
      <c r="C58" s="2">
        <f t="shared" si="0"/>
        <v>-1</v>
      </c>
      <c r="D58" s="1">
        <f t="shared" si="1"/>
        <v>1.1953777777777777</v>
      </c>
      <c r="F58" t="s">
        <v>20</v>
      </c>
    </row>
    <row r="59" spans="1:6" x14ac:dyDescent="0.25">
      <c r="A59" s="1">
        <v>4</v>
      </c>
      <c r="B59" s="1">
        <v>3</v>
      </c>
      <c r="C59" s="2">
        <f t="shared" si="0"/>
        <v>-1</v>
      </c>
      <c r="D59" s="1">
        <f t="shared" si="1"/>
        <v>1.1953777777777777</v>
      </c>
      <c r="F59" t="s">
        <v>19</v>
      </c>
    </row>
    <row r="60" spans="1:6" x14ac:dyDescent="0.25">
      <c r="A60" s="1">
        <v>5</v>
      </c>
      <c r="B60" s="1">
        <v>4</v>
      </c>
      <c r="C60" s="2">
        <f t="shared" si="0"/>
        <v>-1</v>
      </c>
      <c r="D60" s="1">
        <f t="shared" si="1"/>
        <v>1.1953777777777777</v>
      </c>
      <c r="F60" t="s">
        <v>21</v>
      </c>
    </row>
    <row r="61" spans="1:6" x14ac:dyDescent="0.25">
      <c r="A61" s="1">
        <v>3</v>
      </c>
      <c r="B61" s="1">
        <v>4</v>
      </c>
      <c r="C61" s="2">
        <f t="shared" si="0"/>
        <v>1</v>
      </c>
      <c r="D61" s="1">
        <f t="shared" si="1"/>
        <v>0.82204444444444436</v>
      </c>
    </row>
    <row r="62" spans="1:6" x14ac:dyDescent="0.25">
      <c r="A62" s="1">
        <v>2</v>
      </c>
      <c r="B62" s="1">
        <v>3</v>
      </c>
      <c r="C62" s="2">
        <f t="shared" si="0"/>
        <v>1</v>
      </c>
      <c r="D62" s="1">
        <f t="shared" si="1"/>
        <v>0.82204444444444436</v>
      </c>
    </row>
    <row r="63" spans="1:6" x14ac:dyDescent="0.25">
      <c r="A63" s="1">
        <v>4</v>
      </c>
      <c r="B63" s="1">
        <v>5</v>
      </c>
      <c r="C63" s="2">
        <f t="shared" si="0"/>
        <v>1</v>
      </c>
      <c r="D63" s="1">
        <f t="shared" si="1"/>
        <v>0.82204444444444436</v>
      </c>
    </row>
    <row r="64" spans="1:6" x14ac:dyDescent="0.25">
      <c r="A64" s="1">
        <v>4</v>
      </c>
      <c r="B64" s="1">
        <v>5</v>
      </c>
      <c r="C64" s="2">
        <f t="shared" si="0"/>
        <v>1</v>
      </c>
      <c r="D64" s="1">
        <f t="shared" si="1"/>
        <v>0.82204444444444436</v>
      </c>
    </row>
    <row r="65" spans="1:6" x14ac:dyDescent="0.25">
      <c r="A65" s="1">
        <v>4</v>
      </c>
      <c r="B65" s="1">
        <v>2</v>
      </c>
      <c r="C65" s="2">
        <f t="shared" si="0"/>
        <v>-2</v>
      </c>
      <c r="D65" s="1">
        <f t="shared" si="1"/>
        <v>4.3820444444444444</v>
      </c>
      <c r="F65" s="6" t="s">
        <v>22</v>
      </c>
    </row>
    <row r="66" spans="1:6" x14ac:dyDescent="0.25">
      <c r="A66" s="1">
        <v>1</v>
      </c>
      <c r="B66" s="1">
        <v>3</v>
      </c>
      <c r="C66" s="2">
        <f t="shared" si="0"/>
        <v>2</v>
      </c>
      <c r="D66" s="1">
        <f t="shared" si="1"/>
        <v>3.6353777777777778</v>
      </c>
    </row>
    <row r="67" spans="1:6" x14ac:dyDescent="0.25">
      <c r="A67" s="1">
        <v>1</v>
      </c>
      <c r="B67" s="1">
        <v>3</v>
      </c>
      <c r="C67" s="2">
        <f t="shared" ref="C67:C76" si="2">B67-A67</f>
        <v>2</v>
      </c>
      <c r="D67" s="1">
        <f t="shared" si="1"/>
        <v>3.6353777777777778</v>
      </c>
    </row>
    <row r="68" spans="1:6" x14ac:dyDescent="0.25">
      <c r="A68" s="1">
        <v>4</v>
      </c>
      <c r="B68" s="1">
        <v>5</v>
      </c>
      <c r="C68" s="2">
        <f t="shared" si="2"/>
        <v>1</v>
      </c>
      <c r="D68" s="1">
        <f t="shared" si="1"/>
        <v>0.82204444444444436</v>
      </c>
    </row>
    <row r="69" spans="1:6" x14ac:dyDescent="0.25">
      <c r="A69" s="1">
        <v>1</v>
      </c>
      <c r="B69" s="1">
        <v>2</v>
      </c>
      <c r="C69" s="2">
        <f t="shared" si="2"/>
        <v>1</v>
      </c>
      <c r="D69" s="1">
        <f t="shared" ref="D69:D76" si="3">(C69-$G$6)^2</f>
        <v>0.82204444444444436</v>
      </c>
    </row>
    <row r="70" spans="1:6" x14ac:dyDescent="0.25">
      <c r="A70" s="1">
        <v>2</v>
      </c>
      <c r="B70" s="1">
        <v>3</v>
      </c>
      <c r="C70" s="2">
        <f t="shared" si="2"/>
        <v>1</v>
      </c>
      <c r="D70" s="1">
        <f t="shared" si="3"/>
        <v>0.82204444444444436</v>
      </c>
    </row>
    <row r="71" spans="1:6" x14ac:dyDescent="0.25">
      <c r="A71" s="1">
        <v>3</v>
      </c>
      <c r="B71" s="1">
        <v>2</v>
      </c>
      <c r="C71" s="2">
        <f t="shared" si="2"/>
        <v>-1</v>
      </c>
      <c r="D71" s="1">
        <f t="shared" si="3"/>
        <v>1.1953777777777777</v>
      </c>
    </row>
    <row r="72" spans="1:6" x14ac:dyDescent="0.25">
      <c r="A72" s="1">
        <v>3</v>
      </c>
      <c r="B72" s="1">
        <v>5</v>
      </c>
      <c r="C72" s="2">
        <f t="shared" si="2"/>
        <v>2</v>
      </c>
      <c r="D72" s="1">
        <f t="shared" si="3"/>
        <v>3.6353777777777778</v>
      </c>
      <c r="F72" t="s">
        <v>23</v>
      </c>
    </row>
    <row r="73" spans="1:6" x14ac:dyDescent="0.25">
      <c r="A73" s="1">
        <v>4</v>
      </c>
      <c r="B73" s="1">
        <v>1</v>
      </c>
      <c r="C73" s="2">
        <f t="shared" si="2"/>
        <v>-3</v>
      </c>
      <c r="D73" s="1">
        <f t="shared" si="3"/>
        <v>9.5687111111111101</v>
      </c>
      <c r="F73" t="s">
        <v>21</v>
      </c>
    </row>
    <row r="74" spans="1:6" x14ac:dyDescent="0.25">
      <c r="A74" s="1">
        <v>2</v>
      </c>
      <c r="B74" s="1">
        <v>4</v>
      </c>
      <c r="C74" s="2">
        <f t="shared" si="2"/>
        <v>2</v>
      </c>
      <c r="D74" s="1">
        <f t="shared" si="3"/>
        <v>3.6353777777777778</v>
      </c>
      <c r="F74" t="s">
        <v>23</v>
      </c>
    </row>
    <row r="75" spans="1:6" x14ac:dyDescent="0.25">
      <c r="A75" s="1">
        <v>4</v>
      </c>
      <c r="B75" s="1">
        <v>4</v>
      </c>
      <c r="C75" s="2">
        <f t="shared" si="2"/>
        <v>0</v>
      </c>
      <c r="D75" s="1">
        <f t="shared" si="3"/>
        <v>8.7111111111111122E-3</v>
      </c>
      <c r="F75" t="s">
        <v>21</v>
      </c>
    </row>
    <row r="76" spans="1:6" x14ac:dyDescent="0.25">
      <c r="A76" s="1">
        <v>4</v>
      </c>
      <c r="B76" s="1">
        <v>4</v>
      </c>
      <c r="C76" s="2">
        <f t="shared" si="2"/>
        <v>0</v>
      </c>
      <c r="D76" s="1">
        <f t="shared" si="3"/>
        <v>8.7111111111111122E-3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54BE-A5DC-4526-811B-A38C553EE994}">
  <dimension ref="A1:G93"/>
  <sheetViews>
    <sheetView topLeftCell="D13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1" customHeight="1" x14ac:dyDescent="0.25">
      <c r="A1" s="3" t="s">
        <v>38</v>
      </c>
      <c r="B1" s="3" t="s">
        <v>39</v>
      </c>
      <c r="C1" s="5" t="s">
        <v>0</v>
      </c>
      <c r="D1" s="5"/>
    </row>
    <row r="2" spans="1:7" x14ac:dyDescent="0.25">
      <c r="A2" s="1">
        <v>5</v>
      </c>
      <c r="B2" s="1">
        <v>4</v>
      </c>
      <c r="C2" s="2">
        <f>B2-A2</f>
        <v>-1</v>
      </c>
      <c r="D2" s="1">
        <f>(C2-$G$6)^2</f>
        <v>1.1664000000000001</v>
      </c>
    </row>
    <row r="3" spans="1:7" x14ac:dyDescent="0.25">
      <c r="A3" s="1">
        <v>2</v>
      </c>
      <c r="B3" s="1">
        <v>5</v>
      </c>
      <c r="C3" s="2">
        <f t="shared" ref="C3:C66" si="0">B3-A3</f>
        <v>3</v>
      </c>
      <c r="D3" s="1">
        <f>(C3-$G$6)^2</f>
        <v>8.5263999999999989</v>
      </c>
      <c r="F3" s="6" t="s">
        <v>16</v>
      </c>
      <c r="G3" s="6"/>
    </row>
    <row r="4" spans="1:7" x14ac:dyDescent="0.25">
      <c r="A4" s="1">
        <v>3</v>
      </c>
      <c r="B4" s="1">
        <v>5</v>
      </c>
      <c r="C4" s="2">
        <f t="shared" si="0"/>
        <v>2</v>
      </c>
      <c r="D4" s="1">
        <f>(C4-$G$6)^2</f>
        <v>3.6863999999999999</v>
      </c>
      <c r="F4" t="s">
        <v>4</v>
      </c>
      <c r="G4">
        <f>COUNT(A:A)</f>
        <v>75</v>
      </c>
    </row>
    <row r="5" spans="1:7" x14ac:dyDescent="0.25">
      <c r="A5" s="1">
        <v>2</v>
      </c>
      <c r="B5" s="1">
        <v>3</v>
      </c>
      <c r="C5" s="2">
        <f t="shared" si="0"/>
        <v>1</v>
      </c>
      <c r="D5" s="1">
        <f t="shared" ref="D5:D68" si="1">(C5-$G$6)^2</f>
        <v>0.84640000000000004</v>
      </c>
      <c r="F5" t="s">
        <v>2</v>
      </c>
      <c r="G5">
        <f>SUM(C:C)</f>
        <v>6</v>
      </c>
    </row>
    <row r="6" spans="1:7" x14ac:dyDescent="0.25">
      <c r="A6" s="1">
        <v>3</v>
      </c>
      <c r="B6" s="1">
        <v>4</v>
      </c>
      <c r="C6" s="2">
        <f t="shared" si="0"/>
        <v>1</v>
      </c>
      <c r="D6" s="1">
        <f t="shared" si="1"/>
        <v>0.84640000000000004</v>
      </c>
      <c r="F6" t="s">
        <v>1</v>
      </c>
      <c r="G6">
        <f>G5/G4</f>
        <v>0.08</v>
      </c>
    </row>
    <row r="7" spans="1:7" x14ac:dyDescent="0.25">
      <c r="A7" s="1">
        <v>3</v>
      </c>
      <c r="B7" s="1">
        <v>4</v>
      </c>
      <c r="C7" s="2">
        <f t="shared" si="0"/>
        <v>1</v>
      </c>
      <c r="D7" s="1">
        <f t="shared" si="1"/>
        <v>0.84640000000000004</v>
      </c>
      <c r="F7" t="s">
        <v>3</v>
      </c>
      <c r="G7">
        <f>SUM(D:D)</f>
        <v>275.5200000000001</v>
      </c>
    </row>
    <row r="8" spans="1:7" x14ac:dyDescent="0.25">
      <c r="A8" s="1">
        <v>4</v>
      </c>
      <c r="B8" s="1">
        <v>2</v>
      </c>
      <c r="C8" s="2">
        <f t="shared" si="0"/>
        <v>-2</v>
      </c>
      <c r="D8" s="1">
        <f t="shared" si="1"/>
        <v>4.3264000000000005</v>
      </c>
      <c r="F8" t="s">
        <v>5</v>
      </c>
      <c r="G8">
        <f>SQRT(G7/(G4-1))</f>
        <v>1.9295707406683085</v>
      </c>
    </row>
    <row r="9" spans="1:7" x14ac:dyDescent="0.25">
      <c r="A9" s="1">
        <v>1</v>
      </c>
      <c r="B9" s="1">
        <v>3</v>
      </c>
      <c r="C9" s="2">
        <f t="shared" si="0"/>
        <v>2</v>
      </c>
      <c r="D9" s="1">
        <f t="shared" si="1"/>
        <v>3.6863999999999999</v>
      </c>
    </row>
    <row r="10" spans="1:7" x14ac:dyDescent="0.25">
      <c r="A10" s="1">
        <v>1</v>
      </c>
      <c r="B10" s="1">
        <v>1</v>
      </c>
      <c r="C10" s="2">
        <f t="shared" si="0"/>
        <v>0</v>
      </c>
      <c r="D10" s="1">
        <f t="shared" si="1"/>
        <v>6.4000000000000003E-3</v>
      </c>
    </row>
    <row r="11" spans="1:7" x14ac:dyDescent="0.25">
      <c r="A11" s="1">
        <v>4</v>
      </c>
      <c r="B11" s="1">
        <v>3</v>
      </c>
      <c r="C11" s="2">
        <f t="shared" si="0"/>
        <v>-1</v>
      </c>
      <c r="D11" s="1">
        <f t="shared" si="1"/>
        <v>1.1664000000000001</v>
      </c>
    </row>
    <row r="12" spans="1:7" x14ac:dyDescent="0.25">
      <c r="A12" s="1">
        <v>5</v>
      </c>
      <c r="B12" s="1">
        <v>3</v>
      </c>
      <c r="C12" s="2">
        <f t="shared" si="0"/>
        <v>-2</v>
      </c>
      <c r="D12" s="1">
        <f t="shared" si="1"/>
        <v>4.3264000000000005</v>
      </c>
      <c r="F12" t="s">
        <v>11</v>
      </c>
      <c r="G12">
        <f>G6/(G8/SQRT(G4))</f>
        <v>0.35905411935692605</v>
      </c>
    </row>
    <row r="13" spans="1:7" x14ac:dyDescent="0.25">
      <c r="A13" s="1">
        <v>5</v>
      </c>
      <c r="B13" s="1">
        <v>5</v>
      </c>
      <c r="C13" s="2">
        <f t="shared" si="0"/>
        <v>0</v>
      </c>
      <c r="D13" s="1">
        <f t="shared" si="1"/>
        <v>6.4000000000000003E-3</v>
      </c>
    </row>
    <row r="14" spans="1:7" x14ac:dyDescent="0.25">
      <c r="A14" s="1">
        <v>3</v>
      </c>
      <c r="B14" s="1">
        <v>3</v>
      </c>
      <c r="C14" s="2">
        <f t="shared" si="0"/>
        <v>0</v>
      </c>
      <c r="D14" s="1">
        <f t="shared" si="1"/>
        <v>6.4000000000000003E-3</v>
      </c>
    </row>
    <row r="15" spans="1:7" x14ac:dyDescent="0.25">
      <c r="A15" s="1">
        <v>4</v>
      </c>
      <c r="B15" s="1">
        <v>2</v>
      </c>
      <c r="C15" s="2">
        <f t="shared" si="0"/>
        <v>-2</v>
      </c>
      <c r="D15" s="1">
        <f t="shared" si="1"/>
        <v>4.3264000000000005</v>
      </c>
    </row>
    <row r="16" spans="1:7" x14ac:dyDescent="0.25">
      <c r="A16" s="1">
        <v>3</v>
      </c>
      <c r="B16" s="1">
        <v>2</v>
      </c>
      <c r="C16" s="2">
        <f t="shared" si="0"/>
        <v>-1</v>
      </c>
      <c r="D16" s="1">
        <f t="shared" si="1"/>
        <v>1.1664000000000001</v>
      </c>
    </row>
    <row r="17" spans="1:7" x14ac:dyDescent="0.25">
      <c r="A17" s="1">
        <v>5</v>
      </c>
      <c r="B17" s="1">
        <v>1</v>
      </c>
      <c r="C17" s="2">
        <f t="shared" si="0"/>
        <v>-4</v>
      </c>
      <c r="D17" s="1">
        <f t="shared" si="1"/>
        <v>16.6464</v>
      </c>
      <c r="F17" t="s">
        <v>6</v>
      </c>
      <c r="G17">
        <v>0.05</v>
      </c>
    </row>
    <row r="18" spans="1:7" x14ac:dyDescent="0.25">
      <c r="A18" s="1">
        <v>1</v>
      </c>
      <c r="B18" s="1">
        <v>1</v>
      </c>
      <c r="C18" s="2">
        <f t="shared" si="0"/>
        <v>0</v>
      </c>
      <c r="D18" s="1">
        <f t="shared" si="1"/>
        <v>6.4000000000000003E-3</v>
      </c>
      <c r="F18" t="s">
        <v>7</v>
      </c>
      <c r="G18">
        <f>G4-1</f>
        <v>74</v>
      </c>
    </row>
    <row r="19" spans="1:7" x14ac:dyDescent="0.25">
      <c r="A19" s="1">
        <v>3</v>
      </c>
      <c r="B19" s="1">
        <v>5</v>
      </c>
      <c r="C19" s="2">
        <f t="shared" si="0"/>
        <v>2</v>
      </c>
      <c r="D19" s="1">
        <f t="shared" si="1"/>
        <v>3.6863999999999999</v>
      </c>
    </row>
    <row r="20" spans="1:7" x14ac:dyDescent="0.25">
      <c r="A20" s="1">
        <v>4</v>
      </c>
      <c r="B20" s="1">
        <v>5</v>
      </c>
      <c r="C20" s="2">
        <f t="shared" si="0"/>
        <v>1</v>
      </c>
      <c r="D20" s="1">
        <f t="shared" si="1"/>
        <v>0.84640000000000004</v>
      </c>
    </row>
    <row r="21" spans="1:7" x14ac:dyDescent="0.25">
      <c r="A21" s="1">
        <v>2</v>
      </c>
      <c r="B21" s="1">
        <v>1</v>
      </c>
      <c r="C21" s="2">
        <f t="shared" si="0"/>
        <v>-1</v>
      </c>
      <c r="D21" s="1">
        <f t="shared" si="1"/>
        <v>1.1664000000000001</v>
      </c>
    </row>
    <row r="22" spans="1:7" x14ac:dyDescent="0.25">
      <c r="A22" s="1">
        <v>3</v>
      </c>
      <c r="B22" s="1">
        <v>3</v>
      </c>
      <c r="C22" s="2">
        <f t="shared" si="0"/>
        <v>0</v>
      </c>
      <c r="D22" s="1">
        <f t="shared" si="1"/>
        <v>6.4000000000000003E-3</v>
      </c>
      <c r="F22" s="6" t="s">
        <v>8</v>
      </c>
      <c r="G22" s="6"/>
    </row>
    <row r="23" spans="1:7" x14ac:dyDescent="0.25">
      <c r="A23" s="1">
        <v>3</v>
      </c>
      <c r="B23" s="1">
        <v>2</v>
      </c>
      <c r="C23" s="2">
        <f t="shared" si="0"/>
        <v>-1</v>
      </c>
      <c r="D23" s="1">
        <f t="shared" si="1"/>
        <v>1.1664000000000001</v>
      </c>
      <c r="F23" t="s">
        <v>25</v>
      </c>
      <c r="G23">
        <f>_xlfn.T.INV.2T(G17,G18)</f>
        <v>1.992543495180934</v>
      </c>
    </row>
    <row r="24" spans="1:7" x14ac:dyDescent="0.25">
      <c r="A24" s="1">
        <v>2</v>
      </c>
      <c r="B24" s="1">
        <v>4</v>
      </c>
      <c r="C24" s="2">
        <f t="shared" si="0"/>
        <v>2</v>
      </c>
      <c r="D24" s="1">
        <f t="shared" si="1"/>
        <v>3.6863999999999999</v>
      </c>
      <c r="F24" t="s">
        <v>26</v>
      </c>
      <c r="G24">
        <f>_xlfn.T.INV(G17,G18)</f>
        <v>-1.6657068927340244</v>
      </c>
    </row>
    <row r="25" spans="1:7" x14ac:dyDescent="0.25">
      <c r="A25" s="1">
        <v>3</v>
      </c>
      <c r="B25" s="1">
        <v>3</v>
      </c>
      <c r="C25" s="2">
        <f t="shared" si="0"/>
        <v>0</v>
      </c>
      <c r="D25" s="1">
        <f t="shared" si="1"/>
        <v>6.4000000000000003E-3</v>
      </c>
    </row>
    <row r="26" spans="1:7" x14ac:dyDescent="0.25">
      <c r="A26" s="1">
        <v>2</v>
      </c>
      <c r="B26" s="1">
        <v>4</v>
      </c>
      <c r="C26" s="2">
        <f t="shared" si="0"/>
        <v>2</v>
      </c>
      <c r="D26" s="1">
        <f t="shared" si="1"/>
        <v>3.6863999999999999</v>
      </c>
    </row>
    <row r="27" spans="1:7" x14ac:dyDescent="0.25">
      <c r="A27" s="1">
        <v>1</v>
      </c>
      <c r="B27" s="1">
        <v>5</v>
      </c>
      <c r="C27" s="2">
        <f t="shared" si="0"/>
        <v>4</v>
      </c>
      <c r="D27" s="1">
        <f t="shared" si="1"/>
        <v>15.366399999999999</v>
      </c>
    </row>
    <row r="28" spans="1:7" x14ac:dyDescent="0.25">
      <c r="A28" s="1">
        <v>3</v>
      </c>
      <c r="B28" s="1">
        <v>2</v>
      </c>
      <c r="C28" s="2">
        <f t="shared" si="0"/>
        <v>-1</v>
      </c>
      <c r="D28" s="1">
        <f t="shared" si="1"/>
        <v>1.1664000000000001</v>
      </c>
    </row>
    <row r="29" spans="1:7" x14ac:dyDescent="0.25">
      <c r="A29" s="1">
        <v>2</v>
      </c>
      <c r="B29" s="1">
        <v>3</v>
      </c>
      <c r="C29" s="2">
        <f t="shared" si="0"/>
        <v>1</v>
      </c>
      <c r="D29" s="1">
        <f t="shared" si="1"/>
        <v>0.84640000000000004</v>
      </c>
    </row>
    <row r="30" spans="1:7" x14ac:dyDescent="0.25">
      <c r="A30" s="1">
        <v>2</v>
      </c>
      <c r="B30" s="1">
        <v>2</v>
      </c>
      <c r="C30" s="2">
        <f t="shared" si="0"/>
        <v>0</v>
      </c>
      <c r="D30" s="1">
        <f t="shared" si="1"/>
        <v>6.4000000000000003E-3</v>
      </c>
    </row>
    <row r="31" spans="1:7" x14ac:dyDescent="0.25">
      <c r="A31" s="1">
        <v>5</v>
      </c>
      <c r="B31" s="1">
        <v>1</v>
      </c>
      <c r="C31" s="2">
        <f t="shared" si="0"/>
        <v>-4</v>
      </c>
      <c r="D31" s="1">
        <f t="shared" si="1"/>
        <v>16.6464</v>
      </c>
    </row>
    <row r="32" spans="1:7" x14ac:dyDescent="0.25">
      <c r="A32" s="1">
        <v>4</v>
      </c>
      <c r="B32" s="1">
        <v>3</v>
      </c>
      <c r="C32" s="2">
        <f t="shared" si="0"/>
        <v>-1</v>
      </c>
      <c r="D32" s="1">
        <f t="shared" si="1"/>
        <v>1.1664000000000001</v>
      </c>
    </row>
    <row r="33" spans="1:7" x14ac:dyDescent="0.25">
      <c r="A33" s="1">
        <v>2</v>
      </c>
      <c r="B33" s="1">
        <v>1</v>
      </c>
      <c r="C33" s="2">
        <f t="shared" si="0"/>
        <v>-1</v>
      </c>
      <c r="D33" s="1">
        <f t="shared" si="1"/>
        <v>1.1664000000000001</v>
      </c>
    </row>
    <row r="34" spans="1:7" x14ac:dyDescent="0.25">
      <c r="A34" s="1">
        <v>1</v>
      </c>
      <c r="B34" s="1">
        <v>4</v>
      </c>
      <c r="C34" s="2">
        <f t="shared" si="0"/>
        <v>3</v>
      </c>
      <c r="D34" s="1">
        <f t="shared" si="1"/>
        <v>8.5263999999999989</v>
      </c>
      <c r="F34" t="s">
        <v>9</v>
      </c>
    </row>
    <row r="35" spans="1:7" x14ac:dyDescent="0.25">
      <c r="A35" s="1">
        <v>5</v>
      </c>
      <c r="B35" s="1">
        <v>2</v>
      </c>
      <c r="C35" s="2">
        <f t="shared" si="0"/>
        <v>-3</v>
      </c>
      <c r="D35" s="1">
        <f t="shared" si="1"/>
        <v>9.4863999999999997</v>
      </c>
      <c r="F35" t="s">
        <v>10</v>
      </c>
    </row>
    <row r="36" spans="1:7" x14ac:dyDescent="0.25">
      <c r="A36" s="1">
        <v>1</v>
      </c>
      <c r="B36" s="1">
        <v>3</v>
      </c>
      <c r="C36" s="2">
        <f t="shared" si="0"/>
        <v>2</v>
      </c>
      <c r="D36" s="1">
        <f t="shared" si="1"/>
        <v>3.6863999999999999</v>
      </c>
    </row>
    <row r="37" spans="1:7" x14ac:dyDescent="0.25">
      <c r="A37" s="1">
        <v>5</v>
      </c>
      <c r="B37" s="1">
        <v>4</v>
      </c>
      <c r="C37" s="2">
        <f t="shared" si="0"/>
        <v>-1</v>
      </c>
      <c r="D37" s="1">
        <f t="shared" si="1"/>
        <v>1.1664000000000001</v>
      </c>
    </row>
    <row r="38" spans="1:7" x14ac:dyDescent="0.25">
      <c r="A38" s="1">
        <v>1</v>
      </c>
      <c r="B38" s="1">
        <v>1</v>
      </c>
      <c r="C38" s="2">
        <f t="shared" si="0"/>
        <v>0</v>
      </c>
      <c r="D38" s="1">
        <f t="shared" si="1"/>
        <v>6.4000000000000003E-3</v>
      </c>
    </row>
    <row r="39" spans="1:7" x14ac:dyDescent="0.25">
      <c r="A39" s="1">
        <v>5</v>
      </c>
      <c r="B39" s="1">
        <v>4</v>
      </c>
      <c r="C39" s="2">
        <f t="shared" si="0"/>
        <v>-1</v>
      </c>
      <c r="D39" s="1">
        <f t="shared" si="1"/>
        <v>1.1664000000000001</v>
      </c>
      <c r="F39" s="6" t="s">
        <v>12</v>
      </c>
      <c r="G39" s="6"/>
    </row>
    <row r="40" spans="1:7" x14ac:dyDescent="0.25">
      <c r="A40" s="1">
        <v>1</v>
      </c>
      <c r="B40" s="1">
        <v>5</v>
      </c>
      <c r="C40" s="2">
        <f t="shared" si="0"/>
        <v>4</v>
      </c>
      <c r="D40" s="1">
        <f t="shared" si="1"/>
        <v>15.366399999999999</v>
      </c>
      <c r="F40" t="s">
        <v>12</v>
      </c>
    </row>
    <row r="41" spans="1:7" x14ac:dyDescent="0.25">
      <c r="A41" s="1">
        <v>1</v>
      </c>
      <c r="B41" s="1">
        <v>1</v>
      </c>
      <c r="C41" s="2">
        <f t="shared" si="0"/>
        <v>0</v>
      </c>
      <c r="D41" s="1">
        <f t="shared" si="1"/>
        <v>6.4000000000000003E-3</v>
      </c>
      <c r="F41" t="s">
        <v>24</v>
      </c>
      <c r="G41">
        <f>TTEST(A:A,B:B,2,1)</f>
        <v>0.72057707596553533</v>
      </c>
    </row>
    <row r="42" spans="1:7" x14ac:dyDescent="0.25">
      <c r="A42" s="1">
        <v>4</v>
      </c>
      <c r="B42" s="1">
        <v>3</v>
      </c>
      <c r="C42" s="2">
        <f t="shared" si="0"/>
        <v>-1</v>
      </c>
      <c r="D42" s="1">
        <f t="shared" si="1"/>
        <v>1.1664000000000001</v>
      </c>
      <c r="F42" t="s">
        <v>27</v>
      </c>
      <c r="G42">
        <f>TTEST(A:A,B:B,1,1)</f>
        <v>0.36028853798276766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0.84640000000000004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6.4000000000000003E-3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6.4000000000000003E-3</v>
      </c>
      <c r="F45" s="6" t="s">
        <v>15</v>
      </c>
      <c r="G45" s="6"/>
    </row>
    <row r="46" spans="1:7" x14ac:dyDescent="0.25">
      <c r="A46" s="1">
        <v>3</v>
      </c>
      <c r="B46" s="1">
        <v>2</v>
      </c>
      <c r="C46" s="2">
        <f t="shared" si="0"/>
        <v>-1</v>
      </c>
      <c r="D46" s="1">
        <f t="shared" si="1"/>
        <v>1.1664000000000001</v>
      </c>
    </row>
    <row r="47" spans="1:7" x14ac:dyDescent="0.25">
      <c r="A47" s="1">
        <v>5</v>
      </c>
      <c r="B47" s="1">
        <v>4</v>
      </c>
      <c r="C47" s="2">
        <f t="shared" si="0"/>
        <v>-1</v>
      </c>
      <c r="D47" s="1">
        <f t="shared" si="1"/>
        <v>1.1664000000000001</v>
      </c>
      <c r="F47" t="s">
        <v>13</v>
      </c>
    </row>
    <row r="48" spans="1:7" x14ac:dyDescent="0.25">
      <c r="A48" s="1">
        <v>2</v>
      </c>
      <c r="B48" s="1">
        <v>3</v>
      </c>
      <c r="C48" s="2">
        <f t="shared" si="0"/>
        <v>1</v>
      </c>
      <c r="D48" s="1">
        <f t="shared" si="1"/>
        <v>0.84640000000000004</v>
      </c>
      <c r="F48" t="s">
        <v>14</v>
      </c>
    </row>
    <row r="49" spans="1:6" x14ac:dyDescent="0.25">
      <c r="A49" s="1">
        <v>1</v>
      </c>
      <c r="B49" s="1">
        <v>2</v>
      </c>
      <c r="C49" s="2">
        <f t="shared" si="0"/>
        <v>1</v>
      </c>
      <c r="D49" s="1">
        <f t="shared" si="1"/>
        <v>0.84640000000000004</v>
      </c>
    </row>
    <row r="50" spans="1:6" x14ac:dyDescent="0.25">
      <c r="A50" s="1">
        <v>1</v>
      </c>
      <c r="B50" s="1">
        <v>5</v>
      </c>
      <c r="C50" s="2">
        <f t="shared" si="0"/>
        <v>4</v>
      </c>
      <c r="D50" s="1">
        <f t="shared" si="1"/>
        <v>15.366399999999999</v>
      </c>
      <c r="F50" t="s">
        <v>17</v>
      </c>
    </row>
    <row r="51" spans="1:6" x14ac:dyDescent="0.25">
      <c r="A51" s="1">
        <v>2</v>
      </c>
      <c r="B51" s="1">
        <v>5</v>
      </c>
      <c r="C51" s="2">
        <f t="shared" si="0"/>
        <v>3</v>
      </c>
      <c r="D51" s="1">
        <f t="shared" si="1"/>
        <v>8.5263999999999989</v>
      </c>
      <c r="F51" t="s">
        <v>18</v>
      </c>
    </row>
    <row r="52" spans="1:6" x14ac:dyDescent="0.25">
      <c r="A52" s="1">
        <v>5</v>
      </c>
      <c r="B52" s="1">
        <v>2</v>
      </c>
      <c r="C52" s="2">
        <f t="shared" si="0"/>
        <v>-3</v>
      </c>
      <c r="D52" s="1">
        <f t="shared" si="1"/>
        <v>9.4863999999999997</v>
      </c>
    </row>
    <row r="53" spans="1:6" x14ac:dyDescent="0.25">
      <c r="A53" s="1">
        <v>2</v>
      </c>
      <c r="B53" s="1">
        <v>4</v>
      </c>
      <c r="C53" s="2">
        <f t="shared" si="0"/>
        <v>2</v>
      </c>
      <c r="D53" s="1">
        <f t="shared" si="1"/>
        <v>3.6863999999999999</v>
      </c>
    </row>
    <row r="54" spans="1:6" x14ac:dyDescent="0.25">
      <c r="A54" s="1">
        <v>3</v>
      </c>
      <c r="B54" s="1">
        <v>3</v>
      </c>
      <c r="C54" s="2">
        <f t="shared" si="0"/>
        <v>0</v>
      </c>
      <c r="D54" s="1">
        <f t="shared" si="1"/>
        <v>6.4000000000000003E-3</v>
      </c>
    </row>
    <row r="55" spans="1:6" x14ac:dyDescent="0.25">
      <c r="A55" s="1">
        <v>4</v>
      </c>
      <c r="B55" s="1">
        <v>4</v>
      </c>
      <c r="C55" s="2">
        <f t="shared" si="0"/>
        <v>0</v>
      </c>
      <c r="D55" s="1">
        <f t="shared" si="1"/>
        <v>6.4000000000000003E-3</v>
      </c>
    </row>
    <row r="56" spans="1:6" x14ac:dyDescent="0.25">
      <c r="A56" s="1">
        <v>3</v>
      </c>
      <c r="B56" s="1">
        <v>1</v>
      </c>
      <c r="C56" s="2">
        <f t="shared" si="0"/>
        <v>-2</v>
      </c>
      <c r="D56" s="1">
        <f t="shared" si="1"/>
        <v>4.3264000000000005</v>
      </c>
      <c r="F56" s="6" t="s">
        <v>22</v>
      </c>
    </row>
    <row r="57" spans="1:6" x14ac:dyDescent="0.25">
      <c r="A57" s="1">
        <v>4</v>
      </c>
      <c r="B57" s="1">
        <v>2</v>
      </c>
      <c r="C57" s="2">
        <f t="shared" si="0"/>
        <v>-2</v>
      </c>
      <c r="D57" s="1">
        <f t="shared" si="1"/>
        <v>4.3264000000000005</v>
      </c>
    </row>
    <row r="58" spans="1:6" x14ac:dyDescent="0.25">
      <c r="A58" s="1">
        <v>3</v>
      </c>
      <c r="B58" s="1">
        <v>3</v>
      </c>
      <c r="C58" s="2">
        <f t="shared" si="0"/>
        <v>0</v>
      </c>
      <c r="D58" s="1">
        <f t="shared" si="1"/>
        <v>6.4000000000000003E-3</v>
      </c>
      <c r="F58" t="s">
        <v>20</v>
      </c>
    </row>
    <row r="59" spans="1:6" x14ac:dyDescent="0.25">
      <c r="A59" s="1">
        <v>5</v>
      </c>
      <c r="B59" s="1">
        <v>3</v>
      </c>
      <c r="C59" s="2">
        <f t="shared" si="0"/>
        <v>-2</v>
      </c>
      <c r="D59" s="1">
        <f t="shared" si="1"/>
        <v>4.3264000000000005</v>
      </c>
      <c r="F59" t="s">
        <v>19</v>
      </c>
    </row>
    <row r="60" spans="1:6" x14ac:dyDescent="0.25">
      <c r="A60" s="1">
        <v>2</v>
      </c>
      <c r="B60" s="1">
        <v>1</v>
      </c>
      <c r="C60" s="2">
        <f t="shared" si="0"/>
        <v>-1</v>
      </c>
      <c r="D60" s="1">
        <f t="shared" si="1"/>
        <v>1.1664000000000001</v>
      </c>
      <c r="F60" t="s">
        <v>21</v>
      </c>
    </row>
    <row r="61" spans="1:6" x14ac:dyDescent="0.25">
      <c r="A61" s="1">
        <v>5</v>
      </c>
      <c r="B61" s="1">
        <v>4</v>
      </c>
      <c r="C61" s="2">
        <f t="shared" si="0"/>
        <v>-1</v>
      </c>
      <c r="D61" s="1">
        <f t="shared" si="1"/>
        <v>1.1664000000000001</v>
      </c>
    </row>
    <row r="62" spans="1:6" x14ac:dyDescent="0.25">
      <c r="A62" s="1">
        <v>3</v>
      </c>
      <c r="B62" s="1">
        <v>5</v>
      </c>
      <c r="C62" s="2">
        <f t="shared" si="0"/>
        <v>2</v>
      </c>
      <c r="D62" s="1">
        <f t="shared" si="1"/>
        <v>3.6863999999999999</v>
      </c>
    </row>
    <row r="63" spans="1:6" x14ac:dyDescent="0.25">
      <c r="A63" s="1">
        <v>1</v>
      </c>
      <c r="B63" s="1">
        <v>5</v>
      </c>
      <c r="C63" s="2">
        <f t="shared" si="0"/>
        <v>4</v>
      </c>
      <c r="D63" s="1">
        <f t="shared" si="1"/>
        <v>15.366399999999999</v>
      </c>
    </row>
    <row r="64" spans="1:6" x14ac:dyDescent="0.25">
      <c r="A64" s="1">
        <v>2</v>
      </c>
      <c r="B64" s="1">
        <v>2</v>
      </c>
      <c r="C64" s="2">
        <f t="shared" si="0"/>
        <v>0</v>
      </c>
      <c r="D64" s="1">
        <f t="shared" si="1"/>
        <v>6.4000000000000003E-3</v>
      </c>
    </row>
    <row r="65" spans="1:6" x14ac:dyDescent="0.25">
      <c r="A65" s="1">
        <v>1</v>
      </c>
      <c r="B65" s="1">
        <v>3</v>
      </c>
      <c r="C65" s="2">
        <f t="shared" si="0"/>
        <v>2</v>
      </c>
      <c r="D65" s="1">
        <f t="shared" si="1"/>
        <v>3.6863999999999999</v>
      </c>
      <c r="F65" s="6" t="s">
        <v>22</v>
      </c>
    </row>
    <row r="66" spans="1:6" x14ac:dyDescent="0.25">
      <c r="A66" s="1">
        <v>4</v>
      </c>
      <c r="B66" s="1">
        <v>1</v>
      </c>
      <c r="C66" s="2">
        <f t="shared" si="0"/>
        <v>-3</v>
      </c>
      <c r="D66" s="1">
        <f t="shared" si="1"/>
        <v>9.4863999999999997</v>
      </c>
    </row>
    <row r="67" spans="1:6" x14ac:dyDescent="0.25">
      <c r="A67" s="1">
        <v>2</v>
      </c>
      <c r="B67" s="1">
        <v>3</v>
      </c>
      <c r="C67" s="2">
        <f t="shared" ref="C67:C76" si="2">B67-A67</f>
        <v>1</v>
      </c>
      <c r="D67" s="1">
        <f t="shared" si="1"/>
        <v>0.84640000000000004</v>
      </c>
    </row>
    <row r="68" spans="1:6" x14ac:dyDescent="0.25">
      <c r="A68" s="1">
        <v>2</v>
      </c>
      <c r="B68" s="1">
        <v>5</v>
      </c>
      <c r="C68" s="2">
        <f t="shared" si="2"/>
        <v>3</v>
      </c>
      <c r="D68" s="1">
        <f t="shared" si="1"/>
        <v>8.5263999999999989</v>
      </c>
    </row>
    <row r="69" spans="1:6" x14ac:dyDescent="0.25">
      <c r="A69" s="1">
        <v>2</v>
      </c>
      <c r="B69" s="1">
        <v>1</v>
      </c>
      <c r="C69" s="2">
        <f t="shared" si="2"/>
        <v>-1</v>
      </c>
      <c r="D69" s="1">
        <f t="shared" ref="D69:D76" si="3">(C69-$G$6)^2</f>
        <v>1.1664000000000001</v>
      </c>
    </row>
    <row r="70" spans="1:6" x14ac:dyDescent="0.25">
      <c r="A70" s="1">
        <v>5</v>
      </c>
      <c r="B70" s="1">
        <v>1</v>
      </c>
      <c r="C70" s="2">
        <f t="shared" si="2"/>
        <v>-4</v>
      </c>
      <c r="D70" s="1">
        <f t="shared" si="3"/>
        <v>16.6464</v>
      </c>
    </row>
    <row r="71" spans="1:6" x14ac:dyDescent="0.25">
      <c r="A71" s="1">
        <v>1</v>
      </c>
      <c r="B71" s="1">
        <v>2</v>
      </c>
      <c r="C71" s="2">
        <f t="shared" si="2"/>
        <v>1</v>
      </c>
      <c r="D71" s="1">
        <f t="shared" si="3"/>
        <v>0.84640000000000004</v>
      </c>
    </row>
    <row r="72" spans="1:6" x14ac:dyDescent="0.25">
      <c r="A72" s="1">
        <v>2</v>
      </c>
      <c r="B72" s="1">
        <v>5</v>
      </c>
      <c r="C72" s="2">
        <f t="shared" si="2"/>
        <v>3</v>
      </c>
      <c r="D72" s="1">
        <f t="shared" si="3"/>
        <v>8.5263999999999989</v>
      </c>
      <c r="F72" t="s">
        <v>23</v>
      </c>
    </row>
    <row r="73" spans="1:6" x14ac:dyDescent="0.25">
      <c r="A73" s="1">
        <v>5</v>
      </c>
      <c r="B73" s="1">
        <v>4</v>
      </c>
      <c r="C73" s="2">
        <f t="shared" si="2"/>
        <v>-1</v>
      </c>
      <c r="D73" s="1">
        <f t="shared" si="3"/>
        <v>1.1664000000000001</v>
      </c>
      <c r="F73" t="s">
        <v>21</v>
      </c>
    </row>
    <row r="74" spans="1:6" x14ac:dyDescent="0.25">
      <c r="A74" s="1">
        <v>4</v>
      </c>
      <c r="B74" s="1">
        <v>4</v>
      </c>
      <c r="C74" s="2">
        <f t="shared" si="2"/>
        <v>0</v>
      </c>
      <c r="D74" s="1">
        <f t="shared" si="3"/>
        <v>6.4000000000000003E-3</v>
      </c>
      <c r="F74" t="s">
        <v>23</v>
      </c>
    </row>
    <row r="75" spans="1:6" x14ac:dyDescent="0.25">
      <c r="A75" s="1">
        <v>3</v>
      </c>
      <c r="B75" s="1">
        <v>1</v>
      </c>
      <c r="C75" s="2">
        <f t="shared" si="2"/>
        <v>-2</v>
      </c>
      <c r="D75" s="1">
        <f t="shared" si="3"/>
        <v>4.3264000000000005</v>
      </c>
      <c r="F75" t="s">
        <v>21</v>
      </c>
    </row>
    <row r="76" spans="1:6" x14ac:dyDescent="0.25">
      <c r="A76" s="1">
        <v>2</v>
      </c>
      <c r="B76" s="1">
        <v>1</v>
      </c>
      <c r="C76" s="2">
        <f t="shared" si="2"/>
        <v>-1</v>
      </c>
      <c r="D76" s="1">
        <f t="shared" si="3"/>
        <v>1.1664000000000001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05B1-7AFC-454A-8382-DE4959267097}">
  <dimension ref="A1:G93"/>
  <sheetViews>
    <sheetView topLeftCell="D5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1" customHeight="1" x14ac:dyDescent="0.25">
      <c r="A1" s="3" t="s">
        <v>36</v>
      </c>
      <c r="B1" s="3" t="s">
        <v>37</v>
      </c>
      <c r="C1" s="5" t="s">
        <v>0</v>
      </c>
      <c r="D1" s="5"/>
    </row>
    <row r="2" spans="1:7" x14ac:dyDescent="0.25">
      <c r="A2" s="1">
        <v>5</v>
      </c>
      <c r="B2" s="1">
        <v>3</v>
      </c>
      <c r="C2" s="2">
        <f>B2-A2</f>
        <v>-2</v>
      </c>
      <c r="D2" s="1">
        <f>(C2-$G$6)^2</f>
        <v>4.6081777777777768</v>
      </c>
    </row>
    <row r="3" spans="1:7" x14ac:dyDescent="0.25">
      <c r="A3" s="1">
        <v>1</v>
      </c>
      <c r="B3" s="1">
        <v>2</v>
      </c>
      <c r="C3" s="2">
        <f t="shared" ref="C3:C66" si="0">B3-A3</f>
        <v>1</v>
      </c>
      <c r="D3" s="1">
        <f>(C3-$G$6)^2</f>
        <v>0.7281777777777777</v>
      </c>
      <c r="F3" s="6" t="s">
        <v>16</v>
      </c>
      <c r="G3" s="6"/>
    </row>
    <row r="4" spans="1:7" x14ac:dyDescent="0.25">
      <c r="A4" s="1">
        <v>5</v>
      </c>
      <c r="B4" s="1">
        <v>4</v>
      </c>
      <c r="C4" s="2">
        <f t="shared" si="0"/>
        <v>-1</v>
      </c>
      <c r="D4" s="1">
        <f>(C4-$G$6)^2</f>
        <v>1.3148444444444445</v>
      </c>
      <c r="F4" t="s">
        <v>4</v>
      </c>
      <c r="G4">
        <f>COUNT(A:A)</f>
        <v>75</v>
      </c>
    </row>
    <row r="5" spans="1:7" x14ac:dyDescent="0.25">
      <c r="A5" s="1">
        <v>4</v>
      </c>
      <c r="B5" s="1">
        <v>5</v>
      </c>
      <c r="C5" s="2">
        <f t="shared" si="0"/>
        <v>1</v>
      </c>
      <c r="D5" s="1">
        <f t="shared" ref="D5:D68" si="1">(C5-$G$6)^2</f>
        <v>0.7281777777777777</v>
      </c>
      <c r="F5" t="s">
        <v>2</v>
      </c>
      <c r="G5">
        <f>SUM(C:C)</f>
        <v>11</v>
      </c>
    </row>
    <row r="6" spans="1:7" x14ac:dyDescent="0.25">
      <c r="A6" s="1">
        <v>3</v>
      </c>
      <c r="B6" s="1">
        <v>4</v>
      </c>
      <c r="C6" s="2">
        <f t="shared" si="0"/>
        <v>1</v>
      </c>
      <c r="D6" s="1">
        <f t="shared" si="1"/>
        <v>0.7281777777777777</v>
      </c>
      <c r="F6" t="s">
        <v>1</v>
      </c>
      <c r="G6">
        <f>G5/G4</f>
        <v>0.14666666666666667</v>
      </c>
    </row>
    <row r="7" spans="1:7" x14ac:dyDescent="0.25">
      <c r="A7" s="1">
        <v>5</v>
      </c>
      <c r="B7" s="1">
        <v>3</v>
      </c>
      <c r="C7" s="2">
        <f t="shared" si="0"/>
        <v>-2</v>
      </c>
      <c r="D7" s="1">
        <f t="shared" si="1"/>
        <v>4.6081777777777768</v>
      </c>
      <c r="F7" t="s">
        <v>3</v>
      </c>
      <c r="G7">
        <f>SUM(D:D)</f>
        <v>255.38666666666668</v>
      </c>
    </row>
    <row r="8" spans="1:7" x14ac:dyDescent="0.25">
      <c r="A8" s="1">
        <v>5</v>
      </c>
      <c r="B8" s="1">
        <v>3</v>
      </c>
      <c r="C8" s="2">
        <f t="shared" si="0"/>
        <v>-2</v>
      </c>
      <c r="D8" s="1">
        <f t="shared" si="1"/>
        <v>4.6081777777777768</v>
      </c>
      <c r="F8" t="s">
        <v>5</v>
      </c>
      <c r="G8">
        <f>SQRT(G7/(G4-1))</f>
        <v>1.8577328040305396</v>
      </c>
    </row>
    <row r="9" spans="1:7" x14ac:dyDescent="0.25">
      <c r="A9" s="1">
        <v>4</v>
      </c>
      <c r="B9" s="1">
        <v>2</v>
      </c>
      <c r="C9" s="2">
        <f t="shared" si="0"/>
        <v>-2</v>
      </c>
      <c r="D9" s="1">
        <f t="shared" si="1"/>
        <v>4.6081777777777768</v>
      </c>
    </row>
    <row r="10" spans="1:7" x14ac:dyDescent="0.25">
      <c r="A10" s="1">
        <v>1</v>
      </c>
      <c r="B10" s="1">
        <v>4</v>
      </c>
      <c r="C10" s="2">
        <f t="shared" si="0"/>
        <v>3</v>
      </c>
      <c r="D10" s="1">
        <f t="shared" si="1"/>
        <v>8.1415111111111127</v>
      </c>
    </row>
    <row r="11" spans="1:7" x14ac:dyDescent="0.25">
      <c r="A11" s="1">
        <v>3</v>
      </c>
      <c r="B11" s="1">
        <v>5</v>
      </c>
      <c r="C11" s="2">
        <f t="shared" si="0"/>
        <v>2</v>
      </c>
      <c r="D11" s="1">
        <f t="shared" si="1"/>
        <v>3.4348444444444444</v>
      </c>
    </row>
    <row r="12" spans="1:7" x14ac:dyDescent="0.25">
      <c r="A12" s="1">
        <v>2</v>
      </c>
      <c r="B12" s="1">
        <v>5</v>
      </c>
      <c r="C12" s="2">
        <f t="shared" si="0"/>
        <v>3</v>
      </c>
      <c r="D12" s="1">
        <f t="shared" si="1"/>
        <v>8.1415111111111127</v>
      </c>
      <c r="F12" t="s">
        <v>11</v>
      </c>
      <c r="G12">
        <f>G6/(G8/SQRT(G4))</f>
        <v>0.68372081790309824</v>
      </c>
    </row>
    <row r="13" spans="1:7" x14ac:dyDescent="0.25">
      <c r="A13" s="1">
        <v>5</v>
      </c>
      <c r="B13" s="1">
        <v>3</v>
      </c>
      <c r="C13" s="2">
        <f t="shared" si="0"/>
        <v>-2</v>
      </c>
      <c r="D13" s="1">
        <f t="shared" si="1"/>
        <v>4.6081777777777768</v>
      </c>
    </row>
    <row r="14" spans="1:7" x14ac:dyDescent="0.25">
      <c r="A14" s="1">
        <v>4</v>
      </c>
      <c r="B14" s="1">
        <v>2</v>
      </c>
      <c r="C14" s="2">
        <f t="shared" si="0"/>
        <v>-2</v>
      </c>
      <c r="D14" s="1">
        <f t="shared" si="1"/>
        <v>4.6081777777777768</v>
      </c>
    </row>
    <row r="15" spans="1:7" x14ac:dyDescent="0.25">
      <c r="A15" s="1">
        <v>5</v>
      </c>
      <c r="B15" s="1">
        <v>2</v>
      </c>
      <c r="C15" s="2">
        <f t="shared" si="0"/>
        <v>-3</v>
      </c>
      <c r="D15" s="1">
        <f t="shared" si="1"/>
        <v>9.9015111111111107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2.1511111111111113E-2</v>
      </c>
    </row>
    <row r="17" spans="1:7" x14ac:dyDescent="0.25">
      <c r="A17" s="1">
        <v>2</v>
      </c>
      <c r="B17" s="1">
        <v>2</v>
      </c>
      <c r="C17" s="2">
        <f t="shared" si="0"/>
        <v>0</v>
      </c>
      <c r="D17" s="1">
        <f t="shared" si="1"/>
        <v>2.1511111111111113E-2</v>
      </c>
      <c r="F17" t="s">
        <v>6</v>
      </c>
      <c r="G17">
        <v>0.05</v>
      </c>
    </row>
    <row r="18" spans="1:7" x14ac:dyDescent="0.25">
      <c r="A18" s="1">
        <v>3</v>
      </c>
      <c r="B18" s="1">
        <v>2</v>
      </c>
      <c r="C18" s="2">
        <f t="shared" si="0"/>
        <v>-1</v>
      </c>
      <c r="D18" s="1">
        <f t="shared" si="1"/>
        <v>1.3148444444444445</v>
      </c>
      <c r="F18" t="s">
        <v>7</v>
      </c>
      <c r="G18">
        <f>G4-1</f>
        <v>74</v>
      </c>
    </row>
    <row r="19" spans="1:7" x14ac:dyDescent="0.25">
      <c r="A19" s="1">
        <v>3</v>
      </c>
      <c r="B19" s="1">
        <v>3</v>
      </c>
      <c r="C19" s="2">
        <f t="shared" si="0"/>
        <v>0</v>
      </c>
      <c r="D19" s="1">
        <f t="shared" si="1"/>
        <v>2.1511111111111113E-2</v>
      </c>
    </row>
    <row r="20" spans="1:7" x14ac:dyDescent="0.25">
      <c r="A20" s="1">
        <v>1</v>
      </c>
      <c r="B20" s="1">
        <v>5</v>
      </c>
      <c r="C20" s="2">
        <f t="shared" si="0"/>
        <v>4</v>
      </c>
      <c r="D20" s="1">
        <f t="shared" si="1"/>
        <v>14.84817777777778</v>
      </c>
    </row>
    <row r="21" spans="1:7" x14ac:dyDescent="0.25">
      <c r="A21" s="1">
        <v>4</v>
      </c>
      <c r="B21" s="1">
        <v>4</v>
      </c>
      <c r="C21" s="2">
        <f t="shared" si="0"/>
        <v>0</v>
      </c>
      <c r="D21" s="1">
        <f t="shared" si="1"/>
        <v>2.1511111111111113E-2</v>
      </c>
    </row>
    <row r="22" spans="1:7" x14ac:dyDescent="0.25">
      <c r="A22" s="1">
        <v>2</v>
      </c>
      <c r="B22" s="1">
        <v>5</v>
      </c>
      <c r="C22" s="2">
        <f t="shared" si="0"/>
        <v>3</v>
      </c>
      <c r="D22" s="1">
        <f t="shared" si="1"/>
        <v>8.1415111111111127</v>
      </c>
      <c r="F22" s="6" t="s">
        <v>8</v>
      </c>
      <c r="G22" s="6"/>
    </row>
    <row r="23" spans="1:7" x14ac:dyDescent="0.25">
      <c r="A23" s="1">
        <v>2</v>
      </c>
      <c r="B23" s="1">
        <v>4</v>
      </c>
      <c r="C23" s="2">
        <f t="shared" si="0"/>
        <v>2</v>
      </c>
      <c r="D23" s="1">
        <f t="shared" si="1"/>
        <v>3.4348444444444444</v>
      </c>
      <c r="F23" t="s">
        <v>25</v>
      </c>
      <c r="G23">
        <f>_xlfn.T.INV.2T(G17,G18)</f>
        <v>1.992543495180934</v>
      </c>
    </row>
    <row r="24" spans="1:7" x14ac:dyDescent="0.25">
      <c r="A24" s="1">
        <v>1</v>
      </c>
      <c r="B24" s="1">
        <v>2</v>
      </c>
      <c r="C24" s="2">
        <f t="shared" si="0"/>
        <v>1</v>
      </c>
      <c r="D24" s="1">
        <f t="shared" si="1"/>
        <v>0.7281777777777777</v>
      </c>
      <c r="F24" t="s">
        <v>26</v>
      </c>
      <c r="G24">
        <f>_xlfn.T.INV(G17,G18)</f>
        <v>-1.6657068927340244</v>
      </c>
    </row>
    <row r="25" spans="1:7" x14ac:dyDescent="0.25">
      <c r="A25" s="1">
        <v>2</v>
      </c>
      <c r="B25" s="1">
        <v>3</v>
      </c>
      <c r="C25" s="2">
        <f t="shared" si="0"/>
        <v>1</v>
      </c>
      <c r="D25" s="1">
        <f t="shared" si="1"/>
        <v>0.7281777777777777</v>
      </c>
    </row>
    <row r="26" spans="1:7" x14ac:dyDescent="0.25">
      <c r="A26" s="1">
        <v>3</v>
      </c>
      <c r="B26" s="1">
        <v>1</v>
      </c>
      <c r="C26" s="2">
        <f t="shared" si="0"/>
        <v>-2</v>
      </c>
      <c r="D26" s="1">
        <f t="shared" si="1"/>
        <v>4.6081777777777768</v>
      </c>
    </row>
    <row r="27" spans="1:7" x14ac:dyDescent="0.25">
      <c r="A27" s="1">
        <v>3</v>
      </c>
      <c r="B27" s="1">
        <v>1</v>
      </c>
      <c r="C27" s="2">
        <f t="shared" si="0"/>
        <v>-2</v>
      </c>
      <c r="D27" s="1">
        <f t="shared" si="1"/>
        <v>4.6081777777777768</v>
      </c>
    </row>
    <row r="28" spans="1:7" x14ac:dyDescent="0.25">
      <c r="A28" s="1">
        <v>5</v>
      </c>
      <c r="B28" s="1">
        <v>5</v>
      </c>
      <c r="C28" s="2">
        <f t="shared" si="0"/>
        <v>0</v>
      </c>
      <c r="D28" s="1">
        <f t="shared" si="1"/>
        <v>2.1511111111111113E-2</v>
      </c>
    </row>
    <row r="29" spans="1:7" x14ac:dyDescent="0.25">
      <c r="A29" s="1">
        <v>4</v>
      </c>
      <c r="B29" s="1">
        <v>2</v>
      </c>
      <c r="C29" s="2">
        <f t="shared" si="0"/>
        <v>-2</v>
      </c>
      <c r="D29" s="1">
        <f t="shared" si="1"/>
        <v>4.6081777777777768</v>
      </c>
    </row>
    <row r="30" spans="1:7" x14ac:dyDescent="0.25">
      <c r="A30" s="1">
        <v>2</v>
      </c>
      <c r="B30" s="1">
        <v>2</v>
      </c>
      <c r="C30" s="2">
        <f t="shared" si="0"/>
        <v>0</v>
      </c>
      <c r="D30" s="1">
        <f t="shared" si="1"/>
        <v>2.1511111111111113E-2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2.1511111111111113E-2</v>
      </c>
    </row>
    <row r="32" spans="1:7" x14ac:dyDescent="0.25">
      <c r="A32" s="1">
        <v>4</v>
      </c>
      <c r="B32" s="1">
        <v>3</v>
      </c>
      <c r="C32" s="2">
        <f t="shared" si="0"/>
        <v>-1</v>
      </c>
      <c r="D32" s="1">
        <f t="shared" si="1"/>
        <v>1.3148444444444445</v>
      </c>
    </row>
    <row r="33" spans="1:7" x14ac:dyDescent="0.25">
      <c r="A33" s="1">
        <v>2</v>
      </c>
      <c r="B33" s="1">
        <v>3</v>
      </c>
      <c r="C33" s="2">
        <f t="shared" si="0"/>
        <v>1</v>
      </c>
      <c r="D33" s="1">
        <f t="shared" si="1"/>
        <v>0.7281777777777777</v>
      </c>
    </row>
    <row r="34" spans="1:7" x14ac:dyDescent="0.25">
      <c r="A34" s="1">
        <v>4</v>
      </c>
      <c r="B34" s="1">
        <v>4</v>
      </c>
      <c r="C34" s="2">
        <f t="shared" si="0"/>
        <v>0</v>
      </c>
      <c r="D34" s="1">
        <f t="shared" si="1"/>
        <v>2.1511111111111113E-2</v>
      </c>
      <c r="F34" t="s">
        <v>9</v>
      </c>
    </row>
    <row r="35" spans="1:7" x14ac:dyDescent="0.25">
      <c r="A35" s="1">
        <v>3</v>
      </c>
      <c r="B35" s="1">
        <v>2</v>
      </c>
      <c r="C35" s="2">
        <f t="shared" si="0"/>
        <v>-1</v>
      </c>
      <c r="D35" s="1">
        <f t="shared" si="1"/>
        <v>1.3148444444444445</v>
      </c>
      <c r="F35" t="s">
        <v>10</v>
      </c>
    </row>
    <row r="36" spans="1:7" x14ac:dyDescent="0.25">
      <c r="A36" s="1">
        <v>1</v>
      </c>
      <c r="B36" s="1">
        <v>5</v>
      </c>
      <c r="C36" s="2">
        <f t="shared" si="0"/>
        <v>4</v>
      </c>
      <c r="D36" s="1">
        <f t="shared" si="1"/>
        <v>14.84817777777778</v>
      </c>
    </row>
    <row r="37" spans="1:7" x14ac:dyDescent="0.25">
      <c r="A37" s="1">
        <v>3</v>
      </c>
      <c r="B37" s="1">
        <v>2</v>
      </c>
      <c r="C37" s="2">
        <f t="shared" si="0"/>
        <v>-1</v>
      </c>
      <c r="D37" s="1">
        <f t="shared" si="1"/>
        <v>1.3148444444444445</v>
      </c>
    </row>
    <row r="38" spans="1:7" x14ac:dyDescent="0.25">
      <c r="A38" s="1">
        <v>4</v>
      </c>
      <c r="B38" s="1">
        <v>4</v>
      </c>
      <c r="C38" s="2">
        <f t="shared" si="0"/>
        <v>0</v>
      </c>
      <c r="D38" s="1">
        <f t="shared" si="1"/>
        <v>2.1511111111111113E-2</v>
      </c>
    </row>
    <row r="39" spans="1:7" x14ac:dyDescent="0.25">
      <c r="A39" s="1">
        <v>5</v>
      </c>
      <c r="B39" s="1">
        <v>5</v>
      </c>
      <c r="C39" s="2">
        <f t="shared" si="0"/>
        <v>0</v>
      </c>
      <c r="D39" s="1">
        <f t="shared" si="1"/>
        <v>2.1511111111111113E-2</v>
      </c>
      <c r="F39" s="6" t="s">
        <v>12</v>
      </c>
      <c r="G39" s="6"/>
    </row>
    <row r="40" spans="1:7" x14ac:dyDescent="0.25">
      <c r="A40" s="1">
        <v>2</v>
      </c>
      <c r="B40" s="1">
        <v>5</v>
      </c>
      <c r="C40" s="2">
        <f t="shared" si="0"/>
        <v>3</v>
      </c>
      <c r="D40" s="1">
        <f t="shared" si="1"/>
        <v>8.1415111111111127</v>
      </c>
      <c r="F40" t="s">
        <v>12</v>
      </c>
    </row>
    <row r="41" spans="1:7" x14ac:dyDescent="0.25">
      <c r="A41" s="1">
        <v>1</v>
      </c>
      <c r="B41" s="1">
        <v>4</v>
      </c>
      <c r="C41" s="2">
        <f t="shared" si="0"/>
        <v>3</v>
      </c>
      <c r="D41" s="1">
        <f t="shared" si="1"/>
        <v>8.1415111111111127</v>
      </c>
      <c r="F41" t="s">
        <v>24</v>
      </c>
      <c r="G41">
        <f>TTEST(A:A,B:B,2,1)</f>
        <v>0.49628690016755694</v>
      </c>
    </row>
    <row r="42" spans="1:7" x14ac:dyDescent="0.25">
      <c r="A42" s="1">
        <v>2</v>
      </c>
      <c r="B42" s="1">
        <v>1</v>
      </c>
      <c r="C42" s="2">
        <f t="shared" si="0"/>
        <v>-1</v>
      </c>
      <c r="D42" s="1">
        <f t="shared" si="1"/>
        <v>1.3148444444444445</v>
      </c>
      <c r="F42" t="s">
        <v>27</v>
      </c>
      <c r="G42">
        <f>TTEST(A:A,B:B,1,1)</f>
        <v>0.24814345008377847</v>
      </c>
    </row>
    <row r="43" spans="1:7" x14ac:dyDescent="0.25">
      <c r="A43" s="1">
        <v>2</v>
      </c>
      <c r="B43" s="1">
        <v>3</v>
      </c>
      <c r="C43" s="2">
        <f t="shared" si="0"/>
        <v>1</v>
      </c>
      <c r="D43" s="1">
        <f t="shared" si="1"/>
        <v>0.7281777777777777</v>
      </c>
    </row>
    <row r="44" spans="1:7" x14ac:dyDescent="0.25">
      <c r="A44" s="1">
        <v>2</v>
      </c>
      <c r="B44" s="1">
        <v>4</v>
      </c>
      <c r="C44" s="2">
        <f t="shared" si="0"/>
        <v>2</v>
      </c>
      <c r="D44" s="1">
        <f t="shared" si="1"/>
        <v>3.4348444444444444</v>
      </c>
    </row>
    <row r="45" spans="1:7" x14ac:dyDescent="0.25">
      <c r="A45" s="1">
        <v>3</v>
      </c>
      <c r="B45" s="1">
        <v>3</v>
      </c>
      <c r="C45" s="2">
        <f t="shared" si="0"/>
        <v>0</v>
      </c>
      <c r="D45" s="1">
        <f t="shared" si="1"/>
        <v>2.1511111111111113E-2</v>
      </c>
      <c r="F45" s="6" t="s">
        <v>15</v>
      </c>
      <c r="G45" s="6"/>
    </row>
    <row r="46" spans="1:7" x14ac:dyDescent="0.25">
      <c r="A46" s="1">
        <v>5</v>
      </c>
      <c r="B46" s="1">
        <v>4</v>
      </c>
      <c r="C46" s="2">
        <f t="shared" si="0"/>
        <v>-1</v>
      </c>
      <c r="D46" s="1">
        <f t="shared" si="1"/>
        <v>1.3148444444444445</v>
      </c>
    </row>
    <row r="47" spans="1:7" x14ac:dyDescent="0.25">
      <c r="A47" s="1">
        <v>3</v>
      </c>
      <c r="B47" s="1">
        <v>4</v>
      </c>
      <c r="C47" s="2">
        <f t="shared" si="0"/>
        <v>1</v>
      </c>
      <c r="D47" s="1">
        <f t="shared" si="1"/>
        <v>0.7281777777777777</v>
      </c>
      <c r="F47" t="s">
        <v>13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2.1511111111111113E-2</v>
      </c>
      <c r="F48" t="s">
        <v>14</v>
      </c>
    </row>
    <row r="49" spans="1:6" x14ac:dyDescent="0.25">
      <c r="A49" s="1">
        <v>4</v>
      </c>
      <c r="B49" s="1">
        <v>5</v>
      </c>
      <c r="C49" s="2">
        <f t="shared" si="0"/>
        <v>1</v>
      </c>
      <c r="D49" s="1">
        <f t="shared" si="1"/>
        <v>0.7281777777777777</v>
      </c>
    </row>
    <row r="50" spans="1:6" x14ac:dyDescent="0.25">
      <c r="A50" s="1">
        <v>1</v>
      </c>
      <c r="B50" s="1">
        <v>4</v>
      </c>
      <c r="C50" s="2">
        <f t="shared" si="0"/>
        <v>3</v>
      </c>
      <c r="D50" s="1">
        <f t="shared" si="1"/>
        <v>8.1415111111111127</v>
      </c>
      <c r="F50" t="s">
        <v>17</v>
      </c>
    </row>
    <row r="51" spans="1:6" x14ac:dyDescent="0.25">
      <c r="A51" s="1">
        <v>5</v>
      </c>
      <c r="B51" s="1">
        <v>5</v>
      </c>
      <c r="C51" s="2">
        <f t="shared" si="0"/>
        <v>0</v>
      </c>
      <c r="D51" s="1">
        <f t="shared" si="1"/>
        <v>2.1511111111111113E-2</v>
      </c>
      <c r="F51" t="s">
        <v>18</v>
      </c>
    </row>
    <row r="52" spans="1:6" x14ac:dyDescent="0.25">
      <c r="A52" s="1">
        <v>3</v>
      </c>
      <c r="B52" s="1">
        <v>3</v>
      </c>
      <c r="C52" s="2">
        <f t="shared" si="0"/>
        <v>0</v>
      </c>
      <c r="D52" s="1">
        <f t="shared" si="1"/>
        <v>2.1511111111111113E-2</v>
      </c>
    </row>
    <row r="53" spans="1:6" x14ac:dyDescent="0.25">
      <c r="A53" s="1">
        <v>4</v>
      </c>
      <c r="B53" s="1">
        <v>5</v>
      </c>
      <c r="C53" s="2">
        <f t="shared" si="0"/>
        <v>1</v>
      </c>
      <c r="D53" s="1">
        <f t="shared" si="1"/>
        <v>0.7281777777777777</v>
      </c>
    </row>
    <row r="54" spans="1:6" x14ac:dyDescent="0.25">
      <c r="A54" s="1">
        <v>3</v>
      </c>
      <c r="B54" s="1">
        <v>4</v>
      </c>
      <c r="C54" s="2">
        <f t="shared" si="0"/>
        <v>1</v>
      </c>
      <c r="D54" s="1">
        <f t="shared" si="1"/>
        <v>0.7281777777777777</v>
      </c>
    </row>
    <row r="55" spans="1:6" x14ac:dyDescent="0.25">
      <c r="A55" s="1">
        <v>2</v>
      </c>
      <c r="B55" s="1">
        <v>5</v>
      </c>
      <c r="C55" s="2">
        <f t="shared" si="0"/>
        <v>3</v>
      </c>
      <c r="D55" s="1">
        <f t="shared" si="1"/>
        <v>8.1415111111111127</v>
      </c>
    </row>
    <row r="56" spans="1:6" x14ac:dyDescent="0.25">
      <c r="A56" s="1">
        <v>5</v>
      </c>
      <c r="B56" s="1">
        <v>1</v>
      </c>
      <c r="C56" s="2">
        <f t="shared" si="0"/>
        <v>-4</v>
      </c>
      <c r="D56" s="1">
        <f t="shared" si="1"/>
        <v>17.194844444444442</v>
      </c>
      <c r="F56" s="6" t="s">
        <v>22</v>
      </c>
    </row>
    <row r="57" spans="1:6" x14ac:dyDescent="0.25">
      <c r="A57" s="1">
        <v>1</v>
      </c>
      <c r="B57" s="1">
        <v>4</v>
      </c>
      <c r="C57" s="2">
        <f t="shared" si="0"/>
        <v>3</v>
      </c>
      <c r="D57" s="1">
        <f t="shared" si="1"/>
        <v>8.1415111111111127</v>
      </c>
    </row>
    <row r="58" spans="1:6" x14ac:dyDescent="0.25">
      <c r="A58" s="1">
        <v>5</v>
      </c>
      <c r="B58" s="1">
        <v>3</v>
      </c>
      <c r="C58" s="2">
        <f t="shared" si="0"/>
        <v>-2</v>
      </c>
      <c r="D58" s="1">
        <f t="shared" si="1"/>
        <v>4.6081777777777768</v>
      </c>
      <c r="F58" t="s">
        <v>20</v>
      </c>
    </row>
    <row r="59" spans="1:6" x14ac:dyDescent="0.25">
      <c r="A59" s="1">
        <v>2</v>
      </c>
      <c r="B59" s="1">
        <v>4</v>
      </c>
      <c r="C59" s="2">
        <f t="shared" si="0"/>
        <v>2</v>
      </c>
      <c r="D59" s="1">
        <f t="shared" si="1"/>
        <v>3.4348444444444444</v>
      </c>
      <c r="F59" t="s">
        <v>19</v>
      </c>
    </row>
    <row r="60" spans="1:6" x14ac:dyDescent="0.25">
      <c r="A60" s="1">
        <v>2</v>
      </c>
      <c r="B60" s="1">
        <v>1</v>
      </c>
      <c r="C60" s="2">
        <f t="shared" si="0"/>
        <v>-1</v>
      </c>
      <c r="D60" s="1">
        <f t="shared" si="1"/>
        <v>1.3148444444444445</v>
      </c>
      <c r="F60" t="s">
        <v>21</v>
      </c>
    </row>
    <row r="61" spans="1:6" x14ac:dyDescent="0.25">
      <c r="A61" s="1">
        <v>2</v>
      </c>
      <c r="B61" s="1">
        <v>2</v>
      </c>
      <c r="C61" s="2">
        <f t="shared" si="0"/>
        <v>0</v>
      </c>
      <c r="D61" s="1">
        <f t="shared" si="1"/>
        <v>2.1511111111111113E-2</v>
      </c>
    </row>
    <row r="62" spans="1:6" x14ac:dyDescent="0.25">
      <c r="A62" s="1">
        <v>3</v>
      </c>
      <c r="B62" s="1">
        <v>5</v>
      </c>
      <c r="C62" s="2">
        <f t="shared" si="0"/>
        <v>2</v>
      </c>
      <c r="D62" s="1">
        <f t="shared" si="1"/>
        <v>3.4348444444444444</v>
      </c>
    </row>
    <row r="63" spans="1:6" x14ac:dyDescent="0.25">
      <c r="A63" s="1">
        <v>4</v>
      </c>
      <c r="B63" s="1">
        <v>2</v>
      </c>
      <c r="C63" s="2">
        <f t="shared" si="0"/>
        <v>-2</v>
      </c>
      <c r="D63" s="1">
        <f t="shared" si="1"/>
        <v>4.6081777777777768</v>
      </c>
    </row>
    <row r="64" spans="1:6" x14ac:dyDescent="0.25">
      <c r="A64" s="1">
        <v>3</v>
      </c>
      <c r="B64" s="1">
        <v>1</v>
      </c>
      <c r="C64" s="2">
        <f t="shared" si="0"/>
        <v>-2</v>
      </c>
      <c r="D64" s="1">
        <f t="shared" si="1"/>
        <v>4.6081777777777768</v>
      </c>
    </row>
    <row r="65" spans="1:6" x14ac:dyDescent="0.25">
      <c r="A65" s="1">
        <v>1</v>
      </c>
      <c r="B65" s="1">
        <v>4</v>
      </c>
      <c r="C65" s="2">
        <f t="shared" si="0"/>
        <v>3</v>
      </c>
      <c r="D65" s="1">
        <f t="shared" si="1"/>
        <v>8.1415111111111127</v>
      </c>
      <c r="F65" s="6" t="s">
        <v>22</v>
      </c>
    </row>
    <row r="66" spans="1:6" x14ac:dyDescent="0.25">
      <c r="A66" s="1">
        <v>3</v>
      </c>
      <c r="B66" s="1">
        <v>1</v>
      </c>
      <c r="C66" s="2">
        <f t="shared" si="0"/>
        <v>-2</v>
      </c>
      <c r="D66" s="1">
        <f t="shared" si="1"/>
        <v>4.6081777777777768</v>
      </c>
    </row>
    <row r="67" spans="1:6" x14ac:dyDescent="0.25">
      <c r="A67" s="1">
        <v>5</v>
      </c>
      <c r="B67" s="1">
        <v>3</v>
      </c>
      <c r="C67" s="2">
        <f t="shared" ref="C67:C76" si="2">B67-A67</f>
        <v>-2</v>
      </c>
      <c r="D67" s="1">
        <f t="shared" si="1"/>
        <v>4.6081777777777768</v>
      </c>
    </row>
    <row r="68" spans="1:6" x14ac:dyDescent="0.25">
      <c r="A68" s="1">
        <v>3</v>
      </c>
      <c r="B68" s="1">
        <v>3</v>
      </c>
      <c r="C68" s="2">
        <f t="shared" si="2"/>
        <v>0</v>
      </c>
      <c r="D68" s="1">
        <f t="shared" si="1"/>
        <v>2.1511111111111113E-2</v>
      </c>
    </row>
    <row r="69" spans="1:6" x14ac:dyDescent="0.25">
      <c r="A69" s="1">
        <v>5</v>
      </c>
      <c r="B69" s="1">
        <v>4</v>
      </c>
      <c r="C69" s="2">
        <f t="shared" si="2"/>
        <v>-1</v>
      </c>
      <c r="D69" s="1">
        <f t="shared" ref="D69:D76" si="3">(C69-$G$6)^2</f>
        <v>1.3148444444444445</v>
      </c>
    </row>
    <row r="70" spans="1:6" x14ac:dyDescent="0.25">
      <c r="A70" s="1">
        <v>5</v>
      </c>
      <c r="B70" s="1">
        <v>1</v>
      </c>
      <c r="C70" s="2">
        <f t="shared" si="2"/>
        <v>-4</v>
      </c>
      <c r="D70" s="1">
        <f t="shared" si="3"/>
        <v>17.194844444444442</v>
      </c>
    </row>
    <row r="71" spans="1:6" x14ac:dyDescent="0.25">
      <c r="A71" s="1">
        <v>1</v>
      </c>
      <c r="B71" s="1">
        <v>3</v>
      </c>
      <c r="C71" s="2">
        <f t="shared" si="2"/>
        <v>2</v>
      </c>
      <c r="D71" s="1">
        <f t="shared" si="3"/>
        <v>3.4348444444444444</v>
      </c>
    </row>
    <row r="72" spans="1:6" x14ac:dyDescent="0.25">
      <c r="A72" s="1">
        <v>3</v>
      </c>
      <c r="B72" s="1">
        <v>3</v>
      </c>
      <c r="C72" s="2">
        <f t="shared" si="2"/>
        <v>0</v>
      </c>
      <c r="D72" s="1">
        <f t="shared" si="3"/>
        <v>2.1511111111111113E-2</v>
      </c>
      <c r="F72" t="s">
        <v>23</v>
      </c>
    </row>
    <row r="73" spans="1:6" x14ac:dyDescent="0.25">
      <c r="A73" s="1">
        <v>4</v>
      </c>
      <c r="B73" s="1">
        <v>5</v>
      </c>
      <c r="C73" s="2">
        <f t="shared" si="2"/>
        <v>1</v>
      </c>
      <c r="D73" s="1">
        <f t="shared" si="3"/>
        <v>0.7281777777777777</v>
      </c>
      <c r="F73" t="s">
        <v>21</v>
      </c>
    </row>
    <row r="74" spans="1:6" x14ac:dyDescent="0.25">
      <c r="A74" s="1">
        <v>4</v>
      </c>
      <c r="B74" s="1">
        <v>5</v>
      </c>
      <c r="C74" s="2">
        <f t="shared" si="2"/>
        <v>1</v>
      </c>
      <c r="D74" s="1">
        <f t="shared" si="3"/>
        <v>0.7281777777777777</v>
      </c>
      <c r="F74" t="s">
        <v>23</v>
      </c>
    </row>
    <row r="75" spans="1:6" x14ac:dyDescent="0.25">
      <c r="A75" s="1">
        <v>2</v>
      </c>
      <c r="B75" s="1">
        <v>1</v>
      </c>
      <c r="C75" s="2">
        <f t="shared" si="2"/>
        <v>-1</v>
      </c>
      <c r="D75" s="1">
        <f t="shared" si="3"/>
        <v>1.3148444444444445</v>
      </c>
      <c r="F75" t="s">
        <v>21</v>
      </c>
    </row>
    <row r="76" spans="1:6" x14ac:dyDescent="0.25">
      <c r="A76" s="1">
        <v>3</v>
      </c>
      <c r="B76" s="1">
        <v>3</v>
      </c>
      <c r="C76" s="2">
        <f t="shared" si="2"/>
        <v>0</v>
      </c>
      <c r="D76" s="1">
        <f t="shared" si="3"/>
        <v>2.1511111111111113E-2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AF42-F83B-4FAC-BB1D-D6E79248EF36}">
  <dimension ref="A1:G93"/>
  <sheetViews>
    <sheetView topLeftCell="D17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1" customHeight="1" x14ac:dyDescent="0.25">
      <c r="A1" s="3" t="s">
        <v>32</v>
      </c>
      <c r="B1" s="3" t="s">
        <v>35</v>
      </c>
      <c r="C1" s="5" t="s">
        <v>0</v>
      </c>
      <c r="D1" s="5"/>
    </row>
    <row r="2" spans="1:7" x14ac:dyDescent="0.25">
      <c r="A2" s="1">
        <v>2</v>
      </c>
      <c r="B2" s="1">
        <v>4</v>
      </c>
      <c r="C2" s="2">
        <f>B2-A2</f>
        <v>2</v>
      </c>
      <c r="D2" s="1">
        <f>(C2-$G$6)^2</f>
        <v>3.5343999999999998</v>
      </c>
    </row>
    <row r="3" spans="1:7" x14ac:dyDescent="0.25">
      <c r="A3" s="1">
        <v>5</v>
      </c>
      <c r="B3" s="1">
        <v>3</v>
      </c>
      <c r="C3" s="2">
        <f t="shared" ref="C3:C66" si="0">B3-A3</f>
        <v>-2</v>
      </c>
      <c r="D3" s="1">
        <f>(C3-$G$6)^2</f>
        <v>4.4944000000000006</v>
      </c>
      <c r="F3" s="6" t="s">
        <v>16</v>
      </c>
      <c r="G3" s="6"/>
    </row>
    <row r="4" spans="1:7" x14ac:dyDescent="0.25">
      <c r="A4" s="1">
        <v>2</v>
      </c>
      <c r="B4" s="1">
        <v>3</v>
      </c>
      <c r="C4" s="2">
        <f t="shared" si="0"/>
        <v>1</v>
      </c>
      <c r="D4" s="1">
        <f>(C4-$G$6)^2</f>
        <v>0.77439999999999998</v>
      </c>
      <c r="F4" t="s">
        <v>4</v>
      </c>
      <c r="G4">
        <f>COUNT(A:A)</f>
        <v>75</v>
      </c>
    </row>
    <row r="5" spans="1:7" x14ac:dyDescent="0.25">
      <c r="A5" s="1">
        <v>2</v>
      </c>
      <c r="B5" s="1">
        <v>5</v>
      </c>
      <c r="C5" s="2">
        <f t="shared" si="0"/>
        <v>3</v>
      </c>
      <c r="D5" s="1">
        <f t="shared" ref="D5:D68" si="1">(C5-$G$6)^2</f>
        <v>8.2943999999999996</v>
      </c>
      <c r="F5" t="s">
        <v>2</v>
      </c>
      <c r="G5">
        <f>SUM(C:C)</f>
        <v>9</v>
      </c>
    </row>
    <row r="6" spans="1:7" x14ac:dyDescent="0.25">
      <c r="A6" s="1">
        <v>3</v>
      </c>
      <c r="B6" s="1">
        <v>3</v>
      </c>
      <c r="C6" s="2">
        <f t="shared" si="0"/>
        <v>0</v>
      </c>
      <c r="D6" s="1">
        <f t="shared" si="1"/>
        <v>1.44E-2</v>
      </c>
      <c r="F6" t="s">
        <v>1</v>
      </c>
      <c r="G6">
        <f>G5/G4</f>
        <v>0.12</v>
      </c>
    </row>
    <row r="7" spans="1:7" x14ac:dyDescent="0.25">
      <c r="A7" s="1">
        <v>3</v>
      </c>
      <c r="B7" s="1">
        <v>2</v>
      </c>
      <c r="C7" s="2">
        <f t="shared" si="0"/>
        <v>-1</v>
      </c>
      <c r="D7" s="1">
        <f t="shared" si="1"/>
        <v>1.2544000000000002</v>
      </c>
      <c r="F7" t="s">
        <v>3</v>
      </c>
      <c r="G7">
        <f>SUM(D:D)</f>
        <v>153.92000000000002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1.2544000000000002</v>
      </c>
      <c r="F8" t="s">
        <v>5</v>
      </c>
      <c r="G8">
        <f>SQRT(G7/(G4-1))</f>
        <v>1.4422205101855958</v>
      </c>
    </row>
    <row r="9" spans="1:7" x14ac:dyDescent="0.25">
      <c r="A9" s="1">
        <v>5</v>
      </c>
      <c r="B9" s="1">
        <v>5</v>
      </c>
      <c r="C9" s="2">
        <f t="shared" si="0"/>
        <v>0</v>
      </c>
      <c r="D9" s="1">
        <f t="shared" si="1"/>
        <v>1.44E-2</v>
      </c>
    </row>
    <row r="10" spans="1:7" x14ac:dyDescent="0.25">
      <c r="A10" s="1">
        <v>4</v>
      </c>
      <c r="B10" s="1">
        <v>1</v>
      </c>
      <c r="C10" s="2">
        <f t="shared" si="0"/>
        <v>-3</v>
      </c>
      <c r="D10" s="1">
        <f t="shared" si="1"/>
        <v>9.7344000000000008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1.2544000000000002</v>
      </c>
    </row>
    <row r="12" spans="1:7" x14ac:dyDescent="0.25">
      <c r="A12" s="1">
        <v>5</v>
      </c>
      <c r="B12" s="1">
        <v>4</v>
      </c>
      <c r="C12" s="2">
        <f t="shared" si="0"/>
        <v>-1</v>
      </c>
      <c r="D12" s="1">
        <f t="shared" si="1"/>
        <v>1.2544000000000002</v>
      </c>
      <c r="F12" t="s">
        <v>11</v>
      </c>
      <c r="G12">
        <f>G6/(G8/SQRT(G4))</f>
        <v>0.7205766921228921</v>
      </c>
    </row>
    <row r="13" spans="1:7" x14ac:dyDescent="0.25">
      <c r="A13" s="1">
        <v>2</v>
      </c>
      <c r="B13" s="1">
        <v>2</v>
      </c>
      <c r="C13" s="2">
        <f t="shared" si="0"/>
        <v>0</v>
      </c>
      <c r="D13" s="1">
        <f t="shared" si="1"/>
        <v>1.44E-2</v>
      </c>
    </row>
    <row r="14" spans="1:7" x14ac:dyDescent="0.25">
      <c r="A14" s="1">
        <v>3</v>
      </c>
      <c r="B14" s="1">
        <v>1</v>
      </c>
      <c r="C14" s="2">
        <f t="shared" si="0"/>
        <v>-2</v>
      </c>
      <c r="D14" s="1">
        <f t="shared" si="1"/>
        <v>4.4944000000000006</v>
      </c>
    </row>
    <row r="15" spans="1:7" x14ac:dyDescent="0.25">
      <c r="A15" s="1">
        <v>4</v>
      </c>
      <c r="B15" s="1">
        <v>4</v>
      </c>
      <c r="C15" s="2">
        <f t="shared" si="0"/>
        <v>0</v>
      </c>
      <c r="D15" s="1">
        <f t="shared" si="1"/>
        <v>1.44E-2</v>
      </c>
    </row>
    <row r="16" spans="1:7" x14ac:dyDescent="0.25">
      <c r="A16" s="1">
        <v>3</v>
      </c>
      <c r="B16" s="1">
        <v>3</v>
      </c>
      <c r="C16" s="2">
        <f t="shared" si="0"/>
        <v>0</v>
      </c>
      <c r="D16" s="1">
        <f t="shared" si="1"/>
        <v>1.44E-2</v>
      </c>
    </row>
    <row r="17" spans="1:7" x14ac:dyDescent="0.25">
      <c r="A17" s="1">
        <v>5</v>
      </c>
      <c r="B17" s="1">
        <v>4</v>
      </c>
      <c r="C17" s="2">
        <f t="shared" si="0"/>
        <v>-1</v>
      </c>
      <c r="D17" s="1">
        <f t="shared" si="1"/>
        <v>1.2544000000000002</v>
      </c>
      <c r="F17" t="s">
        <v>6</v>
      </c>
      <c r="G17">
        <v>0.05</v>
      </c>
    </row>
    <row r="18" spans="1:7" x14ac:dyDescent="0.25">
      <c r="A18" s="1">
        <v>3</v>
      </c>
      <c r="B18" s="1">
        <v>3</v>
      </c>
      <c r="C18" s="2">
        <f t="shared" si="0"/>
        <v>0</v>
      </c>
      <c r="D18" s="1">
        <f t="shared" si="1"/>
        <v>1.44E-2</v>
      </c>
      <c r="F18" t="s">
        <v>7</v>
      </c>
      <c r="G18">
        <f>G4-1</f>
        <v>74</v>
      </c>
    </row>
    <row r="19" spans="1:7" x14ac:dyDescent="0.25">
      <c r="A19" s="1">
        <v>4</v>
      </c>
      <c r="B19" s="1">
        <v>2</v>
      </c>
      <c r="C19" s="2">
        <f t="shared" si="0"/>
        <v>-2</v>
      </c>
      <c r="D19" s="1">
        <f t="shared" si="1"/>
        <v>4.4944000000000006</v>
      </c>
    </row>
    <row r="20" spans="1:7" x14ac:dyDescent="0.25">
      <c r="A20" s="1">
        <v>3</v>
      </c>
      <c r="B20" s="1">
        <v>2</v>
      </c>
      <c r="C20" s="2">
        <f t="shared" si="0"/>
        <v>-1</v>
      </c>
      <c r="D20" s="1">
        <f t="shared" si="1"/>
        <v>1.2544000000000002</v>
      </c>
    </row>
    <row r="21" spans="1:7" x14ac:dyDescent="0.25">
      <c r="A21" s="1">
        <v>3</v>
      </c>
      <c r="B21" s="1">
        <v>1</v>
      </c>
      <c r="C21" s="2">
        <f t="shared" si="0"/>
        <v>-2</v>
      </c>
      <c r="D21" s="1">
        <f t="shared" si="1"/>
        <v>4.4944000000000006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0.77439999999999998</v>
      </c>
      <c r="F22" s="6" t="s">
        <v>8</v>
      </c>
      <c r="G22" s="6"/>
    </row>
    <row r="23" spans="1:7" x14ac:dyDescent="0.25">
      <c r="A23" s="1">
        <v>5</v>
      </c>
      <c r="B23" s="1">
        <v>3</v>
      </c>
      <c r="C23" s="2">
        <f t="shared" si="0"/>
        <v>-2</v>
      </c>
      <c r="D23" s="1">
        <f t="shared" si="1"/>
        <v>4.4944000000000006</v>
      </c>
      <c r="F23" t="s">
        <v>25</v>
      </c>
      <c r="G23">
        <f>_xlfn.T.INV.2T(G17,G18)</f>
        <v>1.992543495180934</v>
      </c>
    </row>
    <row r="24" spans="1:7" x14ac:dyDescent="0.25">
      <c r="A24" s="1">
        <v>3</v>
      </c>
      <c r="B24" s="1">
        <v>1</v>
      </c>
      <c r="C24" s="2">
        <f t="shared" si="0"/>
        <v>-2</v>
      </c>
      <c r="D24" s="1">
        <f t="shared" si="1"/>
        <v>4.4944000000000006</v>
      </c>
      <c r="F24" t="s">
        <v>26</v>
      </c>
      <c r="G24">
        <f>_xlfn.T.INV(G17,G18)</f>
        <v>-1.6657068927340244</v>
      </c>
    </row>
    <row r="25" spans="1:7" x14ac:dyDescent="0.25">
      <c r="A25" s="1">
        <v>2</v>
      </c>
      <c r="B25" s="1">
        <v>2</v>
      </c>
      <c r="C25" s="2">
        <f t="shared" si="0"/>
        <v>0</v>
      </c>
      <c r="D25" s="1">
        <f t="shared" si="1"/>
        <v>1.44E-2</v>
      </c>
    </row>
    <row r="26" spans="1:7" x14ac:dyDescent="0.25">
      <c r="A26" s="1">
        <v>3</v>
      </c>
      <c r="B26" s="1">
        <v>3</v>
      </c>
      <c r="C26" s="2">
        <f t="shared" si="0"/>
        <v>0</v>
      </c>
      <c r="D26" s="1">
        <f t="shared" si="1"/>
        <v>1.44E-2</v>
      </c>
    </row>
    <row r="27" spans="1:7" x14ac:dyDescent="0.25">
      <c r="A27" s="1">
        <v>5</v>
      </c>
      <c r="B27" s="1">
        <v>5</v>
      </c>
      <c r="C27" s="2">
        <f t="shared" si="0"/>
        <v>0</v>
      </c>
      <c r="D27" s="1">
        <f t="shared" si="1"/>
        <v>1.44E-2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1.44E-2</v>
      </c>
    </row>
    <row r="29" spans="1:7" x14ac:dyDescent="0.25">
      <c r="A29" s="1">
        <v>4</v>
      </c>
      <c r="B29" s="1">
        <v>5</v>
      </c>
      <c r="C29" s="2">
        <f t="shared" si="0"/>
        <v>1</v>
      </c>
      <c r="D29" s="1">
        <f t="shared" si="1"/>
        <v>0.77439999999999998</v>
      </c>
    </row>
    <row r="30" spans="1:7" x14ac:dyDescent="0.25">
      <c r="A30" s="1">
        <v>2</v>
      </c>
      <c r="B30" s="1">
        <v>3</v>
      </c>
      <c r="C30" s="2">
        <f t="shared" si="0"/>
        <v>1</v>
      </c>
      <c r="D30" s="1">
        <f t="shared" si="1"/>
        <v>0.77439999999999998</v>
      </c>
    </row>
    <row r="31" spans="1:7" x14ac:dyDescent="0.25">
      <c r="A31" s="1">
        <v>5</v>
      </c>
      <c r="B31" s="1">
        <v>4</v>
      </c>
      <c r="C31" s="2">
        <f t="shared" si="0"/>
        <v>-1</v>
      </c>
      <c r="D31" s="1">
        <f t="shared" si="1"/>
        <v>1.2544000000000002</v>
      </c>
    </row>
    <row r="32" spans="1:7" x14ac:dyDescent="0.25">
      <c r="A32" s="1">
        <v>3</v>
      </c>
      <c r="B32" s="1">
        <v>3</v>
      </c>
      <c r="C32" s="2">
        <f t="shared" si="0"/>
        <v>0</v>
      </c>
      <c r="D32" s="1">
        <f t="shared" si="1"/>
        <v>1.44E-2</v>
      </c>
    </row>
    <row r="33" spans="1:7" x14ac:dyDescent="0.25">
      <c r="A33" s="1">
        <v>2</v>
      </c>
      <c r="B33" s="1">
        <v>3</v>
      </c>
      <c r="C33" s="2">
        <f t="shared" si="0"/>
        <v>1</v>
      </c>
      <c r="D33" s="1">
        <f t="shared" si="1"/>
        <v>0.77439999999999998</v>
      </c>
    </row>
    <row r="34" spans="1:7" x14ac:dyDescent="0.25">
      <c r="A34" s="1">
        <v>3</v>
      </c>
      <c r="B34" s="1">
        <v>4</v>
      </c>
      <c r="C34" s="2">
        <f t="shared" si="0"/>
        <v>1</v>
      </c>
      <c r="D34" s="1">
        <f t="shared" si="1"/>
        <v>0.77439999999999998</v>
      </c>
      <c r="F34" t="s">
        <v>9</v>
      </c>
    </row>
    <row r="35" spans="1:7" x14ac:dyDescent="0.25">
      <c r="A35" s="1">
        <v>3</v>
      </c>
      <c r="B35" s="1">
        <v>4</v>
      </c>
      <c r="C35" s="2">
        <f t="shared" si="0"/>
        <v>1</v>
      </c>
      <c r="D35" s="1">
        <f t="shared" si="1"/>
        <v>0.77439999999999998</v>
      </c>
      <c r="F35" t="s">
        <v>10</v>
      </c>
    </row>
    <row r="36" spans="1:7" x14ac:dyDescent="0.25">
      <c r="A36" s="1">
        <v>2</v>
      </c>
      <c r="B36" s="1">
        <v>3</v>
      </c>
      <c r="C36" s="2">
        <f t="shared" si="0"/>
        <v>1</v>
      </c>
      <c r="D36" s="1">
        <f t="shared" si="1"/>
        <v>0.77439999999999998</v>
      </c>
    </row>
    <row r="37" spans="1:7" x14ac:dyDescent="0.25">
      <c r="A37" s="1">
        <v>2</v>
      </c>
      <c r="B37" s="1">
        <v>2</v>
      </c>
      <c r="C37" s="2">
        <f t="shared" si="0"/>
        <v>0</v>
      </c>
      <c r="D37" s="1">
        <f t="shared" si="1"/>
        <v>1.44E-2</v>
      </c>
    </row>
    <row r="38" spans="1:7" x14ac:dyDescent="0.25">
      <c r="A38" s="1">
        <v>1</v>
      </c>
      <c r="B38" s="1">
        <v>2</v>
      </c>
      <c r="C38" s="2">
        <f t="shared" si="0"/>
        <v>1</v>
      </c>
      <c r="D38" s="1">
        <f t="shared" si="1"/>
        <v>0.77439999999999998</v>
      </c>
    </row>
    <row r="39" spans="1:7" x14ac:dyDescent="0.25">
      <c r="A39" s="1">
        <v>3</v>
      </c>
      <c r="B39" s="1">
        <v>2</v>
      </c>
      <c r="C39" s="2">
        <f t="shared" si="0"/>
        <v>-1</v>
      </c>
      <c r="D39" s="1">
        <f t="shared" si="1"/>
        <v>1.2544000000000002</v>
      </c>
      <c r="F39" s="6" t="s">
        <v>12</v>
      </c>
      <c r="G39" s="6"/>
    </row>
    <row r="40" spans="1:7" x14ac:dyDescent="0.25">
      <c r="A40" s="1">
        <v>4</v>
      </c>
      <c r="B40" s="1">
        <v>3</v>
      </c>
      <c r="C40" s="2">
        <f t="shared" si="0"/>
        <v>-1</v>
      </c>
      <c r="D40" s="1">
        <f t="shared" si="1"/>
        <v>1.2544000000000002</v>
      </c>
      <c r="F40" t="s">
        <v>12</v>
      </c>
    </row>
    <row r="41" spans="1:7" x14ac:dyDescent="0.25">
      <c r="A41" s="1">
        <v>3</v>
      </c>
      <c r="B41" s="1">
        <v>5</v>
      </c>
      <c r="C41" s="2">
        <f t="shared" si="0"/>
        <v>2</v>
      </c>
      <c r="D41" s="1">
        <f t="shared" si="1"/>
        <v>3.5343999999999998</v>
      </c>
      <c r="F41" t="s">
        <v>24</v>
      </c>
      <c r="G41">
        <f>TTEST(A:A,B:B,2,1)</f>
        <v>0.47344016080144746</v>
      </c>
    </row>
    <row r="42" spans="1:7" x14ac:dyDescent="0.25">
      <c r="A42" s="1">
        <v>1</v>
      </c>
      <c r="B42" s="1">
        <v>3</v>
      </c>
      <c r="C42" s="2">
        <f t="shared" si="0"/>
        <v>2</v>
      </c>
      <c r="D42" s="1">
        <f t="shared" si="1"/>
        <v>3.5343999999999998</v>
      </c>
      <c r="F42" t="s">
        <v>27</v>
      </c>
      <c r="G42">
        <f>TTEST(A:A,B:B,1,1)</f>
        <v>0.23672008040072373</v>
      </c>
    </row>
    <row r="43" spans="1:7" x14ac:dyDescent="0.25">
      <c r="A43" s="1">
        <v>2</v>
      </c>
      <c r="B43" s="1">
        <v>1</v>
      </c>
      <c r="C43" s="2">
        <f t="shared" si="0"/>
        <v>-1</v>
      </c>
      <c r="D43" s="1">
        <f t="shared" si="1"/>
        <v>1.2544000000000002</v>
      </c>
    </row>
    <row r="44" spans="1:7" x14ac:dyDescent="0.25">
      <c r="A44" s="1">
        <v>3</v>
      </c>
      <c r="B44" s="1">
        <v>4</v>
      </c>
      <c r="C44" s="2">
        <f t="shared" si="0"/>
        <v>1</v>
      </c>
      <c r="D44" s="1">
        <f t="shared" si="1"/>
        <v>0.77439999999999998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1.44E-2</v>
      </c>
      <c r="F45" s="6" t="s">
        <v>15</v>
      </c>
      <c r="G45" s="6"/>
    </row>
    <row r="46" spans="1:7" x14ac:dyDescent="0.25">
      <c r="A46" s="1">
        <v>2</v>
      </c>
      <c r="B46" s="1">
        <v>2</v>
      </c>
      <c r="C46" s="2">
        <f t="shared" si="0"/>
        <v>0</v>
      </c>
      <c r="D46" s="1">
        <f t="shared" si="1"/>
        <v>1.44E-2</v>
      </c>
    </row>
    <row r="47" spans="1:7" x14ac:dyDescent="0.25">
      <c r="A47" s="1">
        <v>4</v>
      </c>
      <c r="B47" s="1">
        <v>4</v>
      </c>
      <c r="C47" s="2">
        <f t="shared" si="0"/>
        <v>0</v>
      </c>
      <c r="D47" s="1">
        <f t="shared" si="1"/>
        <v>1.44E-2</v>
      </c>
      <c r="F47" t="s">
        <v>13</v>
      </c>
    </row>
    <row r="48" spans="1:7" x14ac:dyDescent="0.25">
      <c r="A48" s="1">
        <v>3</v>
      </c>
      <c r="B48" s="1">
        <v>2</v>
      </c>
      <c r="C48" s="2">
        <f t="shared" si="0"/>
        <v>-1</v>
      </c>
      <c r="D48" s="1">
        <f t="shared" si="1"/>
        <v>1.2544000000000002</v>
      </c>
      <c r="F48" t="s">
        <v>14</v>
      </c>
    </row>
    <row r="49" spans="1:6" x14ac:dyDescent="0.25">
      <c r="A49" s="1">
        <v>1</v>
      </c>
      <c r="B49" s="1">
        <v>4</v>
      </c>
      <c r="C49" s="2">
        <f t="shared" si="0"/>
        <v>3</v>
      </c>
      <c r="D49" s="1">
        <f t="shared" si="1"/>
        <v>8.2943999999999996</v>
      </c>
    </row>
    <row r="50" spans="1:6" x14ac:dyDescent="0.25">
      <c r="A50" s="1">
        <v>3</v>
      </c>
      <c r="B50" s="1">
        <v>5</v>
      </c>
      <c r="C50" s="2">
        <f t="shared" si="0"/>
        <v>2</v>
      </c>
      <c r="D50" s="1">
        <f t="shared" si="1"/>
        <v>3.5343999999999998</v>
      </c>
      <c r="F50" t="s">
        <v>17</v>
      </c>
    </row>
    <row r="51" spans="1:6" x14ac:dyDescent="0.25">
      <c r="A51" s="1">
        <v>2</v>
      </c>
      <c r="B51" s="1">
        <v>2</v>
      </c>
      <c r="C51" s="2">
        <f t="shared" si="0"/>
        <v>0</v>
      </c>
      <c r="D51" s="1">
        <f t="shared" si="1"/>
        <v>1.44E-2</v>
      </c>
      <c r="F51" t="s">
        <v>18</v>
      </c>
    </row>
    <row r="52" spans="1:6" x14ac:dyDescent="0.25">
      <c r="A52" s="1">
        <v>2</v>
      </c>
      <c r="B52" s="1">
        <v>2</v>
      </c>
      <c r="C52" s="2">
        <f t="shared" si="0"/>
        <v>0</v>
      </c>
      <c r="D52" s="1">
        <f t="shared" si="1"/>
        <v>1.44E-2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1.44E-2</v>
      </c>
    </row>
    <row r="54" spans="1:6" x14ac:dyDescent="0.25">
      <c r="A54" s="1">
        <v>3</v>
      </c>
      <c r="B54" s="1">
        <v>2</v>
      </c>
      <c r="C54" s="2">
        <f t="shared" si="0"/>
        <v>-1</v>
      </c>
      <c r="D54" s="1">
        <f t="shared" si="1"/>
        <v>1.2544000000000002</v>
      </c>
    </row>
    <row r="55" spans="1:6" x14ac:dyDescent="0.25">
      <c r="A55" s="1">
        <v>4</v>
      </c>
      <c r="B55" s="1">
        <v>2</v>
      </c>
      <c r="C55" s="2">
        <f t="shared" si="0"/>
        <v>-2</v>
      </c>
      <c r="D55" s="1">
        <f t="shared" si="1"/>
        <v>4.4944000000000006</v>
      </c>
    </row>
    <row r="56" spans="1:6" x14ac:dyDescent="0.25">
      <c r="A56" s="1">
        <v>4</v>
      </c>
      <c r="B56" s="1">
        <v>4</v>
      </c>
      <c r="C56" s="2">
        <f t="shared" si="0"/>
        <v>0</v>
      </c>
      <c r="D56" s="1">
        <f t="shared" si="1"/>
        <v>1.44E-2</v>
      </c>
      <c r="F56" s="6" t="s">
        <v>22</v>
      </c>
    </row>
    <row r="57" spans="1:6" x14ac:dyDescent="0.25">
      <c r="A57" s="1">
        <v>2</v>
      </c>
      <c r="B57" s="1">
        <v>4</v>
      </c>
      <c r="C57" s="2">
        <f t="shared" si="0"/>
        <v>2</v>
      </c>
      <c r="D57" s="1">
        <f t="shared" si="1"/>
        <v>3.5343999999999998</v>
      </c>
    </row>
    <row r="58" spans="1:6" x14ac:dyDescent="0.25">
      <c r="A58" s="1">
        <v>2</v>
      </c>
      <c r="B58" s="1">
        <v>4</v>
      </c>
      <c r="C58" s="2">
        <f t="shared" si="0"/>
        <v>2</v>
      </c>
      <c r="D58" s="1">
        <f t="shared" si="1"/>
        <v>3.5343999999999998</v>
      </c>
      <c r="F58" t="s">
        <v>20</v>
      </c>
    </row>
    <row r="59" spans="1:6" x14ac:dyDescent="0.25">
      <c r="A59" s="1">
        <v>3</v>
      </c>
      <c r="B59" s="1">
        <v>1</v>
      </c>
      <c r="C59" s="2">
        <f t="shared" si="0"/>
        <v>-2</v>
      </c>
      <c r="D59" s="1">
        <f t="shared" si="1"/>
        <v>4.4944000000000006</v>
      </c>
      <c r="F59" t="s">
        <v>19</v>
      </c>
    </row>
    <row r="60" spans="1:6" x14ac:dyDescent="0.25">
      <c r="A60" s="1">
        <v>4</v>
      </c>
      <c r="B60" s="1">
        <v>3</v>
      </c>
      <c r="C60" s="2">
        <f t="shared" si="0"/>
        <v>-1</v>
      </c>
      <c r="D60" s="1">
        <f t="shared" si="1"/>
        <v>1.2544000000000002</v>
      </c>
      <c r="F60" t="s">
        <v>21</v>
      </c>
    </row>
    <row r="61" spans="1:6" x14ac:dyDescent="0.25">
      <c r="A61" s="1">
        <v>5</v>
      </c>
      <c r="B61" s="1">
        <v>4</v>
      </c>
      <c r="C61" s="2">
        <f t="shared" si="0"/>
        <v>-1</v>
      </c>
      <c r="D61" s="1">
        <f t="shared" si="1"/>
        <v>1.2544000000000002</v>
      </c>
    </row>
    <row r="62" spans="1:6" x14ac:dyDescent="0.25">
      <c r="A62" s="1">
        <v>2</v>
      </c>
      <c r="B62" s="1">
        <v>3</v>
      </c>
      <c r="C62" s="2">
        <f t="shared" si="0"/>
        <v>1</v>
      </c>
      <c r="D62" s="1">
        <f t="shared" si="1"/>
        <v>0.77439999999999998</v>
      </c>
    </row>
    <row r="63" spans="1:6" x14ac:dyDescent="0.25">
      <c r="A63" s="1">
        <v>4</v>
      </c>
      <c r="B63" s="1">
        <v>5</v>
      </c>
      <c r="C63" s="2">
        <f t="shared" si="0"/>
        <v>1</v>
      </c>
      <c r="D63" s="1">
        <f t="shared" si="1"/>
        <v>0.77439999999999998</v>
      </c>
    </row>
    <row r="64" spans="1:6" x14ac:dyDescent="0.25">
      <c r="A64" s="1">
        <v>2</v>
      </c>
      <c r="B64" s="1">
        <v>5</v>
      </c>
      <c r="C64" s="2">
        <f t="shared" si="0"/>
        <v>3</v>
      </c>
      <c r="D64" s="1">
        <f t="shared" si="1"/>
        <v>8.2943999999999996</v>
      </c>
    </row>
    <row r="65" spans="1:6" x14ac:dyDescent="0.25">
      <c r="A65" s="1">
        <v>1</v>
      </c>
      <c r="B65" s="1">
        <v>3</v>
      </c>
      <c r="C65" s="2">
        <f t="shared" si="0"/>
        <v>2</v>
      </c>
      <c r="D65" s="1">
        <f t="shared" si="1"/>
        <v>3.5343999999999998</v>
      </c>
      <c r="F65" s="6" t="s">
        <v>22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1.44E-2</v>
      </c>
    </row>
    <row r="67" spans="1:6" x14ac:dyDescent="0.25">
      <c r="A67" s="1">
        <v>1</v>
      </c>
      <c r="B67" s="1">
        <v>3</v>
      </c>
      <c r="C67" s="2">
        <f t="shared" ref="C67:C76" si="2">B67-A67</f>
        <v>2</v>
      </c>
      <c r="D67" s="1">
        <f t="shared" si="1"/>
        <v>3.5343999999999998</v>
      </c>
    </row>
    <row r="68" spans="1:6" x14ac:dyDescent="0.25">
      <c r="A68" s="1">
        <v>1</v>
      </c>
      <c r="B68" s="1">
        <v>4</v>
      </c>
      <c r="C68" s="2">
        <f t="shared" si="2"/>
        <v>3</v>
      </c>
      <c r="D68" s="1">
        <f t="shared" si="1"/>
        <v>8.2943999999999996</v>
      </c>
    </row>
    <row r="69" spans="1:6" x14ac:dyDescent="0.25">
      <c r="A69" s="1">
        <v>4</v>
      </c>
      <c r="B69" s="1">
        <v>3</v>
      </c>
      <c r="C69" s="2">
        <f t="shared" si="2"/>
        <v>-1</v>
      </c>
      <c r="D69" s="1">
        <f t="shared" ref="D69:D76" si="3">(C69-$G$6)^2</f>
        <v>1.2544000000000002</v>
      </c>
    </row>
    <row r="70" spans="1:6" x14ac:dyDescent="0.25">
      <c r="A70" s="1">
        <v>3</v>
      </c>
      <c r="B70" s="1">
        <v>3</v>
      </c>
      <c r="C70" s="2">
        <f t="shared" si="2"/>
        <v>0</v>
      </c>
      <c r="D70" s="1">
        <f t="shared" si="3"/>
        <v>1.44E-2</v>
      </c>
    </row>
    <row r="71" spans="1:6" x14ac:dyDescent="0.25">
      <c r="A71" s="1">
        <v>4</v>
      </c>
      <c r="B71" s="1">
        <v>3</v>
      </c>
      <c r="C71" s="2">
        <f t="shared" si="2"/>
        <v>-1</v>
      </c>
      <c r="D71" s="1">
        <f t="shared" si="3"/>
        <v>1.2544000000000002</v>
      </c>
    </row>
    <row r="72" spans="1:6" x14ac:dyDescent="0.25">
      <c r="A72" s="1">
        <v>1</v>
      </c>
      <c r="B72" s="1">
        <v>3</v>
      </c>
      <c r="C72" s="2">
        <f t="shared" si="2"/>
        <v>2</v>
      </c>
      <c r="D72" s="1">
        <f t="shared" si="3"/>
        <v>3.5343999999999998</v>
      </c>
      <c r="F72" t="s">
        <v>23</v>
      </c>
    </row>
    <row r="73" spans="1:6" x14ac:dyDescent="0.25">
      <c r="A73" s="1">
        <v>3</v>
      </c>
      <c r="B73" s="1">
        <v>4</v>
      </c>
      <c r="C73" s="2">
        <f t="shared" si="2"/>
        <v>1</v>
      </c>
      <c r="D73" s="1">
        <f t="shared" si="3"/>
        <v>0.77439999999999998</v>
      </c>
      <c r="F73" t="s">
        <v>21</v>
      </c>
    </row>
    <row r="74" spans="1:6" x14ac:dyDescent="0.25">
      <c r="A74" s="1">
        <v>4</v>
      </c>
      <c r="B74" s="1">
        <v>2</v>
      </c>
      <c r="C74" s="2">
        <f t="shared" si="2"/>
        <v>-2</v>
      </c>
      <c r="D74" s="1">
        <f t="shared" si="3"/>
        <v>4.4944000000000006</v>
      </c>
      <c r="F74" t="s">
        <v>23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1.44E-2</v>
      </c>
      <c r="F75" t="s">
        <v>21</v>
      </c>
    </row>
    <row r="76" spans="1:6" x14ac:dyDescent="0.25">
      <c r="A76" s="1">
        <v>2</v>
      </c>
      <c r="B76" s="1">
        <v>5</v>
      </c>
      <c r="C76" s="2">
        <f t="shared" si="2"/>
        <v>3</v>
      </c>
      <c r="D76" s="1">
        <f t="shared" si="3"/>
        <v>8.2943999999999996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2274-8AEF-4B96-BF37-C1E045928535}">
  <dimension ref="A1:G93"/>
  <sheetViews>
    <sheetView topLeftCell="D17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1" customHeight="1" x14ac:dyDescent="0.25">
      <c r="A1" s="3" t="s">
        <v>31</v>
      </c>
      <c r="B1" s="3" t="s">
        <v>34</v>
      </c>
      <c r="C1" s="5" t="s">
        <v>0</v>
      </c>
      <c r="D1" s="5"/>
    </row>
    <row r="2" spans="1:7" x14ac:dyDescent="0.25">
      <c r="A2" s="1">
        <v>4</v>
      </c>
      <c r="B2" s="1">
        <v>1</v>
      </c>
      <c r="C2" s="2">
        <f>B2-A2</f>
        <v>-3</v>
      </c>
      <c r="D2" s="1">
        <f>(C2-$G$6)^2</f>
        <v>9.9015111111111107</v>
      </c>
    </row>
    <row r="3" spans="1:7" x14ac:dyDescent="0.25">
      <c r="A3" s="1">
        <v>3</v>
      </c>
      <c r="B3" s="1">
        <v>5</v>
      </c>
      <c r="C3" s="2">
        <f t="shared" ref="C3:C66" si="0">B3-A3</f>
        <v>2</v>
      </c>
      <c r="D3" s="1">
        <f>(C3-$G$6)^2</f>
        <v>3.4348444444444444</v>
      </c>
      <c r="F3" s="6" t="s">
        <v>16</v>
      </c>
      <c r="G3" s="6"/>
    </row>
    <row r="4" spans="1:7" x14ac:dyDescent="0.25">
      <c r="A4" s="1">
        <v>5</v>
      </c>
      <c r="B4" s="1">
        <v>3</v>
      </c>
      <c r="C4" s="2">
        <f t="shared" si="0"/>
        <v>-2</v>
      </c>
      <c r="D4" s="1">
        <f>(C4-$G$6)^2</f>
        <v>4.6081777777777768</v>
      </c>
      <c r="F4" t="s">
        <v>4</v>
      </c>
      <c r="G4">
        <f>COUNT(A:A)</f>
        <v>75</v>
      </c>
    </row>
    <row r="5" spans="1:7" x14ac:dyDescent="0.25">
      <c r="A5" s="1">
        <v>2</v>
      </c>
      <c r="B5" s="1">
        <v>5</v>
      </c>
      <c r="C5" s="2">
        <f t="shared" si="0"/>
        <v>3</v>
      </c>
      <c r="D5" s="1">
        <f t="shared" ref="D5:D68" si="1">(C5-$G$6)^2</f>
        <v>8.1415111111111127</v>
      </c>
      <c r="F5" t="s">
        <v>2</v>
      </c>
      <c r="G5">
        <f>SUM(C:C)</f>
        <v>11</v>
      </c>
    </row>
    <row r="6" spans="1:7" x14ac:dyDescent="0.25">
      <c r="A6" s="1">
        <v>3</v>
      </c>
      <c r="B6" s="1">
        <v>2</v>
      </c>
      <c r="C6" s="2">
        <f t="shared" si="0"/>
        <v>-1</v>
      </c>
      <c r="D6" s="1">
        <f t="shared" si="1"/>
        <v>1.3148444444444445</v>
      </c>
      <c r="F6" t="s">
        <v>1</v>
      </c>
      <c r="G6">
        <f>G5/G4</f>
        <v>0.14666666666666667</v>
      </c>
    </row>
    <row r="7" spans="1:7" x14ac:dyDescent="0.25">
      <c r="A7" s="1">
        <v>3</v>
      </c>
      <c r="B7" s="1">
        <v>5</v>
      </c>
      <c r="C7" s="2">
        <f t="shared" si="0"/>
        <v>2</v>
      </c>
      <c r="D7" s="1">
        <f t="shared" si="1"/>
        <v>3.4348444444444444</v>
      </c>
      <c r="F7" t="s">
        <v>3</v>
      </c>
      <c r="G7">
        <f>SUM(D:D)</f>
        <v>245.38666666666674</v>
      </c>
    </row>
    <row r="8" spans="1:7" x14ac:dyDescent="0.25">
      <c r="A8" s="1">
        <v>5</v>
      </c>
      <c r="B8" s="1">
        <v>5</v>
      </c>
      <c r="C8" s="2">
        <f t="shared" si="0"/>
        <v>0</v>
      </c>
      <c r="D8" s="1">
        <f t="shared" si="1"/>
        <v>2.1511111111111113E-2</v>
      </c>
      <c r="F8" t="s">
        <v>5</v>
      </c>
      <c r="G8">
        <f>SQRT(G7/(G4-1))</f>
        <v>1.8209986370220153</v>
      </c>
    </row>
    <row r="9" spans="1:7" x14ac:dyDescent="0.25">
      <c r="A9" s="1">
        <v>2</v>
      </c>
      <c r="B9" s="1">
        <v>3</v>
      </c>
      <c r="C9" s="2">
        <f t="shared" si="0"/>
        <v>1</v>
      </c>
      <c r="D9" s="1">
        <f t="shared" si="1"/>
        <v>0.7281777777777777</v>
      </c>
    </row>
    <row r="10" spans="1:7" x14ac:dyDescent="0.25">
      <c r="A10" s="1">
        <v>1</v>
      </c>
      <c r="B10" s="1">
        <v>5</v>
      </c>
      <c r="C10" s="2">
        <f t="shared" si="0"/>
        <v>4</v>
      </c>
      <c r="D10" s="1">
        <f t="shared" si="1"/>
        <v>14.84817777777778</v>
      </c>
    </row>
    <row r="11" spans="1:7" x14ac:dyDescent="0.25">
      <c r="A11" s="1">
        <v>5</v>
      </c>
      <c r="B11" s="1">
        <v>1</v>
      </c>
      <c r="C11" s="2">
        <f t="shared" si="0"/>
        <v>-4</v>
      </c>
      <c r="D11" s="1">
        <f t="shared" si="1"/>
        <v>17.194844444444442</v>
      </c>
    </row>
    <row r="12" spans="1:7" x14ac:dyDescent="0.25">
      <c r="A12" s="1">
        <v>3</v>
      </c>
      <c r="B12" s="1">
        <v>5</v>
      </c>
      <c r="C12" s="2">
        <f t="shared" si="0"/>
        <v>2</v>
      </c>
      <c r="D12" s="1">
        <f t="shared" si="1"/>
        <v>3.4348444444444444</v>
      </c>
      <c r="F12" t="s">
        <v>11</v>
      </c>
      <c r="G12">
        <f>G6/(G8/SQRT(G4))</f>
        <v>0.69751320313691201</v>
      </c>
    </row>
    <row r="13" spans="1:7" x14ac:dyDescent="0.25">
      <c r="A13" s="1">
        <v>4</v>
      </c>
      <c r="B13" s="1">
        <v>5</v>
      </c>
      <c r="C13" s="2">
        <f t="shared" si="0"/>
        <v>1</v>
      </c>
      <c r="D13" s="1">
        <f t="shared" si="1"/>
        <v>0.7281777777777777</v>
      </c>
    </row>
    <row r="14" spans="1:7" x14ac:dyDescent="0.25">
      <c r="A14" s="1">
        <v>5</v>
      </c>
      <c r="B14" s="1">
        <v>3</v>
      </c>
      <c r="C14" s="2">
        <f t="shared" si="0"/>
        <v>-2</v>
      </c>
      <c r="D14" s="1">
        <f t="shared" si="1"/>
        <v>4.6081777777777768</v>
      </c>
    </row>
    <row r="15" spans="1:7" x14ac:dyDescent="0.25">
      <c r="A15" s="1">
        <v>3</v>
      </c>
      <c r="B15" s="1">
        <v>2</v>
      </c>
      <c r="C15" s="2">
        <f t="shared" si="0"/>
        <v>-1</v>
      </c>
      <c r="D15" s="1">
        <f t="shared" si="1"/>
        <v>1.3148444444444445</v>
      </c>
    </row>
    <row r="16" spans="1:7" x14ac:dyDescent="0.25">
      <c r="A16" s="1">
        <v>2</v>
      </c>
      <c r="B16" s="1">
        <v>2</v>
      </c>
      <c r="C16" s="2">
        <f t="shared" si="0"/>
        <v>0</v>
      </c>
      <c r="D16" s="1">
        <f t="shared" si="1"/>
        <v>2.1511111111111113E-2</v>
      </c>
    </row>
    <row r="17" spans="1:7" x14ac:dyDescent="0.25">
      <c r="A17" s="1">
        <v>2</v>
      </c>
      <c r="B17" s="1">
        <v>4</v>
      </c>
      <c r="C17" s="2">
        <f t="shared" si="0"/>
        <v>2</v>
      </c>
      <c r="D17" s="1">
        <f t="shared" si="1"/>
        <v>3.4348444444444444</v>
      </c>
      <c r="F17" t="s">
        <v>6</v>
      </c>
      <c r="G17">
        <v>0.05</v>
      </c>
    </row>
    <row r="18" spans="1:7" x14ac:dyDescent="0.25">
      <c r="A18" s="1">
        <v>2</v>
      </c>
      <c r="B18" s="1">
        <v>5</v>
      </c>
      <c r="C18" s="2">
        <f t="shared" si="0"/>
        <v>3</v>
      </c>
      <c r="D18" s="1">
        <f t="shared" si="1"/>
        <v>8.1415111111111127</v>
      </c>
      <c r="F18" t="s">
        <v>7</v>
      </c>
      <c r="G18">
        <f>G4-1</f>
        <v>74</v>
      </c>
    </row>
    <row r="19" spans="1:7" x14ac:dyDescent="0.25">
      <c r="A19" s="1">
        <v>3</v>
      </c>
      <c r="B19" s="1">
        <v>4</v>
      </c>
      <c r="C19" s="2">
        <f t="shared" si="0"/>
        <v>1</v>
      </c>
      <c r="D19" s="1">
        <f t="shared" si="1"/>
        <v>0.7281777777777777</v>
      </c>
    </row>
    <row r="20" spans="1:7" x14ac:dyDescent="0.25">
      <c r="A20" s="1">
        <v>2</v>
      </c>
      <c r="B20" s="1">
        <v>4</v>
      </c>
      <c r="C20" s="2">
        <f t="shared" si="0"/>
        <v>2</v>
      </c>
      <c r="D20" s="1">
        <f t="shared" si="1"/>
        <v>3.4348444444444444</v>
      </c>
    </row>
    <row r="21" spans="1:7" x14ac:dyDescent="0.25">
      <c r="A21" s="1">
        <v>3</v>
      </c>
      <c r="B21" s="1">
        <v>5</v>
      </c>
      <c r="C21" s="2">
        <f t="shared" si="0"/>
        <v>2</v>
      </c>
      <c r="D21" s="1">
        <f t="shared" si="1"/>
        <v>3.4348444444444444</v>
      </c>
    </row>
    <row r="22" spans="1:7" x14ac:dyDescent="0.25">
      <c r="A22" s="1">
        <v>2</v>
      </c>
      <c r="B22" s="1">
        <v>3</v>
      </c>
      <c r="C22" s="2">
        <f t="shared" si="0"/>
        <v>1</v>
      </c>
      <c r="D22" s="1">
        <f t="shared" si="1"/>
        <v>0.7281777777777777</v>
      </c>
      <c r="F22" s="6" t="s">
        <v>8</v>
      </c>
      <c r="G22" s="6"/>
    </row>
    <row r="23" spans="1:7" x14ac:dyDescent="0.25">
      <c r="A23" s="1">
        <v>3</v>
      </c>
      <c r="B23" s="1">
        <v>3</v>
      </c>
      <c r="C23" s="2">
        <f t="shared" si="0"/>
        <v>0</v>
      </c>
      <c r="D23" s="1">
        <f t="shared" si="1"/>
        <v>2.1511111111111113E-2</v>
      </c>
      <c r="F23" t="s">
        <v>25</v>
      </c>
      <c r="G23">
        <f>_xlfn.T.INV.2T(G17,G18)</f>
        <v>1.992543495180934</v>
      </c>
    </row>
    <row r="24" spans="1:7" x14ac:dyDescent="0.25">
      <c r="A24" s="1">
        <v>2</v>
      </c>
      <c r="B24" s="1">
        <v>3</v>
      </c>
      <c r="C24" s="2">
        <f t="shared" si="0"/>
        <v>1</v>
      </c>
      <c r="D24" s="1">
        <f t="shared" si="1"/>
        <v>0.7281777777777777</v>
      </c>
      <c r="F24" t="s">
        <v>26</v>
      </c>
      <c r="G24">
        <f>_xlfn.T.INV(G17,G18)</f>
        <v>-1.6657068927340244</v>
      </c>
    </row>
    <row r="25" spans="1:7" x14ac:dyDescent="0.25">
      <c r="A25" s="1">
        <v>3</v>
      </c>
      <c r="B25" s="1">
        <v>4</v>
      </c>
      <c r="C25" s="2">
        <f t="shared" si="0"/>
        <v>1</v>
      </c>
      <c r="D25" s="1">
        <f t="shared" si="1"/>
        <v>0.7281777777777777</v>
      </c>
    </row>
    <row r="26" spans="1:7" x14ac:dyDescent="0.25">
      <c r="A26" s="1">
        <v>4</v>
      </c>
      <c r="B26" s="1">
        <v>2</v>
      </c>
      <c r="C26" s="2">
        <f t="shared" si="0"/>
        <v>-2</v>
      </c>
      <c r="D26" s="1">
        <f t="shared" si="1"/>
        <v>4.6081777777777768</v>
      </c>
    </row>
    <row r="27" spans="1:7" x14ac:dyDescent="0.25">
      <c r="A27" s="1">
        <v>2</v>
      </c>
      <c r="B27" s="1">
        <v>5</v>
      </c>
      <c r="C27" s="2">
        <f t="shared" si="0"/>
        <v>3</v>
      </c>
      <c r="D27" s="1">
        <f t="shared" si="1"/>
        <v>8.1415111111111127</v>
      </c>
    </row>
    <row r="28" spans="1:7" x14ac:dyDescent="0.25">
      <c r="A28" s="1">
        <v>1</v>
      </c>
      <c r="B28" s="1">
        <v>5</v>
      </c>
      <c r="C28" s="2">
        <f t="shared" si="0"/>
        <v>4</v>
      </c>
      <c r="D28" s="1">
        <f t="shared" si="1"/>
        <v>14.84817777777778</v>
      </c>
    </row>
    <row r="29" spans="1:7" x14ac:dyDescent="0.25">
      <c r="A29" s="1">
        <v>3</v>
      </c>
      <c r="B29" s="1">
        <v>2</v>
      </c>
      <c r="C29" s="2">
        <f t="shared" si="0"/>
        <v>-1</v>
      </c>
      <c r="D29" s="1">
        <f t="shared" si="1"/>
        <v>1.3148444444444445</v>
      </c>
    </row>
    <row r="30" spans="1:7" x14ac:dyDescent="0.25">
      <c r="A30" s="1">
        <v>2</v>
      </c>
      <c r="B30" s="1">
        <v>3</v>
      </c>
      <c r="C30" s="2">
        <f t="shared" si="0"/>
        <v>1</v>
      </c>
      <c r="D30" s="1">
        <f t="shared" si="1"/>
        <v>0.7281777777777777</v>
      </c>
    </row>
    <row r="31" spans="1:7" x14ac:dyDescent="0.25">
      <c r="A31" s="1">
        <v>5</v>
      </c>
      <c r="B31" s="1">
        <v>1</v>
      </c>
      <c r="C31" s="2">
        <f t="shared" si="0"/>
        <v>-4</v>
      </c>
      <c r="D31" s="1">
        <f t="shared" si="1"/>
        <v>17.194844444444442</v>
      </c>
    </row>
    <row r="32" spans="1:7" x14ac:dyDescent="0.25">
      <c r="A32" s="1">
        <v>2</v>
      </c>
      <c r="B32" s="1">
        <v>3</v>
      </c>
      <c r="C32" s="2">
        <f t="shared" si="0"/>
        <v>1</v>
      </c>
      <c r="D32" s="1">
        <f t="shared" si="1"/>
        <v>0.7281777777777777</v>
      </c>
    </row>
    <row r="33" spans="1:7" x14ac:dyDescent="0.25">
      <c r="A33" s="1">
        <v>3</v>
      </c>
      <c r="B33" s="1">
        <v>2</v>
      </c>
      <c r="C33" s="2">
        <f t="shared" si="0"/>
        <v>-1</v>
      </c>
      <c r="D33" s="1">
        <f t="shared" si="1"/>
        <v>1.3148444444444445</v>
      </c>
    </row>
    <row r="34" spans="1:7" x14ac:dyDescent="0.25">
      <c r="A34" s="1">
        <v>4</v>
      </c>
      <c r="B34" s="1">
        <v>3</v>
      </c>
      <c r="C34" s="2">
        <f t="shared" si="0"/>
        <v>-1</v>
      </c>
      <c r="D34" s="1">
        <f t="shared" si="1"/>
        <v>1.3148444444444445</v>
      </c>
      <c r="F34" t="s">
        <v>9</v>
      </c>
    </row>
    <row r="35" spans="1:7" x14ac:dyDescent="0.25">
      <c r="A35" s="1">
        <v>3</v>
      </c>
      <c r="B35" s="1">
        <v>4</v>
      </c>
      <c r="C35" s="2">
        <f t="shared" si="0"/>
        <v>1</v>
      </c>
      <c r="D35" s="1">
        <f t="shared" si="1"/>
        <v>0.7281777777777777</v>
      </c>
      <c r="F35" t="s">
        <v>10</v>
      </c>
    </row>
    <row r="36" spans="1:7" x14ac:dyDescent="0.25">
      <c r="A36" s="1">
        <v>3</v>
      </c>
      <c r="B36" s="1">
        <v>3</v>
      </c>
      <c r="C36" s="2">
        <f t="shared" si="0"/>
        <v>0</v>
      </c>
      <c r="D36" s="1">
        <f t="shared" si="1"/>
        <v>2.1511111111111113E-2</v>
      </c>
    </row>
    <row r="37" spans="1:7" x14ac:dyDescent="0.25">
      <c r="A37" s="1">
        <v>2</v>
      </c>
      <c r="B37" s="1">
        <v>3</v>
      </c>
      <c r="C37" s="2">
        <f t="shared" si="0"/>
        <v>1</v>
      </c>
      <c r="D37" s="1">
        <f t="shared" si="1"/>
        <v>0.7281777777777777</v>
      </c>
    </row>
    <row r="38" spans="1:7" x14ac:dyDescent="0.25">
      <c r="A38" s="1">
        <v>5</v>
      </c>
      <c r="B38" s="1">
        <v>2</v>
      </c>
      <c r="C38" s="2">
        <f t="shared" si="0"/>
        <v>-3</v>
      </c>
      <c r="D38" s="1">
        <f t="shared" si="1"/>
        <v>9.9015111111111107</v>
      </c>
    </row>
    <row r="39" spans="1:7" x14ac:dyDescent="0.25">
      <c r="A39" s="1">
        <v>2</v>
      </c>
      <c r="B39" s="1">
        <v>3</v>
      </c>
      <c r="C39" s="2">
        <f t="shared" si="0"/>
        <v>1</v>
      </c>
      <c r="D39" s="1">
        <f t="shared" si="1"/>
        <v>0.7281777777777777</v>
      </c>
      <c r="F39" s="6" t="s">
        <v>12</v>
      </c>
      <c r="G39" s="6"/>
    </row>
    <row r="40" spans="1:7" x14ac:dyDescent="0.25">
      <c r="A40" s="1">
        <v>4</v>
      </c>
      <c r="B40" s="1">
        <v>3</v>
      </c>
      <c r="C40" s="2">
        <f t="shared" si="0"/>
        <v>-1</v>
      </c>
      <c r="D40" s="1">
        <f t="shared" si="1"/>
        <v>1.3148444444444445</v>
      </c>
      <c r="F40" t="s">
        <v>12</v>
      </c>
    </row>
    <row r="41" spans="1:7" x14ac:dyDescent="0.25">
      <c r="A41" s="1">
        <v>2</v>
      </c>
      <c r="B41" s="1">
        <v>2</v>
      </c>
      <c r="C41" s="2">
        <f t="shared" si="0"/>
        <v>0</v>
      </c>
      <c r="D41" s="1">
        <f t="shared" si="1"/>
        <v>2.1511111111111113E-2</v>
      </c>
      <c r="F41" t="s">
        <v>24</v>
      </c>
      <c r="G41">
        <f>TTEST(A:A,B:B,2,1)</f>
        <v>0.48766746140041672</v>
      </c>
    </row>
    <row r="42" spans="1:7" x14ac:dyDescent="0.25">
      <c r="A42" s="1">
        <v>3</v>
      </c>
      <c r="B42" s="1">
        <v>5</v>
      </c>
      <c r="C42" s="2">
        <f t="shared" si="0"/>
        <v>2</v>
      </c>
      <c r="D42" s="1">
        <f t="shared" si="1"/>
        <v>3.4348444444444444</v>
      </c>
      <c r="F42" t="s">
        <v>27</v>
      </c>
      <c r="G42">
        <f>TTEST(A:A,B:B,1,1)</f>
        <v>0.24383373070020836</v>
      </c>
    </row>
    <row r="43" spans="1:7" x14ac:dyDescent="0.25">
      <c r="A43" s="1">
        <v>2</v>
      </c>
      <c r="B43" s="1">
        <v>2</v>
      </c>
      <c r="C43" s="2">
        <f t="shared" si="0"/>
        <v>0</v>
      </c>
      <c r="D43" s="1">
        <f t="shared" si="1"/>
        <v>2.1511111111111113E-2</v>
      </c>
    </row>
    <row r="44" spans="1:7" x14ac:dyDescent="0.25">
      <c r="A44" s="1">
        <v>5</v>
      </c>
      <c r="B44" s="1">
        <v>2</v>
      </c>
      <c r="C44" s="2">
        <f t="shared" si="0"/>
        <v>-3</v>
      </c>
      <c r="D44" s="1">
        <f t="shared" si="1"/>
        <v>9.9015111111111107</v>
      </c>
    </row>
    <row r="45" spans="1:7" x14ac:dyDescent="0.25">
      <c r="A45" s="1">
        <v>3</v>
      </c>
      <c r="B45" s="1">
        <v>4</v>
      </c>
      <c r="C45" s="2">
        <f t="shared" si="0"/>
        <v>1</v>
      </c>
      <c r="D45" s="1">
        <f t="shared" si="1"/>
        <v>0.7281777777777777</v>
      </c>
      <c r="F45" s="6" t="s">
        <v>15</v>
      </c>
      <c r="G45" s="6"/>
    </row>
    <row r="46" spans="1:7" x14ac:dyDescent="0.25">
      <c r="A46" s="1">
        <v>3</v>
      </c>
      <c r="B46" s="1">
        <v>4</v>
      </c>
      <c r="C46" s="2">
        <f t="shared" si="0"/>
        <v>1</v>
      </c>
      <c r="D46" s="1">
        <f t="shared" si="1"/>
        <v>0.7281777777777777</v>
      </c>
    </row>
    <row r="47" spans="1:7" x14ac:dyDescent="0.25">
      <c r="A47" s="1">
        <v>2</v>
      </c>
      <c r="B47" s="1">
        <v>1</v>
      </c>
      <c r="C47" s="2">
        <f t="shared" si="0"/>
        <v>-1</v>
      </c>
      <c r="D47" s="1">
        <f t="shared" si="1"/>
        <v>1.3148444444444445</v>
      </c>
      <c r="F47" t="s">
        <v>13</v>
      </c>
    </row>
    <row r="48" spans="1:7" x14ac:dyDescent="0.25">
      <c r="A48" s="1">
        <v>3</v>
      </c>
      <c r="B48" s="1">
        <v>3</v>
      </c>
      <c r="C48" s="2">
        <f t="shared" si="0"/>
        <v>0</v>
      </c>
      <c r="D48" s="1">
        <f t="shared" si="1"/>
        <v>2.1511111111111113E-2</v>
      </c>
      <c r="F48" t="s">
        <v>14</v>
      </c>
    </row>
    <row r="49" spans="1:6" x14ac:dyDescent="0.25">
      <c r="A49" s="1">
        <v>5</v>
      </c>
      <c r="B49" s="1">
        <v>5</v>
      </c>
      <c r="C49" s="2">
        <f t="shared" si="0"/>
        <v>0</v>
      </c>
      <c r="D49" s="1">
        <f t="shared" si="1"/>
        <v>2.1511111111111113E-2</v>
      </c>
    </row>
    <row r="50" spans="1:6" x14ac:dyDescent="0.25">
      <c r="A50" s="1">
        <v>4</v>
      </c>
      <c r="B50" s="1">
        <v>2</v>
      </c>
      <c r="C50" s="2">
        <f t="shared" si="0"/>
        <v>-2</v>
      </c>
      <c r="D50" s="1">
        <f t="shared" si="1"/>
        <v>4.6081777777777768</v>
      </c>
      <c r="F50" t="s">
        <v>17</v>
      </c>
    </row>
    <row r="51" spans="1:6" x14ac:dyDescent="0.25">
      <c r="A51" s="1">
        <v>3</v>
      </c>
      <c r="B51" s="1">
        <v>4</v>
      </c>
      <c r="C51" s="2">
        <f t="shared" si="0"/>
        <v>1</v>
      </c>
      <c r="D51" s="1">
        <f t="shared" si="1"/>
        <v>0.7281777777777777</v>
      </c>
      <c r="F51" t="s">
        <v>18</v>
      </c>
    </row>
    <row r="52" spans="1:6" x14ac:dyDescent="0.25">
      <c r="A52" s="1">
        <v>5</v>
      </c>
      <c r="B52" s="1">
        <v>3</v>
      </c>
      <c r="C52" s="2">
        <f t="shared" si="0"/>
        <v>-2</v>
      </c>
      <c r="D52" s="1">
        <f t="shared" si="1"/>
        <v>4.6081777777777768</v>
      </c>
    </row>
    <row r="53" spans="1:6" x14ac:dyDescent="0.25">
      <c r="A53" s="1">
        <v>4</v>
      </c>
      <c r="B53" s="1">
        <v>5</v>
      </c>
      <c r="C53" s="2">
        <f t="shared" si="0"/>
        <v>1</v>
      </c>
      <c r="D53" s="1">
        <f t="shared" si="1"/>
        <v>0.7281777777777777</v>
      </c>
    </row>
    <row r="54" spans="1:6" x14ac:dyDescent="0.25">
      <c r="A54" s="1">
        <v>3</v>
      </c>
      <c r="B54" s="1">
        <v>2</v>
      </c>
      <c r="C54" s="2">
        <f t="shared" si="0"/>
        <v>-1</v>
      </c>
      <c r="D54" s="1">
        <f t="shared" si="1"/>
        <v>1.3148444444444445</v>
      </c>
    </row>
    <row r="55" spans="1:6" x14ac:dyDescent="0.25">
      <c r="A55" s="1">
        <v>2</v>
      </c>
      <c r="B55" s="1">
        <v>4</v>
      </c>
      <c r="C55" s="2">
        <f t="shared" si="0"/>
        <v>2</v>
      </c>
      <c r="D55" s="1">
        <f t="shared" si="1"/>
        <v>3.4348444444444444</v>
      </c>
    </row>
    <row r="56" spans="1:6" x14ac:dyDescent="0.25">
      <c r="A56" s="1">
        <v>5</v>
      </c>
      <c r="B56" s="1">
        <v>4</v>
      </c>
      <c r="C56" s="2">
        <f t="shared" si="0"/>
        <v>-1</v>
      </c>
      <c r="D56" s="1">
        <f t="shared" si="1"/>
        <v>1.3148444444444445</v>
      </c>
      <c r="F56" s="6" t="s">
        <v>22</v>
      </c>
    </row>
    <row r="57" spans="1:6" x14ac:dyDescent="0.25">
      <c r="A57" s="1">
        <v>2</v>
      </c>
      <c r="B57" s="1">
        <v>3</v>
      </c>
      <c r="C57" s="2">
        <f t="shared" si="0"/>
        <v>1</v>
      </c>
      <c r="D57" s="1">
        <f t="shared" si="1"/>
        <v>0.7281777777777777</v>
      </c>
    </row>
    <row r="58" spans="1:6" x14ac:dyDescent="0.25">
      <c r="A58" s="1">
        <v>2</v>
      </c>
      <c r="B58" s="1">
        <v>3</v>
      </c>
      <c r="C58" s="2">
        <f t="shared" si="0"/>
        <v>1</v>
      </c>
      <c r="D58" s="1">
        <f t="shared" si="1"/>
        <v>0.7281777777777777</v>
      </c>
      <c r="F58" t="s">
        <v>20</v>
      </c>
    </row>
    <row r="59" spans="1:6" x14ac:dyDescent="0.25">
      <c r="A59" s="1">
        <v>5</v>
      </c>
      <c r="B59" s="1">
        <v>2</v>
      </c>
      <c r="C59" s="2">
        <f t="shared" si="0"/>
        <v>-3</v>
      </c>
      <c r="D59" s="1">
        <f t="shared" si="1"/>
        <v>9.9015111111111107</v>
      </c>
      <c r="F59" t="s">
        <v>19</v>
      </c>
    </row>
    <row r="60" spans="1:6" x14ac:dyDescent="0.25">
      <c r="A60" s="1">
        <v>4</v>
      </c>
      <c r="B60" s="1">
        <v>4</v>
      </c>
      <c r="C60" s="2">
        <f t="shared" si="0"/>
        <v>0</v>
      </c>
      <c r="D60" s="1">
        <f t="shared" si="1"/>
        <v>2.1511111111111113E-2</v>
      </c>
      <c r="F60" t="s">
        <v>21</v>
      </c>
    </row>
    <row r="61" spans="1:6" x14ac:dyDescent="0.25">
      <c r="A61" s="1">
        <v>2</v>
      </c>
      <c r="B61" s="1">
        <v>3</v>
      </c>
      <c r="C61" s="2">
        <f t="shared" si="0"/>
        <v>1</v>
      </c>
      <c r="D61" s="1">
        <f t="shared" si="1"/>
        <v>0.7281777777777777</v>
      </c>
    </row>
    <row r="62" spans="1:6" x14ac:dyDescent="0.25">
      <c r="A62" s="1">
        <v>4</v>
      </c>
      <c r="B62" s="1">
        <v>2</v>
      </c>
      <c r="C62" s="2">
        <f t="shared" si="0"/>
        <v>-2</v>
      </c>
      <c r="D62" s="1">
        <f t="shared" si="1"/>
        <v>4.6081777777777768</v>
      </c>
    </row>
    <row r="63" spans="1:6" x14ac:dyDescent="0.25">
      <c r="A63" s="1">
        <v>2</v>
      </c>
      <c r="B63" s="1">
        <v>3</v>
      </c>
      <c r="C63" s="2">
        <f t="shared" si="0"/>
        <v>1</v>
      </c>
      <c r="D63" s="1">
        <f t="shared" si="1"/>
        <v>0.7281777777777777</v>
      </c>
    </row>
    <row r="64" spans="1:6" x14ac:dyDescent="0.25">
      <c r="A64" s="1">
        <v>3</v>
      </c>
      <c r="B64" s="1">
        <v>3</v>
      </c>
      <c r="C64" s="2">
        <f t="shared" si="0"/>
        <v>0</v>
      </c>
      <c r="D64" s="1">
        <f t="shared" si="1"/>
        <v>2.1511111111111113E-2</v>
      </c>
    </row>
    <row r="65" spans="1:6" x14ac:dyDescent="0.25">
      <c r="A65" s="1">
        <v>1</v>
      </c>
      <c r="B65" s="1">
        <v>5</v>
      </c>
      <c r="C65" s="2">
        <f t="shared" si="0"/>
        <v>4</v>
      </c>
      <c r="D65" s="1">
        <f t="shared" si="1"/>
        <v>14.84817777777778</v>
      </c>
      <c r="F65" s="6" t="s">
        <v>22</v>
      </c>
    </row>
    <row r="66" spans="1:6" x14ac:dyDescent="0.25">
      <c r="A66" s="1">
        <v>1</v>
      </c>
      <c r="B66" s="1">
        <v>3</v>
      </c>
      <c r="C66" s="2">
        <f t="shared" si="0"/>
        <v>2</v>
      </c>
      <c r="D66" s="1">
        <f t="shared" si="1"/>
        <v>3.4348444444444444</v>
      </c>
    </row>
    <row r="67" spans="1:6" x14ac:dyDescent="0.25">
      <c r="A67" s="1">
        <v>5</v>
      </c>
      <c r="B67" s="1">
        <v>3</v>
      </c>
      <c r="C67" s="2">
        <f t="shared" ref="C67:C76" si="2">B67-A67</f>
        <v>-2</v>
      </c>
      <c r="D67" s="1">
        <f t="shared" si="1"/>
        <v>4.6081777777777768</v>
      </c>
    </row>
    <row r="68" spans="1:6" x14ac:dyDescent="0.25">
      <c r="A68" s="1">
        <v>2</v>
      </c>
      <c r="B68" s="1">
        <v>2</v>
      </c>
      <c r="C68" s="2">
        <f t="shared" si="2"/>
        <v>0</v>
      </c>
      <c r="D68" s="1">
        <f t="shared" si="1"/>
        <v>2.1511111111111113E-2</v>
      </c>
    </row>
    <row r="69" spans="1:6" x14ac:dyDescent="0.25">
      <c r="A69" s="1">
        <v>5</v>
      </c>
      <c r="B69" s="1">
        <v>4</v>
      </c>
      <c r="C69" s="2">
        <f t="shared" si="2"/>
        <v>-1</v>
      </c>
      <c r="D69" s="1">
        <f t="shared" ref="D69:D76" si="3">(C69-$G$6)^2</f>
        <v>1.3148444444444445</v>
      </c>
    </row>
    <row r="70" spans="1:6" x14ac:dyDescent="0.25">
      <c r="A70" s="1">
        <v>3</v>
      </c>
      <c r="B70" s="1">
        <v>4</v>
      </c>
      <c r="C70" s="2">
        <f t="shared" si="2"/>
        <v>1</v>
      </c>
      <c r="D70" s="1">
        <f t="shared" si="3"/>
        <v>0.7281777777777777</v>
      </c>
    </row>
    <row r="71" spans="1:6" x14ac:dyDescent="0.25">
      <c r="A71" s="1">
        <v>4</v>
      </c>
      <c r="B71" s="1">
        <v>4</v>
      </c>
      <c r="C71" s="2">
        <f t="shared" si="2"/>
        <v>0</v>
      </c>
      <c r="D71" s="1">
        <f t="shared" si="3"/>
        <v>2.1511111111111113E-2</v>
      </c>
    </row>
    <row r="72" spans="1:6" x14ac:dyDescent="0.25">
      <c r="A72" s="1">
        <v>5</v>
      </c>
      <c r="B72" s="1">
        <v>3</v>
      </c>
      <c r="C72" s="2">
        <f t="shared" si="2"/>
        <v>-2</v>
      </c>
      <c r="D72" s="1">
        <f t="shared" si="3"/>
        <v>4.6081777777777768</v>
      </c>
      <c r="F72" t="s">
        <v>23</v>
      </c>
    </row>
    <row r="73" spans="1:6" x14ac:dyDescent="0.25">
      <c r="A73" s="1">
        <v>3</v>
      </c>
      <c r="B73" s="1">
        <v>3</v>
      </c>
      <c r="C73" s="2">
        <f t="shared" si="2"/>
        <v>0</v>
      </c>
      <c r="D73" s="1">
        <f t="shared" si="3"/>
        <v>2.1511111111111113E-2</v>
      </c>
      <c r="F73" t="s">
        <v>21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0.7281777777777777</v>
      </c>
      <c r="F74" t="s">
        <v>23</v>
      </c>
    </row>
    <row r="75" spans="1:6" x14ac:dyDescent="0.25">
      <c r="A75" s="1">
        <v>2</v>
      </c>
      <c r="B75" s="1">
        <v>1</v>
      </c>
      <c r="C75" s="2">
        <f t="shared" si="2"/>
        <v>-1</v>
      </c>
      <c r="D75" s="1">
        <f t="shared" si="3"/>
        <v>1.3148444444444445</v>
      </c>
      <c r="F75" t="s">
        <v>21</v>
      </c>
    </row>
    <row r="76" spans="1:6" x14ac:dyDescent="0.25">
      <c r="A76" s="1">
        <v>4</v>
      </c>
      <c r="B76" s="1">
        <v>2</v>
      </c>
      <c r="C76" s="2">
        <f t="shared" si="2"/>
        <v>-2</v>
      </c>
      <c r="D76" s="1">
        <f t="shared" si="3"/>
        <v>4.6081777777777768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9C60-8012-4D21-919D-620B484AEDB3}">
  <dimension ref="A1:G93"/>
  <sheetViews>
    <sheetView topLeftCell="D17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1" customHeight="1" x14ac:dyDescent="0.25">
      <c r="A1" s="3" t="s">
        <v>30</v>
      </c>
      <c r="B1" s="3" t="s">
        <v>33</v>
      </c>
      <c r="C1" s="5" t="s">
        <v>0</v>
      </c>
      <c r="D1" s="5"/>
    </row>
    <row r="2" spans="1:7" x14ac:dyDescent="0.25">
      <c r="A2" s="1">
        <v>3</v>
      </c>
      <c r="B2" s="1">
        <v>3</v>
      </c>
      <c r="C2" s="2">
        <f>B2-A2</f>
        <v>0</v>
      </c>
      <c r="D2" s="1">
        <f>(C2-$G$6)^2</f>
        <v>1.44E-2</v>
      </c>
    </row>
    <row r="3" spans="1:7" x14ac:dyDescent="0.25">
      <c r="A3" s="1">
        <v>4</v>
      </c>
      <c r="B3" s="1">
        <v>3</v>
      </c>
      <c r="C3" s="2">
        <f t="shared" ref="C3:C66" si="0">B3-A3</f>
        <v>-1</v>
      </c>
      <c r="D3" s="1">
        <f>(C3-$G$6)^2</f>
        <v>1.2544000000000002</v>
      </c>
      <c r="F3" s="6" t="s">
        <v>16</v>
      </c>
      <c r="G3" s="6"/>
    </row>
    <row r="4" spans="1:7" x14ac:dyDescent="0.25">
      <c r="A4" s="1">
        <v>3</v>
      </c>
      <c r="B4" s="1">
        <v>1</v>
      </c>
      <c r="C4" s="2">
        <f t="shared" si="0"/>
        <v>-2</v>
      </c>
      <c r="D4" s="1">
        <f>(C4-$G$6)^2</f>
        <v>4.4944000000000006</v>
      </c>
      <c r="F4" t="s">
        <v>4</v>
      </c>
      <c r="G4">
        <f>COUNT(A:A)</f>
        <v>75</v>
      </c>
    </row>
    <row r="5" spans="1:7" x14ac:dyDescent="0.25">
      <c r="A5" s="1">
        <v>2</v>
      </c>
      <c r="B5" s="1">
        <v>3</v>
      </c>
      <c r="C5" s="2">
        <f t="shared" si="0"/>
        <v>1</v>
      </c>
      <c r="D5" s="1">
        <f t="shared" ref="D5:D68" si="1">(C5-$G$6)^2</f>
        <v>0.77439999999999998</v>
      </c>
      <c r="F5" t="s">
        <v>2</v>
      </c>
      <c r="G5">
        <f>SUM(C:C)</f>
        <v>9</v>
      </c>
    </row>
    <row r="6" spans="1:7" x14ac:dyDescent="0.25">
      <c r="A6" s="1">
        <v>3</v>
      </c>
      <c r="B6" s="1">
        <v>2</v>
      </c>
      <c r="C6" s="2">
        <f t="shared" si="0"/>
        <v>-1</v>
      </c>
      <c r="D6" s="1">
        <f t="shared" si="1"/>
        <v>1.2544000000000002</v>
      </c>
      <c r="F6" t="s">
        <v>1</v>
      </c>
      <c r="G6">
        <f>G5/G4</f>
        <v>0.12</v>
      </c>
    </row>
    <row r="7" spans="1:7" x14ac:dyDescent="0.25">
      <c r="A7" s="1">
        <v>2</v>
      </c>
      <c r="B7" s="1">
        <v>5</v>
      </c>
      <c r="C7" s="2">
        <f t="shared" si="0"/>
        <v>3</v>
      </c>
      <c r="D7" s="1">
        <f t="shared" si="1"/>
        <v>8.2943999999999996</v>
      </c>
      <c r="F7" t="s">
        <v>3</v>
      </c>
      <c r="G7">
        <f>SUM(D:D)</f>
        <v>217.92000000000004</v>
      </c>
    </row>
    <row r="8" spans="1:7" x14ac:dyDescent="0.25">
      <c r="A8" s="1">
        <v>5</v>
      </c>
      <c r="B8" s="1">
        <v>3</v>
      </c>
      <c r="C8" s="2">
        <f t="shared" si="0"/>
        <v>-2</v>
      </c>
      <c r="D8" s="1">
        <f t="shared" si="1"/>
        <v>4.4944000000000006</v>
      </c>
      <c r="F8" t="s">
        <v>5</v>
      </c>
      <c r="G8">
        <f>SQRT(G7/(G4-1))</f>
        <v>1.7160608569817288</v>
      </c>
    </row>
    <row r="9" spans="1:7" x14ac:dyDescent="0.25">
      <c r="A9" s="1">
        <v>5</v>
      </c>
      <c r="B9" s="1">
        <v>1</v>
      </c>
      <c r="C9" s="2">
        <f t="shared" si="0"/>
        <v>-4</v>
      </c>
      <c r="D9" s="1">
        <f t="shared" si="1"/>
        <v>16.974399999999999</v>
      </c>
    </row>
    <row r="10" spans="1:7" x14ac:dyDescent="0.25">
      <c r="A10" s="1">
        <v>4</v>
      </c>
      <c r="B10" s="1">
        <v>1</v>
      </c>
      <c r="C10" s="2">
        <f t="shared" si="0"/>
        <v>-3</v>
      </c>
      <c r="D10" s="1">
        <f t="shared" si="1"/>
        <v>9.7344000000000008</v>
      </c>
    </row>
    <row r="11" spans="1:7" x14ac:dyDescent="0.25">
      <c r="A11" s="1">
        <v>5</v>
      </c>
      <c r="B11" s="1">
        <v>3</v>
      </c>
      <c r="C11" s="2">
        <f t="shared" si="0"/>
        <v>-2</v>
      </c>
      <c r="D11" s="1">
        <f t="shared" si="1"/>
        <v>4.4944000000000006</v>
      </c>
    </row>
    <row r="12" spans="1:7" x14ac:dyDescent="0.25">
      <c r="A12" s="1">
        <v>3</v>
      </c>
      <c r="B12" s="1">
        <v>4</v>
      </c>
      <c r="C12" s="2">
        <f t="shared" si="0"/>
        <v>1</v>
      </c>
      <c r="D12" s="1">
        <f t="shared" si="1"/>
        <v>0.77439999999999998</v>
      </c>
      <c r="F12" t="s">
        <v>11</v>
      </c>
      <c r="G12">
        <f>G6/(G8/SQRT(G4))</f>
        <v>0.60559069354286377</v>
      </c>
    </row>
    <row r="13" spans="1:7" x14ac:dyDescent="0.25">
      <c r="A13" s="1">
        <v>3</v>
      </c>
      <c r="B13" s="1">
        <v>2</v>
      </c>
      <c r="C13" s="2">
        <f t="shared" si="0"/>
        <v>-1</v>
      </c>
      <c r="D13" s="1">
        <f t="shared" si="1"/>
        <v>1.2544000000000002</v>
      </c>
    </row>
    <row r="14" spans="1:7" x14ac:dyDescent="0.25">
      <c r="A14" s="1">
        <v>2</v>
      </c>
      <c r="B14" s="1">
        <v>2</v>
      </c>
      <c r="C14" s="2">
        <f t="shared" si="0"/>
        <v>0</v>
      </c>
      <c r="D14" s="1">
        <f t="shared" si="1"/>
        <v>1.44E-2</v>
      </c>
    </row>
    <row r="15" spans="1:7" x14ac:dyDescent="0.25">
      <c r="A15" s="1">
        <v>3</v>
      </c>
      <c r="B15" s="1">
        <v>4</v>
      </c>
      <c r="C15" s="2">
        <f t="shared" si="0"/>
        <v>1</v>
      </c>
      <c r="D15" s="1">
        <f t="shared" si="1"/>
        <v>0.77439999999999998</v>
      </c>
    </row>
    <row r="16" spans="1:7" x14ac:dyDescent="0.25">
      <c r="A16" s="1">
        <v>1</v>
      </c>
      <c r="B16" s="1">
        <v>2</v>
      </c>
      <c r="C16" s="2">
        <f t="shared" si="0"/>
        <v>1</v>
      </c>
      <c r="D16" s="1">
        <f t="shared" si="1"/>
        <v>0.77439999999999998</v>
      </c>
    </row>
    <row r="17" spans="1:7" x14ac:dyDescent="0.25">
      <c r="A17" s="1">
        <v>2</v>
      </c>
      <c r="B17" s="1">
        <v>4</v>
      </c>
      <c r="C17" s="2">
        <f t="shared" si="0"/>
        <v>2</v>
      </c>
      <c r="D17" s="1">
        <f t="shared" si="1"/>
        <v>3.5343999999999998</v>
      </c>
      <c r="F17" t="s">
        <v>6</v>
      </c>
      <c r="G17">
        <v>0.05</v>
      </c>
    </row>
    <row r="18" spans="1:7" x14ac:dyDescent="0.25">
      <c r="A18" s="1">
        <v>2</v>
      </c>
      <c r="B18" s="1">
        <v>2</v>
      </c>
      <c r="C18" s="2">
        <f t="shared" si="0"/>
        <v>0</v>
      </c>
      <c r="D18" s="1">
        <f t="shared" si="1"/>
        <v>1.44E-2</v>
      </c>
      <c r="F18" t="s">
        <v>7</v>
      </c>
      <c r="G18">
        <f>G4-1</f>
        <v>74</v>
      </c>
    </row>
    <row r="19" spans="1:7" x14ac:dyDescent="0.25">
      <c r="A19" s="1">
        <v>2</v>
      </c>
      <c r="B19" s="1">
        <v>4</v>
      </c>
      <c r="C19" s="2">
        <f t="shared" si="0"/>
        <v>2</v>
      </c>
      <c r="D19" s="1">
        <f t="shared" si="1"/>
        <v>3.5343999999999998</v>
      </c>
    </row>
    <row r="20" spans="1:7" x14ac:dyDescent="0.25">
      <c r="A20" s="1">
        <v>3</v>
      </c>
      <c r="B20" s="1">
        <v>3</v>
      </c>
      <c r="C20" s="2">
        <f t="shared" si="0"/>
        <v>0</v>
      </c>
      <c r="D20" s="1">
        <f t="shared" si="1"/>
        <v>1.44E-2</v>
      </c>
    </row>
    <row r="21" spans="1:7" x14ac:dyDescent="0.25">
      <c r="A21" s="1">
        <v>2</v>
      </c>
      <c r="B21" s="1">
        <v>1</v>
      </c>
      <c r="C21" s="2">
        <f t="shared" si="0"/>
        <v>-1</v>
      </c>
      <c r="D21" s="1">
        <f t="shared" si="1"/>
        <v>1.2544000000000002</v>
      </c>
    </row>
    <row r="22" spans="1:7" x14ac:dyDescent="0.25">
      <c r="A22" s="1">
        <v>3</v>
      </c>
      <c r="B22" s="1">
        <v>3</v>
      </c>
      <c r="C22" s="2">
        <f t="shared" si="0"/>
        <v>0</v>
      </c>
      <c r="D22" s="1">
        <f t="shared" si="1"/>
        <v>1.44E-2</v>
      </c>
      <c r="F22" s="6" t="s">
        <v>8</v>
      </c>
      <c r="G22" s="6"/>
    </row>
    <row r="23" spans="1:7" x14ac:dyDescent="0.25">
      <c r="A23" s="1">
        <v>1</v>
      </c>
      <c r="B23" s="1">
        <v>2</v>
      </c>
      <c r="C23" s="2">
        <f t="shared" si="0"/>
        <v>1</v>
      </c>
      <c r="D23" s="1">
        <f t="shared" si="1"/>
        <v>0.77439999999999998</v>
      </c>
      <c r="F23" t="s">
        <v>25</v>
      </c>
      <c r="G23">
        <f>_xlfn.T.INV.2T(G17,G18)</f>
        <v>1.992543495180934</v>
      </c>
    </row>
    <row r="24" spans="1:7" x14ac:dyDescent="0.25">
      <c r="A24" s="1">
        <v>2</v>
      </c>
      <c r="B24" s="1">
        <v>4</v>
      </c>
      <c r="C24" s="2">
        <f t="shared" si="0"/>
        <v>2</v>
      </c>
      <c r="D24" s="1">
        <f t="shared" si="1"/>
        <v>3.5343999999999998</v>
      </c>
      <c r="F24" t="s">
        <v>26</v>
      </c>
      <c r="G24">
        <f>_xlfn.T.INV(G17,G18)</f>
        <v>-1.6657068927340244</v>
      </c>
    </row>
    <row r="25" spans="1:7" x14ac:dyDescent="0.25">
      <c r="A25" s="1">
        <v>4</v>
      </c>
      <c r="B25" s="1">
        <v>1</v>
      </c>
      <c r="C25" s="2">
        <f t="shared" si="0"/>
        <v>-3</v>
      </c>
      <c r="D25" s="1">
        <f t="shared" si="1"/>
        <v>9.7344000000000008</v>
      </c>
    </row>
    <row r="26" spans="1:7" x14ac:dyDescent="0.25">
      <c r="A26" s="1">
        <v>3</v>
      </c>
      <c r="B26" s="1">
        <v>3</v>
      </c>
      <c r="C26" s="2">
        <f t="shared" si="0"/>
        <v>0</v>
      </c>
      <c r="D26" s="1">
        <f t="shared" si="1"/>
        <v>1.44E-2</v>
      </c>
    </row>
    <row r="27" spans="1:7" x14ac:dyDescent="0.25">
      <c r="A27" s="1">
        <v>1</v>
      </c>
      <c r="B27" s="1">
        <v>3</v>
      </c>
      <c r="C27" s="2">
        <f t="shared" si="0"/>
        <v>2</v>
      </c>
      <c r="D27" s="1">
        <f t="shared" si="1"/>
        <v>3.5343999999999998</v>
      </c>
    </row>
    <row r="28" spans="1:7" x14ac:dyDescent="0.25">
      <c r="A28" s="1">
        <v>3</v>
      </c>
      <c r="B28" s="1">
        <v>2</v>
      </c>
      <c r="C28" s="2">
        <f t="shared" si="0"/>
        <v>-1</v>
      </c>
      <c r="D28" s="1">
        <f t="shared" si="1"/>
        <v>1.2544000000000002</v>
      </c>
    </row>
    <row r="29" spans="1:7" x14ac:dyDescent="0.25">
      <c r="A29" s="1">
        <v>3</v>
      </c>
      <c r="B29" s="1">
        <v>4</v>
      </c>
      <c r="C29" s="2">
        <f t="shared" si="0"/>
        <v>1</v>
      </c>
      <c r="D29" s="1">
        <f t="shared" si="1"/>
        <v>0.77439999999999998</v>
      </c>
    </row>
    <row r="30" spans="1:7" x14ac:dyDescent="0.25">
      <c r="A30" s="1">
        <v>4</v>
      </c>
      <c r="B30" s="1">
        <v>3</v>
      </c>
      <c r="C30" s="2">
        <f t="shared" si="0"/>
        <v>-1</v>
      </c>
      <c r="D30" s="1">
        <f t="shared" si="1"/>
        <v>1.2544000000000002</v>
      </c>
    </row>
    <row r="31" spans="1:7" x14ac:dyDescent="0.25">
      <c r="A31" s="1">
        <v>3</v>
      </c>
      <c r="B31" s="1">
        <v>4</v>
      </c>
      <c r="C31" s="2">
        <f t="shared" si="0"/>
        <v>1</v>
      </c>
      <c r="D31" s="1">
        <f t="shared" si="1"/>
        <v>0.77439999999999998</v>
      </c>
    </row>
    <row r="32" spans="1:7" x14ac:dyDescent="0.25">
      <c r="A32" s="1">
        <v>2</v>
      </c>
      <c r="B32" s="1">
        <v>4</v>
      </c>
      <c r="C32" s="2">
        <f t="shared" si="0"/>
        <v>2</v>
      </c>
      <c r="D32" s="1">
        <f t="shared" si="1"/>
        <v>3.5343999999999998</v>
      </c>
    </row>
    <row r="33" spans="1:7" x14ac:dyDescent="0.25">
      <c r="A33" s="1">
        <v>3</v>
      </c>
      <c r="B33" s="1">
        <v>2</v>
      </c>
      <c r="C33" s="2">
        <f t="shared" si="0"/>
        <v>-1</v>
      </c>
      <c r="D33" s="1">
        <f t="shared" si="1"/>
        <v>1.2544000000000002</v>
      </c>
    </row>
    <row r="34" spans="1:7" x14ac:dyDescent="0.25">
      <c r="A34" s="1">
        <v>3</v>
      </c>
      <c r="B34" s="1">
        <v>3</v>
      </c>
      <c r="C34" s="2">
        <f t="shared" si="0"/>
        <v>0</v>
      </c>
      <c r="D34" s="1">
        <f t="shared" si="1"/>
        <v>1.44E-2</v>
      </c>
      <c r="F34" t="s">
        <v>9</v>
      </c>
    </row>
    <row r="35" spans="1:7" x14ac:dyDescent="0.25">
      <c r="A35" s="1">
        <v>2</v>
      </c>
      <c r="B35" s="1">
        <v>4</v>
      </c>
      <c r="C35" s="2">
        <f t="shared" si="0"/>
        <v>2</v>
      </c>
      <c r="D35" s="1">
        <f t="shared" si="1"/>
        <v>3.5343999999999998</v>
      </c>
      <c r="F35" t="s">
        <v>10</v>
      </c>
    </row>
    <row r="36" spans="1:7" x14ac:dyDescent="0.25">
      <c r="A36" s="1">
        <v>5</v>
      </c>
      <c r="B36" s="1">
        <v>2</v>
      </c>
      <c r="C36" s="2">
        <f t="shared" si="0"/>
        <v>-3</v>
      </c>
      <c r="D36" s="1">
        <f t="shared" si="1"/>
        <v>9.7344000000000008</v>
      </c>
    </row>
    <row r="37" spans="1:7" x14ac:dyDescent="0.25">
      <c r="A37" s="1">
        <v>2</v>
      </c>
      <c r="B37" s="1">
        <v>3</v>
      </c>
      <c r="C37" s="2">
        <f t="shared" si="0"/>
        <v>1</v>
      </c>
      <c r="D37" s="1">
        <f t="shared" si="1"/>
        <v>0.77439999999999998</v>
      </c>
    </row>
    <row r="38" spans="1:7" x14ac:dyDescent="0.25">
      <c r="A38" s="1">
        <v>1</v>
      </c>
      <c r="B38" s="1">
        <v>2</v>
      </c>
      <c r="C38" s="2">
        <f t="shared" si="0"/>
        <v>1</v>
      </c>
      <c r="D38" s="1">
        <f t="shared" si="1"/>
        <v>0.77439999999999998</v>
      </c>
    </row>
    <row r="39" spans="1:7" x14ac:dyDescent="0.25">
      <c r="A39" s="1">
        <v>5</v>
      </c>
      <c r="B39" s="1">
        <v>2</v>
      </c>
      <c r="C39" s="2">
        <f t="shared" si="0"/>
        <v>-3</v>
      </c>
      <c r="D39" s="1">
        <f t="shared" si="1"/>
        <v>9.7344000000000008</v>
      </c>
      <c r="F39" s="6" t="s">
        <v>12</v>
      </c>
      <c r="G39" s="6"/>
    </row>
    <row r="40" spans="1:7" x14ac:dyDescent="0.25">
      <c r="A40" s="1">
        <v>4</v>
      </c>
      <c r="B40" s="1">
        <v>3</v>
      </c>
      <c r="C40" s="2">
        <f t="shared" si="0"/>
        <v>-1</v>
      </c>
      <c r="D40" s="1">
        <f t="shared" si="1"/>
        <v>1.2544000000000002</v>
      </c>
      <c r="F40" t="s">
        <v>12</v>
      </c>
    </row>
    <row r="41" spans="1:7" x14ac:dyDescent="0.25">
      <c r="A41" s="1">
        <v>2</v>
      </c>
      <c r="B41" s="1">
        <v>5</v>
      </c>
      <c r="C41" s="2">
        <f t="shared" si="0"/>
        <v>3</v>
      </c>
      <c r="D41" s="1">
        <f t="shared" si="1"/>
        <v>8.2943999999999996</v>
      </c>
      <c r="F41" t="s">
        <v>24</v>
      </c>
      <c r="G41">
        <f>TTEST(A:A,B:B,2,1)</f>
        <v>0.54663951784490283</v>
      </c>
    </row>
    <row r="42" spans="1:7" x14ac:dyDescent="0.25">
      <c r="A42" s="1">
        <v>4</v>
      </c>
      <c r="B42" s="1">
        <v>1</v>
      </c>
      <c r="C42" s="2">
        <f t="shared" si="0"/>
        <v>-3</v>
      </c>
      <c r="D42" s="1">
        <f t="shared" si="1"/>
        <v>9.7344000000000008</v>
      </c>
      <c r="F42" t="s">
        <v>27</v>
      </c>
      <c r="G42">
        <f>TTEST(A:A,B:B,1,1)</f>
        <v>0.27331975892245142</v>
      </c>
    </row>
    <row r="43" spans="1:7" x14ac:dyDescent="0.25">
      <c r="A43" s="1">
        <v>2</v>
      </c>
      <c r="B43" s="1">
        <v>3</v>
      </c>
      <c r="C43" s="2">
        <f t="shared" si="0"/>
        <v>1</v>
      </c>
      <c r="D43" s="1">
        <f t="shared" si="1"/>
        <v>0.77439999999999998</v>
      </c>
    </row>
    <row r="44" spans="1:7" x14ac:dyDescent="0.25">
      <c r="A44" s="1">
        <v>2</v>
      </c>
      <c r="B44" s="1">
        <v>2</v>
      </c>
      <c r="C44" s="2">
        <f t="shared" si="0"/>
        <v>0</v>
      </c>
      <c r="D44" s="1">
        <f t="shared" si="1"/>
        <v>1.44E-2</v>
      </c>
    </row>
    <row r="45" spans="1:7" x14ac:dyDescent="0.25">
      <c r="A45" s="1">
        <v>4</v>
      </c>
      <c r="B45" s="1">
        <v>5</v>
      </c>
      <c r="C45" s="2">
        <f t="shared" si="0"/>
        <v>1</v>
      </c>
      <c r="D45" s="1">
        <f t="shared" si="1"/>
        <v>0.77439999999999998</v>
      </c>
      <c r="F45" s="6" t="s">
        <v>15</v>
      </c>
      <c r="G45" s="6"/>
    </row>
    <row r="46" spans="1:7" x14ac:dyDescent="0.25">
      <c r="A46" s="1">
        <v>3</v>
      </c>
      <c r="B46" s="1">
        <v>3</v>
      </c>
      <c r="C46" s="2">
        <f t="shared" si="0"/>
        <v>0</v>
      </c>
      <c r="D46" s="1">
        <f t="shared" si="1"/>
        <v>1.44E-2</v>
      </c>
    </row>
    <row r="47" spans="1:7" x14ac:dyDescent="0.25">
      <c r="A47" s="1">
        <v>3</v>
      </c>
      <c r="B47" s="1">
        <v>2</v>
      </c>
      <c r="C47" s="2">
        <f t="shared" si="0"/>
        <v>-1</v>
      </c>
      <c r="D47" s="1">
        <f t="shared" si="1"/>
        <v>1.2544000000000002</v>
      </c>
      <c r="F47" t="s">
        <v>13</v>
      </c>
    </row>
    <row r="48" spans="1:7" x14ac:dyDescent="0.25">
      <c r="A48" s="1">
        <v>3</v>
      </c>
      <c r="B48" s="1">
        <v>4</v>
      </c>
      <c r="C48" s="2">
        <f t="shared" si="0"/>
        <v>1</v>
      </c>
      <c r="D48" s="1">
        <f t="shared" si="1"/>
        <v>0.77439999999999998</v>
      </c>
      <c r="F48" t="s">
        <v>14</v>
      </c>
    </row>
    <row r="49" spans="1:6" x14ac:dyDescent="0.25">
      <c r="A49" s="1">
        <v>1</v>
      </c>
      <c r="B49" s="1">
        <v>2</v>
      </c>
      <c r="C49" s="2">
        <f t="shared" si="0"/>
        <v>1</v>
      </c>
      <c r="D49" s="1">
        <f t="shared" si="1"/>
        <v>0.77439999999999998</v>
      </c>
    </row>
    <row r="50" spans="1:6" x14ac:dyDescent="0.25">
      <c r="A50" s="1">
        <v>4</v>
      </c>
      <c r="B50" s="1">
        <v>5</v>
      </c>
      <c r="C50" s="2">
        <f t="shared" si="0"/>
        <v>1</v>
      </c>
      <c r="D50" s="1">
        <f t="shared" si="1"/>
        <v>0.77439999999999998</v>
      </c>
      <c r="F50" t="s">
        <v>17</v>
      </c>
    </row>
    <row r="51" spans="1:6" x14ac:dyDescent="0.25">
      <c r="A51" s="1">
        <v>2</v>
      </c>
      <c r="B51" s="1">
        <v>3</v>
      </c>
      <c r="C51" s="2">
        <f t="shared" si="0"/>
        <v>1</v>
      </c>
      <c r="D51" s="1">
        <f t="shared" si="1"/>
        <v>0.77439999999999998</v>
      </c>
      <c r="F51" t="s">
        <v>18</v>
      </c>
    </row>
    <row r="52" spans="1:6" x14ac:dyDescent="0.25">
      <c r="A52" s="1">
        <v>2</v>
      </c>
      <c r="B52" s="1">
        <v>4</v>
      </c>
      <c r="C52" s="2">
        <f t="shared" si="0"/>
        <v>2</v>
      </c>
      <c r="D52" s="1">
        <f t="shared" si="1"/>
        <v>3.5343999999999998</v>
      </c>
    </row>
    <row r="53" spans="1:6" x14ac:dyDescent="0.25">
      <c r="A53" s="1">
        <v>3</v>
      </c>
      <c r="B53" s="1">
        <v>5</v>
      </c>
      <c r="C53" s="2">
        <f t="shared" si="0"/>
        <v>2</v>
      </c>
      <c r="D53" s="1">
        <f t="shared" si="1"/>
        <v>3.5343999999999998</v>
      </c>
    </row>
    <row r="54" spans="1:6" x14ac:dyDescent="0.25">
      <c r="A54" s="1">
        <v>4</v>
      </c>
      <c r="B54" s="1">
        <v>2</v>
      </c>
      <c r="C54" s="2">
        <f t="shared" si="0"/>
        <v>-2</v>
      </c>
      <c r="D54" s="1">
        <f t="shared" si="1"/>
        <v>4.4944000000000006</v>
      </c>
    </row>
    <row r="55" spans="1:6" x14ac:dyDescent="0.25">
      <c r="A55" s="1">
        <v>4</v>
      </c>
      <c r="B55" s="1">
        <v>4</v>
      </c>
      <c r="C55" s="2">
        <f t="shared" si="0"/>
        <v>0</v>
      </c>
      <c r="D55" s="1">
        <f t="shared" si="1"/>
        <v>1.44E-2</v>
      </c>
    </row>
    <row r="56" spans="1:6" x14ac:dyDescent="0.25">
      <c r="A56" s="1">
        <v>2</v>
      </c>
      <c r="B56" s="1">
        <v>4</v>
      </c>
      <c r="C56" s="2">
        <f t="shared" si="0"/>
        <v>2</v>
      </c>
      <c r="D56" s="1">
        <f t="shared" si="1"/>
        <v>3.5343999999999998</v>
      </c>
      <c r="F56" s="6" t="s">
        <v>22</v>
      </c>
    </row>
    <row r="57" spans="1:6" x14ac:dyDescent="0.25">
      <c r="A57" s="1">
        <v>5</v>
      </c>
      <c r="B57" s="1">
        <v>3</v>
      </c>
      <c r="C57" s="2">
        <f t="shared" si="0"/>
        <v>-2</v>
      </c>
      <c r="D57" s="1">
        <f t="shared" si="1"/>
        <v>4.4944000000000006</v>
      </c>
    </row>
    <row r="58" spans="1:6" x14ac:dyDescent="0.25">
      <c r="A58" s="1">
        <v>4</v>
      </c>
      <c r="B58" s="1">
        <v>4</v>
      </c>
      <c r="C58" s="2">
        <f t="shared" si="0"/>
        <v>0</v>
      </c>
      <c r="D58" s="1">
        <f t="shared" si="1"/>
        <v>1.44E-2</v>
      </c>
      <c r="F58" t="s">
        <v>20</v>
      </c>
    </row>
    <row r="59" spans="1:6" x14ac:dyDescent="0.25">
      <c r="A59" s="1">
        <v>3</v>
      </c>
      <c r="B59" s="1">
        <v>3</v>
      </c>
      <c r="C59" s="2">
        <f t="shared" si="0"/>
        <v>0</v>
      </c>
      <c r="D59" s="1">
        <f t="shared" si="1"/>
        <v>1.44E-2</v>
      </c>
      <c r="F59" t="s">
        <v>19</v>
      </c>
    </row>
    <row r="60" spans="1:6" x14ac:dyDescent="0.25">
      <c r="A60" s="1">
        <v>4</v>
      </c>
      <c r="B60" s="1">
        <v>4</v>
      </c>
      <c r="C60" s="2">
        <f t="shared" si="0"/>
        <v>0</v>
      </c>
      <c r="D60" s="1">
        <f t="shared" si="1"/>
        <v>1.44E-2</v>
      </c>
      <c r="F60" t="s">
        <v>21</v>
      </c>
    </row>
    <row r="61" spans="1:6" x14ac:dyDescent="0.25">
      <c r="A61" s="1">
        <v>4</v>
      </c>
      <c r="B61" s="1">
        <v>4</v>
      </c>
      <c r="C61" s="2">
        <f t="shared" si="0"/>
        <v>0</v>
      </c>
      <c r="D61" s="1">
        <f t="shared" si="1"/>
        <v>1.44E-2</v>
      </c>
    </row>
    <row r="62" spans="1:6" x14ac:dyDescent="0.25">
      <c r="A62" s="1">
        <v>1</v>
      </c>
      <c r="B62" s="1">
        <v>5</v>
      </c>
      <c r="C62" s="2">
        <f t="shared" si="0"/>
        <v>4</v>
      </c>
      <c r="D62" s="1">
        <f t="shared" si="1"/>
        <v>15.054399999999999</v>
      </c>
    </row>
    <row r="63" spans="1:6" x14ac:dyDescent="0.25">
      <c r="A63" s="1">
        <v>2</v>
      </c>
      <c r="B63" s="1">
        <v>3</v>
      </c>
      <c r="C63" s="2">
        <f t="shared" si="0"/>
        <v>1</v>
      </c>
      <c r="D63" s="1">
        <f t="shared" si="1"/>
        <v>0.77439999999999998</v>
      </c>
    </row>
    <row r="64" spans="1:6" x14ac:dyDescent="0.25">
      <c r="A64" s="1">
        <v>3</v>
      </c>
      <c r="B64" s="1">
        <v>4</v>
      </c>
      <c r="C64" s="2">
        <f t="shared" si="0"/>
        <v>1</v>
      </c>
      <c r="D64" s="1">
        <f t="shared" si="1"/>
        <v>0.77439999999999998</v>
      </c>
    </row>
    <row r="65" spans="1:6" x14ac:dyDescent="0.25">
      <c r="A65" s="1">
        <v>4</v>
      </c>
      <c r="B65" s="1">
        <v>2</v>
      </c>
      <c r="C65" s="2">
        <f t="shared" si="0"/>
        <v>-2</v>
      </c>
      <c r="D65" s="1">
        <f t="shared" si="1"/>
        <v>4.4944000000000006</v>
      </c>
      <c r="F65" s="6" t="s">
        <v>22</v>
      </c>
    </row>
    <row r="66" spans="1:6" x14ac:dyDescent="0.25">
      <c r="A66" s="1">
        <v>3</v>
      </c>
      <c r="B66" s="1">
        <v>5</v>
      </c>
      <c r="C66" s="2">
        <f t="shared" si="0"/>
        <v>2</v>
      </c>
      <c r="D66" s="1">
        <f t="shared" si="1"/>
        <v>3.5343999999999998</v>
      </c>
    </row>
    <row r="67" spans="1:6" x14ac:dyDescent="0.25">
      <c r="A67" s="1">
        <v>2</v>
      </c>
      <c r="B67" s="1">
        <v>3</v>
      </c>
      <c r="C67" s="2">
        <f t="shared" ref="C67:C76" si="2">B67-A67</f>
        <v>1</v>
      </c>
      <c r="D67" s="1">
        <f t="shared" si="1"/>
        <v>0.77439999999999998</v>
      </c>
    </row>
    <row r="68" spans="1:6" x14ac:dyDescent="0.25">
      <c r="A68" s="1">
        <v>3</v>
      </c>
      <c r="B68" s="1">
        <v>3</v>
      </c>
      <c r="C68" s="2">
        <f t="shared" si="2"/>
        <v>0</v>
      </c>
      <c r="D68" s="1">
        <f t="shared" si="1"/>
        <v>1.44E-2</v>
      </c>
    </row>
    <row r="69" spans="1:6" x14ac:dyDescent="0.25">
      <c r="A69" s="1">
        <v>2</v>
      </c>
      <c r="B69" s="1">
        <v>3</v>
      </c>
      <c r="C69" s="2">
        <f t="shared" si="2"/>
        <v>1</v>
      </c>
      <c r="D69" s="1">
        <f t="shared" ref="D69:D76" si="3">(C69-$G$6)^2</f>
        <v>0.77439999999999998</v>
      </c>
    </row>
    <row r="70" spans="1:6" x14ac:dyDescent="0.25">
      <c r="A70" s="1">
        <v>3</v>
      </c>
      <c r="B70" s="1">
        <v>4</v>
      </c>
      <c r="C70" s="2">
        <f t="shared" si="2"/>
        <v>1</v>
      </c>
      <c r="D70" s="1">
        <f t="shared" si="3"/>
        <v>0.77439999999999998</v>
      </c>
    </row>
    <row r="71" spans="1:6" x14ac:dyDescent="0.25">
      <c r="A71" s="1">
        <v>4</v>
      </c>
      <c r="B71" s="1">
        <v>3</v>
      </c>
      <c r="C71" s="2">
        <f t="shared" si="2"/>
        <v>-1</v>
      </c>
      <c r="D71" s="1">
        <f t="shared" si="3"/>
        <v>1.2544000000000002</v>
      </c>
    </row>
    <row r="72" spans="1:6" x14ac:dyDescent="0.25">
      <c r="A72" s="1">
        <v>3</v>
      </c>
      <c r="B72" s="1">
        <v>2</v>
      </c>
      <c r="C72" s="2">
        <f t="shared" si="2"/>
        <v>-1</v>
      </c>
      <c r="D72" s="1">
        <f t="shared" si="3"/>
        <v>1.2544000000000002</v>
      </c>
      <c r="F72" t="s">
        <v>23</v>
      </c>
    </row>
    <row r="73" spans="1:6" x14ac:dyDescent="0.25">
      <c r="A73" s="1">
        <v>1</v>
      </c>
      <c r="B73" s="1">
        <v>3</v>
      </c>
      <c r="C73" s="2">
        <f t="shared" si="2"/>
        <v>2</v>
      </c>
      <c r="D73" s="1">
        <f t="shared" si="3"/>
        <v>3.5343999999999998</v>
      </c>
      <c r="F73" t="s">
        <v>21</v>
      </c>
    </row>
    <row r="74" spans="1:6" x14ac:dyDescent="0.25">
      <c r="A74" s="1">
        <v>2</v>
      </c>
      <c r="B74" s="1">
        <v>5</v>
      </c>
      <c r="C74" s="2">
        <f t="shared" si="2"/>
        <v>3</v>
      </c>
      <c r="D74" s="1">
        <f t="shared" si="3"/>
        <v>8.2943999999999996</v>
      </c>
      <c r="F74" t="s">
        <v>23</v>
      </c>
    </row>
    <row r="75" spans="1:6" x14ac:dyDescent="0.25">
      <c r="A75" s="1">
        <v>4</v>
      </c>
      <c r="B75" s="1">
        <v>4</v>
      </c>
      <c r="C75" s="2">
        <f t="shared" si="2"/>
        <v>0</v>
      </c>
      <c r="D75" s="1">
        <f t="shared" si="3"/>
        <v>1.44E-2</v>
      </c>
      <c r="F75" t="s">
        <v>21</v>
      </c>
    </row>
    <row r="76" spans="1:6" x14ac:dyDescent="0.25">
      <c r="A76" s="1">
        <v>5</v>
      </c>
      <c r="B76" s="1">
        <v>1</v>
      </c>
      <c r="C76" s="2">
        <f t="shared" si="2"/>
        <v>-4</v>
      </c>
      <c r="D76" s="1">
        <f t="shared" si="3"/>
        <v>16.974399999999999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opLeftCell="D17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7.85546875" style="1" customWidth="1"/>
    <col min="2" max="2" width="27.42578125" style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1" customHeight="1" x14ac:dyDescent="0.25">
      <c r="A1" s="3" t="s">
        <v>28</v>
      </c>
      <c r="B1" s="4" t="s">
        <v>29</v>
      </c>
      <c r="C1" s="5" t="s">
        <v>0</v>
      </c>
      <c r="D1" s="5"/>
    </row>
    <row r="2" spans="1:7" x14ac:dyDescent="0.25">
      <c r="A2" s="1">
        <v>2</v>
      </c>
      <c r="B2" s="1">
        <v>3</v>
      </c>
      <c r="C2" s="2">
        <f>B2-A2</f>
        <v>1</v>
      </c>
      <c r="D2" s="1">
        <f>(C2-$G$6)^2</f>
        <v>0.82204444444444436</v>
      </c>
    </row>
    <row r="3" spans="1:7" x14ac:dyDescent="0.25">
      <c r="A3" s="1">
        <v>2</v>
      </c>
      <c r="B3" s="1">
        <v>5</v>
      </c>
      <c r="C3" s="2">
        <f t="shared" ref="C3:C66" si="0">B3-A3</f>
        <v>3</v>
      </c>
      <c r="D3" s="1">
        <f>(C3-$G$6)^2</f>
        <v>8.4487111111111108</v>
      </c>
      <c r="F3" s="6" t="s">
        <v>16</v>
      </c>
      <c r="G3" s="6"/>
    </row>
    <row r="4" spans="1:7" x14ac:dyDescent="0.25">
      <c r="A4" s="1">
        <v>4</v>
      </c>
      <c r="B4" s="1">
        <v>2</v>
      </c>
      <c r="C4" s="2">
        <f t="shared" si="0"/>
        <v>-2</v>
      </c>
      <c r="D4" s="1">
        <f>(C4-$G$6)^2</f>
        <v>4.3820444444444444</v>
      </c>
      <c r="F4" t="s">
        <v>4</v>
      </c>
      <c r="G4">
        <f>COUNT(A:A)</f>
        <v>75</v>
      </c>
    </row>
    <row r="5" spans="1:7" x14ac:dyDescent="0.25">
      <c r="A5" s="1">
        <v>1</v>
      </c>
      <c r="B5" s="1">
        <v>4</v>
      </c>
      <c r="C5" s="2">
        <f t="shared" si="0"/>
        <v>3</v>
      </c>
      <c r="D5" s="1">
        <f t="shared" ref="D5:D66" si="1">(C5-$G$6)^2</f>
        <v>8.4487111111111108</v>
      </c>
      <c r="F5" t="s">
        <v>2</v>
      </c>
      <c r="G5">
        <f>SUM(C:C)</f>
        <v>7</v>
      </c>
    </row>
    <row r="6" spans="1:7" x14ac:dyDescent="0.25">
      <c r="A6" s="1">
        <v>3</v>
      </c>
      <c r="B6" s="1">
        <v>3</v>
      </c>
      <c r="C6" s="2">
        <f t="shared" si="0"/>
        <v>0</v>
      </c>
      <c r="D6" s="1">
        <f t="shared" si="1"/>
        <v>8.7111111111111122E-3</v>
      </c>
      <c r="F6" t="s">
        <v>1</v>
      </c>
      <c r="G6">
        <f>G5/G4</f>
        <v>9.3333333333333338E-2</v>
      </c>
    </row>
    <row r="7" spans="1:7" x14ac:dyDescent="0.25">
      <c r="A7" s="1">
        <v>5</v>
      </c>
      <c r="B7" s="1">
        <v>4</v>
      </c>
      <c r="C7" s="2">
        <f t="shared" si="0"/>
        <v>-1</v>
      </c>
      <c r="D7" s="1">
        <f t="shared" si="1"/>
        <v>1.1953777777777777</v>
      </c>
      <c r="F7" t="s">
        <v>3</v>
      </c>
      <c r="G7">
        <f>SUM(D:D)</f>
        <v>266.34666666666658</v>
      </c>
    </row>
    <row r="8" spans="1:7" x14ac:dyDescent="0.25">
      <c r="A8" s="1">
        <v>4</v>
      </c>
      <c r="B8" s="1">
        <v>5</v>
      </c>
      <c r="C8" s="2">
        <f t="shared" si="0"/>
        <v>1</v>
      </c>
      <c r="D8" s="1">
        <f t="shared" si="1"/>
        <v>0.82204444444444436</v>
      </c>
      <c r="F8" t="s">
        <v>5</v>
      </c>
      <c r="G8">
        <f>SQRT(G7/(G4-1))</f>
        <v>1.8971766600080442</v>
      </c>
    </row>
    <row r="9" spans="1:7" x14ac:dyDescent="0.25">
      <c r="A9" s="1">
        <v>5</v>
      </c>
      <c r="B9" s="1">
        <v>4</v>
      </c>
      <c r="C9" s="2">
        <f t="shared" si="0"/>
        <v>-1</v>
      </c>
      <c r="D9" s="1">
        <f t="shared" si="1"/>
        <v>1.1953777777777777</v>
      </c>
    </row>
    <row r="10" spans="1:7" x14ac:dyDescent="0.25">
      <c r="A10" s="1">
        <v>4</v>
      </c>
      <c r="B10" s="1">
        <v>3</v>
      </c>
      <c r="C10" s="2">
        <f t="shared" si="0"/>
        <v>-1</v>
      </c>
      <c r="D10" s="1">
        <f t="shared" si="1"/>
        <v>1.1953777777777777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8.7111111111111122E-3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8.7111111111111122E-3</v>
      </c>
      <c r="F12" t="s">
        <v>11</v>
      </c>
      <c r="G12">
        <f>G6/(G8/SQRT(G4))</f>
        <v>0.42604908330574182</v>
      </c>
    </row>
    <row r="13" spans="1:7" x14ac:dyDescent="0.25">
      <c r="A13" s="1">
        <v>3</v>
      </c>
      <c r="B13" s="1">
        <v>3</v>
      </c>
      <c r="C13" s="2">
        <f t="shared" si="0"/>
        <v>0</v>
      </c>
      <c r="D13" s="1">
        <f t="shared" si="1"/>
        <v>8.7111111111111122E-3</v>
      </c>
    </row>
    <row r="14" spans="1:7" x14ac:dyDescent="0.25">
      <c r="A14" s="1">
        <v>3</v>
      </c>
      <c r="B14" s="1">
        <v>4</v>
      </c>
      <c r="C14" s="2">
        <f t="shared" si="0"/>
        <v>1</v>
      </c>
      <c r="D14" s="1">
        <f t="shared" si="1"/>
        <v>0.82204444444444436</v>
      </c>
    </row>
    <row r="15" spans="1:7" x14ac:dyDescent="0.25">
      <c r="A15" s="1">
        <v>3</v>
      </c>
      <c r="B15" s="1">
        <v>1</v>
      </c>
      <c r="C15" s="2">
        <f t="shared" si="0"/>
        <v>-2</v>
      </c>
      <c r="D15" s="1">
        <f t="shared" si="1"/>
        <v>4.3820444444444444</v>
      </c>
    </row>
    <row r="16" spans="1:7" x14ac:dyDescent="0.25">
      <c r="A16" s="1">
        <v>2</v>
      </c>
      <c r="B16" s="1">
        <v>3</v>
      </c>
      <c r="C16" s="2">
        <f t="shared" si="0"/>
        <v>1</v>
      </c>
      <c r="D16" s="1">
        <f t="shared" si="1"/>
        <v>0.82204444444444436</v>
      </c>
    </row>
    <row r="17" spans="1:7" x14ac:dyDescent="0.25">
      <c r="A17" s="1">
        <v>4</v>
      </c>
      <c r="B17" s="1">
        <v>2</v>
      </c>
      <c r="C17" s="2">
        <f t="shared" si="0"/>
        <v>-2</v>
      </c>
      <c r="D17" s="1">
        <f t="shared" si="1"/>
        <v>4.3820444444444444</v>
      </c>
      <c r="F17" t="s">
        <v>6</v>
      </c>
      <c r="G17">
        <v>0.05</v>
      </c>
    </row>
    <row r="18" spans="1:7" x14ac:dyDescent="0.25">
      <c r="A18" s="1">
        <v>5</v>
      </c>
      <c r="B18" s="1">
        <v>5</v>
      </c>
      <c r="C18" s="2">
        <f t="shared" si="0"/>
        <v>0</v>
      </c>
      <c r="D18" s="1">
        <f t="shared" si="1"/>
        <v>8.7111111111111122E-3</v>
      </c>
      <c r="F18" t="s">
        <v>7</v>
      </c>
      <c r="G18">
        <f>G4-1</f>
        <v>74</v>
      </c>
    </row>
    <row r="19" spans="1:7" x14ac:dyDescent="0.25">
      <c r="A19" s="1">
        <v>4</v>
      </c>
      <c r="B19" s="1">
        <v>1</v>
      </c>
      <c r="C19" s="2">
        <f t="shared" si="0"/>
        <v>-3</v>
      </c>
      <c r="D19" s="1">
        <f t="shared" si="1"/>
        <v>9.5687111111111101</v>
      </c>
    </row>
    <row r="20" spans="1:7" x14ac:dyDescent="0.25">
      <c r="A20" s="1">
        <v>3</v>
      </c>
      <c r="B20" s="1">
        <v>3</v>
      </c>
      <c r="C20" s="2">
        <f t="shared" si="0"/>
        <v>0</v>
      </c>
      <c r="D20" s="1">
        <f t="shared" si="1"/>
        <v>8.7111111111111122E-3</v>
      </c>
    </row>
    <row r="21" spans="1:7" x14ac:dyDescent="0.25">
      <c r="A21" s="1">
        <v>4</v>
      </c>
      <c r="B21" s="1">
        <v>3</v>
      </c>
      <c r="C21" s="2">
        <f t="shared" si="0"/>
        <v>-1</v>
      </c>
      <c r="D21" s="1">
        <f t="shared" si="1"/>
        <v>1.1953777777777777</v>
      </c>
    </row>
    <row r="22" spans="1:7" x14ac:dyDescent="0.25">
      <c r="A22" s="1">
        <v>5</v>
      </c>
      <c r="B22" s="1">
        <v>1</v>
      </c>
      <c r="C22" s="2">
        <f t="shared" si="0"/>
        <v>-4</v>
      </c>
      <c r="D22" s="1">
        <f t="shared" si="1"/>
        <v>16.755377777777781</v>
      </c>
      <c r="F22" s="6" t="s">
        <v>8</v>
      </c>
      <c r="G22" s="6"/>
    </row>
    <row r="23" spans="1:7" x14ac:dyDescent="0.25">
      <c r="A23" s="1">
        <v>4</v>
      </c>
      <c r="B23" s="1">
        <v>4</v>
      </c>
      <c r="C23" s="2">
        <f t="shared" si="0"/>
        <v>0</v>
      </c>
      <c r="D23" s="1">
        <f t="shared" si="1"/>
        <v>8.7111111111111122E-3</v>
      </c>
      <c r="F23" t="s">
        <v>25</v>
      </c>
      <c r="G23">
        <f>_xlfn.T.INV.2T(G17,G18)</f>
        <v>1.992543495180934</v>
      </c>
    </row>
    <row r="24" spans="1:7" x14ac:dyDescent="0.25">
      <c r="A24" s="1">
        <v>3</v>
      </c>
      <c r="B24" s="1">
        <v>4</v>
      </c>
      <c r="C24" s="2">
        <f t="shared" si="0"/>
        <v>1</v>
      </c>
      <c r="D24" s="1">
        <f t="shared" si="1"/>
        <v>0.82204444444444436</v>
      </c>
      <c r="F24" t="s">
        <v>26</v>
      </c>
      <c r="G24">
        <f>_xlfn.T.INV(G17,G18)</f>
        <v>-1.6657068927340244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1.1953777777777777</v>
      </c>
    </row>
    <row r="26" spans="1:7" x14ac:dyDescent="0.25">
      <c r="A26" s="1">
        <v>1</v>
      </c>
      <c r="B26" s="1">
        <v>4</v>
      </c>
      <c r="C26" s="2">
        <f t="shared" si="0"/>
        <v>3</v>
      </c>
      <c r="D26" s="1">
        <f t="shared" si="1"/>
        <v>8.4487111111111108</v>
      </c>
    </row>
    <row r="27" spans="1:7" x14ac:dyDescent="0.25">
      <c r="A27" s="1">
        <v>1</v>
      </c>
      <c r="B27" s="1">
        <v>5</v>
      </c>
      <c r="C27" s="2">
        <f t="shared" si="0"/>
        <v>4</v>
      </c>
      <c r="D27" s="1">
        <f t="shared" si="1"/>
        <v>15.262044444444445</v>
      </c>
    </row>
    <row r="28" spans="1:7" x14ac:dyDescent="0.25">
      <c r="A28" s="1">
        <v>4</v>
      </c>
      <c r="B28" s="1">
        <v>3</v>
      </c>
      <c r="C28" s="2">
        <f t="shared" si="0"/>
        <v>-1</v>
      </c>
      <c r="D28" s="1">
        <f t="shared" si="1"/>
        <v>1.1953777777777777</v>
      </c>
    </row>
    <row r="29" spans="1:7" x14ac:dyDescent="0.25">
      <c r="A29" s="1">
        <v>3</v>
      </c>
      <c r="B29" s="1">
        <v>4</v>
      </c>
      <c r="C29" s="2">
        <f t="shared" si="0"/>
        <v>1</v>
      </c>
      <c r="D29" s="1">
        <f t="shared" si="1"/>
        <v>0.82204444444444436</v>
      </c>
    </row>
    <row r="30" spans="1:7" x14ac:dyDescent="0.25">
      <c r="A30" s="1">
        <v>1</v>
      </c>
      <c r="B30" s="1">
        <v>5</v>
      </c>
      <c r="C30" s="2">
        <f t="shared" si="0"/>
        <v>4</v>
      </c>
      <c r="D30" s="1">
        <f t="shared" si="1"/>
        <v>15.262044444444445</v>
      </c>
    </row>
    <row r="31" spans="1:7" x14ac:dyDescent="0.25">
      <c r="A31" s="1">
        <v>5</v>
      </c>
      <c r="B31" s="1">
        <v>4</v>
      </c>
      <c r="C31" s="2">
        <f t="shared" si="0"/>
        <v>-1</v>
      </c>
      <c r="D31" s="1">
        <f t="shared" si="1"/>
        <v>1.1953777777777777</v>
      </c>
    </row>
    <row r="32" spans="1:7" x14ac:dyDescent="0.25">
      <c r="A32" s="1">
        <v>3</v>
      </c>
      <c r="B32" s="1">
        <v>5</v>
      </c>
      <c r="C32" s="2">
        <f t="shared" si="0"/>
        <v>2</v>
      </c>
      <c r="D32" s="1">
        <f t="shared" si="1"/>
        <v>3.6353777777777778</v>
      </c>
    </row>
    <row r="33" spans="1:7" x14ac:dyDescent="0.25">
      <c r="A33" s="1">
        <v>4</v>
      </c>
      <c r="B33" s="1">
        <v>5</v>
      </c>
      <c r="C33" s="2">
        <f t="shared" si="0"/>
        <v>1</v>
      </c>
      <c r="D33" s="1">
        <f t="shared" si="1"/>
        <v>0.82204444444444436</v>
      </c>
    </row>
    <row r="34" spans="1:7" x14ac:dyDescent="0.25">
      <c r="A34" s="1">
        <v>3</v>
      </c>
      <c r="B34" s="1">
        <v>3</v>
      </c>
      <c r="C34" s="2">
        <f t="shared" si="0"/>
        <v>0</v>
      </c>
      <c r="D34" s="1">
        <f t="shared" si="1"/>
        <v>8.7111111111111122E-3</v>
      </c>
      <c r="F34" t="s">
        <v>9</v>
      </c>
    </row>
    <row r="35" spans="1:7" x14ac:dyDescent="0.25">
      <c r="A35" s="1">
        <v>4</v>
      </c>
      <c r="B35" s="1">
        <v>5</v>
      </c>
      <c r="C35" s="2">
        <f t="shared" si="0"/>
        <v>1</v>
      </c>
      <c r="D35" s="1">
        <f t="shared" si="1"/>
        <v>0.82204444444444436</v>
      </c>
      <c r="F35" t="s">
        <v>10</v>
      </c>
    </row>
    <row r="36" spans="1:7" x14ac:dyDescent="0.25">
      <c r="A36" s="1">
        <v>1</v>
      </c>
      <c r="B36" s="1">
        <v>5</v>
      </c>
      <c r="C36" s="2">
        <f t="shared" si="0"/>
        <v>4</v>
      </c>
      <c r="D36" s="1">
        <f t="shared" si="1"/>
        <v>15.262044444444445</v>
      </c>
    </row>
    <row r="37" spans="1:7" x14ac:dyDescent="0.25">
      <c r="A37" s="1">
        <v>1</v>
      </c>
      <c r="B37" s="1">
        <v>4</v>
      </c>
      <c r="C37" s="2">
        <f t="shared" si="0"/>
        <v>3</v>
      </c>
      <c r="D37" s="1">
        <f t="shared" si="1"/>
        <v>8.4487111111111108</v>
      </c>
    </row>
    <row r="38" spans="1:7" x14ac:dyDescent="0.25">
      <c r="A38" s="1">
        <v>3</v>
      </c>
      <c r="B38" s="1">
        <v>2</v>
      </c>
      <c r="C38" s="2">
        <f t="shared" si="0"/>
        <v>-1</v>
      </c>
      <c r="D38" s="1">
        <f t="shared" si="1"/>
        <v>1.1953777777777777</v>
      </c>
    </row>
    <row r="39" spans="1:7" x14ac:dyDescent="0.25">
      <c r="A39" s="1">
        <v>3</v>
      </c>
      <c r="B39" s="1">
        <v>2</v>
      </c>
      <c r="C39" s="2">
        <f t="shared" si="0"/>
        <v>-1</v>
      </c>
      <c r="D39" s="1">
        <f t="shared" si="1"/>
        <v>1.1953777777777777</v>
      </c>
      <c r="F39" s="6" t="s">
        <v>12</v>
      </c>
      <c r="G39" s="6"/>
    </row>
    <row r="40" spans="1:7" x14ac:dyDescent="0.25">
      <c r="A40" s="1">
        <v>2</v>
      </c>
      <c r="B40" s="1">
        <v>3</v>
      </c>
      <c r="C40" s="2">
        <f t="shared" si="0"/>
        <v>1</v>
      </c>
      <c r="D40" s="1">
        <f t="shared" si="1"/>
        <v>0.82204444444444436</v>
      </c>
      <c r="F40" t="s">
        <v>12</v>
      </c>
    </row>
    <row r="41" spans="1:7" x14ac:dyDescent="0.25">
      <c r="A41" s="1">
        <v>2</v>
      </c>
      <c r="B41" s="1">
        <v>5</v>
      </c>
      <c r="C41" s="2">
        <f t="shared" si="0"/>
        <v>3</v>
      </c>
      <c r="D41" s="1">
        <f t="shared" si="1"/>
        <v>8.4487111111111108</v>
      </c>
      <c r="F41" t="s">
        <v>24</v>
      </c>
      <c r="G41">
        <f>TTEST(A:A,B:B,2,1)</f>
        <v>0.67130879078175254</v>
      </c>
    </row>
    <row r="42" spans="1:7" x14ac:dyDescent="0.25">
      <c r="A42" s="1">
        <v>4</v>
      </c>
      <c r="B42" s="1">
        <v>2</v>
      </c>
      <c r="C42" s="2">
        <f t="shared" si="0"/>
        <v>-2</v>
      </c>
      <c r="D42" s="1">
        <f t="shared" si="1"/>
        <v>4.3820444444444444</v>
      </c>
      <c r="F42" t="s">
        <v>27</v>
      </c>
      <c r="G42">
        <f>TTEST(A:A,B:B,1,1)</f>
        <v>0.33565439539087627</v>
      </c>
    </row>
    <row r="43" spans="1:7" x14ac:dyDescent="0.25">
      <c r="A43" s="1">
        <v>2</v>
      </c>
      <c r="B43" s="1">
        <v>2</v>
      </c>
      <c r="C43" s="2">
        <f t="shared" si="0"/>
        <v>0</v>
      </c>
      <c r="D43" s="1">
        <f t="shared" si="1"/>
        <v>8.7111111111111122E-3</v>
      </c>
    </row>
    <row r="44" spans="1:7" x14ac:dyDescent="0.25">
      <c r="A44" s="1">
        <v>5</v>
      </c>
      <c r="B44" s="1">
        <v>4</v>
      </c>
      <c r="C44" s="2">
        <f t="shared" si="0"/>
        <v>-1</v>
      </c>
      <c r="D44" s="1">
        <f t="shared" si="1"/>
        <v>1.1953777777777777</v>
      </c>
    </row>
    <row r="45" spans="1:7" x14ac:dyDescent="0.25">
      <c r="A45" s="1">
        <v>3</v>
      </c>
      <c r="B45" s="1">
        <v>4</v>
      </c>
      <c r="C45" s="2">
        <f t="shared" si="0"/>
        <v>1</v>
      </c>
      <c r="D45" s="1">
        <f t="shared" si="1"/>
        <v>0.82204444444444436</v>
      </c>
      <c r="F45" s="6" t="s">
        <v>15</v>
      </c>
      <c r="G45" s="6"/>
    </row>
    <row r="46" spans="1:7" x14ac:dyDescent="0.25">
      <c r="A46" s="1">
        <v>1</v>
      </c>
      <c r="B46" s="1">
        <v>4</v>
      </c>
      <c r="C46" s="2">
        <f t="shared" si="0"/>
        <v>3</v>
      </c>
      <c r="D46" s="1">
        <f t="shared" si="1"/>
        <v>8.4487111111111108</v>
      </c>
    </row>
    <row r="47" spans="1:7" x14ac:dyDescent="0.25">
      <c r="A47" s="1">
        <v>3</v>
      </c>
      <c r="B47" s="1">
        <v>4</v>
      </c>
      <c r="C47" s="2">
        <f t="shared" si="0"/>
        <v>1</v>
      </c>
      <c r="D47" s="1">
        <f t="shared" si="1"/>
        <v>0.82204444444444436</v>
      </c>
      <c r="F47" t="s">
        <v>13</v>
      </c>
    </row>
    <row r="48" spans="1:7" x14ac:dyDescent="0.25">
      <c r="A48" s="1">
        <v>5</v>
      </c>
      <c r="B48" s="1">
        <v>2</v>
      </c>
      <c r="C48" s="2">
        <f t="shared" si="0"/>
        <v>-3</v>
      </c>
      <c r="D48" s="1">
        <f t="shared" si="1"/>
        <v>9.5687111111111101</v>
      </c>
      <c r="F48" t="s">
        <v>14</v>
      </c>
    </row>
    <row r="49" spans="1:6" x14ac:dyDescent="0.25">
      <c r="A49" s="1">
        <v>3</v>
      </c>
      <c r="B49" s="1">
        <v>2</v>
      </c>
      <c r="C49" s="2">
        <f t="shared" si="0"/>
        <v>-1</v>
      </c>
      <c r="D49" s="1">
        <f t="shared" si="1"/>
        <v>1.1953777777777777</v>
      </c>
    </row>
    <row r="50" spans="1:6" x14ac:dyDescent="0.25">
      <c r="A50" s="1">
        <v>5</v>
      </c>
      <c r="B50" s="1">
        <v>4</v>
      </c>
      <c r="C50" s="2">
        <f t="shared" si="0"/>
        <v>-1</v>
      </c>
      <c r="D50" s="1">
        <f t="shared" si="1"/>
        <v>1.1953777777777777</v>
      </c>
      <c r="F50" t="s">
        <v>17</v>
      </c>
    </row>
    <row r="51" spans="1:6" x14ac:dyDescent="0.25">
      <c r="A51" s="1">
        <v>2</v>
      </c>
      <c r="B51" s="1">
        <v>2</v>
      </c>
      <c r="C51" s="2">
        <f t="shared" si="0"/>
        <v>0</v>
      </c>
      <c r="D51" s="1">
        <f t="shared" si="1"/>
        <v>8.7111111111111122E-3</v>
      </c>
      <c r="F51" t="s">
        <v>18</v>
      </c>
    </row>
    <row r="52" spans="1:6" x14ac:dyDescent="0.25">
      <c r="A52" s="1">
        <v>3</v>
      </c>
      <c r="B52" s="1">
        <v>4</v>
      </c>
      <c r="C52" s="2">
        <f t="shared" si="0"/>
        <v>1</v>
      </c>
      <c r="D52" s="1">
        <f t="shared" si="1"/>
        <v>0.82204444444444436</v>
      </c>
    </row>
    <row r="53" spans="1:6" x14ac:dyDescent="0.25">
      <c r="A53" s="1">
        <v>4</v>
      </c>
      <c r="B53" s="1">
        <v>4</v>
      </c>
      <c r="C53" s="2">
        <f t="shared" si="0"/>
        <v>0</v>
      </c>
      <c r="D53" s="1">
        <f t="shared" si="1"/>
        <v>8.7111111111111122E-3</v>
      </c>
    </row>
    <row r="54" spans="1:6" x14ac:dyDescent="0.25">
      <c r="A54" s="1">
        <v>5</v>
      </c>
      <c r="B54" s="1">
        <v>1</v>
      </c>
      <c r="C54" s="2">
        <f t="shared" si="0"/>
        <v>-4</v>
      </c>
      <c r="D54" s="1">
        <f t="shared" si="1"/>
        <v>16.755377777777781</v>
      </c>
    </row>
    <row r="55" spans="1:6" x14ac:dyDescent="0.25">
      <c r="A55" s="1">
        <v>2</v>
      </c>
      <c r="B55" s="1">
        <v>3</v>
      </c>
      <c r="C55" s="2">
        <f t="shared" si="0"/>
        <v>1</v>
      </c>
      <c r="D55" s="1">
        <f t="shared" si="1"/>
        <v>0.82204444444444436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1.1953777777777777</v>
      </c>
      <c r="F56" s="6" t="s">
        <v>22</v>
      </c>
    </row>
    <row r="57" spans="1:6" x14ac:dyDescent="0.25">
      <c r="A57" s="1">
        <v>5</v>
      </c>
      <c r="B57" s="1">
        <v>3</v>
      </c>
      <c r="C57" s="2">
        <f t="shared" si="0"/>
        <v>-2</v>
      </c>
      <c r="D57" s="1">
        <f t="shared" si="1"/>
        <v>4.3820444444444444</v>
      </c>
    </row>
    <row r="58" spans="1:6" x14ac:dyDescent="0.25">
      <c r="A58" s="1">
        <v>3</v>
      </c>
      <c r="B58" s="1">
        <v>4</v>
      </c>
      <c r="C58" s="2">
        <f t="shared" si="0"/>
        <v>1</v>
      </c>
      <c r="D58" s="1">
        <f t="shared" si="1"/>
        <v>0.82204444444444436</v>
      </c>
      <c r="F58" t="s">
        <v>20</v>
      </c>
    </row>
    <row r="59" spans="1:6" x14ac:dyDescent="0.25">
      <c r="A59" s="1">
        <v>5</v>
      </c>
      <c r="B59" s="1">
        <v>5</v>
      </c>
      <c r="C59" s="2">
        <f t="shared" si="0"/>
        <v>0</v>
      </c>
      <c r="D59" s="1">
        <f t="shared" si="1"/>
        <v>8.7111111111111122E-3</v>
      </c>
      <c r="F59" t="s">
        <v>19</v>
      </c>
    </row>
    <row r="60" spans="1:6" x14ac:dyDescent="0.25">
      <c r="A60" s="1">
        <v>5</v>
      </c>
      <c r="B60" s="1">
        <v>2</v>
      </c>
      <c r="C60" s="2">
        <f t="shared" si="0"/>
        <v>-3</v>
      </c>
      <c r="D60" s="1">
        <f t="shared" si="1"/>
        <v>9.5687111111111101</v>
      </c>
      <c r="F60" t="s">
        <v>21</v>
      </c>
    </row>
    <row r="61" spans="1:6" x14ac:dyDescent="0.25">
      <c r="A61" s="1">
        <v>4</v>
      </c>
      <c r="B61" s="1">
        <v>2</v>
      </c>
      <c r="C61" s="2">
        <f t="shared" si="0"/>
        <v>-2</v>
      </c>
      <c r="D61" s="1">
        <f t="shared" si="1"/>
        <v>4.3820444444444444</v>
      </c>
    </row>
    <row r="62" spans="1:6" x14ac:dyDescent="0.25">
      <c r="A62" s="1">
        <v>1</v>
      </c>
      <c r="B62" s="1">
        <v>3</v>
      </c>
      <c r="C62" s="2">
        <f t="shared" si="0"/>
        <v>2</v>
      </c>
      <c r="D62" s="1">
        <f t="shared" si="1"/>
        <v>3.6353777777777778</v>
      </c>
    </row>
    <row r="63" spans="1:6" x14ac:dyDescent="0.25">
      <c r="A63" s="1">
        <v>3</v>
      </c>
      <c r="B63" s="1">
        <v>2</v>
      </c>
      <c r="C63" s="2">
        <f t="shared" si="0"/>
        <v>-1</v>
      </c>
      <c r="D63" s="1">
        <f t="shared" si="1"/>
        <v>1.1953777777777777</v>
      </c>
    </row>
    <row r="64" spans="1:6" x14ac:dyDescent="0.25">
      <c r="A64" s="1">
        <v>3</v>
      </c>
      <c r="B64" s="1">
        <v>2</v>
      </c>
      <c r="C64" s="2">
        <f t="shared" si="0"/>
        <v>-1</v>
      </c>
      <c r="D64" s="1">
        <f t="shared" si="1"/>
        <v>1.1953777777777777</v>
      </c>
    </row>
    <row r="65" spans="1:6" x14ac:dyDescent="0.25">
      <c r="A65" s="1">
        <v>5</v>
      </c>
      <c r="B65" s="1">
        <v>3</v>
      </c>
      <c r="C65" s="2">
        <f t="shared" si="0"/>
        <v>-2</v>
      </c>
      <c r="D65" s="1">
        <f t="shared" si="1"/>
        <v>4.3820444444444444</v>
      </c>
      <c r="F65" s="6" t="s">
        <v>22</v>
      </c>
    </row>
    <row r="66" spans="1:6" x14ac:dyDescent="0.25">
      <c r="A66" s="1">
        <v>3</v>
      </c>
      <c r="B66" s="1">
        <v>1</v>
      </c>
      <c r="C66" s="2">
        <f t="shared" si="0"/>
        <v>-2</v>
      </c>
      <c r="D66" s="1">
        <f t="shared" si="1"/>
        <v>4.3820444444444444</v>
      </c>
    </row>
    <row r="67" spans="1:6" x14ac:dyDescent="0.25">
      <c r="A67" s="1">
        <v>3</v>
      </c>
      <c r="B67" s="1">
        <v>3</v>
      </c>
      <c r="C67" s="2">
        <f t="shared" ref="C67:C76" si="2">B67-A67</f>
        <v>0</v>
      </c>
      <c r="D67" s="1">
        <f t="shared" ref="D67:D76" si="3">(C67-$G$6)^2</f>
        <v>8.7111111111111122E-3</v>
      </c>
    </row>
    <row r="68" spans="1:6" x14ac:dyDescent="0.25">
      <c r="A68" s="1">
        <v>2</v>
      </c>
      <c r="B68" s="1">
        <v>3</v>
      </c>
      <c r="C68" s="2">
        <f t="shared" si="2"/>
        <v>1</v>
      </c>
      <c r="D68" s="1">
        <f t="shared" si="3"/>
        <v>0.82204444444444436</v>
      </c>
    </row>
    <row r="69" spans="1:6" x14ac:dyDescent="0.25">
      <c r="A69" s="1">
        <v>2</v>
      </c>
      <c r="B69" s="1">
        <v>3</v>
      </c>
      <c r="C69" s="2">
        <f t="shared" si="2"/>
        <v>1</v>
      </c>
      <c r="D69" s="1">
        <f t="shared" si="3"/>
        <v>0.82204444444444436</v>
      </c>
    </row>
    <row r="70" spans="1:6" x14ac:dyDescent="0.25">
      <c r="A70" s="1">
        <v>3</v>
      </c>
      <c r="B70" s="1">
        <v>5</v>
      </c>
      <c r="C70" s="2">
        <f t="shared" si="2"/>
        <v>2</v>
      </c>
      <c r="D70" s="1">
        <f t="shared" si="3"/>
        <v>3.6353777777777778</v>
      </c>
    </row>
    <row r="71" spans="1:6" x14ac:dyDescent="0.25">
      <c r="A71" s="1">
        <v>1</v>
      </c>
      <c r="B71" s="1">
        <v>1</v>
      </c>
      <c r="C71" s="2">
        <f t="shared" si="2"/>
        <v>0</v>
      </c>
      <c r="D71" s="1">
        <f t="shared" si="3"/>
        <v>8.7111111111111122E-3</v>
      </c>
    </row>
    <row r="72" spans="1:6" x14ac:dyDescent="0.25">
      <c r="A72" s="1">
        <v>5</v>
      </c>
      <c r="B72" s="1">
        <v>4</v>
      </c>
      <c r="C72" s="2">
        <f t="shared" si="2"/>
        <v>-1</v>
      </c>
      <c r="D72" s="1">
        <f t="shared" si="3"/>
        <v>1.1953777777777777</v>
      </c>
      <c r="F72" t="s">
        <v>23</v>
      </c>
    </row>
    <row r="73" spans="1:6" x14ac:dyDescent="0.25">
      <c r="A73" s="1">
        <v>2</v>
      </c>
      <c r="B73" s="1">
        <v>3</v>
      </c>
      <c r="C73" s="2">
        <f t="shared" si="2"/>
        <v>1</v>
      </c>
      <c r="D73" s="1">
        <f t="shared" si="3"/>
        <v>0.82204444444444436</v>
      </c>
      <c r="F73" t="s">
        <v>21</v>
      </c>
    </row>
    <row r="74" spans="1:6" x14ac:dyDescent="0.25">
      <c r="A74" s="1">
        <v>1</v>
      </c>
      <c r="B74" s="1">
        <v>5</v>
      </c>
      <c r="C74" s="2">
        <f t="shared" si="2"/>
        <v>4</v>
      </c>
      <c r="D74" s="1">
        <f t="shared" si="3"/>
        <v>15.262044444444445</v>
      </c>
      <c r="F74" t="s">
        <v>23</v>
      </c>
    </row>
    <row r="75" spans="1:6" x14ac:dyDescent="0.25">
      <c r="A75" s="1">
        <v>3</v>
      </c>
      <c r="B75" s="1">
        <v>5</v>
      </c>
      <c r="C75" s="2">
        <f t="shared" si="2"/>
        <v>2</v>
      </c>
      <c r="D75" s="1">
        <f t="shared" si="3"/>
        <v>3.6353777777777778</v>
      </c>
      <c r="F75" t="s">
        <v>21</v>
      </c>
    </row>
    <row r="76" spans="1:6" x14ac:dyDescent="0.25">
      <c r="A76" s="1">
        <v>4</v>
      </c>
      <c r="B76" s="1">
        <v>1</v>
      </c>
      <c r="C76" s="2">
        <f t="shared" si="2"/>
        <v>-3</v>
      </c>
      <c r="D76" s="1">
        <f t="shared" si="3"/>
        <v>9.5687111111111101</v>
      </c>
    </row>
    <row r="77" spans="1:6" x14ac:dyDescent="0.25">
      <c r="C77" s="2"/>
      <c r="D77" s="1"/>
    </row>
    <row r="78" spans="1:6" x14ac:dyDescent="0.25">
      <c r="C78" s="2"/>
      <c r="D78" s="1"/>
    </row>
    <row r="79" spans="1:6" x14ac:dyDescent="0.25">
      <c r="C79" s="2"/>
      <c r="D79" s="1"/>
    </row>
    <row r="80" spans="1:6" x14ac:dyDescent="0.25">
      <c r="C80" s="2"/>
      <c r="D80" s="1"/>
    </row>
    <row r="81" spans="3:6" x14ac:dyDescent="0.25">
      <c r="C81" s="2"/>
      <c r="D81" s="1"/>
    </row>
    <row r="82" spans="3:6" x14ac:dyDescent="0.25">
      <c r="C82" s="2"/>
      <c r="D82" s="1"/>
    </row>
    <row r="83" spans="3:6" x14ac:dyDescent="0.25">
      <c r="C83" s="2"/>
      <c r="D83" s="1"/>
    </row>
    <row r="84" spans="3:6" x14ac:dyDescent="0.25">
      <c r="C84" s="2"/>
      <c r="D84" s="1"/>
    </row>
    <row r="85" spans="3:6" x14ac:dyDescent="0.25">
      <c r="C85" s="2"/>
      <c r="D85" s="1"/>
    </row>
    <row r="86" spans="3:6" x14ac:dyDescent="0.25">
      <c r="C86" s="2"/>
      <c r="D86" s="1"/>
    </row>
    <row r="87" spans="3:6" x14ac:dyDescent="0.25">
      <c r="C87" s="2"/>
      <c r="D87" s="1"/>
    </row>
    <row r="88" spans="3:6" x14ac:dyDescent="0.25">
      <c r="C88" s="2"/>
      <c r="D88" s="1"/>
    </row>
    <row r="93" spans="3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Motivación_asignatura</vt:lpstr>
      <vt:lpstr>Resolución_autónoma</vt:lpstr>
      <vt:lpstr>Desarrollo_habilidades</vt:lpstr>
      <vt:lpstr>Nivel_comprensión_programación</vt:lpstr>
      <vt:lpstr>Calificación_programación</vt:lpstr>
      <vt:lpstr>Esfuerzo_objetivos_comunes</vt:lpstr>
      <vt:lpstr>Cumplimiento_tareas</vt:lpstr>
      <vt:lpstr>Valoró_aportes</vt:lpstr>
      <vt:lpstr>Contribución_equilibrada </vt:lpstr>
      <vt:lpstr>Expresó_ideas_clara</vt:lpstr>
      <vt:lpstr>Participó_activamente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2025-11-13T16:39:20Z</dcterms:modified>
</cp:coreProperties>
</file>
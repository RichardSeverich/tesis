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anova\"/>
    </mc:Choice>
  </mc:AlternateContent>
  <bookViews>
    <workbookView xWindow="0" yWindow="0" windowWidth="28800" windowHeight="12435" tabRatio="966" activeTab="11"/>
  </bookViews>
  <sheets>
    <sheet name="Resumen" sheetId="12" r:id="rId1"/>
    <sheet name="Participación-activa" sheetId="1" r:id="rId2"/>
    <sheet name="Comunicación-equipo" sheetId="2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7" r:id="rId8"/>
    <sheet name="Comprensión" sheetId="8" r:id="rId9"/>
    <sheet name="Habilidades" sheetId="9" r:id="rId10"/>
    <sheet name="Resolución-autónoma" sheetId="10" r:id="rId11"/>
    <sheet name="Motivación" sheetId="11" r:id="rId12"/>
  </sheets>
  <calcPr calcId="152511"/>
</workbook>
</file>

<file path=xl/calcChain.xml><?xml version="1.0" encoding="utf-8"?>
<calcChain xmlns="http://schemas.openxmlformats.org/spreadsheetml/2006/main">
  <c r="G49" i="11" l="1"/>
  <c r="G48" i="11"/>
  <c r="G44" i="11"/>
  <c r="G25" i="11"/>
  <c r="G80" i="11" s="1"/>
  <c r="G7" i="11"/>
  <c r="G6" i="11"/>
  <c r="G5" i="11"/>
  <c r="G4" i="11"/>
  <c r="G3" i="11"/>
  <c r="G49" i="10"/>
  <c r="G48" i="10"/>
  <c r="G44" i="10"/>
  <c r="G25" i="10"/>
  <c r="G80" i="10" s="1"/>
  <c r="G7" i="10"/>
  <c r="G6" i="10"/>
  <c r="G5" i="10"/>
  <c r="G4" i="10"/>
  <c r="G3" i="10"/>
  <c r="G49" i="9"/>
  <c r="G48" i="9"/>
  <c r="G44" i="9"/>
  <c r="G25" i="9"/>
  <c r="G80" i="9" s="1"/>
  <c r="G7" i="9"/>
  <c r="G6" i="9"/>
  <c r="G5" i="9"/>
  <c r="G4" i="9"/>
  <c r="G3" i="9"/>
  <c r="G49" i="8"/>
  <c r="G48" i="8"/>
  <c r="G54" i="8" s="1"/>
  <c r="G81" i="8" s="1"/>
  <c r="G44" i="8"/>
  <c r="G25" i="8"/>
  <c r="G80" i="8" s="1"/>
  <c r="G7" i="8"/>
  <c r="G6" i="8"/>
  <c r="G5" i="8"/>
  <c r="G4" i="8"/>
  <c r="G3" i="8"/>
  <c r="G49" i="7"/>
  <c r="G48" i="7"/>
  <c r="G44" i="7"/>
  <c r="G25" i="7"/>
  <c r="G80" i="7" s="1"/>
  <c r="G7" i="7"/>
  <c r="G6" i="7"/>
  <c r="G5" i="7"/>
  <c r="G4" i="7"/>
  <c r="G3" i="7"/>
  <c r="G49" i="6"/>
  <c r="G48" i="6"/>
  <c r="G44" i="6"/>
  <c r="G25" i="6"/>
  <c r="G80" i="6" s="1"/>
  <c r="G7" i="6"/>
  <c r="G6" i="6"/>
  <c r="G5" i="6"/>
  <c r="G4" i="6"/>
  <c r="G3" i="6"/>
  <c r="G49" i="5"/>
  <c r="G48" i="5"/>
  <c r="G54" i="5" s="1"/>
  <c r="G81" i="5" s="1"/>
  <c r="G44" i="5"/>
  <c r="G25" i="5"/>
  <c r="G80" i="5" s="1"/>
  <c r="G7" i="5"/>
  <c r="G6" i="5"/>
  <c r="G5" i="5"/>
  <c r="G4" i="5"/>
  <c r="G3" i="5"/>
  <c r="G49" i="4"/>
  <c r="G48" i="4"/>
  <c r="G54" i="4" s="1"/>
  <c r="G81" i="4" s="1"/>
  <c r="G44" i="4"/>
  <c r="G25" i="4"/>
  <c r="G80" i="4" s="1"/>
  <c r="G7" i="4"/>
  <c r="G6" i="4"/>
  <c r="G5" i="4"/>
  <c r="G4" i="4"/>
  <c r="G3" i="4"/>
  <c r="G49" i="3"/>
  <c r="G48" i="3"/>
  <c r="G44" i="3"/>
  <c r="G25" i="3"/>
  <c r="G80" i="3" s="1"/>
  <c r="G7" i="3"/>
  <c r="G6" i="3"/>
  <c r="G5" i="3"/>
  <c r="G4" i="3"/>
  <c r="G3" i="3"/>
  <c r="G49" i="2"/>
  <c r="G48" i="2"/>
  <c r="G54" i="2" s="1"/>
  <c r="G81" i="2" s="1"/>
  <c r="G44" i="2"/>
  <c r="G25" i="2"/>
  <c r="G80" i="2" s="1"/>
  <c r="G7" i="2"/>
  <c r="G6" i="2"/>
  <c r="G5" i="2"/>
  <c r="G4" i="2"/>
  <c r="G3" i="2"/>
  <c r="G25" i="1"/>
  <c r="G8" i="9" l="1"/>
  <c r="G8" i="6"/>
  <c r="G17" i="6" s="1"/>
  <c r="G34" i="6" s="1"/>
  <c r="G54" i="7"/>
  <c r="G81" i="7" s="1"/>
  <c r="G82" i="7" s="1"/>
  <c r="C8" i="12" s="1"/>
  <c r="G8" i="4"/>
  <c r="G17" i="4" s="1"/>
  <c r="G34" i="4" s="1"/>
  <c r="G82" i="4"/>
  <c r="C5" i="12" s="1"/>
  <c r="G8" i="10"/>
  <c r="G17" i="10" s="1"/>
  <c r="G34" i="10" s="1"/>
  <c r="G8" i="8"/>
  <c r="G17" i="8" s="1"/>
  <c r="G34" i="8" s="1"/>
  <c r="G82" i="8"/>
  <c r="C9" i="12" s="1"/>
  <c r="G64" i="8"/>
  <c r="G8" i="7"/>
  <c r="G17" i="7" s="1"/>
  <c r="G34" i="7" s="1"/>
  <c r="G54" i="11"/>
  <c r="G81" i="11" s="1"/>
  <c r="G82" i="11" s="1"/>
  <c r="C12" i="12" s="1"/>
  <c r="G8" i="11"/>
  <c r="G17" i="11" s="1"/>
  <c r="G34" i="11" s="1"/>
  <c r="G54" i="10"/>
  <c r="G81" i="10" s="1"/>
  <c r="G82" i="10" s="1"/>
  <c r="C11" i="12" s="1"/>
  <c r="G17" i="9"/>
  <c r="G34" i="9" s="1"/>
  <c r="G54" i="9"/>
  <c r="G81" i="9" s="1"/>
  <c r="G82" i="9" s="1"/>
  <c r="C10" i="12" s="1"/>
  <c r="G54" i="6"/>
  <c r="G81" i="6" s="1"/>
  <c r="G82" i="6" s="1"/>
  <c r="C7" i="12" s="1"/>
  <c r="G8" i="5"/>
  <c r="G17" i="5" s="1"/>
  <c r="G34" i="5" s="1"/>
  <c r="G82" i="5"/>
  <c r="C6" i="12" s="1"/>
  <c r="G64" i="5"/>
  <c r="G64" i="4"/>
  <c r="G54" i="3"/>
  <c r="G81" i="3" s="1"/>
  <c r="G82" i="3" s="1"/>
  <c r="C4" i="12" s="1"/>
  <c r="G8" i="3"/>
  <c r="G17" i="3" s="1"/>
  <c r="G34" i="3" s="1"/>
  <c r="G64" i="2"/>
  <c r="G64" i="7"/>
  <c r="G82" i="2"/>
  <c r="C3" i="12" s="1"/>
  <c r="G8" i="2"/>
  <c r="G17" i="2" s="1"/>
  <c r="G34" i="2" s="1"/>
  <c r="G74" i="8" l="1"/>
  <c r="B9" i="12" s="1"/>
  <c r="G74" i="5"/>
  <c r="B6" i="12" s="1"/>
  <c r="G74" i="4"/>
  <c r="G83" i="4" s="1"/>
  <c r="G74" i="2"/>
  <c r="B3" i="12" s="1"/>
  <c r="G74" i="7"/>
  <c r="B8" i="12" s="1"/>
  <c r="B5" i="12"/>
  <c r="G64" i="10"/>
  <c r="G74" i="10" s="1"/>
  <c r="B11" i="12" s="1"/>
  <c r="G64" i="6"/>
  <c r="G74" i="6" s="1"/>
  <c r="G64" i="11"/>
  <c r="G74" i="11" s="1"/>
  <c r="B12" i="12" s="1"/>
  <c r="G64" i="9"/>
  <c r="G74" i="9" s="1"/>
  <c r="B10" i="12" s="1"/>
  <c r="G64" i="3"/>
  <c r="G74" i="3" s="1"/>
  <c r="B4" i="12" s="1"/>
  <c r="F90" i="10"/>
  <c r="F90" i="8"/>
  <c r="G83" i="8"/>
  <c r="F90" i="2"/>
  <c r="G83" i="2"/>
  <c r="G83" i="5" l="1"/>
  <c r="F91" i="5" s="1"/>
  <c r="F90" i="5"/>
  <c r="F90" i="4"/>
  <c r="G83" i="10"/>
  <c r="F91" i="8"/>
  <c r="D9" i="12"/>
  <c r="F90" i="7"/>
  <c r="G83" i="7"/>
  <c r="G83" i="6"/>
  <c r="B7" i="12"/>
  <c r="F90" i="6"/>
  <c r="D6" i="12"/>
  <c r="F91" i="4"/>
  <c r="D5" i="12"/>
  <c r="F91" i="2"/>
  <c r="D3" i="12"/>
  <c r="F90" i="11"/>
  <c r="G83" i="11"/>
  <c r="G83" i="9"/>
  <c r="F90" i="9"/>
  <c r="G83" i="3"/>
  <c r="F90" i="3"/>
  <c r="G49" i="1"/>
  <c r="F91" i="11" l="1"/>
  <c r="D12" i="12"/>
  <c r="F91" i="10"/>
  <c r="D11" i="12"/>
  <c r="F91" i="9"/>
  <c r="D10" i="12"/>
  <c r="F91" i="7"/>
  <c r="D8" i="12"/>
  <c r="F91" i="6"/>
  <c r="D7" i="12"/>
  <c r="F91" i="3"/>
  <c r="D4" i="12"/>
  <c r="G48" i="1"/>
  <c r="G54" i="1" s="1"/>
  <c r="G81" i="1" s="1"/>
  <c r="G44" i="1"/>
  <c r="G80" i="1"/>
  <c r="G3" i="1"/>
  <c r="G7" i="1"/>
  <c r="G6" i="1"/>
  <c r="G5" i="1"/>
  <c r="G4" i="1"/>
  <c r="G82" i="1" l="1"/>
  <c r="C2" i="12" s="1"/>
  <c r="G8" i="1"/>
  <c r="G17" i="1" s="1"/>
  <c r="G34" i="1" s="1"/>
  <c r="G74" i="1" s="1"/>
  <c r="B2" i="12" s="1"/>
  <c r="G64" i="1"/>
  <c r="G83" i="1" l="1"/>
  <c r="F90" i="1"/>
  <c r="F91" i="1" l="1"/>
  <c r="D2" i="12"/>
</calcChain>
</file>

<file path=xl/sharedStrings.xml><?xml version="1.0" encoding="utf-8"?>
<sst xmlns="http://schemas.openxmlformats.org/spreadsheetml/2006/main" count="554" uniqueCount="61">
  <si>
    <t>gl entre</t>
  </si>
  <si>
    <t>MC entre</t>
  </si>
  <si>
    <t>F calculado</t>
  </si>
  <si>
    <t>SC Dentro Grupos</t>
  </si>
  <si>
    <t>gl dentro</t>
  </si>
  <si>
    <t>MC dentro</t>
  </si>
  <si>
    <t>Interpretación:</t>
  </si>
  <si>
    <t>Promedio Grupo A</t>
  </si>
  <si>
    <t>Promedio Grupo B</t>
  </si>
  <si>
    <t>Promedio Grupo C</t>
  </si>
  <si>
    <t>Promedio Grupo D</t>
  </si>
  <si>
    <t xml:space="preserve">SC Entre Grupos </t>
  </si>
  <si>
    <t>Calculo Suma de Cuadrados Entre Grupos</t>
  </si>
  <si>
    <t>Datos Generales</t>
  </si>
  <si>
    <t>Tamano Grupos</t>
  </si>
  <si>
    <t>Promedio Total total</t>
  </si>
  <si>
    <t>k (Numero de grupos)</t>
  </si>
  <si>
    <t>Mide qué tan diferentes son los grupos entre sí</t>
  </si>
  <si>
    <t>Compara las medias de cada grupo con la media general</t>
  </si>
  <si>
    <t>Calculo gl ENTRE (Grados de libertad entre grupos)</t>
  </si>
  <si>
    <t>Cantidad de grupos independientes que puedes comparar</t>
  </si>
  <si>
    <t>Calculo MC ENTRE (Media Cuadrática Entre)</t>
  </si>
  <si>
    <t>Es el promedio de la variación entre grupos</t>
  </si>
  <si>
    <t>Mide la variabilidad interna de cada grupo</t>
  </si>
  <si>
    <t>Qué tanto varían los datos dentro del mismo grupo</t>
  </si>
  <si>
    <t>Calculo gl DENTRO (Grados de libertad dentro)</t>
  </si>
  <si>
    <t>Calculo SC DENTRO DE GRUPOS (Suma de Cuadrados Dentro)</t>
  </si>
  <si>
    <t>N = total de datos</t>
  </si>
  <si>
    <t>Calculo MC DENTRO (Media Cuadrática Dentro)</t>
  </si>
  <si>
    <t>Es el promedio de la variación interna</t>
  </si>
  <si>
    <t>Calculo F Calculado</t>
  </si>
  <si>
    <t>El F calculado es un valor numérico que obtienes al aplicar la fórmula de ANOVA.</t>
  </si>
  <si>
    <t>Sirve para decidir si hay diferencias significativas entre grupos.</t>
  </si>
  <si>
    <t>α  El mas comun 5%</t>
  </si>
  <si>
    <t>F critico (Tabla)</t>
  </si>
  <si>
    <t>Calculo F critico (Tabla) y P valor</t>
  </si>
  <si>
    <t xml:space="preserve">P valor </t>
  </si>
  <si>
    <t>Nota:</t>
  </si>
  <si>
    <t>El ANOVA solo te dice que al menos un grupo difiere de los otros, Pero no te dice que grupo</t>
  </si>
  <si>
    <t>Para saber qué grupos son diferentes, necesitas hacer pruebas post-hoc.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</si>
  <si>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</si>
  <si>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</si>
  <si>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 xml:space="preserve">Grupo 
Control
Pre Test
Sin intervención </t>
  </si>
  <si>
    <t>Grupo 
Control
Post Test
Sin intervención</t>
  </si>
  <si>
    <t>Grupo 
Experimental
Pre Test
Sin intervención</t>
  </si>
  <si>
    <t>Grupo 
Experimental
Post Test
Con intervención</t>
  </si>
  <si>
    <t>Indicador</t>
  </si>
  <si>
    <t>F
Calculado</t>
  </si>
  <si>
    <t>F Critico
Critico</t>
  </si>
  <si>
    <t>P Valor</t>
  </si>
  <si>
    <t>Resolución problemas</t>
  </si>
  <si>
    <t>Motivación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</si>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</sst>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570" y="2514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0852" y="1360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4897" y="2571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72558" y="4212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9115" y="5553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2559" y="7473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5290039" y="7488116"/>
          <a:ext cx="1743808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3250" y="9477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7550" y="11125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9884" y="13291038"/>
          <a:ext cx="1247619" cy="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26484</xdr:colOff>
      <xdr:row>13</xdr:row>
      <xdr:rowOff>38018</xdr:rowOff>
    </xdr:from>
    <xdr:to>
      <xdr:col>5</xdr:col>
      <xdr:colOff>1366756</xdr:colOff>
      <xdr:row>14</xdr:row>
      <xdr:rowOff>151947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084" y="3276518"/>
          <a:ext cx="1340272" cy="304429"/>
        </a:xfrm>
        <a:prstGeom prst="rect">
          <a:avLst/>
        </a:prstGeom>
      </xdr:spPr>
    </xdr:pic>
    <xdr:clientData/>
  </xdr:twoCellAnchor>
  <xdr:twoCellAnchor editAs="oneCell">
    <xdr:from>
      <xdr:col>5</xdr:col>
      <xdr:colOff>725461</xdr:colOff>
      <xdr:row>7</xdr:row>
      <xdr:rowOff>26892</xdr:rowOff>
    </xdr:from>
    <xdr:to>
      <xdr:col>5</xdr:col>
      <xdr:colOff>850271</xdr:colOff>
      <xdr:row>7</xdr:row>
      <xdr:rowOff>179438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6061" y="2122392"/>
          <a:ext cx="124810" cy="152546"/>
        </a:xfrm>
        <a:prstGeom prst="rect">
          <a:avLst/>
        </a:prstGeom>
      </xdr:spPr>
    </xdr:pic>
    <xdr:clientData/>
  </xdr:twoCellAnchor>
  <xdr:twoCellAnchor editAs="oneCell">
    <xdr:from>
      <xdr:col>5</xdr:col>
      <xdr:colOff>1459811</xdr:colOff>
      <xdr:row>13</xdr:row>
      <xdr:rowOff>94593</xdr:rowOff>
    </xdr:from>
    <xdr:to>
      <xdr:col>5</xdr:col>
      <xdr:colOff>2432018</xdr:colOff>
      <xdr:row>15</xdr:row>
      <xdr:rowOff>52392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0411" y="3333093"/>
          <a:ext cx="972207" cy="338799"/>
        </a:xfrm>
        <a:prstGeom prst="rect">
          <a:avLst/>
        </a:prstGeom>
      </xdr:spPr>
    </xdr:pic>
    <xdr:clientData/>
  </xdr:twoCellAnchor>
  <xdr:twoCellAnchor editAs="oneCell">
    <xdr:from>
      <xdr:col>5</xdr:col>
      <xdr:colOff>43962</xdr:colOff>
      <xdr:row>22</xdr:row>
      <xdr:rowOff>21982</xdr:rowOff>
    </xdr:from>
    <xdr:to>
      <xdr:col>5</xdr:col>
      <xdr:colOff>1069732</xdr:colOff>
      <xdr:row>23</xdr:row>
      <xdr:rowOff>171382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4562" y="4974982"/>
          <a:ext cx="1025770" cy="3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930519</xdr:colOff>
      <xdr:row>29</xdr:row>
      <xdr:rowOff>29307</xdr:rowOff>
    </xdr:from>
    <xdr:to>
      <xdr:col>5</xdr:col>
      <xdr:colOff>2432538</xdr:colOff>
      <xdr:row>32</xdr:row>
      <xdr:rowOff>96675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31119" y="6315807"/>
          <a:ext cx="1502019" cy="638868"/>
        </a:xfrm>
        <a:prstGeom prst="rect">
          <a:avLst/>
        </a:prstGeom>
      </xdr:spPr>
    </xdr:pic>
    <xdr:clientData/>
  </xdr:twoCellAnchor>
  <xdr:twoCellAnchor editAs="oneCell">
    <xdr:from>
      <xdr:col>5</xdr:col>
      <xdr:colOff>43963</xdr:colOff>
      <xdr:row>39</xdr:row>
      <xdr:rowOff>43961</xdr:rowOff>
    </xdr:from>
    <xdr:to>
      <xdr:col>5</xdr:col>
      <xdr:colOff>2022233</xdr:colOff>
      <xdr:row>41</xdr:row>
      <xdr:rowOff>106367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44563" y="8235461"/>
          <a:ext cx="1978270" cy="443406"/>
        </a:xfrm>
        <a:prstGeom prst="rect">
          <a:avLst/>
        </a:prstGeom>
      </xdr:spPr>
    </xdr:pic>
    <xdr:clientData/>
  </xdr:twoCellAnchor>
  <xdr:twoCellAnchor editAs="oneCell">
    <xdr:from>
      <xdr:col>5</xdr:col>
      <xdr:colOff>2161443</xdr:colOff>
      <xdr:row>39</xdr:row>
      <xdr:rowOff>58616</xdr:rowOff>
    </xdr:from>
    <xdr:to>
      <xdr:col>6</xdr:col>
      <xdr:colOff>769327</xdr:colOff>
      <xdr:row>41</xdr:row>
      <xdr:rowOff>136704</xdr:rowOff>
    </xdr:to>
    <xdr:pic>
      <xdr:nvPicPr>
        <xdr:cNvPr id="8" name="Imagen 7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0115"/>
        <a:stretch/>
      </xdr:blipFill>
      <xdr:spPr>
        <a:xfrm>
          <a:off x="6962043" y="8250116"/>
          <a:ext cx="1741609" cy="4590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49</xdr:row>
      <xdr:rowOff>142875</xdr:rowOff>
    </xdr:from>
    <xdr:to>
      <xdr:col>5</xdr:col>
      <xdr:colOff>1780954</xdr:colOff>
      <xdr:row>52</xdr:row>
      <xdr:rowOff>114232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10125" y="10239375"/>
          <a:ext cx="1771429" cy="5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58</xdr:row>
      <xdr:rowOff>76200</xdr:rowOff>
    </xdr:from>
    <xdr:to>
      <xdr:col>5</xdr:col>
      <xdr:colOff>1676400</xdr:colOff>
      <xdr:row>62</xdr:row>
      <xdr:rowOff>14245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24425" y="11887200"/>
          <a:ext cx="1552575" cy="700045"/>
        </a:xfrm>
        <a:prstGeom prst="rect">
          <a:avLst/>
        </a:prstGeom>
      </xdr:spPr>
    </xdr:pic>
    <xdr:clientData/>
  </xdr:twoCellAnchor>
  <xdr:twoCellAnchor editAs="oneCell">
    <xdr:from>
      <xdr:col>5</xdr:col>
      <xdr:colOff>51288</xdr:colOff>
      <xdr:row>69</xdr:row>
      <xdr:rowOff>146538</xdr:rowOff>
    </xdr:from>
    <xdr:to>
      <xdr:col>5</xdr:col>
      <xdr:colOff>1298907</xdr:colOff>
      <xdr:row>72</xdr:row>
      <xdr:rowOff>146467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51888" y="14053038"/>
          <a:ext cx="1247619" cy="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90" zoomScaleNormal="190" workbookViewId="0">
      <selection activeCell="A12" sqref="A2:A12"/>
    </sheetView>
  </sheetViews>
  <sheetFormatPr baseColWidth="10" defaultRowHeight="15" x14ac:dyDescent="0.25"/>
  <cols>
    <col min="1" max="1" width="27" customWidth="1"/>
    <col min="2" max="2" width="18" customWidth="1"/>
  </cols>
  <sheetData>
    <row r="1" spans="1:4" ht="30" x14ac:dyDescent="0.25">
      <c r="A1" s="6" t="s">
        <v>46</v>
      </c>
      <c r="B1" s="7" t="s">
        <v>47</v>
      </c>
      <c r="C1" s="7" t="s">
        <v>48</v>
      </c>
      <c r="D1" s="7" t="s">
        <v>49</v>
      </c>
    </row>
    <row r="2" spans="1:4" x14ac:dyDescent="0.25">
      <c r="A2" s="8" t="s">
        <v>52</v>
      </c>
      <c r="B2" s="8">
        <f>ROUND('Participación-activa'!G74, 4)</f>
        <v>20.0487</v>
      </c>
      <c r="C2" s="8">
        <f>ROUND('Participación-activa'!G82, 4)</f>
        <v>2.6280999999999999</v>
      </c>
      <c r="D2" s="8">
        <f>'Participación-activa'!G83</f>
        <v>4.3098479360742071E-12</v>
      </c>
    </row>
    <row r="3" spans="1:4" x14ac:dyDescent="0.25">
      <c r="A3" s="8" t="s">
        <v>53</v>
      </c>
      <c r="B3" s="8">
        <f>ROUND('Comunicación-equipo'!G74, 4)</f>
        <v>21.150600000000001</v>
      </c>
      <c r="C3" s="8">
        <f>ROUND('Comunicación-equipo'!G82, 4)</f>
        <v>2.6280999999999999</v>
      </c>
      <c r="D3" s="8">
        <f>'Comunicación-equipo'!G83</f>
        <v>1.0611794744119172E-12</v>
      </c>
    </row>
    <row r="4" spans="1:4" x14ac:dyDescent="0.25">
      <c r="A4" s="8" t="s">
        <v>54</v>
      </c>
      <c r="B4" s="8">
        <f>ROUND('Cumplimiento-tareas'!G74, 4)</f>
        <v>16.292999999999999</v>
      </c>
      <c r="C4" s="8">
        <f>ROUND('Cumplimiento-tareas'!G82, 4)</f>
        <v>2.6280999999999999</v>
      </c>
      <c r="D4" s="8">
        <f>'Cumplimiento-tareas'!G83</f>
        <v>5.4844330056089746E-10</v>
      </c>
    </row>
    <row r="5" spans="1:4" x14ac:dyDescent="0.25">
      <c r="A5" s="8" t="s">
        <v>55</v>
      </c>
      <c r="B5" s="8">
        <f>ROUND('Contribución-grupo'!G74, 4)</f>
        <v>28.7624</v>
      </c>
      <c r="C5" s="8">
        <f>ROUND('Contribución-grupo'!G82, 4)</f>
        <v>2.6280999999999999</v>
      </c>
      <c r="D5" s="8">
        <f>'Contribución-grupo'!G83</f>
        <v>8.5019535789134809E-17</v>
      </c>
    </row>
    <row r="6" spans="1:4" x14ac:dyDescent="0.25">
      <c r="A6" s="8" t="s">
        <v>50</v>
      </c>
      <c r="B6" s="8">
        <f>ROUND('Resolución-problemas'!G74, 4)</f>
        <v>15.358599999999999</v>
      </c>
      <c r="C6" s="8">
        <f>ROUND('Resolución-problemas'!G82, 4)</f>
        <v>2.6280999999999999</v>
      </c>
      <c r="D6" s="8">
        <f>'Resolución-problemas'!G83</f>
        <v>1.8619809365521278E-9</v>
      </c>
    </row>
    <row r="7" spans="1:4" x14ac:dyDescent="0.25">
      <c r="A7" s="8" t="s">
        <v>56</v>
      </c>
      <c r="B7" s="8">
        <f>ROUND('Conocimientos-adquiridos'!G74, 4)</f>
        <v>22.5594</v>
      </c>
      <c r="C7" s="8">
        <f>ROUND('Conocimientos-adquiridos'!G82, 4)</f>
        <v>2.6280999999999999</v>
      </c>
      <c r="D7" s="8">
        <f>'Conocimientos-adquiridos'!G83</f>
        <v>1.7923877602870231E-13</v>
      </c>
    </row>
    <row r="8" spans="1:4" x14ac:dyDescent="0.25">
      <c r="A8" s="8" t="s">
        <v>57</v>
      </c>
      <c r="B8" s="8">
        <f>ROUND('Nota-final'!G74, 4)</f>
        <v>36.1723</v>
      </c>
      <c r="C8" s="8">
        <f>ROUND('Nota-final'!G82, 4)</f>
        <v>2.6280999999999999</v>
      </c>
      <c r="D8" s="8">
        <f>'Nota-final'!G83</f>
        <v>1.3096308793764231E-20</v>
      </c>
    </row>
    <row r="9" spans="1:4" x14ac:dyDescent="0.25">
      <c r="A9" s="8" t="s">
        <v>58</v>
      </c>
      <c r="B9" s="8">
        <f>ROUND(Comprensión!G74, 4)</f>
        <v>19.743300000000001</v>
      </c>
      <c r="C9" s="8">
        <f>ROUND(Comprensión!G82, 4)</f>
        <v>2.6280999999999999</v>
      </c>
      <c r="D9" s="8">
        <f>Comprensión!G83</f>
        <v>6.3658765488498821E-12</v>
      </c>
    </row>
    <row r="10" spans="1:4" x14ac:dyDescent="0.25">
      <c r="A10" s="8" t="s">
        <v>59</v>
      </c>
      <c r="B10" s="8">
        <f>ROUND(Habilidades!G74, 4)</f>
        <v>19.756900000000002</v>
      </c>
      <c r="C10" s="8">
        <f>ROUND(Habilidades!G82, 4)</f>
        <v>2.6280999999999999</v>
      </c>
      <c r="D10" s="8">
        <f>Habilidades!G83</f>
        <v>6.2559827457242797E-12</v>
      </c>
    </row>
    <row r="11" spans="1:4" x14ac:dyDescent="0.25">
      <c r="A11" s="8" t="s">
        <v>60</v>
      </c>
      <c r="B11" s="8">
        <f>ROUND('Resolución-autónoma'!G74, 4)</f>
        <v>34.642000000000003</v>
      </c>
      <c r="C11" s="8">
        <f>ROUND('Resolución-autónoma'!G82, 4)</f>
        <v>2.6280999999999999</v>
      </c>
      <c r="D11" s="8">
        <f>'Resolución-autónoma'!G83</f>
        <v>7.7780568086526788E-20</v>
      </c>
    </row>
    <row r="12" spans="1:4" x14ac:dyDescent="0.25">
      <c r="A12" s="8" t="s">
        <v>51</v>
      </c>
      <c r="B12" s="8">
        <f>ROUND(Motivación!G74, 4)</f>
        <v>19.372199999999999</v>
      </c>
      <c r="C12" s="8">
        <f>ROUND(Motivación!G82, 4)</f>
        <v>2.6280999999999999</v>
      </c>
      <c r="D12" s="8">
        <f>Motivación!G83</f>
        <v>1.0236147488227127E-11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62" zoomScaleNormal="100" workbookViewId="0">
      <selection activeCell="D2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2</v>
      </c>
      <c r="B2">
        <v>2</v>
      </c>
      <c r="C2">
        <v>4</v>
      </c>
      <c r="D2">
        <v>4</v>
      </c>
      <c r="F2" s="2" t="s">
        <v>13</v>
      </c>
      <c r="G2" s="2"/>
    </row>
    <row r="3" spans="1:7" x14ac:dyDescent="0.25">
      <c r="A3">
        <v>4</v>
      </c>
      <c r="B3">
        <v>2</v>
      </c>
      <c r="C3">
        <v>1</v>
      </c>
      <c r="D3">
        <v>5</v>
      </c>
      <c r="F3" t="s">
        <v>14</v>
      </c>
      <c r="G3">
        <f>COUNT(A:A)</f>
        <v>97</v>
      </c>
    </row>
    <row r="4" spans="1:7" x14ac:dyDescent="0.25">
      <c r="A4">
        <v>2</v>
      </c>
      <c r="B4">
        <v>2</v>
      </c>
      <c r="C4">
        <v>3</v>
      </c>
      <c r="D4">
        <v>2</v>
      </c>
      <c r="F4" t="s">
        <v>7</v>
      </c>
      <c r="G4">
        <f>AVERAGE(A:A)</f>
        <v>3.1855670103092781</v>
      </c>
    </row>
    <row r="5" spans="1:7" x14ac:dyDescent="0.25">
      <c r="A5">
        <v>3</v>
      </c>
      <c r="B5">
        <v>3</v>
      </c>
      <c r="C5">
        <v>2</v>
      </c>
      <c r="D5">
        <v>3</v>
      </c>
      <c r="F5" t="s">
        <v>8</v>
      </c>
      <c r="G5">
        <f>AVERAGE(B:B)</f>
        <v>3</v>
      </c>
    </row>
    <row r="6" spans="1:7" x14ac:dyDescent="0.25">
      <c r="A6">
        <v>2</v>
      </c>
      <c r="B6">
        <v>4</v>
      </c>
      <c r="C6">
        <v>3</v>
      </c>
      <c r="D6">
        <v>4</v>
      </c>
      <c r="F6" t="s">
        <v>9</v>
      </c>
      <c r="G6">
        <f>AVERAGE(C:C)</f>
        <v>3.1134020618556701</v>
      </c>
    </row>
    <row r="7" spans="1:7" x14ac:dyDescent="0.25">
      <c r="A7">
        <v>1</v>
      </c>
      <c r="B7">
        <v>5</v>
      </c>
      <c r="C7">
        <v>5</v>
      </c>
      <c r="D7">
        <v>4</v>
      </c>
      <c r="F7" t="s">
        <v>10</v>
      </c>
      <c r="G7">
        <f>AVERAGE(D:D)</f>
        <v>4.1134020618556697</v>
      </c>
    </row>
    <row r="8" spans="1:7" x14ac:dyDescent="0.25">
      <c r="A8">
        <v>5</v>
      </c>
      <c r="B8">
        <v>1</v>
      </c>
      <c r="C8">
        <v>3</v>
      </c>
      <c r="D8">
        <v>5</v>
      </c>
      <c r="F8" t="s">
        <v>15</v>
      </c>
      <c r="G8">
        <f>AVERAGE(G4:G7)</f>
        <v>3.3530927835051543</v>
      </c>
    </row>
    <row r="9" spans="1:7" x14ac:dyDescent="0.25">
      <c r="A9">
        <v>3</v>
      </c>
      <c r="B9">
        <v>2</v>
      </c>
      <c r="C9">
        <v>5</v>
      </c>
      <c r="D9">
        <v>4</v>
      </c>
    </row>
    <row r="10" spans="1:7" x14ac:dyDescent="0.25">
      <c r="A10">
        <v>3</v>
      </c>
      <c r="B10">
        <v>3</v>
      </c>
      <c r="C10">
        <v>3</v>
      </c>
      <c r="D10">
        <v>5</v>
      </c>
    </row>
    <row r="11" spans="1:7" x14ac:dyDescent="0.25">
      <c r="A11">
        <v>5</v>
      </c>
      <c r="B11">
        <v>3</v>
      </c>
      <c r="C11">
        <v>2</v>
      </c>
      <c r="D11">
        <v>4</v>
      </c>
      <c r="F11" s="2" t="s">
        <v>12</v>
      </c>
      <c r="G11" s="2"/>
    </row>
    <row r="12" spans="1:7" x14ac:dyDescent="0.25">
      <c r="A12">
        <v>2</v>
      </c>
      <c r="B12">
        <v>3</v>
      </c>
      <c r="C12">
        <v>4</v>
      </c>
      <c r="D12">
        <v>5</v>
      </c>
      <c r="F12" s="3" t="s">
        <v>17</v>
      </c>
    </row>
    <row r="13" spans="1:7" x14ac:dyDescent="0.25">
      <c r="A13">
        <v>4</v>
      </c>
      <c r="B13">
        <v>5</v>
      </c>
      <c r="C13">
        <v>2</v>
      </c>
      <c r="D13">
        <v>5</v>
      </c>
      <c r="F13" s="3" t="s">
        <v>18</v>
      </c>
    </row>
    <row r="14" spans="1:7" x14ac:dyDescent="0.25">
      <c r="A14">
        <v>5</v>
      </c>
      <c r="B14">
        <v>4</v>
      </c>
      <c r="C14">
        <v>3</v>
      </c>
      <c r="D14">
        <v>5</v>
      </c>
    </row>
    <row r="15" spans="1:7" x14ac:dyDescent="0.25">
      <c r="A15">
        <v>5</v>
      </c>
      <c r="B15">
        <v>5</v>
      </c>
      <c r="C15">
        <v>3</v>
      </c>
      <c r="D15">
        <v>5</v>
      </c>
    </row>
    <row r="16" spans="1:7" x14ac:dyDescent="0.25">
      <c r="A16">
        <v>1</v>
      </c>
      <c r="B16">
        <v>2</v>
      </c>
      <c r="C16">
        <v>4</v>
      </c>
      <c r="D16">
        <v>4</v>
      </c>
    </row>
    <row r="17" spans="1:7" x14ac:dyDescent="0.25">
      <c r="A17">
        <v>3</v>
      </c>
      <c r="B17">
        <v>4</v>
      </c>
      <c r="C17">
        <v>2</v>
      </c>
      <c r="D17">
        <v>5</v>
      </c>
      <c r="F17" t="s">
        <v>11</v>
      </c>
      <c r="G17">
        <f>G3*((G4-G8)^2+(G5-G8)^2+(G6-G8)^2+(G7-G8)^2)</f>
        <v>76.461340206185497</v>
      </c>
    </row>
    <row r="18" spans="1:7" x14ac:dyDescent="0.25">
      <c r="A18">
        <v>5</v>
      </c>
      <c r="B18">
        <v>3</v>
      </c>
      <c r="C18">
        <v>2</v>
      </c>
      <c r="D18">
        <v>5</v>
      </c>
    </row>
    <row r="19" spans="1:7" x14ac:dyDescent="0.25">
      <c r="A19">
        <v>4</v>
      </c>
      <c r="B19">
        <v>5</v>
      </c>
      <c r="C19">
        <v>1</v>
      </c>
      <c r="D19">
        <v>4</v>
      </c>
    </row>
    <row r="20" spans="1:7" x14ac:dyDescent="0.25">
      <c r="A20">
        <v>2</v>
      </c>
      <c r="B20">
        <v>4</v>
      </c>
      <c r="C20">
        <v>5</v>
      </c>
      <c r="D20">
        <v>3</v>
      </c>
      <c r="F20" s="2" t="s">
        <v>19</v>
      </c>
      <c r="G20" s="2"/>
    </row>
    <row r="21" spans="1:7" x14ac:dyDescent="0.25">
      <c r="A21">
        <v>4</v>
      </c>
      <c r="B21">
        <v>3</v>
      </c>
      <c r="C21">
        <v>4</v>
      </c>
      <c r="D21">
        <v>5</v>
      </c>
      <c r="F21" t="s">
        <v>20</v>
      </c>
    </row>
    <row r="22" spans="1:7" x14ac:dyDescent="0.25">
      <c r="A22">
        <v>2</v>
      </c>
      <c r="B22">
        <v>2</v>
      </c>
      <c r="C22">
        <v>3</v>
      </c>
      <c r="D22">
        <v>5</v>
      </c>
      <c r="F22" t="s">
        <v>16</v>
      </c>
      <c r="G22">
        <v>4</v>
      </c>
    </row>
    <row r="23" spans="1:7" x14ac:dyDescent="0.25">
      <c r="A23">
        <v>3</v>
      </c>
      <c r="B23">
        <v>2</v>
      </c>
      <c r="C23">
        <v>2</v>
      </c>
      <c r="D23">
        <v>1</v>
      </c>
    </row>
    <row r="24" spans="1:7" x14ac:dyDescent="0.25">
      <c r="A24">
        <v>2</v>
      </c>
      <c r="B24">
        <v>1</v>
      </c>
      <c r="C24">
        <v>1</v>
      </c>
      <c r="D24">
        <v>4</v>
      </c>
    </row>
    <row r="25" spans="1:7" x14ac:dyDescent="0.25">
      <c r="A25">
        <v>1</v>
      </c>
      <c r="B25">
        <v>2</v>
      </c>
      <c r="C25">
        <v>4</v>
      </c>
      <c r="D25">
        <v>5</v>
      </c>
      <c r="F25" t="s">
        <v>0</v>
      </c>
      <c r="G25">
        <f>G22-1</f>
        <v>3</v>
      </c>
    </row>
    <row r="26" spans="1:7" x14ac:dyDescent="0.25">
      <c r="A26">
        <v>5</v>
      </c>
      <c r="B26">
        <v>2</v>
      </c>
      <c r="C26">
        <v>3</v>
      </c>
      <c r="D26">
        <v>4</v>
      </c>
    </row>
    <row r="27" spans="1:7" x14ac:dyDescent="0.25">
      <c r="A27">
        <v>5</v>
      </c>
      <c r="B27">
        <v>2</v>
      </c>
      <c r="C27">
        <v>4</v>
      </c>
      <c r="D27">
        <v>4</v>
      </c>
    </row>
    <row r="28" spans="1:7" x14ac:dyDescent="0.25">
      <c r="A28">
        <v>3</v>
      </c>
      <c r="B28">
        <v>5</v>
      </c>
      <c r="C28">
        <v>5</v>
      </c>
      <c r="D28">
        <v>5</v>
      </c>
      <c r="F28" s="2" t="s">
        <v>21</v>
      </c>
      <c r="G28" s="2"/>
    </row>
    <row r="29" spans="1:7" x14ac:dyDescent="0.25">
      <c r="A29">
        <v>3</v>
      </c>
      <c r="B29">
        <v>4</v>
      </c>
      <c r="C29">
        <v>2</v>
      </c>
      <c r="D29">
        <v>4</v>
      </c>
      <c r="F29" t="s">
        <v>22</v>
      </c>
    </row>
    <row r="30" spans="1:7" x14ac:dyDescent="0.25">
      <c r="A30">
        <v>4</v>
      </c>
      <c r="B30">
        <v>4</v>
      </c>
      <c r="C30">
        <v>5</v>
      </c>
      <c r="D30">
        <v>2</v>
      </c>
    </row>
    <row r="31" spans="1:7" x14ac:dyDescent="0.25">
      <c r="A31">
        <v>5</v>
      </c>
      <c r="B31">
        <v>3</v>
      </c>
      <c r="C31">
        <v>3</v>
      </c>
      <c r="D31">
        <v>5</v>
      </c>
    </row>
    <row r="32" spans="1:7" x14ac:dyDescent="0.25">
      <c r="A32">
        <v>4</v>
      </c>
      <c r="B32">
        <v>3</v>
      </c>
      <c r="C32">
        <v>5</v>
      </c>
      <c r="D32">
        <v>5</v>
      </c>
    </row>
    <row r="33" spans="1:7" x14ac:dyDescent="0.25">
      <c r="A33">
        <v>5</v>
      </c>
      <c r="B33">
        <v>4</v>
      </c>
      <c r="C33">
        <v>3</v>
      </c>
      <c r="D33">
        <v>5</v>
      </c>
    </row>
    <row r="34" spans="1:7" x14ac:dyDescent="0.25">
      <c r="A34">
        <v>2</v>
      </c>
      <c r="B34">
        <v>4</v>
      </c>
      <c r="C34">
        <v>4</v>
      </c>
      <c r="D34">
        <v>3</v>
      </c>
      <c r="F34" t="s">
        <v>1</v>
      </c>
      <c r="G34">
        <f>G17/G25</f>
        <v>25.487113402061834</v>
      </c>
    </row>
    <row r="35" spans="1:7" x14ac:dyDescent="0.25">
      <c r="A35">
        <v>3</v>
      </c>
      <c r="B35">
        <v>5</v>
      </c>
      <c r="C35">
        <v>2</v>
      </c>
      <c r="D35">
        <v>3</v>
      </c>
    </row>
    <row r="36" spans="1:7" x14ac:dyDescent="0.25">
      <c r="A36">
        <v>3</v>
      </c>
      <c r="B36">
        <v>2</v>
      </c>
      <c r="C36">
        <v>2</v>
      </c>
      <c r="D36">
        <v>5</v>
      </c>
    </row>
    <row r="37" spans="1:7" x14ac:dyDescent="0.25">
      <c r="A37">
        <v>3</v>
      </c>
      <c r="B37">
        <v>4</v>
      </c>
      <c r="C37">
        <v>2</v>
      </c>
      <c r="D37">
        <v>5</v>
      </c>
      <c r="F37" s="2" t="s">
        <v>26</v>
      </c>
      <c r="G37" s="2"/>
    </row>
    <row r="38" spans="1:7" x14ac:dyDescent="0.25">
      <c r="A38">
        <v>3</v>
      </c>
      <c r="B38">
        <v>2</v>
      </c>
      <c r="C38">
        <v>3</v>
      </c>
      <c r="D38">
        <v>5</v>
      </c>
      <c r="F38" t="s">
        <v>23</v>
      </c>
    </row>
    <row r="39" spans="1:7" x14ac:dyDescent="0.25">
      <c r="A39">
        <v>5</v>
      </c>
      <c r="B39">
        <v>1</v>
      </c>
      <c r="C39">
        <v>3</v>
      </c>
      <c r="D39">
        <v>4</v>
      </c>
      <c r="F39" t="s">
        <v>24</v>
      </c>
    </row>
    <row r="40" spans="1:7" x14ac:dyDescent="0.25">
      <c r="A40">
        <v>5</v>
      </c>
      <c r="B40">
        <v>3</v>
      </c>
      <c r="C40">
        <v>1</v>
      </c>
      <c r="D40">
        <v>5</v>
      </c>
    </row>
    <row r="41" spans="1:7" x14ac:dyDescent="0.25">
      <c r="A41">
        <v>4</v>
      </c>
      <c r="B41">
        <v>3</v>
      </c>
      <c r="C41">
        <v>3</v>
      </c>
      <c r="D41">
        <v>4</v>
      </c>
    </row>
    <row r="42" spans="1:7" x14ac:dyDescent="0.25">
      <c r="A42">
        <v>3</v>
      </c>
      <c r="B42">
        <v>2</v>
      </c>
      <c r="C42">
        <v>3</v>
      </c>
      <c r="D42">
        <v>5</v>
      </c>
    </row>
    <row r="43" spans="1:7" x14ac:dyDescent="0.25">
      <c r="A43">
        <v>3</v>
      </c>
      <c r="B43">
        <v>1</v>
      </c>
      <c r="C43">
        <v>3</v>
      </c>
      <c r="D43">
        <v>3</v>
      </c>
    </row>
    <row r="44" spans="1:7" x14ac:dyDescent="0.25">
      <c r="A44">
        <v>3</v>
      </c>
      <c r="B44">
        <v>2</v>
      </c>
      <c r="C44">
        <v>2</v>
      </c>
      <c r="D44">
        <v>5</v>
      </c>
      <c r="F44" t="s">
        <v>3</v>
      </c>
      <c r="G44">
        <f>DEVSQ(A:A)+DEVSQ(B:B)+DEVSQ(C:C)+DEVSQ(D:D)</f>
        <v>488.16494845360819</v>
      </c>
    </row>
    <row r="45" spans="1:7" x14ac:dyDescent="0.25">
      <c r="A45">
        <v>3</v>
      </c>
      <c r="B45">
        <v>3</v>
      </c>
      <c r="C45">
        <v>3</v>
      </c>
      <c r="D45">
        <v>5</v>
      </c>
    </row>
    <row r="46" spans="1:7" x14ac:dyDescent="0.25">
      <c r="A46">
        <v>3</v>
      </c>
      <c r="B46">
        <v>3</v>
      </c>
      <c r="C46">
        <v>2</v>
      </c>
      <c r="D46">
        <v>2</v>
      </c>
    </row>
    <row r="47" spans="1:7" x14ac:dyDescent="0.25">
      <c r="A47">
        <v>3</v>
      </c>
      <c r="B47">
        <v>1</v>
      </c>
      <c r="C47">
        <v>4</v>
      </c>
      <c r="D47">
        <v>5</v>
      </c>
      <c r="F47" s="2" t="s">
        <v>25</v>
      </c>
      <c r="G47" s="2"/>
    </row>
    <row r="48" spans="1:7" x14ac:dyDescent="0.25">
      <c r="A48">
        <v>2</v>
      </c>
      <c r="B48">
        <v>1</v>
      </c>
      <c r="C48">
        <v>5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3</v>
      </c>
      <c r="C49">
        <v>5</v>
      </c>
      <c r="D49">
        <v>3</v>
      </c>
      <c r="F49" t="s">
        <v>16</v>
      </c>
      <c r="G49">
        <f>G22</f>
        <v>4</v>
      </c>
    </row>
    <row r="50" spans="1:7" x14ac:dyDescent="0.25">
      <c r="A50">
        <v>2</v>
      </c>
      <c r="B50">
        <v>3</v>
      </c>
      <c r="C50">
        <v>3</v>
      </c>
      <c r="D50">
        <v>5</v>
      </c>
    </row>
    <row r="51" spans="1:7" x14ac:dyDescent="0.25">
      <c r="A51">
        <v>4</v>
      </c>
      <c r="B51">
        <v>3</v>
      </c>
      <c r="C51">
        <v>2</v>
      </c>
      <c r="D51">
        <v>3</v>
      </c>
    </row>
    <row r="52" spans="1:7" x14ac:dyDescent="0.25">
      <c r="A52">
        <v>2</v>
      </c>
      <c r="B52">
        <v>2</v>
      </c>
      <c r="C52">
        <v>4</v>
      </c>
      <c r="D52">
        <v>5</v>
      </c>
    </row>
    <row r="53" spans="1:7" x14ac:dyDescent="0.25">
      <c r="A53">
        <v>3</v>
      </c>
      <c r="B53">
        <v>3</v>
      </c>
      <c r="C53">
        <v>1</v>
      </c>
      <c r="D53">
        <v>3</v>
      </c>
    </row>
    <row r="54" spans="1:7" x14ac:dyDescent="0.25">
      <c r="A54">
        <v>5</v>
      </c>
      <c r="B54">
        <v>2</v>
      </c>
      <c r="C54">
        <v>5</v>
      </c>
      <c r="D54">
        <v>4</v>
      </c>
      <c r="F54" t="s">
        <v>4</v>
      </c>
      <c r="G54">
        <f>G48-G49</f>
        <v>384</v>
      </c>
    </row>
    <row r="55" spans="1:7" x14ac:dyDescent="0.25">
      <c r="A55">
        <v>4</v>
      </c>
      <c r="B55">
        <v>2</v>
      </c>
      <c r="C55">
        <v>1</v>
      </c>
      <c r="D55">
        <v>5</v>
      </c>
    </row>
    <row r="56" spans="1:7" x14ac:dyDescent="0.25">
      <c r="A56">
        <v>2</v>
      </c>
      <c r="B56">
        <v>5</v>
      </c>
      <c r="C56">
        <v>4</v>
      </c>
      <c r="D56">
        <v>5</v>
      </c>
    </row>
    <row r="57" spans="1:7" x14ac:dyDescent="0.25">
      <c r="A57">
        <v>5</v>
      </c>
      <c r="B57">
        <v>4</v>
      </c>
      <c r="C57">
        <v>2</v>
      </c>
      <c r="D57">
        <v>4</v>
      </c>
      <c r="F57" s="2" t="s">
        <v>28</v>
      </c>
      <c r="G57" s="2"/>
    </row>
    <row r="58" spans="1:7" x14ac:dyDescent="0.25">
      <c r="A58">
        <v>3</v>
      </c>
      <c r="B58">
        <v>3</v>
      </c>
      <c r="C58">
        <v>2</v>
      </c>
      <c r="D58">
        <v>3</v>
      </c>
      <c r="F58" t="s">
        <v>29</v>
      </c>
    </row>
    <row r="59" spans="1:7" x14ac:dyDescent="0.25">
      <c r="A59">
        <v>1</v>
      </c>
      <c r="B59">
        <v>3</v>
      </c>
      <c r="C59">
        <v>4</v>
      </c>
      <c r="D59">
        <v>4</v>
      </c>
    </row>
    <row r="60" spans="1:7" x14ac:dyDescent="0.25">
      <c r="A60">
        <v>3</v>
      </c>
      <c r="B60">
        <v>4</v>
      </c>
      <c r="C60">
        <v>2</v>
      </c>
      <c r="D60">
        <v>5</v>
      </c>
    </row>
    <row r="61" spans="1:7" x14ac:dyDescent="0.25">
      <c r="A61">
        <v>4</v>
      </c>
      <c r="B61">
        <v>2</v>
      </c>
      <c r="C61">
        <v>2</v>
      </c>
      <c r="D61">
        <v>4</v>
      </c>
    </row>
    <row r="62" spans="1:7" x14ac:dyDescent="0.25">
      <c r="A62">
        <v>1</v>
      </c>
      <c r="B62">
        <v>1</v>
      </c>
      <c r="C62">
        <v>2</v>
      </c>
      <c r="D62">
        <v>5</v>
      </c>
    </row>
    <row r="63" spans="1:7" x14ac:dyDescent="0.25">
      <c r="A63">
        <v>3</v>
      </c>
      <c r="B63">
        <v>3</v>
      </c>
      <c r="C63">
        <v>5</v>
      </c>
      <c r="D63">
        <v>4</v>
      </c>
    </row>
    <row r="64" spans="1:7" x14ac:dyDescent="0.25">
      <c r="A64">
        <v>4</v>
      </c>
      <c r="B64">
        <v>3</v>
      </c>
      <c r="C64">
        <v>2</v>
      </c>
      <c r="D64">
        <v>3</v>
      </c>
      <c r="F64" t="s">
        <v>5</v>
      </c>
      <c r="G64">
        <f>G44/G54</f>
        <v>1.2712628865979381</v>
      </c>
    </row>
    <row r="65" spans="1:7" x14ac:dyDescent="0.25">
      <c r="A65">
        <v>3</v>
      </c>
      <c r="B65">
        <v>3</v>
      </c>
      <c r="C65">
        <v>4</v>
      </c>
      <c r="D65">
        <v>3</v>
      </c>
    </row>
    <row r="66" spans="1:7" x14ac:dyDescent="0.25">
      <c r="A66">
        <v>3</v>
      </c>
      <c r="B66">
        <v>4</v>
      </c>
      <c r="C66">
        <v>3</v>
      </c>
      <c r="D66">
        <v>5</v>
      </c>
    </row>
    <row r="67" spans="1:7" x14ac:dyDescent="0.25">
      <c r="A67">
        <v>3</v>
      </c>
      <c r="B67">
        <v>2</v>
      </c>
      <c r="C67">
        <v>3</v>
      </c>
      <c r="D67">
        <v>5</v>
      </c>
      <c r="F67" s="2" t="s">
        <v>30</v>
      </c>
      <c r="G67" s="2"/>
    </row>
    <row r="68" spans="1:7" x14ac:dyDescent="0.25">
      <c r="A68">
        <v>3</v>
      </c>
      <c r="B68">
        <v>4</v>
      </c>
      <c r="C68">
        <v>3</v>
      </c>
      <c r="D68">
        <v>5</v>
      </c>
      <c r="F68" t="s">
        <v>31</v>
      </c>
    </row>
    <row r="69" spans="1:7" x14ac:dyDescent="0.25">
      <c r="A69">
        <v>4</v>
      </c>
      <c r="B69">
        <v>3</v>
      </c>
      <c r="C69">
        <v>3</v>
      </c>
      <c r="D69">
        <v>4</v>
      </c>
      <c r="F69" t="s">
        <v>32</v>
      </c>
    </row>
    <row r="70" spans="1:7" x14ac:dyDescent="0.25">
      <c r="A70">
        <v>3</v>
      </c>
      <c r="B70">
        <v>3</v>
      </c>
      <c r="C70">
        <v>5</v>
      </c>
      <c r="D70">
        <v>5</v>
      </c>
    </row>
    <row r="71" spans="1:7" x14ac:dyDescent="0.25">
      <c r="A71">
        <v>1</v>
      </c>
      <c r="B71">
        <v>5</v>
      </c>
      <c r="C71">
        <v>3</v>
      </c>
      <c r="D71">
        <v>3</v>
      </c>
    </row>
    <row r="72" spans="1:7" x14ac:dyDescent="0.25">
      <c r="A72">
        <v>3</v>
      </c>
      <c r="B72">
        <v>3</v>
      </c>
      <c r="C72">
        <v>3</v>
      </c>
      <c r="D72">
        <v>5</v>
      </c>
    </row>
    <row r="73" spans="1:7" x14ac:dyDescent="0.25">
      <c r="A73">
        <v>1</v>
      </c>
      <c r="B73">
        <v>4</v>
      </c>
      <c r="C73">
        <v>3</v>
      </c>
      <c r="D73">
        <v>4</v>
      </c>
    </row>
    <row r="74" spans="1:7" x14ac:dyDescent="0.25">
      <c r="A74">
        <v>5</v>
      </c>
      <c r="B74">
        <v>4</v>
      </c>
      <c r="C74">
        <v>3</v>
      </c>
      <c r="D74">
        <v>3</v>
      </c>
      <c r="F74" t="s">
        <v>2</v>
      </c>
      <c r="G74">
        <f>G34/G64</f>
        <v>20.048656867714126</v>
      </c>
    </row>
    <row r="75" spans="1:7" x14ac:dyDescent="0.25">
      <c r="A75">
        <v>3</v>
      </c>
      <c r="B75">
        <v>2</v>
      </c>
      <c r="C75">
        <v>2</v>
      </c>
      <c r="D75">
        <v>4</v>
      </c>
    </row>
    <row r="76" spans="1:7" x14ac:dyDescent="0.25">
      <c r="A76">
        <v>3</v>
      </c>
      <c r="B76">
        <v>5</v>
      </c>
      <c r="C76">
        <v>5</v>
      </c>
      <c r="D76">
        <v>4</v>
      </c>
    </row>
    <row r="77" spans="1:7" x14ac:dyDescent="0.25">
      <c r="A77">
        <v>1</v>
      </c>
      <c r="B77">
        <v>3</v>
      </c>
      <c r="C77">
        <v>2</v>
      </c>
      <c r="D77">
        <v>5</v>
      </c>
      <c r="F77" s="2" t="s">
        <v>35</v>
      </c>
      <c r="G77" s="2"/>
    </row>
    <row r="78" spans="1:7" x14ac:dyDescent="0.25">
      <c r="A78">
        <v>3</v>
      </c>
      <c r="B78">
        <v>5</v>
      </c>
      <c r="C78">
        <v>4</v>
      </c>
      <c r="D78">
        <v>3</v>
      </c>
    </row>
    <row r="79" spans="1:7" x14ac:dyDescent="0.25">
      <c r="A79">
        <v>4</v>
      </c>
      <c r="B79">
        <v>3</v>
      </c>
      <c r="C79">
        <v>5</v>
      </c>
      <c r="D79">
        <v>3</v>
      </c>
      <c r="F79" s="4" t="s">
        <v>33</v>
      </c>
      <c r="G79">
        <v>0.05</v>
      </c>
    </row>
    <row r="80" spans="1:7" x14ac:dyDescent="0.25">
      <c r="A80">
        <v>3</v>
      </c>
      <c r="B80">
        <v>1</v>
      </c>
      <c r="C80">
        <v>2</v>
      </c>
      <c r="D80">
        <v>3</v>
      </c>
      <c r="F80" t="s">
        <v>0</v>
      </c>
      <c r="G80">
        <f xml:space="preserve"> G25</f>
        <v>3</v>
      </c>
    </row>
    <row r="81" spans="1:7" x14ac:dyDescent="0.25">
      <c r="A81">
        <v>4</v>
      </c>
      <c r="B81">
        <v>4</v>
      </c>
      <c r="C81">
        <v>4</v>
      </c>
      <c r="D81">
        <v>4</v>
      </c>
      <c r="F81" t="s">
        <v>4</v>
      </c>
      <c r="G81">
        <f xml:space="preserve"> G54</f>
        <v>384</v>
      </c>
    </row>
    <row r="82" spans="1:7" x14ac:dyDescent="0.25">
      <c r="A82">
        <v>1</v>
      </c>
      <c r="B82">
        <v>3</v>
      </c>
      <c r="C82">
        <v>3</v>
      </c>
      <c r="D82">
        <v>4</v>
      </c>
      <c r="F82" t="s">
        <v>34</v>
      </c>
      <c r="G82">
        <f>FINV(G79, G80, G81)</f>
        <v>2.6281486844038939</v>
      </c>
    </row>
    <row r="83" spans="1:7" x14ac:dyDescent="0.25">
      <c r="A83">
        <v>2</v>
      </c>
      <c r="B83">
        <v>3</v>
      </c>
      <c r="C83">
        <v>3</v>
      </c>
      <c r="D83">
        <v>3</v>
      </c>
      <c r="F83" t="s">
        <v>36</v>
      </c>
      <c r="G83">
        <f>_xlfn.F.DIST.RT(G74, G80, G81)</f>
        <v>4.3098479360742071E-12</v>
      </c>
    </row>
    <row r="84" spans="1:7" x14ac:dyDescent="0.25">
      <c r="A84">
        <v>4</v>
      </c>
      <c r="B84">
        <v>2</v>
      </c>
      <c r="C84">
        <v>3</v>
      </c>
      <c r="D84">
        <v>4</v>
      </c>
    </row>
    <row r="85" spans="1:7" x14ac:dyDescent="0.25">
      <c r="A85">
        <v>3</v>
      </c>
      <c r="B85">
        <v>2</v>
      </c>
      <c r="C85">
        <v>5</v>
      </c>
      <c r="D85">
        <v>5</v>
      </c>
      <c r="F85" s="2" t="s">
        <v>6</v>
      </c>
      <c r="G85" s="2"/>
    </row>
    <row r="86" spans="1:7" x14ac:dyDescent="0.25">
      <c r="A86">
        <v>2</v>
      </c>
      <c r="B86">
        <v>3</v>
      </c>
      <c r="C86">
        <v>5</v>
      </c>
      <c r="D86">
        <v>4</v>
      </c>
    </row>
    <row r="87" spans="1:7" x14ac:dyDescent="0.25">
      <c r="A87">
        <v>2</v>
      </c>
      <c r="B87">
        <v>3</v>
      </c>
      <c r="C87">
        <v>3</v>
      </c>
      <c r="D87">
        <v>4</v>
      </c>
      <c r="F87" t="s">
        <v>40</v>
      </c>
    </row>
    <row r="88" spans="1:7" x14ac:dyDescent="0.25">
      <c r="A88">
        <v>4</v>
      </c>
      <c r="B88">
        <v>1</v>
      </c>
      <c r="C88">
        <v>1</v>
      </c>
      <c r="D88">
        <v>5</v>
      </c>
      <c r="F88" t="s">
        <v>41</v>
      </c>
    </row>
    <row r="89" spans="1:7" x14ac:dyDescent="0.25">
      <c r="A89">
        <v>3</v>
      </c>
      <c r="B89">
        <v>3</v>
      </c>
      <c r="C89">
        <v>3</v>
      </c>
      <c r="D89">
        <v>1</v>
      </c>
    </row>
    <row r="90" spans="1:7" x14ac:dyDescent="0.25">
      <c r="A90">
        <v>1</v>
      </c>
      <c r="B90">
        <v>4</v>
      </c>
      <c r="C90">
        <v>3</v>
      </c>
      <c r="D90">
        <v>5</v>
      </c>
      <c r="F90" t="str">
        <f>"Si F calculado ("&amp;G74&amp;") &gt; F critico ("&amp;G82&amp;") ---&gt; Se rechaza la hipotesis nula"</f>
        <v>Si F calculado (20.0486568677141) &gt; F critico (2.62814868440389) ---&gt; Se rechaza la hipotesis nula</v>
      </c>
    </row>
    <row r="91" spans="1:7" x14ac:dyDescent="0.25">
      <c r="A91">
        <v>5</v>
      </c>
      <c r="B91">
        <v>1</v>
      </c>
      <c r="C91">
        <v>3</v>
      </c>
      <c r="D91">
        <v>4</v>
      </c>
      <c r="F91" t="str">
        <f>"Si p-valor ("&amp;G83&amp;") &lt; α Nivel Significancia ("&amp;G79&amp;") ---&gt; Se rechaza la hipotesis nula"</f>
        <v>Si p-valor (4.30984793607421E-12) &lt; α Nivel Significancia (0.05) ---&gt; Se rechaza la hipotesis nula</v>
      </c>
    </row>
    <row r="92" spans="1:7" x14ac:dyDescent="0.25">
      <c r="A92">
        <v>3</v>
      </c>
      <c r="B92">
        <v>5</v>
      </c>
      <c r="C92">
        <v>3</v>
      </c>
      <c r="D92">
        <v>5</v>
      </c>
    </row>
    <row r="93" spans="1:7" x14ac:dyDescent="0.25">
      <c r="A93">
        <v>5</v>
      </c>
      <c r="B93">
        <v>3</v>
      </c>
      <c r="C93">
        <v>3</v>
      </c>
      <c r="D93">
        <v>2</v>
      </c>
    </row>
    <row r="94" spans="1:7" x14ac:dyDescent="0.25">
      <c r="A94">
        <v>3</v>
      </c>
      <c r="B94">
        <v>4</v>
      </c>
      <c r="C94">
        <v>3</v>
      </c>
      <c r="D94">
        <v>5</v>
      </c>
      <c r="F94" s="2" t="s">
        <v>37</v>
      </c>
    </row>
    <row r="95" spans="1:7" x14ac:dyDescent="0.25">
      <c r="A95">
        <v>4</v>
      </c>
      <c r="B95">
        <v>4</v>
      </c>
      <c r="C95">
        <v>5</v>
      </c>
      <c r="D95">
        <v>4</v>
      </c>
      <c r="F95" t="s">
        <v>38</v>
      </c>
    </row>
    <row r="96" spans="1:7" x14ac:dyDescent="0.25">
      <c r="A96">
        <v>4</v>
      </c>
      <c r="B96">
        <v>5</v>
      </c>
      <c r="C96">
        <v>3</v>
      </c>
      <c r="D96">
        <v>4</v>
      </c>
      <c r="F96" t="s">
        <v>39</v>
      </c>
    </row>
    <row r="97" spans="1:4" x14ac:dyDescent="0.25">
      <c r="A97">
        <v>4</v>
      </c>
      <c r="B97">
        <v>3</v>
      </c>
      <c r="C97">
        <v>3</v>
      </c>
      <c r="D97">
        <v>4</v>
      </c>
    </row>
    <row r="98" spans="1:4" x14ac:dyDescent="0.25">
      <c r="A98">
        <v>5</v>
      </c>
      <c r="B98">
        <v>2</v>
      </c>
      <c r="C98">
        <v>4</v>
      </c>
      <c r="D98"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67" zoomScale="115" zoomScaleNormal="115" workbookViewId="0">
      <selection activeCell="D2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3</v>
      </c>
      <c r="B2">
        <v>3</v>
      </c>
      <c r="C2">
        <v>2</v>
      </c>
      <c r="D2">
        <v>5</v>
      </c>
      <c r="F2" s="2" t="s">
        <v>13</v>
      </c>
      <c r="G2" s="2"/>
    </row>
    <row r="3" spans="1:7" x14ac:dyDescent="0.25">
      <c r="A3">
        <v>4</v>
      </c>
      <c r="B3">
        <v>3</v>
      </c>
      <c r="C3">
        <v>5</v>
      </c>
      <c r="D3">
        <v>5</v>
      </c>
      <c r="F3" t="s">
        <v>14</v>
      </c>
      <c r="G3">
        <f>COUNT(A:A)</f>
        <v>97</v>
      </c>
    </row>
    <row r="4" spans="1:7" x14ac:dyDescent="0.25">
      <c r="A4">
        <v>2</v>
      </c>
      <c r="B4">
        <v>3</v>
      </c>
      <c r="C4">
        <v>1</v>
      </c>
      <c r="D4">
        <v>5</v>
      </c>
      <c r="F4" t="s">
        <v>7</v>
      </c>
      <c r="G4">
        <f>AVERAGE(A:A)</f>
        <v>2.9278350515463916</v>
      </c>
    </row>
    <row r="5" spans="1:7" x14ac:dyDescent="0.25">
      <c r="A5">
        <v>5</v>
      </c>
      <c r="B5">
        <v>2</v>
      </c>
      <c r="C5">
        <v>4</v>
      </c>
      <c r="D5">
        <v>4</v>
      </c>
      <c r="F5" t="s">
        <v>8</v>
      </c>
      <c r="G5">
        <f>AVERAGE(B:B)</f>
        <v>3.1237113402061856</v>
      </c>
    </row>
    <row r="6" spans="1:7" x14ac:dyDescent="0.25">
      <c r="A6">
        <v>3</v>
      </c>
      <c r="B6">
        <v>1</v>
      </c>
      <c r="C6">
        <v>2</v>
      </c>
      <c r="D6">
        <v>2</v>
      </c>
      <c r="F6" t="s">
        <v>9</v>
      </c>
      <c r="G6">
        <f>AVERAGE(C:C)</f>
        <v>3.0412371134020617</v>
      </c>
    </row>
    <row r="7" spans="1:7" x14ac:dyDescent="0.25">
      <c r="A7">
        <v>2</v>
      </c>
      <c r="B7">
        <v>3</v>
      </c>
      <c r="C7">
        <v>2</v>
      </c>
      <c r="D7">
        <v>5</v>
      </c>
      <c r="F7" t="s">
        <v>10</v>
      </c>
      <c r="G7">
        <f>AVERAGE(D:D)</f>
        <v>4.0824742268041234</v>
      </c>
    </row>
    <row r="8" spans="1:7" x14ac:dyDescent="0.25">
      <c r="A8">
        <v>3</v>
      </c>
      <c r="B8">
        <v>3</v>
      </c>
      <c r="C8">
        <v>3</v>
      </c>
      <c r="D8">
        <v>3</v>
      </c>
      <c r="F8" t="s">
        <v>15</v>
      </c>
      <c r="G8">
        <f>AVERAGE(G4:G7)</f>
        <v>3.2938144329896906</v>
      </c>
    </row>
    <row r="9" spans="1:7" x14ac:dyDescent="0.25">
      <c r="A9">
        <v>3</v>
      </c>
      <c r="B9">
        <v>4</v>
      </c>
      <c r="C9">
        <v>3</v>
      </c>
      <c r="D9">
        <v>3</v>
      </c>
    </row>
    <row r="10" spans="1:7" x14ac:dyDescent="0.25">
      <c r="A10">
        <v>5</v>
      </c>
      <c r="B10">
        <v>1</v>
      </c>
      <c r="C10">
        <v>4</v>
      </c>
      <c r="D10">
        <v>5</v>
      </c>
    </row>
    <row r="11" spans="1:7" x14ac:dyDescent="0.25">
      <c r="A11">
        <v>1</v>
      </c>
      <c r="B11">
        <v>4</v>
      </c>
      <c r="C11">
        <v>4</v>
      </c>
      <c r="D11">
        <v>1</v>
      </c>
      <c r="F11" s="2" t="s">
        <v>12</v>
      </c>
      <c r="G11" s="2"/>
    </row>
    <row r="12" spans="1:7" x14ac:dyDescent="0.25">
      <c r="A12">
        <v>3</v>
      </c>
      <c r="B12">
        <v>2</v>
      </c>
      <c r="C12">
        <v>3</v>
      </c>
      <c r="D12">
        <v>3</v>
      </c>
      <c r="F12" s="3" t="s">
        <v>17</v>
      </c>
    </row>
    <row r="13" spans="1:7" x14ac:dyDescent="0.25">
      <c r="A13">
        <v>2</v>
      </c>
      <c r="B13">
        <v>3</v>
      </c>
      <c r="C13">
        <v>2</v>
      </c>
      <c r="D13">
        <v>5</v>
      </c>
      <c r="F13" s="3" t="s">
        <v>18</v>
      </c>
    </row>
    <row r="14" spans="1:7" x14ac:dyDescent="0.25">
      <c r="A14">
        <v>3</v>
      </c>
      <c r="B14">
        <v>2</v>
      </c>
      <c r="C14">
        <v>3</v>
      </c>
      <c r="D14">
        <v>3</v>
      </c>
    </row>
    <row r="15" spans="1:7" x14ac:dyDescent="0.25">
      <c r="A15">
        <v>4</v>
      </c>
      <c r="B15">
        <v>2</v>
      </c>
      <c r="C15">
        <v>3</v>
      </c>
      <c r="D15">
        <v>4</v>
      </c>
    </row>
    <row r="16" spans="1:7" x14ac:dyDescent="0.25">
      <c r="A16">
        <v>3</v>
      </c>
      <c r="B16">
        <v>5</v>
      </c>
      <c r="C16">
        <v>3</v>
      </c>
      <c r="D16">
        <v>4</v>
      </c>
    </row>
    <row r="17" spans="1:7" x14ac:dyDescent="0.25">
      <c r="A17">
        <v>4</v>
      </c>
      <c r="B17">
        <v>1</v>
      </c>
      <c r="C17">
        <v>1</v>
      </c>
      <c r="D17">
        <v>4</v>
      </c>
      <c r="F17" t="s">
        <v>11</v>
      </c>
      <c r="G17">
        <f>G3*((G4-G8)^2+(G5-G8)^2+(G6-G8)^2+(G7-G8)^2)</f>
        <v>82.319587628865946</v>
      </c>
    </row>
    <row r="18" spans="1:7" x14ac:dyDescent="0.25">
      <c r="A18">
        <v>1</v>
      </c>
      <c r="B18">
        <v>5</v>
      </c>
      <c r="C18">
        <v>3</v>
      </c>
      <c r="D18">
        <v>5</v>
      </c>
    </row>
    <row r="19" spans="1:7" x14ac:dyDescent="0.25">
      <c r="A19">
        <v>3</v>
      </c>
      <c r="B19">
        <v>4</v>
      </c>
      <c r="C19">
        <v>5</v>
      </c>
      <c r="D19">
        <v>3</v>
      </c>
    </row>
    <row r="20" spans="1:7" x14ac:dyDescent="0.25">
      <c r="A20">
        <v>3</v>
      </c>
      <c r="B20">
        <v>3</v>
      </c>
      <c r="C20">
        <v>3</v>
      </c>
      <c r="D20">
        <v>5</v>
      </c>
      <c r="F20" s="2" t="s">
        <v>19</v>
      </c>
      <c r="G20" s="2"/>
    </row>
    <row r="21" spans="1:7" x14ac:dyDescent="0.25">
      <c r="A21">
        <v>2</v>
      </c>
      <c r="B21">
        <v>3</v>
      </c>
      <c r="C21">
        <v>3</v>
      </c>
      <c r="D21">
        <v>4</v>
      </c>
      <c r="F21" t="s">
        <v>20</v>
      </c>
    </row>
    <row r="22" spans="1:7" x14ac:dyDescent="0.25">
      <c r="A22">
        <v>3</v>
      </c>
      <c r="B22">
        <v>3</v>
      </c>
      <c r="C22">
        <v>4</v>
      </c>
      <c r="D22">
        <v>5</v>
      </c>
      <c r="F22" t="s">
        <v>16</v>
      </c>
      <c r="G22">
        <v>4</v>
      </c>
    </row>
    <row r="23" spans="1:7" x14ac:dyDescent="0.25">
      <c r="A23">
        <v>2</v>
      </c>
      <c r="B23">
        <v>4</v>
      </c>
      <c r="C23">
        <v>2</v>
      </c>
      <c r="D23">
        <v>5</v>
      </c>
    </row>
    <row r="24" spans="1:7" x14ac:dyDescent="0.25">
      <c r="A24">
        <v>4</v>
      </c>
      <c r="B24">
        <v>1</v>
      </c>
      <c r="C24">
        <v>2</v>
      </c>
      <c r="D24">
        <v>2</v>
      </c>
    </row>
    <row r="25" spans="1:7" x14ac:dyDescent="0.25">
      <c r="A25">
        <v>1</v>
      </c>
      <c r="B25">
        <v>4</v>
      </c>
      <c r="C25">
        <v>3</v>
      </c>
      <c r="D25">
        <v>5</v>
      </c>
      <c r="F25" t="s">
        <v>0</v>
      </c>
      <c r="G25">
        <f>G22-1</f>
        <v>3</v>
      </c>
    </row>
    <row r="26" spans="1:7" x14ac:dyDescent="0.25">
      <c r="A26">
        <v>3</v>
      </c>
      <c r="B26">
        <v>4</v>
      </c>
      <c r="C26">
        <v>2</v>
      </c>
      <c r="D26">
        <v>5</v>
      </c>
    </row>
    <row r="27" spans="1:7" x14ac:dyDescent="0.25">
      <c r="A27">
        <v>3</v>
      </c>
      <c r="B27">
        <v>4</v>
      </c>
      <c r="C27">
        <v>1</v>
      </c>
      <c r="D27">
        <v>4</v>
      </c>
    </row>
    <row r="28" spans="1:7" x14ac:dyDescent="0.25">
      <c r="A28">
        <v>5</v>
      </c>
      <c r="B28">
        <v>5</v>
      </c>
      <c r="C28">
        <v>3</v>
      </c>
      <c r="D28">
        <v>4</v>
      </c>
      <c r="F28" s="2" t="s">
        <v>21</v>
      </c>
      <c r="G28" s="2"/>
    </row>
    <row r="29" spans="1:7" x14ac:dyDescent="0.25">
      <c r="A29">
        <v>4</v>
      </c>
      <c r="B29">
        <v>3</v>
      </c>
      <c r="C29">
        <v>2</v>
      </c>
      <c r="D29">
        <v>4</v>
      </c>
      <c r="F29" t="s">
        <v>22</v>
      </c>
    </row>
    <row r="30" spans="1:7" x14ac:dyDescent="0.25">
      <c r="A30">
        <v>5</v>
      </c>
      <c r="B30">
        <v>1</v>
      </c>
      <c r="C30">
        <v>5</v>
      </c>
      <c r="D30">
        <v>5</v>
      </c>
    </row>
    <row r="31" spans="1:7" x14ac:dyDescent="0.25">
      <c r="A31">
        <v>3</v>
      </c>
      <c r="B31">
        <v>5</v>
      </c>
      <c r="C31">
        <v>3</v>
      </c>
      <c r="D31">
        <v>3</v>
      </c>
    </row>
    <row r="32" spans="1:7" x14ac:dyDescent="0.25">
      <c r="A32">
        <v>1</v>
      </c>
      <c r="B32">
        <v>1</v>
      </c>
      <c r="C32">
        <v>5</v>
      </c>
      <c r="D32">
        <v>5</v>
      </c>
    </row>
    <row r="33" spans="1:7" x14ac:dyDescent="0.25">
      <c r="A33">
        <v>2</v>
      </c>
      <c r="B33">
        <v>4</v>
      </c>
      <c r="C33">
        <v>5</v>
      </c>
      <c r="D33">
        <v>5</v>
      </c>
    </row>
    <row r="34" spans="1:7" x14ac:dyDescent="0.25">
      <c r="A34">
        <v>3</v>
      </c>
      <c r="B34">
        <v>1</v>
      </c>
      <c r="C34">
        <v>2</v>
      </c>
      <c r="D34">
        <v>5</v>
      </c>
      <c r="F34" t="s">
        <v>1</v>
      </c>
      <c r="G34">
        <f>G17/G25</f>
        <v>27.439862542955314</v>
      </c>
    </row>
    <row r="35" spans="1:7" x14ac:dyDescent="0.25">
      <c r="A35">
        <v>4</v>
      </c>
      <c r="B35">
        <v>2</v>
      </c>
      <c r="C35">
        <v>5</v>
      </c>
      <c r="D35">
        <v>5</v>
      </c>
    </row>
    <row r="36" spans="1:7" x14ac:dyDescent="0.25">
      <c r="A36">
        <v>5</v>
      </c>
      <c r="B36">
        <v>5</v>
      </c>
      <c r="C36">
        <v>2</v>
      </c>
      <c r="D36">
        <v>3</v>
      </c>
    </row>
    <row r="37" spans="1:7" x14ac:dyDescent="0.25">
      <c r="A37">
        <v>4</v>
      </c>
      <c r="B37">
        <v>3</v>
      </c>
      <c r="C37">
        <v>4</v>
      </c>
      <c r="D37">
        <v>5</v>
      </c>
      <c r="F37" s="2" t="s">
        <v>26</v>
      </c>
      <c r="G37" s="2"/>
    </row>
    <row r="38" spans="1:7" x14ac:dyDescent="0.25">
      <c r="A38">
        <v>3</v>
      </c>
      <c r="B38">
        <v>4</v>
      </c>
      <c r="C38">
        <v>2</v>
      </c>
      <c r="D38">
        <v>3</v>
      </c>
      <c r="F38" t="s">
        <v>23</v>
      </c>
    </row>
    <row r="39" spans="1:7" x14ac:dyDescent="0.25">
      <c r="A39">
        <v>3</v>
      </c>
      <c r="B39">
        <v>4</v>
      </c>
      <c r="C39">
        <v>3</v>
      </c>
      <c r="D39">
        <v>4</v>
      </c>
      <c r="F39" t="s">
        <v>24</v>
      </c>
    </row>
    <row r="40" spans="1:7" x14ac:dyDescent="0.25">
      <c r="A40">
        <v>3</v>
      </c>
      <c r="B40">
        <v>5</v>
      </c>
      <c r="C40">
        <v>3</v>
      </c>
      <c r="D40">
        <v>3</v>
      </c>
    </row>
    <row r="41" spans="1:7" x14ac:dyDescent="0.25">
      <c r="A41">
        <v>4</v>
      </c>
      <c r="B41">
        <v>3</v>
      </c>
      <c r="C41">
        <v>3</v>
      </c>
      <c r="D41">
        <v>4</v>
      </c>
    </row>
    <row r="42" spans="1:7" x14ac:dyDescent="0.25">
      <c r="A42">
        <v>3</v>
      </c>
      <c r="B42">
        <v>3</v>
      </c>
      <c r="C42">
        <v>2</v>
      </c>
      <c r="D42">
        <v>5</v>
      </c>
    </row>
    <row r="43" spans="1:7" x14ac:dyDescent="0.25">
      <c r="A43">
        <v>4</v>
      </c>
      <c r="B43">
        <v>3</v>
      </c>
      <c r="C43">
        <v>4</v>
      </c>
      <c r="D43">
        <v>5</v>
      </c>
    </row>
    <row r="44" spans="1:7" x14ac:dyDescent="0.25">
      <c r="A44">
        <v>4</v>
      </c>
      <c r="B44">
        <v>2</v>
      </c>
      <c r="C44">
        <v>2</v>
      </c>
      <c r="D44">
        <v>5</v>
      </c>
      <c r="F44" t="s">
        <v>3</v>
      </c>
      <c r="G44">
        <f>DEVSQ(A:A)+DEVSQ(B:B)+DEVSQ(C:C)+DEVSQ(D:D)</f>
        <v>498.18556701030923</v>
      </c>
    </row>
    <row r="45" spans="1:7" x14ac:dyDescent="0.25">
      <c r="A45">
        <v>1</v>
      </c>
      <c r="B45">
        <v>3</v>
      </c>
      <c r="C45">
        <v>4</v>
      </c>
      <c r="D45">
        <v>3</v>
      </c>
    </row>
    <row r="46" spans="1:7" x14ac:dyDescent="0.25">
      <c r="A46">
        <v>2</v>
      </c>
      <c r="B46">
        <v>1</v>
      </c>
      <c r="C46">
        <v>2</v>
      </c>
      <c r="D46">
        <v>4</v>
      </c>
    </row>
    <row r="47" spans="1:7" x14ac:dyDescent="0.25">
      <c r="A47">
        <v>4</v>
      </c>
      <c r="B47">
        <v>3</v>
      </c>
      <c r="C47">
        <v>2</v>
      </c>
      <c r="D47">
        <v>2</v>
      </c>
      <c r="F47" s="2" t="s">
        <v>25</v>
      </c>
      <c r="G47" s="2"/>
    </row>
    <row r="48" spans="1:7" x14ac:dyDescent="0.25">
      <c r="A48">
        <v>3</v>
      </c>
      <c r="B48">
        <v>5</v>
      </c>
      <c r="C48">
        <v>5</v>
      </c>
      <c r="D48">
        <v>4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2</v>
      </c>
      <c r="C49">
        <v>4</v>
      </c>
      <c r="D49">
        <v>2</v>
      </c>
      <c r="F49" t="s">
        <v>16</v>
      </c>
      <c r="G49">
        <f>G22</f>
        <v>4</v>
      </c>
    </row>
    <row r="50" spans="1:7" x14ac:dyDescent="0.25">
      <c r="A50">
        <v>4</v>
      </c>
      <c r="B50">
        <v>4</v>
      </c>
      <c r="C50">
        <v>3</v>
      </c>
      <c r="D50">
        <v>5</v>
      </c>
    </row>
    <row r="51" spans="1:7" x14ac:dyDescent="0.25">
      <c r="A51">
        <v>1</v>
      </c>
      <c r="B51">
        <v>4</v>
      </c>
      <c r="C51">
        <v>2</v>
      </c>
      <c r="D51">
        <v>5</v>
      </c>
    </row>
    <row r="52" spans="1:7" x14ac:dyDescent="0.25">
      <c r="A52">
        <v>1</v>
      </c>
      <c r="B52">
        <v>4</v>
      </c>
      <c r="C52">
        <v>5</v>
      </c>
      <c r="D52">
        <v>4</v>
      </c>
    </row>
    <row r="53" spans="1:7" x14ac:dyDescent="0.25">
      <c r="A53">
        <v>3</v>
      </c>
      <c r="B53">
        <v>5</v>
      </c>
      <c r="C53">
        <v>4</v>
      </c>
      <c r="D53">
        <v>5</v>
      </c>
    </row>
    <row r="54" spans="1:7" x14ac:dyDescent="0.25">
      <c r="A54">
        <v>3</v>
      </c>
      <c r="B54">
        <v>2</v>
      </c>
      <c r="C54">
        <v>1</v>
      </c>
      <c r="D54">
        <v>4</v>
      </c>
      <c r="F54" t="s">
        <v>4</v>
      </c>
      <c r="G54">
        <f>G48-G49</f>
        <v>384</v>
      </c>
    </row>
    <row r="55" spans="1:7" x14ac:dyDescent="0.25">
      <c r="A55">
        <v>2</v>
      </c>
      <c r="B55">
        <v>2</v>
      </c>
      <c r="C55">
        <v>4</v>
      </c>
      <c r="D55">
        <v>5</v>
      </c>
    </row>
    <row r="56" spans="1:7" x14ac:dyDescent="0.25">
      <c r="A56">
        <v>3</v>
      </c>
      <c r="B56">
        <v>3</v>
      </c>
      <c r="C56">
        <v>1</v>
      </c>
      <c r="D56">
        <v>5</v>
      </c>
    </row>
    <row r="57" spans="1:7" x14ac:dyDescent="0.25">
      <c r="A57">
        <v>2</v>
      </c>
      <c r="B57">
        <v>5</v>
      </c>
      <c r="C57">
        <v>1</v>
      </c>
      <c r="D57">
        <v>2</v>
      </c>
      <c r="F57" s="2" t="s">
        <v>28</v>
      </c>
      <c r="G57" s="2"/>
    </row>
    <row r="58" spans="1:7" x14ac:dyDescent="0.25">
      <c r="A58">
        <v>3</v>
      </c>
      <c r="B58">
        <v>1</v>
      </c>
      <c r="C58">
        <v>4</v>
      </c>
      <c r="D58">
        <v>4</v>
      </c>
      <c r="F58" t="s">
        <v>29</v>
      </c>
    </row>
    <row r="59" spans="1:7" x14ac:dyDescent="0.25">
      <c r="A59">
        <v>1</v>
      </c>
      <c r="B59">
        <v>3</v>
      </c>
      <c r="C59">
        <v>1</v>
      </c>
      <c r="D59">
        <v>5</v>
      </c>
    </row>
    <row r="60" spans="1:7" x14ac:dyDescent="0.25">
      <c r="A60">
        <v>3</v>
      </c>
      <c r="B60">
        <v>1</v>
      </c>
      <c r="C60">
        <v>3</v>
      </c>
      <c r="D60">
        <v>4</v>
      </c>
    </row>
    <row r="61" spans="1:7" x14ac:dyDescent="0.25">
      <c r="A61">
        <v>4</v>
      </c>
      <c r="B61">
        <v>3</v>
      </c>
      <c r="C61">
        <v>1</v>
      </c>
      <c r="D61">
        <v>4</v>
      </c>
    </row>
    <row r="62" spans="1:7" x14ac:dyDescent="0.25">
      <c r="A62">
        <v>4</v>
      </c>
      <c r="B62">
        <v>3</v>
      </c>
      <c r="C62">
        <v>3</v>
      </c>
      <c r="D62">
        <v>3</v>
      </c>
    </row>
    <row r="63" spans="1:7" x14ac:dyDescent="0.25">
      <c r="A63">
        <v>5</v>
      </c>
      <c r="B63">
        <v>1</v>
      </c>
      <c r="C63">
        <v>3</v>
      </c>
      <c r="D63">
        <v>3</v>
      </c>
    </row>
    <row r="64" spans="1:7" x14ac:dyDescent="0.25">
      <c r="A64">
        <v>3</v>
      </c>
      <c r="B64">
        <v>2</v>
      </c>
      <c r="C64">
        <v>5</v>
      </c>
      <c r="D64">
        <v>5</v>
      </c>
      <c r="F64" t="s">
        <v>5</v>
      </c>
      <c r="G64">
        <f>G44/G54</f>
        <v>1.2973582474226804</v>
      </c>
    </row>
    <row r="65" spans="1:7" x14ac:dyDescent="0.25">
      <c r="A65">
        <v>3</v>
      </c>
      <c r="B65">
        <v>3</v>
      </c>
      <c r="C65">
        <v>3</v>
      </c>
      <c r="D65">
        <v>5</v>
      </c>
    </row>
    <row r="66" spans="1:7" x14ac:dyDescent="0.25">
      <c r="A66">
        <v>3</v>
      </c>
      <c r="B66">
        <v>3</v>
      </c>
      <c r="C66">
        <v>3</v>
      </c>
      <c r="D66">
        <v>3</v>
      </c>
    </row>
    <row r="67" spans="1:7" x14ac:dyDescent="0.25">
      <c r="A67">
        <v>2</v>
      </c>
      <c r="B67">
        <v>3</v>
      </c>
      <c r="C67">
        <v>2</v>
      </c>
      <c r="D67">
        <v>3</v>
      </c>
      <c r="F67" s="2" t="s">
        <v>30</v>
      </c>
      <c r="G67" s="2"/>
    </row>
    <row r="68" spans="1:7" x14ac:dyDescent="0.25">
      <c r="A68">
        <v>3</v>
      </c>
      <c r="B68">
        <v>5</v>
      </c>
      <c r="C68">
        <v>3</v>
      </c>
      <c r="D68">
        <v>5</v>
      </c>
      <c r="F68" t="s">
        <v>31</v>
      </c>
    </row>
    <row r="69" spans="1:7" x14ac:dyDescent="0.25">
      <c r="A69">
        <v>3</v>
      </c>
      <c r="B69">
        <v>3</v>
      </c>
      <c r="C69">
        <v>2</v>
      </c>
      <c r="D69">
        <v>4</v>
      </c>
      <c r="F69" t="s">
        <v>32</v>
      </c>
    </row>
    <row r="70" spans="1:7" x14ac:dyDescent="0.25">
      <c r="A70">
        <v>2</v>
      </c>
      <c r="B70">
        <v>5</v>
      </c>
      <c r="C70">
        <v>4</v>
      </c>
      <c r="D70">
        <v>5</v>
      </c>
    </row>
    <row r="71" spans="1:7" x14ac:dyDescent="0.25">
      <c r="A71">
        <v>2</v>
      </c>
      <c r="B71">
        <v>3</v>
      </c>
      <c r="C71">
        <v>3</v>
      </c>
      <c r="D71">
        <v>2</v>
      </c>
    </row>
    <row r="72" spans="1:7" x14ac:dyDescent="0.25">
      <c r="A72">
        <v>5</v>
      </c>
      <c r="B72">
        <v>5</v>
      </c>
      <c r="C72">
        <v>5</v>
      </c>
      <c r="D72">
        <v>3</v>
      </c>
    </row>
    <row r="73" spans="1:7" x14ac:dyDescent="0.25">
      <c r="A73">
        <v>5</v>
      </c>
      <c r="B73">
        <v>2</v>
      </c>
      <c r="C73">
        <v>5</v>
      </c>
      <c r="D73">
        <v>4</v>
      </c>
    </row>
    <row r="74" spans="1:7" x14ac:dyDescent="0.25">
      <c r="A74">
        <v>1</v>
      </c>
      <c r="B74">
        <v>5</v>
      </c>
      <c r="C74">
        <v>3</v>
      </c>
      <c r="D74">
        <v>5</v>
      </c>
      <c r="F74" t="s">
        <v>2</v>
      </c>
      <c r="G74">
        <f>G34/G64</f>
        <v>21.150567006042536</v>
      </c>
    </row>
    <row r="75" spans="1:7" x14ac:dyDescent="0.25">
      <c r="A75">
        <v>3</v>
      </c>
      <c r="B75">
        <v>2</v>
      </c>
      <c r="C75">
        <v>4</v>
      </c>
      <c r="D75">
        <v>4</v>
      </c>
    </row>
    <row r="76" spans="1:7" x14ac:dyDescent="0.25">
      <c r="A76">
        <v>1</v>
      </c>
      <c r="B76">
        <v>2</v>
      </c>
      <c r="C76">
        <v>2</v>
      </c>
      <c r="D76">
        <v>4</v>
      </c>
    </row>
    <row r="77" spans="1:7" x14ac:dyDescent="0.25">
      <c r="A77">
        <v>3</v>
      </c>
      <c r="B77">
        <v>3</v>
      </c>
      <c r="C77">
        <v>3</v>
      </c>
      <c r="D77">
        <v>5</v>
      </c>
      <c r="F77" s="2" t="s">
        <v>35</v>
      </c>
      <c r="G77" s="2"/>
    </row>
    <row r="78" spans="1:7" x14ac:dyDescent="0.25">
      <c r="A78">
        <v>3</v>
      </c>
      <c r="B78">
        <v>4</v>
      </c>
      <c r="C78">
        <v>2</v>
      </c>
      <c r="D78">
        <v>5</v>
      </c>
    </row>
    <row r="79" spans="1:7" x14ac:dyDescent="0.25">
      <c r="A79">
        <v>3</v>
      </c>
      <c r="B79">
        <v>3</v>
      </c>
      <c r="C79">
        <v>4</v>
      </c>
      <c r="D79">
        <v>3</v>
      </c>
      <c r="F79" s="4" t="s">
        <v>33</v>
      </c>
      <c r="G79">
        <v>0.05</v>
      </c>
    </row>
    <row r="80" spans="1:7" x14ac:dyDescent="0.25">
      <c r="A80">
        <v>5</v>
      </c>
      <c r="B80">
        <v>2</v>
      </c>
      <c r="C80">
        <v>2</v>
      </c>
      <c r="D80">
        <v>5</v>
      </c>
      <c r="F80" t="s">
        <v>0</v>
      </c>
      <c r="G80">
        <f xml:space="preserve"> G25</f>
        <v>3</v>
      </c>
    </row>
    <row r="81" spans="1:7" x14ac:dyDescent="0.25">
      <c r="A81">
        <v>2</v>
      </c>
      <c r="B81">
        <v>4</v>
      </c>
      <c r="C81">
        <v>4</v>
      </c>
      <c r="D81">
        <v>3</v>
      </c>
      <c r="F81" t="s">
        <v>4</v>
      </c>
      <c r="G81">
        <f xml:space="preserve"> G54</f>
        <v>384</v>
      </c>
    </row>
    <row r="82" spans="1:7" x14ac:dyDescent="0.25">
      <c r="A82">
        <v>3</v>
      </c>
      <c r="B82">
        <v>3</v>
      </c>
      <c r="C82">
        <v>3</v>
      </c>
      <c r="D82">
        <v>4</v>
      </c>
      <c r="F82" t="s">
        <v>34</v>
      </c>
      <c r="G82">
        <f>FINV(G79, G80, G81)</f>
        <v>2.6281486844038939</v>
      </c>
    </row>
    <row r="83" spans="1:7" x14ac:dyDescent="0.25">
      <c r="A83">
        <v>4</v>
      </c>
      <c r="B83">
        <v>4</v>
      </c>
      <c r="C83">
        <v>3</v>
      </c>
      <c r="D83">
        <v>5</v>
      </c>
      <c r="F83" t="s">
        <v>36</v>
      </c>
      <c r="G83">
        <f>_xlfn.F.DIST.RT(G74, G80, G81)</f>
        <v>1.0611794744119172E-12</v>
      </c>
    </row>
    <row r="84" spans="1:7" x14ac:dyDescent="0.25">
      <c r="A84">
        <v>3</v>
      </c>
      <c r="B84">
        <v>2</v>
      </c>
      <c r="C84">
        <v>4</v>
      </c>
      <c r="D84">
        <v>4</v>
      </c>
    </row>
    <row r="85" spans="1:7" x14ac:dyDescent="0.25">
      <c r="A85">
        <v>3</v>
      </c>
      <c r="B85">
        <v>3</v>
      </c>
      <c r="C85">
        <v>3</v>
      </c>
      <c r="D85">
        <v>3</v>
      </c>
      <c r="F85" s="2" t="s">
        <v>6</v>
      </c>
      <c r="G85" s="2"/>
    </row>
    <row r="86" spans="1:7" x14ac:dyDescent="0.25">
      <c r="A86">
        <v>3</v>
      </c>
      <c r="B86">
        <v>5</v>
      </c>
      <c r="C86">
        <v>5</v>
      </c>
      <c r="D86">
        <v>4</v>
      </c>
    </row>
    <row r="87" spans="1:7" x14ac:dyDescent="0.25">
      <c r="A87">
        <v>3</v>
      </c>
      <c r="B87">
        <v>5</v>
      </c>
      <c r="C87">
        <v>2</v>
      </c>
      <c r="D87">
        <v>4</v>
      </c>
      <c r="F87" t="s">
        <v>40</v>
      </c>
    </row>
    <row r="88" spans="1:7" x14ac:dyDescent="0.25">
      <c r="A88">
        <v>3</v>
      </c>
      <c r="B88">
        <v>3</v>
      </c>
      <c r="C88">
        <v>1</v>
      </c>
      <c r="D88">
        <v>5</v>
      </c>
      <c r="F88" t="s">
        <v>41</v>
      </c>
    </row>
    <row r="89" spans="1:7" x14ac:dyDescent="0.25">
      <c r="A89">
        <v>4</v>
      </c>
      <c r="B89">
        <v>5</v>
      </c>
      <c r="C89">
        <v>3</v>
      </c>
      <c r="D89">
        <v>5</v>
      </c>
    </row>
    <row r="90" spans="1:7" x14ac:dyDescent="0.25">
      <c r="A90">
        <v>1</v>
      </c>
      <c r="B90">
        <v>3</v>
      </c>
      <c r="C90">
        <v>4</v>
      </c>
      <c r="D90">
        <v>4</v>
      </c>
      <c r="F90" t="str">
        <f>"Si F calculado ("&amp;G74&amp;") &gt; F critico ("&amp;G82&amp;") ---&gt; Se rechaza la hipotesis nula"</f>
        <v>Si F calculado (21.1505670060425) &gt; F critico (2.62814868440389) ---&gt; Se rechaza la hipotesis nula</v>
      </c>
    </row>
    <row r="91" spans="1:7" x14ac:dyDescent="0.25">
      <c r="A91">
        <v>1</v>
      </c>
      <c r="B91">
        <v>2</v>
      </c>
      <c r="C91">
        <v>5</v>
      </c>
      <c r="D91">
        <v>4</v>
      </c>
      <c r="F91" t="str">
        <f>"Si p-valor ("&amp;G83&amp;") &lt; α Nivel Significancia ("&amp;G79&amp;") ---&gt; Se rechaza la hipotesis nula"</f>
        <v>Si p-valor (1.06117947441192E-12) &lt; α Nivel Significancia (0.05) ---&gt; Se rechaza la hipotesis nula</v>
      </c>
    </row>
    <row r="92" spans="1:7" x14ac:dyDescent="0.25">
      <c r="A92">
        <v>3</v>
      </c>
      <c r="B92">
        <v>5</v>
      </c>
      <c r="C92">
        <v>3</v>
      </c>
      <c r="D92">
        <v>5</v>
      </c>
    </row>
    <row r="93" spans="1:7" x14ac:dyDescent="0.25">
      <c r="A93">
        <v>1</v>
      </c>
      <c r="B93">
        <v>3</v>
      </c>
      <c r="C93">
        <v>3</v>
      </c>
      <c r="D93">
        <v>3</v>
      </c>
    </row>
    <row r="94" spans="1:7" x14ac:dyDescent="0.25">
      <c r="A94">
        <v>1</v>
      </c>
      <c r="B94">
        <v>3</v>
      </c>
      <c r="C94">
        <v>3</v>
      </c>
      <c r="D94">
        <v>5</v>
      </c>
      <c r="F94" s="2" t="s">
        <v>37</v>
      </c>
    </row>
    <row r="95" spans="1:7" x14ac:dyDescent="0.25">
      <c r="A95">
        <v>4</v>
      </c>
      <c r="B95">
        <v>1</v>
      </c>
      <c r="C95">
        <v>2</v>
      </c>
      <c r="D95">
        <v>4</v>
      </c>
      <c r="F95" t="s">
        <v>38</v>
      </c>
    </row>
    <row r="96" spans="1:7" x14ac:dyDescent="0.25">
      <c r="A96">
        <v>3</v>
      </c>
      <c r="B96">
        <v>4</v>
      </c>
      <c r="C96">
        <v>5</v>
      </c>
      <c r="D96">
        <v>4</v>
      </c>
      <c r="F96" t="s">
        <v>39</v>
      </c>
    </row>
    <row r="97" spans="1:4" x14ac:dyDescent="0.25">
      <c r="A97">
        <v>2</v>
      </c>
      <c r="B97">
        <v>3</v>
      </c>
      <c r="C97">
        <v>2</v>
      </c>
      <c r="D97">
        <v>5</v>
      </c>
    </row>
    <row r="98" spans="1:4" x14ac:dyDescent="0.25">
      <c r="A98">
        <v>3</v>
      </c>
      <c r="B98">
        <v>4</v>
      </c>
      <c r="C98">
        <v>4</v>
      </c>
      <c r="D98">
        <v>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67" zoomScale="115" zoomScaleNormal="115" workbookViewId="0">
      <selection activeCell="D2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3</v>
      </c>
      <c r="B2">
        <v>4</v>
      </c>
      <c r="C2">
        <v>5</v>
      </c>
      <c r="D2">
        <v>4</v>
      </c>
      <c r="F2" s="2" t="s">
        <v>13</v>
      </c>
      <c r="G2" s="2"/>
    </row>
    <row r="3" spans="1:7" x14ac:dyDescent="0.25">
      <c r="A3">
        <v>3</v>
      </c>
      <c r="B3">
        <v>3</v>
      </c>
      <c r="C3">
        <v>3</v>
      </c>
      <c r="D3">
        <v>4</v>
      </c>
      <c r="F3" t="s">
        <v>14</v>
      </c>
      <c r="G3">
        <f>COUNT(A:A)</f>
        <v>97</v>
      </c>
    </row>
    <row r="4" spans="1:7" x14ac:dyDescent="0.25">
      <c r="A4">
        <v>5</v>
      </c>
      <c r="B4">
        <v>4</v>
      </c>
      <c r="C4">
        <v>5</v>
      </c>
      <c r="D4">
        <v>2</v>
      </c>
      <c r="F4" t="s">
        <v>7</v>
      </c>
      <c r="G4">
        <f>AVERAGE(A:A)</f>
        <v>3.2886597938144329</v>
      </c>
    </row>
    <row r="5" spans="1:7" x14ac:dyDescent="0.25">
      <c r="A5">
        <v>4</v>
      </c>
      <c r="B5">
        <v>3</v>
      </c>
      <c r="C5">
        <v>3</v>
      </c>
      <c r="D5">
        <v>5</v>
      </c>
      <c r="F5" t="s">
        <v>8</v>
      </c>
      <c r="G5">
        <f>AVERAGE(B:B)</f>
        <v>3.1237113402061856</v>
      </c>
    </row>
    <row r="6" spans="1:7" x14ac:dyDescent="0.25">
      <c r="A6">
        <v>4</v>
      </c>
      <c r="B6">
        <v>3</v>
      </c>
      <c r="C6">
        <v>2</v>
      </c>
      <c r="D6">
        <v>4</v>
      </c>
      <c r="F6" t="s">
        <v>9</v>
      </c>
      <c r="G6">
        <f>AVERAGE(C:C)</f>
        <v>3.1752577319587627</v>
      </c>
    </row>
    <row r="7" spans="1:7" x14ac:dyDescent="0.25">
      <c r="A7">
        <v>2</v>
      </c>
      <c r="B7">
        <v>4</v>
      </c>
      <c r="C7">
        <v>4</v>
      </c>
      <c r="D7">
        <v>5</v>
      </c>
      <c r="F7" t="s">
        <v>10</v>
      </c>
      <c r="G7">
        <f>AVERAGE(D:D)</f>
        <v>4.0927835051546388</v>
      </c>
    </row>
    <row r="8" spans="1:7" x14ac:dyDescent="0.25">
      <c r="A8">
        <v>3</v>
      </c>
      <c r="B8">
        <v>3</v>
      </c>
      <c r="C8">
        <v>5</v>
      </c>
      <c r="D8">
        <v>5</v>
      </c>
      <c r="F8" t="s">
        <v>15</v>
      </c>
      <c r="G8">
        <f>AVERAGE(G4:G7)</f>
        <v>3.420103092783505</v>
      </c>
    </row>
    <row r="9" spans="1:7" x14ac:dyDescent="0.25">
      <c r="A9">
        <v>5</v>
      </c>
      <c r="B9">
        <v>3</v>
      </c>
      <c r="C9">
        <v>3</v>
      </c>
      <c r="D9">
        <v>5</v>
      </c>
    </row>
    <row r="10" spans="1:7" x14ac:dyDescent="0.25">
      <c r="A10">
        <v>2</v>
      </c>
      <c r="B10">
        <v>5</v>
      </c>
      <c r="C10">
        <v>3</v>
      </c>
      <c r="D10">
        <v>5</v>
      </c>
    </row>
    <row r="11" spans="1:7" x14ac:dyDescent="0.25">
      <c r="A11">
        <v>4</v>
      </c>
      <c r="B11">
        <v>3</v>
      </c>
      <c r="C11">
        <v>4</v>
      </c>
      <c r="D11">
        <v>4</v>
      </c>
      <c r="F11" s="2" t="s">
        <v>12</v>
      </c>
      <c r="G11" s="2"/>
    </row>
    <row r="12" spans="1:7" x14ac:dyDescent="0.25">
      <c r="A12">
        <v>1</v>
      </c>
      <c r="B12">
        <v>4</v>
      </c>
      <c r="C12">
        <v>4</v>
      </c>
      <c r="D12">
        <v>5</v>
      </c>
      <c r="F12" s="3" t="s">
        <v>17</v>
      </c>
    </row>
    <row r="13" spans="1:7" x14ac:dyDescent="0.25">
      <c r="A13">
        <v>3</v>
      </c>
      <c r="B13">
        <v>5</v>
      </c>
      <c r="C13">
        <v>2</v>
      </c>
      <c r="D13">
        <v>3</v>
      </c>
      <c r="F13" s="3" t="s">
        <v>18</v>
      </c>
    </row>
    <row r="14" spans="1:7" x14ac:dyDescent="0.25">
      <c r="A14">
        <v>4</v>
      </c>
      <c r="B14">
        <v>2</v>
      </c>
      <c r="C14">
        <v>2</v>
      </c>
      <c r="D14">
        <v>4</v>
      </c>
    </row>
    <row r="15" spans="1:7" x14ac:dyDescent="0.25">
      <c r="A15">
        <v>5</v>
      </c>
      <c r="B15">
        <v>3</v>
      </c>
      <c r="C15">
        <v>4</v>
      </c>
      <c r="D15">
        <v>3</v>
      </c>
    </row>
    <row r="16" spans="1:7" x14ac:dyDescent="0.25">
      <c r="A16">
        <v>3</v>
      </c>
      <c r="B16">
        <v>4</v>
      </c>
      <c r="C16">
        <v>3</v>
      </c>
      <c r="D16">
        <v>4</v>
      </c>
    </row>
    <row r="17" spans="1:7" x14ac:dyDescent="0.25">
      <c r="A17">
        <v>2</v>
      </c>
      <c r="B17">
        <v>4</v>
      </c>
      <c r="C17">
        <v>3</v>
      </c>
      <c r="D17">
        <v>5</v>
      </c>
      <c r="F17" t="s">
        <v>11</v>
      </c>
      <c r="G17">
        <f>G3*((G4-G8)^2+(G5-G8)^2+(G6-G8)^2+(G7-G8)^2)</f>
        <v>59.904639175257699</v>
      </c>
    </row>
    <row r="18" spans="1:7" x14ac:dyDescent="0.25">
      <c r="A18">
        <v>3</v>
      </c>
      <c r="B18">
        <v>4</v>
      </c>
      <c r="C18">
        <v>3</v>
      </c>
      <c r="D18">
        <v>3</v>
      </c>
    </row>
    <row r="19" spans="1:7" x14ac:dyDescent="0.25">
      <c r="A19">
        <v>5</v>
      </c>
      <c r="B19">
        <v>5</v>
      </c>
      <c r="C19">
        <v>5</v>
      </c>
      <c r="D19">
        <v>4</v>
      </c>
    </row>
    <row r="20" spans="1:7" x14ac:dyDescent="0.25">
      <c r="A20">
        <v>4</v>
      </c>
      <c r="B20">
        <v>3</v>
      </c>
      <c r="C20">
        <v>4</v>
      </c>
      <c r="D20">
        <v>4</v>
      </c>
      <c r="F20" s="2" t="s">
        <v>19</v>
      </c>
      <c r="G20" s="2"/>
    </row>
    <row r="21" spans="1:7" x14ac:dyDescent="0.25">
      <c r="A21">
        <v>5</v>
      </c>
      <c r="B21">
        <v>3</v>
      </c>
      <c r="C21">
        <v>4</v>
      </c>
      <c r="D21">
        <v>4</v>
      </c>
      <c r="F21" t="s">
        <v>20</v>
      </c>
    </row>
    <row r="22" spans="1:7" x14ac:dyDescent="0.25">
      <c r="A22">
        <v>3</v>
      </c>
      <c r="B22">
        <v>4</v>
      </c>
      <c r="C22">
        <v>2</v>
      </c>
      <c r="D22">
        <v>4</v>
      </c>
      <c r="F22" t="s">
        <v>16</v>
      </c>
      <c r="G22">
        <v>4</v>
      </c>
    </row>
    <row r="23" spans="1:7" x14ac:dyDescent="0.25">
      <c r="A23">
        <v>2</v>
      </c>
      <c r="B23">
        <v>2</v>
      </c>
      <c r="C23">
        <v>4</v>
      </c>
      <c r="D23">
        <v>3</v>
      </c>
    </row>
    <row r="24" spans="1:7" x14ac:dyDescent="0.25">
      <c r="A24">
        <v>2</v>
      </c>
      <c r="B24">
        <v>4</v>
      </c>
      <c r="C24">
        <v>4</v>
      </c>
      <c r="D24">
        <v>5</v>
      </c>
    </row>
    <row r="25" spans="1:7" x14ac:dyDescent="0.25">
      <c r="A25">
        <v>2</v>
      </c>
      <c r="B25">
        <v>2</v>
      </c>
      <c r="C25">
        <v>3</v>
      </c>
      <c r="D25">
        <v>5</v>
      </c>
      <c r="F25" t="s">
        <v>0</v>
      </c>
      <c r="G25">
        <f>G22-1</f>
        <v>3</v>
      </c>
    </row>
    <row r="26" spans="1:7" x14ac:dyDescent="0.25">
      <c r="A26">
        <v>2</v>
      </c>
      <c r="B26">
        <v>5</v>
      </c>
      <c r="C26">
        <v>3</v>
      </c>
      <c r="D26">
        <v>2</v>
      </c>
    </row>
    <row r="27" spans="1:7" x14ac:dyDescent="0.25">
      <c r="A27">
        <v>4</v>
      </c>
      <c r="B27">
        <v>3</v>
      </c>
      <c r="C27">
        <v>2</v>
      </c>
      <c r="D27">
        <v>3</v>
      </c>
    </row>
    <row r="28" spans="1:7" x14ac:dyDescent="0.25">
      <c r="A28">
        <v>3</v>
      </c>
      <c r="B28">
        <v>1</v>
      </c>
      <c r="C28">
        <v>4</v>
      </c>
      <c r="D28">
        <v>3</v>
      </c>
      <c r="F28" s="2" t="s">
        <v>21</v>
      </c>
      <c r="G28" s="2"/>
    </row>
    <row r="29" spans="1:7" x14ac:dyDescent="0.25">
      <c r="A29">
        <v>1</v>
      </c>
      <c r="B29">
        <v>3</v>
      </c>
      <c r="C29">
        <v>4</v>
      </c>
      <c r="D29">
        <v>4</v>
      </c>
      <c r="F29" t="s">
        <v>22</v>
      </c>
    </row>
    <row r="30" spans="1:7" x14ac:dyDescent="0.25">
      <c r="A30">
        <v>4</v>
      </c>
      <c r="B30">
        <v>3</v>
      </c>
      <c r="C30">
        <v>3</v>
      </c>
      <c r="D30">
        <v>5</v>
      </c>
    </row>
    <row r="31" spans="1:7" x14ac:dyDescent="0.25">
      <c r="A31">
        <v>4</v>
      </c>
      <c r="B31">
        <v>1</v>
      </c>
      <c r="C31">
        <v>5</v>
      </c>
      <c r="D31">
        <v>2</v>
      </c>
    </row>
    <row r="32" spans="1:7" x14ac:dyDescent="0.25">
      <c r="A32">
        <v>5</v>
      </c>
      <c r="B32">
        <v>5</v>
      </c>
      <c r="C32">
        <v>4</v>
      </c>
      <c r="D32">
        <v>5</v>
      </c>
    </row>
    <row r="33" spans="1:7" x14ac:dyDescent="0.25">
      <c r="A33">
        <v>4</v>
      </c>
      <c r="B33">
        <v>4</v>
      </c>
      <c r="C33">
        <v>2</v>
      </c>
      <c r="D33">
        <v>5</v>
      </c>
    </row>
    <row r="34" spans="1:7" x14ac:dyDescent="0.25">
      <c r="A34">
        <v>2</v>
      </c>
      <c r="B34">
        <v>5</v>
      </c>
      <c r="C34">
        <v>4</v>
      </c>
      <c r="D34">
        <v>5</v>
      </c>
      <c r="F34" t="s">
        <v>1</v>
      </c>
      <c r="G34">
        <f>G17/G25</f>
        <v>19.968213058419234</v>
      </c>
    </row>
    <row r="35" spans="1:7" x14ac:dyDescent="0.25">
      <c r="A35">
        <v>2</v>
      </c>
      <c r="B35">
        <v>3</v>
      </c>
      <c r="C35">
        <v>3</v>
      </c>
      <c r="D35">
        <v>2</v>
      </c>
    </row>
    <row r="36" spans="1:7" x14ac:dyDescent="0.25">
      <c r="A36">
        <v>3</v>
      </c>
      <c r="B36">
        <v>1</v>
      </c>
      <c r="C36">
        <v>1</v>
      </c>
      <c r="D36">
        <v>4</v>
      </c>
    </row>
    <row r="37" spans="1:7" x14ac:dyDescent="0.25">
      <c r="A37">
        <v>2</v>
      </c>
      <c r="B37">
        <v>2</v>
      </c>
      <c r="C37">
        <v>3</v>
      </c>
      <c r="D37">
        <v>5</v>
      </c>
      <c r="F37" s="2" t="s">
        <v>26</v>
      </c>
      <c r="G37" s="2"/>
    </row>
    <row r="38" spans="1:7" x14ac:dyDescent="0.25">
      <c r="A38">
        <v>4</v>
      </c>
      <c r="B38">
        <v>4</v>
      </c>
      <c r="C38">
        <v>1</v>
      </c>
      <c r="D38">
        <v>5</v>
      </c>
      <c r="F38" t="s">
        <v>23</v>
      </c>
    </row>
    <row r="39" spans="1:7" x14ac:dyDescent="0.25">
      <c r="A39">
        <v>5</v>
      </c>
      <c r="B39">
        <v>4</v>
      </c>
      <c r="C39">
        <v>3</v>
      </c>
      <c r="D39">
        <v>5</v>
      </c>
      <c r="F39" t="s">
        <v>24</v>
      </c>
    </row>
    <row r="40" spans="1:7" x14ac:dyDescent="0.25">
      <c r="A40">
        <v>5</v>
      </c>
      <c r="B40">
        <v>4</v>
      </c>
      <c r="C40">
        <v>2</v>
      </c>
      <c r="D40">
        <v>4</v>
      </c>
    </row>
    <row r="41" spans="1:7" x14ac:dyDescent="0.25">
      <c r="A41">
        <v>3</v>
      </c>
      <c r="B41">
        <v>1</v>
      </c>
      <c r="C41">
        <v>3</v>
      </c>
      <c r="D41">
        <v>5</v>
      </c>
    </row>
    <row r="42" spans="1:7" x14ac:dyDescent="0.25">
      <c r="A42">
        <v>3</v>
      </c>
      <c r="B42">
        <v>5</v>
      </c>
      <c r="C42">
        <v>4</v>
      </c>
      <c r="D42">
        <v>2</v>
      </c>
    </row>
    <row r="43" spans="1:7" x14ac:dyDescent="0.25">
      <c r="A43">
        <v>3</v>
      </c>
      <c r="B43">
        <v>1</v>
      </c>
      <c r="C43">
        <v>3</v>
      </c>
      <c r="D43">
        <v>5</v>
      </c>
    </row>
    <row r="44" spans="1:7" x14ac:dyDescent="0.25">
      <c r="A44">
        <v>3</v>
      </c>
      <c r="B44">
        <v>3</v>
      </c>
      <c r="C44">
        <v>5</v>
      </c>
      <c r="D44">
        <v>5</v>
      </c>
      <c r="F44" t="s">
        <v>3</v>
      </c>
      <c r="G44">
        <f>DEVSQ(A:A)+DEVSQ(B:B)+DEVSQ(C:C)+DEVSQ(D:D)</f>
        <v>470.61855670103114</v>
      </c>
    </row>
    <row r="45" spans="1:7" x14ac:dyDescent="0.25">
      <c r="A45">
        <v>4</v>
      </c>
      <c r="B45">
        <v>1</v>
      </c>
      <c r="C45">
        <v>2</v>
      </c>
      <c r="D45">
        <v>3</v>
      </c>
    </row>
    <row r="46" spans="1:7" x14ac:dyDescent="0.25">
      <c r="A46">
        <v>3</v>
      </c>
      <c r="B46">
        <v>4</v>
      </c>
      <c r="C46">
        <v>4</v>
      </c>
      <c r="D46">
        <v>3</v>
      </c>
    </row>
    <row r="47" spans="1:7" x14ac:dyDescent="0.25">
      <c r="A47">
        <v>3</v>
      </c>
      <c r="B47">
        <v>3</v>
      </c>
      <c r="C47">
        <v>3</v>
      </c>
      <c r="D47">
        <v>2</v>
      </c>
      <c r="F47" s="2" t="s">
        <v>25</v>
      </c>
      <c r="G47" s="2"/>
    </row>
    <row r="48" spans="1:7" x14ac:dyDescent="0.25">
      <c r="A48">
        <v>2</v>
      </c>
      <c r="B48">
        <v>5</v>
      </c>
      <c r="C48">
        <v>2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2</v>
      </c>
      <c r="B49">
        <v>4</v>
      </c>
      <c r="C49">
        <v>3</v>
      </c>
      <c r="D49">
        <v>5</v>
      </c>
      <c r="F49" t="s">
        <v>16</v>
      </c>
      <c r="G49">
        <f>G22</f>
        <v>4</v>
      </c>
    </row>
    <row r="50" spans="1:7" x14ac:dyDescent="0.25">
      <c r="A50">
        <v>5</v>
      </c>
      <c r="B50">
        <v>1</v>
      </c>
      <c r="C50">
        <v>2</v>
      </c>
      <c r="D50">
        <v>3</v>
      </c>
    </row>
    <row r="51" spans="1:7" x14ac:dyDescent="0.25">
      <c r="A51">
        <v>3</v>
      </c>
      <c r="B51">
        <v>3</v>
      </c>
      <c r="C51">
        <v>3</v>
      </c>
      <c r="D51">
        <v>5</v>
      </c>
    </row>
    <row r="52" spans="1:7" x14ac:dyDescent="0.25">
      <c r="A52">
        <v>3</v>
      </c>
      <c r="B52">
        <v>3</v>
      </c>
      <c r="C52">
        <v>5</v>
      </c>
      <c r="D52">
        <v>4</v>
      </c>
    </row>
    <row r="53" spans="1:7" x14ac:dyDescent="0.25">
      <c r="A53">
        <v>3</v>
      </c>
      <c r="B53">
        <v>3</v>
      </c>
      <c r="C53">
        <v>2</v>
      </c>
      <c r="D53">
        <v>4</v>
      </c>
    </row>
    <row r="54" spans="1:7" x14ac:dyDescent="0.25">
      <c r="A54">
        <v>3</v>
      </c>
      <c r="B54">
        <v>4</v>
      </c>
      <c r="C54">
        <v>3</v>
      </c>
      <c r="D54">
        <v>4</v>
      </c>
      <c r="F54" t="s">
        <v>4</v>
      </c>
      <c r="G54">
        <f>G48-G49</f>
        <v>384</v>
      </c>
    </row>
    <row r="55" spans="1:7" x14ac:dyDescent="0.25">
      <c r="A55">
        <v>5</v>
      </c>
      <c r="B55">
        <v>2</v>
      </c>
      <c r="C55">
        <v>4</v>
      </c>
      <c r="D55">
        <v>4</v>
      </c>
    </row>
    <row r="56" spans="1:7" x14ac:dyDescent="0.25">
      <c r="A56">
        <v>5</v>
      </c>
      <c r="B56">
        <v>2</v>
      </c>
      <c r="C56">
        <v>2</v>
      </c>
      <c r="D56">
        <v>4</v>
      </c>
    </row>
    <row r="57" spans="1:7" x14ac:dyDescent="0.25">
      <c r="A57">
        <v>2</v>
      </c>
      <c r="B57">
        <v>4</v>
      </c>
      <c r="C57">
        <v>3</v>
      </c>
      <c r="D57">
        <v>3</v>
      </c>
      <c r="F57" s="2" t="s">
        <v>28</v>
      </c>
      <c r="G57" s="2"/>
    </row>
    <row r="58" spans="1:7" x14ac:dyDescent="0.25">
      <c r="A58">
        <v>1</v>
      </c>
      <c r="B58">
        <v>3</v>
      </c>
      <c r="C58">
        <v>4</v>
      </c>
      <c r="D58">
        <v>5</v>
      </c>
      <c r="F58" t="s">
        <v>29</v>
      </c>
    </row>
    <row r="59" spans="1:7" x14ac:dyDescent="0.25">
      <c r="A59">
        <v>1</v>
      </c>
      <c r="B59">
        <v>2</v>
      </c>
      <c r="C59">
        <v>5</v>
      </c>
      <c r="D59">
        <v>5</v>
      </c>
    </row>
    <row r="60" spans="1:7" x14ac:dyDescent="0.25">
      <c r="A60">
        <v>4</v>
      </c>
      <c r="B60">
        <v>4</v>
      </c>
      <c r="C60">
        <v>2</v>
      </c>
      <c r="D60">
        <v>3</v>
      </c>
    </row>
    <row r="61" spans="1:7" x14ac:dyDescent="0.25">
      <c r="A61">
        <v>5</v>
      </c>
      <c r="B61">
        <v>2</v>
      </c>
      <c r="C61">
        <v>2</v>
      </c>
      <c r="D61">
        <v>5</v>
      </c>
    </row>
    <row r="62" spans="1:7" x14ac:dyDescent="0.25">
      <c r="A62">
        <v>3</v>
      </c>
      <c r="B62">
        <v>3</v>
      </c>
      <c r="C62">
        <v>3</v>
      </c>
      <c r="D62">
        <v>5</v>
      </c>
    </row>
    <row r="63" spans="1:7" x14ac:dyDescent="0.25">
      <c r="A63">
        <v>4</v>
      </c>
      <c r="B63">
        <v>1</v>
      </c>
      <c r="C63">
        <v>3</v>
      </c>
      <c r="D63">
        <v>4</v>
      </c>
    </row>
    <row r="64" spans="1:7" x14ac:dyDescent="0.25">
      <c r="A64">
        <v>5</v>
      </c>
      <c r="B64">
        <v>3</v>
      </c>
      <c r="C64">
        <v>2</v>
      </c>
      <c r="D64">
        <v>5</v>
      </c>
      <c r="F64" t="s">
        <v>5</v>
      </c>
      <c r="G64">
        <f>G44/G54</f>
        <v>1.2255691580756018</v>
      </c>
    </row>
    <row r="65" spans="1:7" x14ac:dyDescent="0.25">
      <c r="A65">
        <v>4</v>
      </c>
      <c r="B65">
        <v>3</v>
      </c>
      <c r="C65">
        <v>1</v>
      </c>
      <c r="D65">
        <v>4</v>
      </c>
    </row>
    <row r="66" spans="1:7" x14ac:dyDescent="0.25">
      <c r="A66">
        <v>3</v>
      </c>
      <c r="B66">
        <v>3</v>
      </c>
      <c r="C66">
        <v>3</v>
      </c>
      <c r="D66">
        <v>5</v>
      </c>
    </row>
    <row r="67" spans="1:7" x14ac:dyDescent="0.25">
      <c r="A67">
        <v>5</v>
      </c>
      <c r="B67">
        <v>3</v>
      </c>
      <c r="C67">
        <v>4</v>
      </c>
      <c r="D67">
        <v>5</v>
      </c>
      <c r="F67" s="2" t="s">
        <v>30</v>
      </c>
      <c r="G67" s="2"/>
    </row>
    <row r="68" spans="1:7" x14ac:dyDescent="0.25">
      <c r="A68">
        <v>5</v>
      </c>
      <c r="B68">
        <v>2</v>
      </c>
      <c r="C68">
        <v>3</v>
      </c>
      <c r="D68">
        <v>5</v>
      </c>
      <c r="F68" t="s">
        <v>31</v>
      </c>
    </row>
    <row r="69" spans="1:7" x14ac:dyDescent="0.25">
      <c r="A69">
        <v>3</v>
      </c>
      <c r="B69">
        <v>3</v>
      </c>
      <c r="C69">
        <v>3</v>
      </c>
      <c r="D69">
        <v>5</v>
      </c>
      <c r="F69" t="s">
        <v>32</v>
      </c>
    </row>
    <row r="70" spans="1:7" x14ac:dyDescent="0.25">
      <c r="A70">
        <v>3</v>
      </c>
      <c r="B70">
        <v>2</v>
      </c>
      <c r="C70">
        <v>3</v>
      </c>
      <c r="D70">
        <v>3</v>
      </c>
    </row>
    <row r="71" spans="1:7" x14ac:dyDescent="0.25">
      <c r="A71">
        <v>3</v>
      </c>
      <c r="B71">
        <v>5</v>
      </c>
      <c r="C71">
        <v>4</v>
      </c>
      <c r="D71">
        <v>5</v>
      </c>
    </row>
    <row r="72" spans="1:7" x14ac:dyDescent="0.25">
      <c r="A72">
        <v>1</v>
      </c>
      <c r="B72">
        <v>4</v>
      </c>
      <c r="C72">
        <v>2</v>
      </c>
      <c r="D72">
        <v>5</v>
      </c>
    </row>
    <row r="73" spans="1:7" x14ac:dyDescent="0.25">
      <c r="A73">
        <v>5</v>
      </c>
      <c r="B73">
        <v>3</v>
      </c>
      <c r="C73">
        <v>1</v>
      </c>
      <c r="D73">
        <v>4</v>
      </c>
    </row>
    <row r="74" spans="1:7" x14ac:dyDescent="0.25">
      <c r="A74">
        <v>1</v>
      </c>
      <c r="B74">
        <v>4</v>
      </c>
      <c r="C74">
        <v>3</v>
      </c>
      <c r="D74">
        <v>4</v>
      </c>
      <c r="F74" t="s">
        <v>2</v>
      </c>
      <c r="G74">
        <f>G34/G64</f>
        <v>16.293012048192757</v>
      </c>
    </row>
    <row r="75" spans="1:7" x14ac:dyDescent="0.25">
      <c r="A75">
        <v>3</v>
      </c>
      <c r="B75">
        <v>3</v>
      </c>
      <c r="C75">
        <v>4</v>
      </c>
      <c r="D75">
        <v>5</v>
      </c>
    </row>
    <row r="76" spans="1:7" x14ac:dyDescent="0.25">
      <c r="A76">
        <v>4</v>
      </c>
      <c r="B76">
        <v>3</v>
      </c>
      <c r="C76">
        <v>5</v>
      </c>
      <c r="D76">
        <v>4</v>
      </c>
    </row>
    <row r="77" spans="1:7" x14ac:dyDescent="0.25">
      <c r="A77">
        <v>4</v>
      </c>
      <c r="B77">
        <v>3</v>
      </c>
      <c r="C77">
        <v>3</v>
      </c>
      <c r="D77">
        <v>4</v>
      </c>
      <c r="F77" s="2" t="s">
        <v>35</v>
      </c>
      <c r="G77" s="2"/>
    </row>
    <row r="78" spans="1:7" x14ac:dyDescent="0.25">
      <c r="A78">
        <v>2</v>
      </c>
      <c r="B78">
        <v>2</v>
      </c>
      <c r="C78">
        <v>4</v>
      </c>
      <c r="D78">
        <v>5</v>
      </c>
    </row>
    <row r="79" spans="1:7" x14ac:dyDescent="0.25">
      <c r="A79">
        <v>4</v>
      </c>
      <c r="B79">
        <v>3</v>
      </c>
      <c r="C79">
        <v>3</v>
      </c>
      <c r="D79">
        <v>4</v>
      </c>
      <c r="F79" s="4" t="s">
        <v>33</v>
      </c>
      <c r="G79">
        <v>0.05</v>
      </c>
    </row>
    <row r="80" spans="1:7" x14ac:dyDescent="0.25">
      <c r="A80">
        <v>3</v>
      </c>
      <c r="B80">
        <v>3</v>
      </c>
      <c r="C80">
        <v>4</v>
      </c>
      <c r="D80">
        <v>4</v>
      </c>
      <c r="F80" t="s">
        <v>0</v>
      </c>
      <c r="G80">
        <f xml:space="preserve"> G25</f>
        <v>3</v>
      </c>
    </row>
    <row r="81" spans="1:7" x14ac:dyDescent="0.25">
      <c r="A81">
        <v>2</v>
      </c>
      <c r="B81">
        <v>1</v>
      </c>
      <c r="C81">
        <v>5</v>
      </c>
      <c r="D81">
        <v>4</v>
      </c>
      <c r="F81" t="s">
        <v>4</v>
      </c>
      <c r="G81">
        <f xml:space="preserve"> G54</f>
        <v>384</v>
      </c>
    </row>
    <row r="82" spans="1:7" x14ac:dyDescent="0.25">
      <c r="A82">
        <v>1</v>
      </c>
      <c r="B82">
        <v>2</v>
      </c>
      <c r="C82">
        <v>4</v>
      </c>
      <c r="D82">
        <v>2</v>
      </c>
      <c r="F82" t="s">
        <v>34</v>
      </c>
      <c r="G82">
        <f>FINV(G79, G80, G81)</f>
        <v>2.6281486844038939</v>
      </c>
    </row>
    <row r="83" spans="1:7" x14ac:dyDescent="0.25">
      <c r="A83">
        <v>3</v>
      </c>
      <c r="B83">
        <v>5</v>
      </c>
      <c r="C83">
        <v>3</v>
      </c>
      <c r="D83">
        <v>3</v>
      </c>
      <c r="F83" t="s">
        <v>36</v>
      </c>
      <c r="G83">
        <f>_xlfn.F.DIST.RT(G74, G80, G81)</f>
        <v>5.4844330056089746E-10</v>
      </c>
    </row>
    <row r="84" spans="1:7" x14ac:dyDescent="0.25">
      <c r="A84">
        <v>4</v>
      </c>
      <c r="B84">
        <v>5</v>
      </c>
      <c r="C84">
        <v>2</v>
      </c>
      <c r="D84">
        <v>3</v>
      </c>
    </row>
    <row r="85" spans="1:7" x14ac:dyDescent="0.25">
      <c r="A85">
        <v>5</v>
      </c>
      <c r="B85">
        <v>3</v>
      </c>
      <c r="C85">
        <v>1</v>
      </c>
      <c r="D85">
        <v>5</v>
      </c>
      <c r="F85" s="2" t="s">
        <v>6</v>
      </c>
      <c r="G85" s="2"/>
    </row>
    <row r="86" spans="1:7" x14ac:dyDescent="0.25">
      <c r="A86">
        <v>3</v>
      </c>
      <c r="B86">
        <v>4</v>
      </c>
      <c r="C86">
        <v>3</v>
      </c>
      <c r="D86">
        <v>4</v>
      </c>
    </row>
    <row r="87" spans="1:7" x14ac:dyDescent="0.25">
      <c r="A87">
        <v>5</v>
      </c>
      <c r="B87">
        <v>2</v>
      </c>
      <c r="C87">
        <v>2</v>
      </c>
      <c r="D87">
        <v>4</v>
      </c>
      <c r="F87" t="s">
        <v>40</v>
      </c>
    </row>
    <row r="88" spans="1:7" x14ac:dyDescent="0.25">
      <c r="A88">
        <v>3</v>
      </c>
      <c r="B88">
        <v>3</v>
      </c>
      <c r="C88">
        <v>3</v>
      </c>
      <c r="D88">
        <v>4</v>
      </c>
      <c r="F88" t="s">
        <v>41</v>
      </c>
    </row>
    <row r="89" spans="1:7" x14ac:dyDescent="0.25">
      <c r="A89">
        <v>4</v>
      </c>
      <c r="B89">
        <v>3</v>
      </c>
      <c r="C89">
        <v>3</v>
      </c>
      <c r="D89">
        <v>4</v>
      </c>
    </row>
    <row r="90" spans="1:7" x14ac:dyDescent="0.25">
      <c r="A90">
        <v>2</v>
      </c>
      <c r="B90">
        <v>1</v>
      </c>
      <c r="C90">
        <v>4</v>
      </c>
      <c r="D90">
        <v>5</v>
      </c>
      <c r="F90" t="str">
        <f>"Si F calculado ("&amp;G74&amp;") &gt; F critico ("&amp;G82&amp;") ---&gt; Se rechaza la hipotesis nula"</f>
        <v>Si F calculado (16.2930120481928) &gt; F critico (2.62814868440389) ---&gt; Se rechaza la hipotesis nula</v>
      </c>
    </row>
    <row r="91" spans="1:7" x14ac:dyDescent="0.25">
      <c r="A91">
        <v>1</v>
      </c>
      <c r="B91">
        <v>5</v>
      </c>
      <c r="C91">
        <v>3</v>
      </c>
      <c r="D91">
        <v>3</v>
      </c>
      <c r="F91" t="str">
        <f>"Si p-valor ("&amp;G83&amp;") &lt; α Nivel Significancia ("&amp;G79&amp;") ---&gt; Se rechaza la hipotesis nula"</f>
        <v>Si p-valor (5.48443300560897E-10) &lt; α Nivel Significancia (0.05) ---&gt; Se rechaza la hipotesis nula</v>
      </c>
    </row>
    <row r="92" spans="1:7" x14ac:dyDescent="0.25">
      <c r="A92">
        <v>2</v>
      </c>
      <c r="B92">
        <v>2</v>
      </c>
      <c r="C92">
        <v>3</v>
      </c>
      <c r="D92">
        <v>2</v>
      </c>
    </row>
    <row r="93" spans="1:7" x14ac:dyDescent="0.25">
      <c r="A93">
        <v>4</v>
      </c>
      <c r="B93">
        <v>3</v>
      </c>
      <c r="C93">
        <v>5</v>
      </c>
      <c r="D93">
        <v>5</v>
      </c>
    </row>
    <row r="94" spans="1:7" x14ac:dyDescent="0.25">
      <c r="A94">
        <v>4</v>
      </c>
      <c r="B94">
        <v>5</v>
      </c>
      <c r="C94">
        <v>4</v>
      </c>
      <c r="D94">
        <v>5</v>
      </c>
      <c r="F94" s="2" t="s">
        <v>37</v>
      </c>
    </row>
    <row r="95" spans="1:7" x14ac:dyDescent="0.25">
      <c r="A95">
        <v>4</v>
      </c>
      <c r="B95">
        <v>2</v>
      </c>
      <c r="C95">
        <v>5</v>
      </c>
      <c r="D95">
        <v>4</v>
      </c>
      <c r="F95" t="s">
        <v>38</v>
      </c>
    </row>
    <row r="96" spans="1:7" x14ac:dyDescent="0.25">
      <c r="A96">
        <v>4</v>
      </c>
      <c r="B96">
        <v>2</v>
      </c>
      <c r="C96">
        <v>2</v>
      </c>
      <c r="D96">
        <v>3</v>
      </c>
      <c r="F96" t="s">
        <v>39</v>
      </c>
    </row>
    <row r="97" spans="1:4" x14ac:dyDescent="0.25">
      <c r="A97">
        <v>5</v>
      </c>
      <c r="B97">
        <v>5</v>
      </c>
      <c r="C97">
        <v>2</v>
      </c>
      <c r="D97">
        <v>5</v>
      </c>
    </row>
    <row r="98" spans="1:4" x14ac:dyDescent="0.25">
      <c r="A98">
        <v>3</v>
      </c>
      <c r="B98">
        <v>2</v>
      </c>
      <c r="C98">
        <v>2</v>
      </c>
      <c r="D98">
        <v>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4</v>
      </c>
      <c r="B2">
        <v>3</v>
      </c>
      <c r="C2">
        <v>3</v>
      </c>
      <c r="D2">
        <v>5</v>
      </c>
      <c r="F2" s="2" t="s">
        <v>13</v>
      </c>
      <c r="G2" s="2"/>
    </row>
    <row r="3" spans="1:7" x14ac:dyDescent="0.25">
      <c r="A3">
        <v>2</v>
      </c>
      <c r="B3">
        <v>3</v>
      </c>
      <c r="C3">
        <v>3</v>
      </c>
      <c r="D3">
        <v>5</v>
      </c>
      <c r="F3" t="s">
        <v>14</v>
      </c>
      <c r="G3">
        <f>COUNT(A:A)</f>
        <v>97</v>
      </c>
    </row>
    <row r="4" spans="1:7" x14ac:dyDescent="0.25">
      <c r="A4">
        <v>5</v>
      </c>
      <c r="B4">
        <v>4</v>
      </c>
      <c r="C4">
        <v>3</v>
      </c>
      <c r="D4">
        <v>5</v>
      </c>
      <c r="F4" t="s">
        <v>7</v>
      </c>
      <c r="G4">
        <f>AVERAGE(A:A)</f>
        <v>3.1030927835051547</v>
      </c>
    </row>
    <row r="5" spans="1:7" x14ac:dyDescent="0.25">
      <c r="A5">
        <v>3</v>
      </c>
      <c r="B5">
        <v>3</v>
      </c>
      <c r="C5">
        <v>3</v>
      </c>
      <c r="D5">
        <v>4</v>
      </c>
      <c r="F5" t="s">
        <v>8</v>
      </c>
      <c r="G5">
        <f>AVERAGE(B:B)</f>
        <v>3.195876288659794</v>
      </c>
    </row>
    <row r="6" spans="1:7" x14ac:dyDescent="0.25">
      <c r="A6">
        <v>3</v>
      </c>
      <c r="B6">
        <v>4</v>
      </c>
      <c r="C6">
        <v>4</v>
      </c>
      <c r="D6">
        <v>5</v>
      </c>
      <c r="F6" t="s">
        <v>9</v>
      </c>
      <c r="G6">
        <f>AVERAGE(C:C)</f>
        <v>3.0103092783505154</v>
      </c>
    </row>
    <row r="7" spans="1:7" x14ac:dyDescent="0.25">
      <c r="A7">
        <v>1</v>
      </c>
      <c r="B7">
        <v>3</v>
      </c>
      <c r="C7">
        <v>3</v>
      </c>
      <c r="D7">
        <v>4</v>
      </c>
      <c r="F7" t="s">
        <v>10</v>
      </c>
      <c r="G7">
        <f>AVERAGE(D:D)</f>
        <v>4.2268041237113403</v>
      </c>
    </row>
    <row r="8" spans="1:7" x14ac:dyDescent="0.25">
      <c r="A8">
        <v>3</v>
      </c>
      <c r="B8">
        <v>4</v>
      </c>
      <c r="C8">
        <v>3</v>
      </c>
      <c r="D8">
        <v>5</v>
      </c>
      <c r="F8" t="s">
        <v>15</v>
      </c>
      <c r="G8">
        <f>AVERAGE(G4:G7)</f>
        <v>3.3840206185567014</v>
      </c>
    </row>
    <row r="9" spans="1:7" x14ac:dyDescent="0.25">
      <c r="A9">
        <v>3</v>
      </c>
      <c r="B9">
        <v>2</v>
      </c>
      <c r="C9">
        <v>4</v>
      </c>
      <c r="D9">
        <v>5</v>
      </c>
    </row>
    <row r="10" spans="1:7" x14ac:dyDescent="0.25">
      <c r="A10">
        <v>3</v>
      </c>
      <c r="B10">
        <v>3</v>
      </c>
      <c r="C10">
        <v>1</v>
      </c>
      <c r="D10">
        <v>5</v>
      </c>
    </row>
    <row r="11" spans="1:7" x14ac:dyDescent="0.25">
      <c r="A11">
        <v>4</v>
      </c>
      <c r="B11">
        <v>3</v>
      </c>
      <c r="C11">
        <v>3</v>
      </c>
      <c r="D11">
        <v>5</v>
      </c>
      <c r="F11" s="2" t="s">
        <v>12</v>
      </c>
      <c r="G11" s="2"/>
    </row>
    <row r="12" spans="1:7" x14ac:dyDescent="0.25">
      <c r="A12">
        <v>4</v>
      </c>
      <c r="B12">
        <v>5</v>
      </c>
      <c r="C12">
        <v>3</v>
      </c>
      <c r="D12">
        <v>3</v>
      </c>
      <c r="F12" s="3" t="s">
        <v>17</v>
      </c>
    </row>
    <row r="13" spans="1:7" x14ac:dyDescent="0.25">
      <c r="A13">
        <v>4</v>
      </c>
      <c r="B13">
        <v>4</v>
      </c>
      <c r="C13">
        <v>2</v>
      </c>
      <c r="D13">
        <v>5</v>
      </c>
      <c r="F13" s="3" t="s">
        <v>18</v>
      </c>
    </row>
    <row r="14" spans="1:7" x14ac:dyDescent="0.25">
      <c r="A14">
        <v>2</v>
      </c>
      <c r="B14">
        <v>5</v>
      </c>
      <c r="C14">
        <v>4</v>
      </c>
      <c r="D14">
        <v>3</v>
      </c>
    </row>
    <row r="15" spans="1:7" x14ac:dyDescent="0.25">
      <c r="A15">
        <v>3</v>
      </c>
      <c r="B15">
        <v>5</v>
      </c>
      <c r="C15">
        <v>4</v>
      </c>
      <c r="D15">
        <v>2</v>
      </c>
    </row>
    <row r="16" spans="1:7" x14ac:dyDescent="0.25">
      <c r="A16">
        <v>4</v>
      </c>
      <c r="B16">
        <v>4</v>
      </c>
      <c r="C16">
        <v>2</v>
      </c>
      <c r="D16">
        <v>4</v>
      </c>
    </row>
    <row r="17" spans="1:7" x14ac:dyDescent="0.25">
      <c r="A17">
        <v>3</v>
      </c>
      <c r="B17">
        <v>5</v>
      </c>
      <c r="C17">
        <v>1</v>
      </c>
      <c r="D17">
        <v>5</v>
      </c>
      <c r="F17" t="s">
        <v>11</v>
      </c>
      <c r="G17">
        <f>G3*((G4-G8)^2+(G5-G8)^2+(G6-G8)^2+(G7-G8)^2)</f>
        <v>93.533505154639187</v>
      </c>
    </row>
    <row r="18" spans="1:7" x14ac:dyDescent="0.25">
      <c r="A18">
        <v>4</v>
      </c>
      <c r="B18">
        <v>3</v>
      </c>
      <c r="C18">
        <v>3</v>
      </c>
      <c r="D18">
        <v>5</v>
      </c>
    </row>
    <row r="19" spans="1:7" x14ac:dyDescent="0.25">
      <c r="A19">
        <v>2</v>
      </c>
      <c r="B19">
        <v>2</v>
      </c>
      <c r="C19">
        <v>2</v>
      </c>
      <c r="D19">
        <v>5</v>
      </c>
    </row>
    <row r="20" spans="1:7" x14ac:dyDescent="0.25">
      <c r="A20">
        <v>3</v>
      </c>
      <c r="B20">
        <v>3</v>
      </c>
      <c r="C20">
        <v>2</v>
      </c>
      <c r="D20">
        <v>5</v>
      </c>
      <c r="F20" s="2" t="s">
        <v>19</v>
      </c>
      <c r="G20" s="2"/>
    </row>
    <row r="21" spans="1:7" x14ac:dyDescent="0.25">
      <c r="A21">
        <v>5</v>
      </c>
      <c r="B21">
        <v>1</v>
      </c>
      <c r="C21">
        <v>4</v>
      </c>
      <c r="D21">
        <v>5</v>
      </c>
      <c r="F21" t="s">
        <v>20</v>
      </c>
    </row>
    <row r="22" spans="1:7" x14ac:dyDescent="0.25">
      <c r="A22">
        <v>3</v>
      </c>
      <c r="B22">
        <v>4</v>
      </c>
      <c r="C22">
        <v>3</v>
      </c>
      <c r="D22">
        <v>3</v>
      </c>
      <c r="F22" t="s">
        <v>16</v>
      </c>
      <c r="G22">
        <v>4</v>
      </c>
    </row>
    <row r="23" spans="1:7" x14ac:dyDescent="0.25">
      <c r="A23">
        <v>5</v>
      </c>
      <c r="B23">
        <v>3</v>
      </c>
      <c r="C23">
        <v>3</v>
      </c>
      <c r="D23">
        <v>5</v>
      </c>
    </row>
    <row r="24" spans="1:7" x14ac:dyDescent="0.25">
      <c r="A24">
        <v>3</v>
      </c>
      <c r="B24">
        <v>4</v>
      </c>
      <c r="C24">
        <v>3</v>
      </c>
      <c r="D24">
        <v>5</v>
      </c>
    </row>
    <row r="25" spans="1:7" x14ac:dyDescent="0.25">
      <c r="A25">
        <v>4</v>
      </c>
      <c r="B25">
        <v>1</v>
      </c>
      <c r="C25">
        <v>4</v>
      </c>
      <c r="D25">
        <v>5</v>
      </c>
      <c r="F25" t="s">
        <v>0</v>
      </c>
      <c r="G25">
        <f>G22-1</f>
        <v>3</v>
      </c>
    </row>
    <row r="26" spans="1:7" x14ac:dyDescent="0.25">
      <c r="A26">
        <v>3</v>
      </c>
      <c r="B26">
        <v>3</v>
      </c>
      <c r="C26">
        <v>2</v>
      </c>
      <c r="D26">
        <v>5</v>
      </c>
    </row>
    <row r="27" spans="1:7" x14ac:dyDescent="0.25">
      <c r="A27">
        <v>3</v>
      </c>
      <c r="B27">
        <v>2</v>
      </c>
      <c r="C27">
        <v>3</v>
      </c>
      <c r="D27">
        <v>4</v>
      </c>
    </row>
    <row r="28" spans="1:7" x14ac:dyDescent="0.25">
      <c r="A28">
        <v>3</v>
      </c>
      <c r="B28">
        <v>3</v>
      </c>
      <c r="C28">
        <v>5</v>
      </c>
      <c r="D28">
        <v>3</v>
      </c>
      <c r="F28" s="2" t="s">
        <v>21</v>
      </c>
      <c r="G28" s="2"/>
    </row>
    <row r="29" spans="1:7" x14ac:dyDescent="0.25">
      <c r="A29">
        <v>3</v>
      </c>
      <c r="B29">
        <v>5</v>
      </c>
      <c r="C29">
        <v>3</v>
      </c>
      <c r="D29">
        <v>4</v>
      </c>
      <c r="F29" t="s">
        <v>22</v>
      </c>
    </row>
    <row r="30" spans="1:7" x14ac:dyDescent="0.25">
      <c r="A30">
        <v>3</v>
      </c>
      <c r="B30">
        <v>4</v>
      </c>
      <c r="C30">
        <v>3</v>
      </c>
      <c r="D30">
        <v>5</v>
      </c>
    </row>
    <row r="31" spans="1:7" x14ac:dyDescent="0.25">
      <c r="A31">
        <v>3</v>
      </c>
      <c r="B31">
        <v>3</v>
      </c>
      <c r="C31">
        <v>3</v>
      </c>
      <c r="D31">
        <v>5</v>
      </c>
    </row>
    <row r="32" spans="1:7" x14ac:dyDescent="0.25">
      <c r="A32">
        <v>3</v>
      </c>
      <c r="B32">
        <v>2</v>
      </c>
      <c r="C32">
        <v>4</v>
      </c>
      <c r="D32">
        <v>5</v>
      </c>
    </row>
    <row r="33" spans="1:7" x14ac:dyDescent="0.25">
      <c r="A33">
        <v>3</v>
      </c>
      <c r="B33">
        <v>3</v>
      </c>
      <c r="C33">
        <v>3</v>
      </c>
      <c r="D33">
        <v>5</v>
      </c>
    </row>
    <row r="34" spans="1:7" x14ac:dyDescent="0.25">
      <c r="A34">
        <v>5</v>
      </c>
      <c r="B34">
        <v>2</v>
      </c>
      <c r="C34">
        <v>3</v>
      </c>
      <c r="D34">
        <v>4</v>
      </c>
      <c r="F34" t="s">
        <v>1</v>
      </c>
      <c r="G34">
        <f>G17/G25</f>
        <v>31.177835051546396</v>
      </c>
    </row>
    <row r="35" spans="1:7" x14ac:dyDescent="0.25">
      <c r="A35">
        <v>4</v>
      </c>
      <c r="B35">
        <v>5</v>
      </c>
      <c r="C35">
        <v>1</v>
      </c>
      <c r="D35">
        <v>5</v>
      </c>
    </row>
    <row r="36" spans="1:7" x14ac:dyDescent="0.25">
      <c r="A36">
        <v>3</v>
      </c>
      <c r="B36">
        <v>3</v>
      </c>
      <c r="C36">
        <v>3</v>
      </c>
      <c r="D36">
        <v>3</v>
      </c>
    </row>
    <row r="37" spans="1:7" x14ac:dyDescent="0.25">
      <c r="A37">
        <v>2</v>
      </c>
      <c r="B37">
        <v>3</v>
      </c>
      <c r="C37">
        <v>2</v>
      </c>
      <c r="D37">
        <v>4</v>
      </c>
      <c r="F37" s="2" t="s">
        <v>26</v>
      </c>
      <c r="G37" s="2"/>
    </row>
    <row r="38" spans="1:7" x14ac:dyDescent="0.25">
      <c r="A38">
        <v>5</v>
      </c>
      <c r="B38">
        <v>3</v>
      </c>
      <c r="C38">
        <v>1</v>
      </c>
      <c r="D38">
        <v>5</v>
      </c>
      <c r="F38" t="s">
        <v>23</v>
      </c>
    </row>
    <row r="39" spans="1:7" x14ac:dyDescent="0.25">
      <c r="A39">
        <v>3</v>
      </c>
      <c r="B39">
        <v>2</v>
      </c>
      <c r="C39">
        <v>1</v>
      </c>
      <c r="D39">
        <v>5</v>
      </c>
      <c r="F39" t="s">
        <v>24</v>
      </c>
    </row>
    <row r="40" spans="1:7" x14ac:dyDescent="0.25">
      <c r="A40">
        <v>4</v>
      </c>
      <c r="B40">
        <v>4</v>
      </c>
      <c r="C40">
        <v>5</v>
      </c>
      <c r="D40">
        <v>5</v>
      </c>
    </row>
    <row r="41" spans="1:7" x14ac:dyDescent="0.25">
      <c r="A41">
        <v>3</v>
      </c>
      <c r="B41">
        <v>2</v>
      </c>
      <c r="C41">
        <v>4</v>
      </c>
      <c r="D41">
        <v>3</v>
      </c>
    </row>
    <row r="42" spans="1:7" x14ac:dyDescent="0.25">
      <c r="A42">
        <v>5</v>
      </c>
      <c r="B42">
        <v>3</v>
      </c>
      <c r="C42">
        <v>5</v>
      </c>
      <c r="D42">
        <v>5</v>
      </c>
    </row>
    <row r="43" spans="1:7" x14ac:dyDescent="0.25">
      <c r="A43">
        <v>4</v>
      </c>
      <c r="B43">
        <v>4</v>
      </c>
      <c r="C43">
        <v>3</v>
      </c>
      <c r="D43">
        <v>4</v>
      </c>
    </row>
    <row r="44" spans="1:7" x14ac:dyDescent="0.25">
      <c r="A44">
        <v>2</v>
      </c>
      <c r="B44">
        <v>4</v>
      </c>
      <c r="C44">
        <v>1</v>
      </c>
      <c r="D44">
        <v>5</v>
      </c>
      <c r="F44" t="s">
        <v>3</v>
      </c>
      <c r="G44">
        <f>DEVSQ(A:A)+DEVSQ(B:B)+DEVSQ(C:C)+DEVSQ(D:D)</f>
        <v>416.24742268041246</v>
      </c>
    </row>
    <row r="45" spans="1:7" x14ac:dyDescent="0.25">
      <c r="A45">
        <v>4</v>
      </c>
      <c r="B45">
        <v>4</v>
      </c>
      <c r="C45">
        <v>1</v>
      </c>
      <c r="D45">
        <v>5</v>
      </c>
    </row>
    <row r="46" spans="1:7" x14ac:dyDescent="0.25">
      <c r="A46">
        <v>3</v>
      </c>
      <c r="B46">
        <v>5</v>
      </c>
      <c r="C46">
        <v>3</v>
      </c>
      <c r="D46">
        <v>1</v>
      </c>
    </row>
    <row r="47" spans="1:7" x14ac:dyDescent="0.25">
      <c r="A47">
        <v>5</v>
      </c>
      <c r="B47">
        <v>3</v>
      </c>
      <c r="C47">
        <v>3</v>
      </c>
      <c r="D47">
        <v>5</v>
      </c>
      <c r="F47" s="2" t="s">
        <v>25</v>
      </c>
      <c r="G47" s="2"/>
    </row>
    <row r="48" spans="1:7" x14ac:dyDescent="0.25">
      <c r="A48">
        <v>3</v>
      </c>
      <c r="B48">
        <v>2</v>
      </c>
      <c r="C48">
        <v>4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4</v>
      </c>
      <c r="C49">
        <v>4</v>
      </c>
      <c r="D49">
        <v>4</v>
      </c>
      <c r="F49" t="s">
        <v>16</v>
      </c>
      <c r="G49">
        <f>G22</f>
        <v>4</v>
      </c>
    </row>
    <row r="50" spans="1:7" x14ac:dyDescent="0.25">
      <c r="A50">
        <v>5</v>
      </c>
      <c r="B50">
        <v>2</v>
      </c>
      <c r="C50">
        <v>2</v>
      </c>
      <c r="D50">
        <v>2</v>
      </c>
    </row>
    <row r="51" spans="1:7" x14ac:dyDescent="0.25">
      <c r="A51">
        <v>1</v>
      </c>
      <c r="B51">
        <v>3</v>
      </c>
      <c r="C51">
        <v>3</v>
      </c>
      <c r="D51">
        <v>3</v>
      </c>
    </row>
    <row r="52" spans="1:7" x14ac:dyDescent="0.25">
      <c r="A52">
        <v>1</v>
      </c>
      <c r="B52">
        <v>3</v>
      </c>
      <c r="C52">
        <v>3</v>
      </c>
      <c r="D52">
        <v>4</v>
      </c>
    </row>
    <row r="53" spans="1:7" x14ac:dyDescent="0.25">
      <c r="A53">
        <v>3</v>
      </c>
      <c r="B53">
        <v>3</v>
      </c>
      <c r="C53">
        <v>1</v>
      </c>
      <c r="D53">
        <v>5</v>
      </c>
    </row>
    <row r="54" spans="1:7" x14ac:dyDescent="0.25">
      <c r="A54">
        <v>2</v>
      </c>
      <c r="B54">
        <v>4</v>
      </c>
      <c r="C54">
        <v>2</v>
      </c>
      <c r="D54">
        <v>4</v>
      </c>
      <c r="F54" t="s">
        <v>4</v>
      </c>
      <c r="G54">
        <f>G48-G49</f>
        <v>384</v>
      </c>
    </row>
    <row r="55" spans="1:7" x14ac:dyDescent="0.25">
      <c r="A55">
        <v>3</v>
      </c>
      <c r="B55">
        <v>3</v>
      </c>
      <c r="C55">
        <v>4</v>
      </c>
      <c r="D55">
        <v>5</v>
      </c>
    </row>
    <row r="56" spans="1:7" x14ac:dyDescent="0.25">
      <c r="A56">
        <v>4</v>
      </c>
      <c r="B56">
        <v>3</v>
      </c>
      <c r="C56">
        <v>3</v>
      </c>
      <c r="D56">
        <v>3</v>
      </c>
    </row>
    <row r="57" spans="1:7" x14ac:dyDescent="0.25">
      <c r="A57">
        <v>3</v>
      </c>
      <c r="B57">
        <v>3</v>
      </c>
      <c r="C57">
        <v>2</v>
      </c>
      <c r="D57">
        <v>4</v>
      </c>
      <c r="F57" s="2" t="s">
        <v>28</v>
      </c>
      <c r="G57" s="2"/>
    </row>
    <row r="58" spans="1:7" x14ac:dyDescent="0.25">
      <c r="A58">
        <v>2</v>
      </c>
      <c r="B58">
        <v>2</v>
      </c>
      <c r="C58">
        <v>1</v>
      </c>
      <c r="D58">
        <v>5</v>
      </c>
      <c r="F58" t="s">
        <v>29</v>
      </c>
    </row>
    <row r="59" spans="1:7" x14ac:dyDescent="0.25">
      <c r="A59">
        <v>3</v>
      </c>
      <c r="B59">
        <v>5</v>
      </c>
      <c r="C59">
        <v>2</v>
      </c>
      <c r="D59">
        <v>4</v>
      </c>
    </row>
    <row r="60" spans="1:7" x14ac:dyDescent="0.25">
      <c r="A60">
        <v>2</v>
      </c>
      <c r="B60">
        <v>4</v>
      </c>
      <c r="C60">
        <v>4</v>
      </c>
      <c r="D60">
        <v>5</v>
      </c>
    </row>
    <row r="61" spans="1:7" x14ac:dyDescent="0.25">
      <c r="A61">
        <v>3</v>
      </c>
      <c r="B61">
        <v>2</v>
      </c>
      <c r="C61">
        <v>2</v>
      </c>
      <c r="D61">
        <v>4</v>
      </c>
    </row>
    <row r="62" spans="1:7" x14ac:dyDescent="0.25">
      <c r="A62">
        <v>2</v>
      </c>
      <c r="B62">
        <v>3</v>
      </c>
      <c r="C62">
        <v>2</v>
      </c>
      <c r="D62">
        <v>4</v>
      </c>
    </row>
    <row r="63" spans="1:7" x14ac:dyDescent="0.25">
      <c r="A63">
        <v>2</v>
      </c>
      <c r="B63">
        <v>3</v>
      </c>
      <c r="C63">
        <v>4</v>
      </c>
      <c r="D63">
        <v>4</v>
      </c>
    </row>
    <row r="64" spans="1:7" x14ac:dyDescent="0.25">
      <c r="A64">
        <v>3</v>
      </c>
      <c r="B64">
        <v>2</v>
      </c>
      <c r="C64">
        <v>1</v>
      </c>
      <c r="D64">
        <v>4</v>
      </c>
      <c r="F64" t="s">
        <v>5</v>
      </c>
      <c r="G64">
        <f>G44/G54</f>
        <v>1.0839776632302407</v>
      </c>
    </row>
    <row r="65" spans="1:7" x14ac:dyDescent="0.25">
      <c r="A65">
        <v>3</v>
      </c>
      <c r="B65">
        <v>5</v>
      </c>
      <c r="C65">
        <v>4</v>
      </c>
      <c r="D65">
        <v>5</v>
      </c>
    </row>
    <row r="66" spans="1:7" x14ac:dyDescent="0.25">
      <c r="A66">
        <v>3</v>
      </c>
      <c r="B66">
        <v>1</v>
      </c>
      <c r="C66">
        <v>3</v>
      </c>
      <c r="D66">
        <v>4</v>
      </c>
    </row>
    <row r="67" spans="1:7" x14ac:dyDescent="0.25">
      <c r="A67">
        <v>4</v>
      </c>
      <c r="B67">
        <v>3</v>
      </c>
      <c r="C67">
        <v>1</v>
      </c>
      <c r="D67">
        <v>4</v>
      </c>
      <c r="F67" s="2" t="s">
        <v>30</v>
      </c>
      <c r="G67" s="2"/>
    </row>
    <row r="68" spans="1:7" x14ac:dyDescent="0.25">
      <c r="A68">
        <v>4</v>
      </c>
      <c r="B68">
        <v>1</v>
      </c>
      <c r="C68">
        <v>4</v>
      </c>
      <c r="D68">
        <v>5</v>
      </c>
      <c r="F68" t="s">
        <v>31</v>
      </c>
    </row>
    <row r="69" spans="1:7" x14ac:dyDescent="0.25">
      <c r="A69">
        <v>3</v>
      </c>
      <c r="B69">
        <v>2</v>
      </c>
      <c r="C69">
        <v>5</v>
      </c>
      <c r="D69">
        <v>4</v>
      </c>
      <c r="F69" t="s">
        <v>32</v>
      </c>
    </row>
    <row r="70" spans="1:7" x14ac:dyDescent="0.25">
      <c r="A70">
        <v>4</v>
      </c>
      <c r="B70">
        <v>4</v>
      </c>
      <c r="C70">
        <v>3</v>
      </c>
      <c r="D70">
        <v>3</v>
      </c>
    </row>
    <row r="71" spans="1:7" x14ac:dyDescent="0.25">
      <c r="A71">
        <v>2</v>
      </c>
      <c r="B71">
        <v>3</v>
      </c>
      <c r="C71">
        <v>4</v>
      </c>
      <c r="D71">
        <v>3</v>
      </c>
    </row>
    <row r="72" spans="1:7" x14ac:dyDescent="0.25">
      <c r="A72">
        <v>2</v>
      </c>
      <c r="B72">
        <v>4</v>
      </c>
      <c r="C72">
        <v>2</v>
      </c>
      <c r="D72">
        <v>4</v>
      </c>
    </row>
    <row r="73" spans="1:7" x14ac:dyDescent="0.25">
      <c r="A73">
        <v>4</v>
      </c>
      <c r="B73">
        <v>2</v>
      </c>
      <c r="C73">
        <v>5</v>
      </c>
      <c r="D73">
        <v>5</v>
      </c>
    </row>
    <row r="74" spans="1:7" x14ac:dyDescent="0.25">
      <c r="A74">
        <v>4</v>
      </c>
      <c r="B74">
        <v>3</v>
      </c>
      <c r="C74">
        <v>5</v>
      </c>
      <c r="D74">
        <v>4</v>
      </c>
      <c r="F74" t="s">
        <v>2</v>
      </c>
      <c r="G74">
        <f>G34/G64</f>
        <v>28.76243312859124</v>
      </c>
    </row>
    <row r="75" spans="1:7" x14ac:dyDescent="0.25">
      <c r="A75">
        <v>3</v>
      </c>
      <c r="B75">
        <v>2</v>
      </c>
      <c r="C75">
        <v>4</v>
      </c>
      <c r="D75">
        <v>4</v>
      </c>
    </row>
    <row r="76" spans="1:7" x14ac:dyDescent="0.25">
      <c r="A76">
        <v>2</v>
      </c>
      <c r="B76">
        <v>2</v>
      </c>
      <c r="C76">
        <v>3</v>
      </c>
      <c r="D76">
        <v>5</v>
      </c>
    </row>
    <row r="77" spans="1:7" x14ac:dyDescent="0.25">
      <c r="A77">
        <v>2</v>
      </c>
      <c r="B77">
        <v>4</v>
      </c>
      <c r="C77">
        <v>4</v>
      </c>
      <c r="D77">
        <v>5</v>
      </c>
      <c r="F77" s="2" t="s">
        <v>35</v>
      </c>
      <c r="G77" s="2"/>
    </row>
    <row r="78" spans="1:7" x14ac:dyDescent="0.25">
      <c r="A78">
        <v>1</v>
      </c>
      <c r="B78">
        <v>3</v>
      </c>
      <c r="C78">
        <v>4</v>
      </c>
      <c r="D78">
        <v>3</v>
      </c>
    </row>
    <row r="79" spans="1:7" x14ac:dyDescent="0.25">
      <c r="A79">
        <v>2</v>
      </c>
      <c r="B79">
        <v>2</v>
      </c>
      <c r="C79">
        <v>5</v>
      </c>
      <c r="D79">
        <v>3</v>
      </c>
      <c r="F79" s="4" t="s">
        <v>33</v>
      </c>
      <c r="G79">
        <v>0.05</v>
      </c>
    </row>
    <row r="80" spans="1:7" x14ac:dyDescent="0.25">
      <c r="A80">
        <v>4</v>
      </c>
      <c r="B80">
        <v>3</v>
      </c>
      <c r="C80">
        <v>3</v>
      </c>
      <c r="D80">
        <v>4</v>
      </c>
      <c r="F80" t="s">
        <v>0</v>
      </c>
      <c r="G80">
        <f xml:space="preserve"> G25</f>
        <v>3</v>
      </c>
    </row>
    <row r="81" spans="1:7" x14ac:dyDescent="0.25">
      <c r="A81">
        <v>3</v>
      </c>
      <c r="B81">
        <v>3</v>
      </c>
      <c r="C81">
        <v>5</v>
      </c>
      <c r="D81">
        <v>2</v>
      </c>
      <c r="F81" t="s">
        <v>4</v>
      </c>
      <c r="G81">
        <f xml:space="preserve"> G54</f>
        <v>384</v>
      </c>
    </row>
    <row r="82" spans="1:7" x14ac:dyDescent="0.25">
      <c r="A82">
        <v>4</v>
      </c>
      <c r="B82">
        <v>5</v>
      </c>
      <c r="C82">
        <v>4</v>
      </c>
      <c r="D82">
        <v>3</v>
      </c>
      <c r="F82" t="s">
        <v>34</v>
      </c>
      <c r="G82">
        <f>FINV(G79, G80, G81)</f>
        <v>2.6281486844038939</v>
      </c>
    </row>
    <row r="83" spans="1:7" x14ac:dyDescent="0.25">
      <c r="A83">
        <v>2</v>
      </c>
      <c r="B83">
        <v>3</v>
      </c>
      <c r="C83">
        <v>4</v>
      </c>
      <c r="D83">
        <v>5</v>
      </c>
      <c r="F83" t="s">
        <v>36</v>
      </c>
      <c r="G83">
        <f>_xlfn.F.DIST.RT(G74, G80, G81)</f>
        <v>8.5019535789134809E-17</v>
      </c>
    </row>
    <row r="84" spans="1:7" x14ac:dyDescent="0.25">
      <c r="A84">
        <v>4</v>
      </c>
      <c r="B84">
        <v>5</v>
      </c>
      <c r="C84">
        <v>1</v>
      </c>
      <c r="D84">
        <v>3</v>
      </c>
    </row>
    <row r="85" spans="1:7" x14ac:dyDescent="0.25">
      <c r="A85">
        <v>4</v>
      </c>
      <c r="B85">
        <v>4</v>
      </c>
      <c r="C85">
        <v>3</v>
      </c>
      <c r="D85">
        <v>4</v>
      </c>
      <c r="F85" s="2" t="s">
        <v>6</v>
      </c>
      <c r="G85" s="2"/>
    </row>
    <row r="86" spans="1:7" x14ac:dyDescent="0.25">
      <c r="A86">
        <v>3</v>
      </c>
      <c r="B86">
        <v>2</v>
      </c>
      <c r="C86">
        <v>3</v>
      </c>
      <c r="D86">
        <v>5</v>
      </c>
    </row>
    <row r="87" spans="1:7" x14ac:dyDescent="0.25">
      <c r="A87">
        <v>3</v>
      </c>
      <c r="B87">
        <v>3</v>
      </c>
      <c r="C87">
        <v>4</v>
      </c>
      <c r="D87">
        <v>3</v>
      </c>
      <c r="F87" t="s">
        <v>40</v>
      </c>
    </row>
    <row r="88" spans="1:7" x14ac:dyDescent="0.25">
      <c r="A88">
        <v>2</v>
      </c>
      <c r="B88">
        <v>3</v>
      </c>
      <c r="C88">
        <v>2</v>
      </c>
      <c r="D88">
        <v>5</v>
      </c>
      <c r="F88" t="s">
        <v>41</v>
      </c>
    </row>
    <row r="89" spans="1:7" x14ac:dyDescent="0.25">
      <c r="A89">
        <v>1</v>
      </c>
      <c r="B89">
        <v>2</v>
      </c>
      <c r="C89">
        <v>1</v>
      </c>
      <c r="D89">
        <v>5</v>
      </c>
    </row>
    <row r="90" spans="1:7" x14ac:dyDescent="0.25">
      <c r="A90">
        <v>2</v>
      </c>
      <c r="B90">
        <v>3</v>
      </c>
      <c r="C90">
        <v>3</v>
      </c>
      <c r="D90">
        <v>3</v>
      </c>
      <c r="F90" t="str">
        <f>"Si F calculado ("&amp;G74&amp;") &gt; F critico ("&amp;G82&amp;") ---&gt; Se rechaza la hipotesis nula"</f>
        <v>Si F calculado (28.7624331285912) &gt; F critico (2.62814868440389) ---&gt; Se rechaza la hipotesis nula</v>
      </c>
    </row>
    <row r="91" spans="1:7" x14ac:dyDescent="0.25">
      <c r="A91">
        <v>3</v>
      </c>
      <c r="B91">
        <v>3</v>
      </c>
      <c r="C91">
        <v>5</v>
      </c>
      <c r="D91">
        <v>3</v>
      </c>
      <c r="F91" t="str">
        <f>"Si p-valor ("&amp;G83&amp;") &lt; α Nivel Significancia ("&amp;G79&amp;") ---&gt; Se rechaza la hipotesis nula"</f>
        <v>Si p-valor (8.50195357891348E-17) &lt; α Nivel Significancia (0.05) ---&gt; Se rechaza la hipotesis nula</v>
      </c>
    </row>
    <row r="92" spans="1:7" x14ac:dyDescent="0.25">
      <c r="A92">
        <v>3</v>
      </c>
      <c r="B92">
        <v>4</v>
      </c>
      <c r="C92">
        <v>3</v>
      </c>
      <c r="D92">
        <v>5</v>
      </c>
    </row>
    <row r="93" spans="1:7" x14ac:dyDescent="0.25">
      <c r="A93">
        <v>3</v>
      </c>
      <c r="B93">
        <v>4</v>
      </c>
      <c r="C93">
        <v>4</v>
      </c>
      <c r="D93">
        <v>5</v>
      </c>
    </row>
    <row r="94" spans="1:7" x14ac:dyDescent="0.25">
      <c r="A94">
        <v>3</v>
      </c>
      <c r="B94">
        <v>5</v>
      </c>
      <c r="C94">
        <v>3</v>
      </c>
      <c r="D94">
        <v>4</v>
      </c>
      <c r="F94" s="2" t="s">
        <v>37</v>
      </c>
    </row>
    <row r="95" spans="1:7" x14ac:dyDescent="0.25">
      <c r="A95">
        <v>3</v>
      </c>
      <c r="B95">
        <v>1</v>
      </c>
      <c r="C95">
        <v>2</v>
      </c>
      <c r="D95">
        <v>5</v>
      </c>
      <c r="F95" t="s">
        <v>38</v>
      </c>
    </row>
    <row r="96" spans="1:7" x14ac:dyDescent="0.25">
      <c r="A96">
        <v>3</v>
      </c>
      <c r="B96">
        <v>3</v>
      </c>
      <c r="C96">
        <v>4</v>
      </c>
      <c r="D96">
        <v>4</v>
      </c>
      <c r="F96" t="s">
        <v>39</v>
      </c>
    </row>
    <row r="97" spans="1:4" x14ac:dyDescent="0.25">
      <c r="A97">
        <v>4</v>
      </c>
      <c r="B97">
        <v>5</v>
      </c>
      <c r="C97">
        <v>1</v>
      </c>
      <c r="D97">
        <v>5</v>
      </c>
    </row>
    <row r="98" spans="1:4" x14ac:dyDescent="0.25">
      <c r="A98">
        <v>3</v>
      </c>
      <c r="B98">
        <v>4</v>
      </c>
      <c r="C98">
        <v>5</v>
      </c>
      <c r="D98">
        <v>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2</v>
      </c>
      <c r="B2">
        <v>4</v>
      </c>
      <c r="C2">
        <v>5</v>
      </c>
      <c r="D2">
        <v>2</v>
      </c>
      <c r="F2" s="2" t="s">
        <v>13</v>
      </c>
      <c r="G2" s="2"/>
    </row>
    <row r="3" spans="1:7" x14ac:dyDescent="0.25">
      <c r="A3">
        <v>3</v>
      </c>
      <c r="B3">
        <v>3</v>
      </c>
      <c r="C3">
        <v>4</v>
      </c>
      <c r="D3">
        <v>3</v>
      </c>
      <c r="F3" t="s">
        <v>14</v>
      </c>
      <c r="G3">
        <f>COUNT(A:A)</f>
        <v>97</v>
      </c>
    </row>
    <row r="4" spans="1:7" x14ac:dyDescent="0.25">
      <c r="A4">
        <v>4</v>
      </c>
      <c r="B4">
        <v>1</v>
      </c>
      <c r="C4">
        <v>3</v>
      </c>
      <c r="D4">
        <v>4</v>
      </c>
      <c r="F4" t="s">
        <v>7</v>
      </c>
      <c r="G4">
        <f>AVERAGE(A:A)</f>
        <v>2.9793814432989691</v>
      </c>
    </row>
    <row r="5" spans="1:7" x14ac:dyDescent="0.25">
      <c r="A5">
        <v>1</v>
      </c>
      <c r="B5">
        <v>3</v>
      </c>
      <c r="C5">
        <v>2</v>
      </c>
      <c r="D5">
        <v>1</v>
      </c>
      <c r="F5" t="s">
        <v>8</v>
      </c>
      <c r="G5">
        <f>AVERAGE(B:B)</f>
        <v>3.2886597938144329</v>
      </c>
    </row>
    <row r="6" spans="1:7" x14ac:dyDescent="0.25">
      <c r="A6">
        <v>3</v>
      </c>
      <c r="B6">
        <v>3</v>
      </c>
      <c r="C6">
        <v>2</v>
      </c>
      <c r="D6">
        <v>4</v>
      </c>
      <c r="F6" t="s">
        <v>9</v>
      </c>
      <c r="G6">
        <f>AVERAGE(C:C)</f>
        <v>3.0824742268041239</v>
      </c>
    </row>
    <row r="7" spans="1:7" x14ac:dyDescent="0.25">
      <c r="A7">
        <v>4</v>
      </c>
      <c r="B7">
        <v>5</v>
      </c>
      <c r="C7">
        <v>2</v>
      </c>
      <c r="D7">
        <v>4</v>
      </c>
      <c r="F7" t="s">
        <v>10</v>
      </c>
      <c r="G7">
        <f>AVERAGE(D:D)</f>
        <v>3.9793814432989691</v>
      </c>
    </row>
    <row r="8" spans="1:7" x14ac:dyDescent="0.25">
      <c r="A8">
        <v>5</v>
      </c>
      <c r="B8">
        <v>3</v>
      </c>
      <c r="C8">
        <v>5</v>
      </c>
      <c r="D8">
        <v>4</v>
      </c>
      <c r="F8" t="s">
        <v>15</v>
      </c>
      <c r="G8">
        <f>AVERAGE(G4:G7)</f>
        <v>3.3324742268041239</v>
      </c>
    </row>
    <row r="9" spans="1:7" x14ac:dyDescent="0.25">
      <c r="A9">
        <v>2</v>
      </c>
      <c r="B9">
        <v>3</v>
      </c>
      <c r="C9">
        <v>2</v>
      </c>
      <c r="D9">
        <v>4</v>
      </c>
    </row>
    <row r="10" spans="1:7" x14ac:dyDescent="0.25">
      <c r="A10">
        <v>3</v>
      </c>
      <c r="B10">
        <v>4</v>
      </c>
      <c r="C10">
        <v>3</v>
      </c>
      <c r="D10">
        <v>5</v>
      </c>
    </row>
    <row r="11" spans="1:7" x14ac:dyDescent="0.25">
      <c r="A11">
        <v>3</v>
      </c>
      <c r="B11">
        <v>4</v>
      </c>
      <c r="C11">
        <v>2</v>
      </c>
      <c r="D11">
        <v>4</v>
      </c>
      <c r="F11" s="2" t="s">
        <v>12</v>
      </c>
      <c r="G11" s="2"/>
    </row>
    <row r="12" spans="1:7" x14ac:dyDescent="0.25">
      <c r="A12">
        <v>3</v>
      </c>
      <c r="B12">
        <v>3</v>
      </c>
      <c r="C12">
        <v>1</v>
      </c>
      <c r="D12">
        <v>5</v>
      </c>
      <c r="F12" s="3" t="s">
        <v>17</v>
      </c>
    </row>
    <row r="13" spans="1:7" x14ac:dyDescent="0.25">
      <c r="A13">
        <v>5</v>
      </c>
      <c r="B13">
        <v>3</v>
      </c>
      <c r="C13">
        <v>2</v>
      </c>
      <c r="D13">
        <v>3</v>
      </c>
      <c r="F13" s="3" t="s">
        <v>18</v>
      </c>
    </row>
    <row r="14" spans="1:7" x14ac:dyDescent="0.25">
      <c r="A14">
        <v>2</v>
      </c>
      <c r="B14">
        <v>4</v>
      </c>
      <c r="C14">
        <v>2</v>
      </c>
      <c r="D14">
        <v>5</v>
      </c>
    </row>
    <row r="15" spans="1:7" x14ac:dyDescent="0.25">
      <c r="A15">
        <v>3</v>
      </c>
      <c r="B15">
        <v>4</v>
      </c>
      <c r="C15">
        <v>4</v>
      </c>
      <c r="D15">
        <v>3</v>
      </c>
    </row>
    <row r="16" spans="1:7" x14ac:dyDescent="0.25">
      <c r="A16">
        <v>1</v>
      </c>
      <c r="B16">
        <v>3</v>
      </c>
      <c r="C16">
        <v>2</v>
      </c>
      <c r="D16">
        <v>4</v>
      </c>
    </row>
    <row r="17" spans="1:7" x14ac:dyDescent="0.25">
      <c r="A17">
        <v>3</v>
      </c>
      <c r="B17">
        <v>2</v>
      </c>
      <c r="C17">
        <v>5</v>
      </c>
      <c r="D17">
        <v>1</v>
      </c>
      <c r="F17" t="s">
        <v>11</v>
      </c>
      <c r="G17">
        <f>G3*((G4-G8)^2+(G5-G8)^2+(G6-G8)^2+(G7-G8)^2)</f>
        <v>58.935567010309271</v>
      </c>
    </row>
    <row r="18" spans="1:7" x14ac:dyDescent="0.25">
      <c r="A18">
        <v>3</v>
      </c>
      <c r="B18">
        <v>5</v>
      </c>
      <c r="C18">
        <v>3</v>
      </c>
      <c r="D18">
        <v>4</v>
      </c>
    </row>
    <row r="19" spans="1:7" x14ac:dyDescent="0.25">
      <c r="A19">
        <v>4</v>
      </c>
      <c r="B19">
        <v>2</v>
      </c>
      <c r="C19">
        <v>3</v>
      </c>
      <c r="D19">
        <v>3</v>
      </c>
    </row>
    <row r="20" spans="1:7" x14ac:dyDescent="0.25">
      <c r="A20">
        <v>3</v>
      </c>
      <c r="B20">
        <v>4</v>
      </c>
      <c r="C20">
        <v>3</v>
      </c>
      <c r="D20">
        <v>4</v>
      </c>
      <c r="F20" s="2" t="s">
        <v>19</v>
      </c>
      <c r="G20" s="2"/>
    </row>
    <row r="21" spans="1:7" x14ac:dyDescent="0.25">
      <c r="A21">
        <v>3</v>
      </c>
      <c r="B21">
        <v>3</v>
      </c>
      <c r="C21">
        <v>2</v>
      </c>
      <c r="D21">
        <v>5</v>
      </c>
      <c r="F21" t="s">
        <v>20</v>
      </c>
    </row>
    <row r="22" spans="1:7" x14ac:dyDescent="0.25">
      <c r="A22">
        <v>2</v>
      </c>
      <c r="B22">
        <v>4</v>
      </c>
      <c r="C22">
        <v>2</v>
      </c>
      <c r="D22">
        <v>5</v>
      </c>
      <c r="F22" t="s">
        <v>16</v>
      </c>
      <c r="G22">
        <v>4</v>
      </c>
    </row>
    <row r="23" spans="1:7" x14ac:dyDescent="0.25">
      <c r="A23">
        <v>2</v>
      </c>
      <c r="B23">
        <v>3</v>
      </c>
      <c r="C23">
        <v>3</v>
      </c>
      <c r="D23">
        <v>5</v>
      </c>
    </row>
    <row r="24" spans="1:7" x14ac:dyDescent="0.25">
      <c r="A24">
        <v>2</v>
      </c>
      <c r="B24">
        <v>3</v>
      </c>
      <c r="C24">
        <v>4</v>
      </c>
      <c r="D24">
        <v>4</v>
      </c>
    </row>
    <row r="25" spans="1:7" x14ac:dyDescent="0.25">
      <c r="A25">
        <v>3</v>
      </c>
      <c r="B25">
        <v>4</v>
      </c>
      <c r="C25">
        <v>2</v>
      </c>
      <c r="D25">
        <v>4</v>
      </c>
      <c r="F25" t="s">
        <v>0</v>
      </c>
      <c r="G25">
        <f>G22-1</f>
        <v>3</v>
      </c>
    </row>
    <row r="26" spans="1:7" x14ac:dyDescent="0.25">
      <c r="A26">
        <v>5</v>
      </c>
      <c r="B26">
        <v>2</v>
      </c>
      <c r="C26">
        <v>3</v>
      </c>
      <c r="D26">
        <v>3</v>
      </c>
    </row>
    <row r="27" spans="1:7" x14ac:dyDescent="0.25">
      <c r="A27">
        <v>1</v>
      </c>
      <c r="B27">
        <v>5</v>
      </c>
      <c r="C27">
        <v>1</v>
      </c>
      <c r="D27">
        <v>4</v>
      </c>
    </row>
    <row r="28" spans="1:7" x14ac:dyDescent="0.25">
      <c r="A28">
        <v>3</v>
      </c>
      <c r="B28">
        <v>2</v>
      </c>
      <c r="C28">
        <v>3</v>
      </c>
      <c r="D28">
        <v>3</v>
      </c>
      <c r="F28" s="2" t="s">
        <v>21</v>
      </c>
      <c r="G28" s="2"/>
    </row>
    <row r="29" spans="1:7" x14ac:dyDescent="0.25">
      <c r="A29">
        <v>3</v>
      </c>
      <c r="B29">
        <v>1</v>
      </c>
      <c r="C29">
        <v>4</v>
      </c>
      <c r="D29">
        <v>4</v>
      </c>
      <c r="F29" t="s">
        <v>22</v>
      </c>
    </row>
    <row r="30" spans="1:7" x14ac:dyDescent="0.25">
      <c r="A30">
        <v>2</v>
      </c>
      <c r="B30">
        <v>4</v>
      </c>
      <c r="C30">
        <v>5</v>
      </c>
      <c r="D30">
        <v>5</v>
      </c>
    </row>
    <row r="31" spans="1:7" x14ac:dyDescent="0.25">
      <c r="A31">
        <v>4</v>
      </c>
      <c r="B31">
        <v>3</v>
      </c>
      <c r="C31">
        <v>3</v>
      </c>
      <c r="D31">
        <v>4</v>
      </c>
    </row>
    <row r="32" spans="1:7" x14ac:dyDescent="0.25">
      <c r="A32">
        <v>5</v>
      </c>
      <c r="B32">
        <v>3</v>
      </c>
      <c r="C32">
        <v>3</v>
      </c>
      <c r="D32">
        <v>4</v>
      </c>
    </row>
    <row r="33" spans="1:7" x14ac:dyDescent="0.25">
      <c r="A33">
        <v>2</v>
      </c>
      <c r="B33">
        <v>1</v>
      </c>
      <c r="C33">
        <v>2</v>
      </c>
      <c r="D33">
        <v>3</v>
      </c>
    </row>
    <row r="34" spans="1:7" x14ac:dyDescent="0.25">
      <c r="A34">
        <v>5</v>
      </c>
      <c r="B34">
        <v>3</v>
      </c>
      <c r="C34">
        <v>4</v>
      </c>
      <c r="D34">
        <v>4</v>
      </c>
      <c r="F34" t="s">
        <v>1</v>
      </c>
      <c r="G34">
        <f>G17/G25</f>
        <v>19.645189003436425</v>
      </c>
    </row>
    <row r="35" spans="1:7" x14ac:dyDescent="0.25">
      <c r="A35">
        <v>5</v>
      </c>
      <c r="B35">
        <v>3</v>
      </c>
      <c r="C35">
        <v>2</v>
      </c>
      <c r="D35">
        <v>5</v>
      </c>
    </row>
    <row r="36" spans="1:7" x14ac:dyDescent="0.25">
      <c r="A36">
        <v>2</v>
      </c>
      <c r="B36">
        <v>5</v>
      </c>
      <c r="C36">
        <v>4</v>
      </c>
      <c r="D36">
        <v>4</v>
      </c>
    </row>
    <row r="37" spans="1:7" x14ac:dyDescent="0.25">
      <c r="A37">
        <v>3</v>
      </c>
      <c r="B37">
        <v>1</v>
      </c>
      <c r="C37">
        <v>5</v>
      </c>
      <c r="D37">
        <v>3</v>
      </c>
      <c r="F37" s="2" t="s">
        <v>26</v>
      </c>
      <c r="G37" s="2"/>
    </row>
    <row r="38" spans="1:7" x14ac:dyDescent="0.25">
      <c r="A38">
        <v>5</v>
      </c>
      <c r="B38">
        <v>4</v>
      </c>
      <c r="C38">
        <v>4</v>
      </c>
      <c r="D38">
        <v>5</v>
      </c>
      <c r="F38" t="s">
        <v>23</v>
      </c>
    </row>
    <row r="39" spans="1:7" x14ac:dyDescent="0.25">
      <c r="A39">
        <v>1</v>
      </c>
      <c r="B39">
        <v>4</v>
      </c>
      <c r="C39">
        <v>1</v>
      </c>
      <c r="D39">
        <v>5</v>
      </c>
      <c r="F39" t="s">
        <v>24</v>
      </c>
    </row>
    <row r="40" spans="1:7" x14ac:dyDescent="0.25">
      <c r="A40">
        <v>3</v>
      </c>
      <c r="B40">
        <v>3</v>
      </c>
      <c r="C40">
        <v>5</v>
      </c>
      <c r="D40">
        <v>5</v>
      </c>
    </row>
    <row r="41" spans="1:7" x14ac:dyDescent="0.25">
      <c r="A41">
        <v>1</v>
      </c>
      <c r="B41">
        <v>2</v>
      </c>
      <c r="C41">
        <v>1</v>
      </c>
      <c r="D41">
        <v>5</v>
      </c>
    </row>
    <row r="42" spans="1:7" x14ac:dyDescent="0.25">
      <c r="A42">
        <v>4</v>
      </c>
      <c r="B42">
        <v>5</v>
      </c>
      <c r="C42">
        <v>2</v>
      </c>
      <c r="D42">
        <v>3</v>
      </c>
    </row>
    <row r="43" spans="1:7" x14ac:dyDescent="0.25">
      <c r="A43">
        <v>3</v>
      </c>
      <c r="B43">
        <v>3</v>
      </c>
      <c r="C43">
        <v>2</v>
      </c>
      <c r="D43">
        <v>4</v>
      </c>
    </row>
    <row r="44" spans="1:7" x14ac:dyDescent="0.25">
      <c r="A44">
        <v>3</v>
      </c>
      <c r="B44">
        <v>3</v>
      </c>
      <c r="C44">
        <v>4</v>
      </c>
      <c r="D44">
        <v>4</v>
      </c>
      <c r="F44" t="s">
        <v>3</v>
      </c>
      <c r="G44">
        <f>DEVSQ(A:A)+DEVSQ(B:B)+DEVSQ(C:C)+DEVSQ(D:D)</f>
        <v>491.17525773195928</v>
      </c>
    </row>
    <row r="45" spans="1:7" x14ac:dyDescent="0.25">
      <c r="A45">
        <v>3</v>
      </c>
      <c r="B45">
        <v>4</v>
      </c>
      <c r="C45">
        <v>4</v>
      </c>
      <c r="D45">
        <v>2</v>
      </c>
    </row>
    <row r="46" spans="1:7" x14ac:dyDescent="0.25">
      <c r="A46">
        <v>5</v>
      </c>
      <c r="B46">
        <v>3</v>
      </c>
      <c r="C46">
        <v>3</v>
      </c>
      <c r="D46">
        <v>5</v>
      </c>
    </row>
    <row r="47" spans="1:7" x14ac:dyDescent="0.25">
      <c r="A47">
        <v>3</v>
      </c>
      <c r="B47">
        <v>3</v>
      </c>
      <c r="C47">
        <v>2</v>
      </c>
      <c r="D47">
        <v>5</v>
      </c>
      <c r="F47" s="2" t="s">
        <v>25</v>
      </c>
      <c r="G47" s="2"/>
    </row>
    <row r="48" spans="1:7" x14ac:dyDescent="0.25">
      <c r="A48">
        <v>1</v>
      </c>
      <c r="B48">
        <v>3</v>
      </c>
      <c r="C48">
        <v>3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4</v>
      </c>
      <c r="C49">
        <v>4</v>
      </c>
      <c r="D49">
        <v>5</v>
      </c>
      <c r="F49" t="s">
        <v>16</v>
      </c>
      <c r="G49">
        <f>G22</f>
        <v>4</v>
      </c>
    </row>
    <row r="50" spans="1:7" x14ac:dyDescent="0.25">
      <c r="A50">
        <v>5</v>
      </c>
      <c r="B50">
        <v>4</v>
      </c>
      <c r="C50">
        <v>4</v>
      </c>
      <c r="D50">
        <v>2</v>
      </c>
    </row>
    <row r="51" spans="1:7" x14ac:dyDescent="0.25">
      <c r="A51">
        <v>4</v>
      </c>
      <c r="B51">
        <v>5</v>
      </c>
      <c r="C51">
        <v>2</v>
      </c>
      <c r="D51">
        <v>5</v>
      </c>
    </row>
    <row r="52" spans="1:7" x14ac:dyDescent="0.25">
      <c r="A52">
        <v>4</v>
      </c>
      <c r="B52">
        <v>4</v>
      </c>
      <c r="C52">
        <v>2</v>
      </c>
      <c r="D52">
        <v>5</v>
      </c>
    </row>
    <row r="53" spans="1:7" x14ac:dyDescent="0.25">
      <c r="A53">
        <v>3</v>
      </c>
      <c r="B53">
        <v>2</v>
      </c>
      <c r="C53">
        <v>3</v>
      </c>
      <c r="D53">
        <v>5</v>
      </c>
    </row>
    <row r="54" spans="1:7" x14ac:dyDescent="0.25">
      <c r="A54">
        <v>3</v>
      </c>
      <c r="B54">
        <v>3</v>
      </c>
      <c r="C54">
        <v>1</v>
      </c>
      <c r="D54">
        <v>3</v>
      </c>
      <c r="F54" t="s">
        <v>4</v>
      </c>
      <c r="G54">
        <f>G48-G49</f>
        <v>384</v>
      </c>
    </row>
    <row r="55" spans="1:7" x14ac:dyDescent="0.25">
      <c r="A55">
        <v>3</v>
      </c>
      <c r="B55">
        <v>4</v>
      </c>
      <c r="C55">
        <v>2</v>
      </c>
      <c r="D55">
        <v>3</v>
      </c>
    </row>
    <row r="56" spans="1:7" x14ac:dyDescent="0.25">
      <c r="A56">
        <v>2</v>
      </c>
      <c r="B56">
        <v>3</v>
      </c>
      <c r="C56">
        <v>3</v>
      </c>
      <c r="D56">
        <v>5</v>
      </c>
    </row>
    <row r="57" spans="1:7" x14ac:dyDescent="0.25">
      <c r="A57">
        <v>3</v>
      </c>
      <c r="B57">
        <v>4</v>
      </c>
      <c r="C57">
        <v>3</v>
      </c>
      <c r="D57">
        <v>4</v>
      </c>
      <c r="F57" s="2" t="s">
        <v>28</v>
      </c>
      <c r="G57" s="2"/>
    </row>
    <row r="58" spans="1:7" x14ac:dyDescent="0.25">
      <c r="A58">
        <v>3</v>
      </c>
      <c r="B58">
        <v>4</v>
      </c>
      <c r="C58">
        <v>5</v>
      </c>
      <c r="D58">
        <v>4</v>
      </c>
      <c r="F58" t="s">
        <v>29</v>
      </c>
    </row>
    <row r="59" spans="1:7" x14ac:dyDescent="0.25">
      <c r="A59">
        <v>4</v>
      </c>
      <c r="B59">
        <v>4</v>
      </c>
      <c r="C59">
        <v>4</v>
      </c>
      <c r="D59">
        <v>5</v>
      </c>
    </row>
    <row r="60" spans="1:7" x14ac:dyDescent="0.25">
      <c r="A60">
        <v>2</v>
      </c>
      <c r="B60">
        <v>2</v>
      </c>
      <c r="C60">
        <v>4</v>
      </c>
      <c r="D60">
        <v>4</v>
      </c>
    </row>
    <row r="61" spans="1:7" x14ac:dyDescent="0.25">
      <c r="A61">
        <v>3</v>
      </c>
      <c r="B61">
        <v>3</v>
      </c>
      <c r="C61">
        <v>5</v>
      </c>
      <c r="D61">
        <v>5</v>
      </c>
    </row>
    <row r="62" spans="1:7" x14ac:dyDescent="0.25">
      <c r="A62">
        <v>2</v>
      </c>
      <c r="B62">
        <v>4</v>
      </c>
      <c r="C62">
        <v>1</v>
      </c>
      <c r="D62">
        <v>4</v>
      </c>
    </row>
    <row r="63" spans="1:7" x14ac:dyDescent="0.25">
      <c r="A63">
        <v>3</v>
      </c>
      <c r="B63">
        <v>5</v>
      </c>
      <c r="C63">
        <v>3</v>
      </c>
      <c r="D63">
        <v>5</v>
      </c>
    </row>
    <row r="64" spans="1:7" x14ac:dyDescent="0.25">
      <c r="A64">
        <v>3</v>
      </c>
      <c r="B64">
        <v>3</v>
      </c>
      <c r="C64">
        <v>4</v>
      </c>
      <c r="D64">
        <v>4</v>
      </c>
      <c r="F64" t="s">
        <v>5</v>
      </c>
      <c r="G64">
        <f>G44/G54</f>
        <v>1.2791022336769773</v>
      </c>
    </row>
    <row r="65" spans="1:7" x14ac:dyDescent="0.25">
      <c r="A65">
        <v>3</v>
      </c>
      <c r="B65">
        <v>2</v>
      </c>
      <c r="C65">
        <v>2</v>
      </c>
      <c r="D65">
        <v>4</v>
      </c>
    </row>
    <row r="66" spans="1:7" x14ac:dyDescent="0.25">
      <c r="A66">
        <v>3</v>
      </c>
      <c r="B66">
        <v>5</v>
      </c>
      <c r="C66">
        <v>5</v>
      </c>
      <c r="D66">
        <v>5</v>
      </c>
    </row>
    <row r="67" spans="1:7" x14ac:dyDescent="0.25">
      <c r="A67">
        <v>1</v>
      </c>
      <c r="B67">
        <v>2</v>
      </c>
      <c r="C67">
        <v>2</v>
      </c>
      <c r="D67">
        <v>4</v>
      </c>
      <c r="F67" s="2" t="s">
        <v>30</v>
      </c>
      <c r="G67" s="2"/>
    </row>
    <row r="68" spans="1:7" x14ac:dyDescent="0.25">
      <c r="A68">
        <v>3</v>
      </c>
      <c r="B68">
        <v>4</v>
      </c>
      <c r="C68">
        <v>3</v>
      </c>
      <c r="D68">
        <v>5</v>
      </c>
      <c r="F68" t="s">
        <v>31</v>
      </c>
    </row>
    <row r="69" spans="1:7" x14ac:dyDescent="0.25">
      <c r="A69">
        <v>1</v>
      </c>
      <c r="B69">
        <v>4</v>
      </c>
      <c r="C69">
        <v>3</v>
      </c>
      <c r="D69">
        <v>5</v>
      </c>
      <c r="F69" t="s">
        <v>32</v>
      </c>
    </row>
    <row r="70" spans="1:7" x14ac:dyDescent="0.25">
      <c r="A70">
        <v>1</v>
      </c>
      <c r="B70">
        <v>1</v>
      </c>
      <c r="C70">
        <v>3</v>
      </c>
      <c r="D70">
        <v>5</v>
      </c>
    </row>
    <row r="71" spans="1:7" x14ac:dyDescent="0.25">
      <c r="A71">
        <v>2</v>
      </c>
      <c r="B71">
        <v>4</v>
      </c>
      <c r="C71">
        <v>3</v>
      </c>
      <c r="D71">
        <v>4</v>
      </c>
    </row>
    <row r="72" spans="1:7" x14ac:dyDescent="0.25">
      <c r="A72">
        <v>5</v>
      </c>
      <c r="B72">
        <v>5</v>
      </c>
      <c r="C72">
        <v>3</v>
      </c>
      <c r="D72">
        <v>2</v>
      </c>
    </row>
    <row r="73" spans="1:7" x14ac:dyDescent="0.25">
      <c r="A73">
        <v>4</v>
      </c>
      <c r="B73">
        <v>1</v>
      </c>
      <c r="C73">
        <v>2</v>
      </c>
      <c r="D73">
        <v>4</v>
      </c>
    </row>
    <row r="74" spans="1:7" x14ac:dyDescent="0.25">
      <c r="A74">
        <v>2</v>
      </c>
      <c r="B74">
        <v>3</v>
      </c>
      <c r="C74">
        <v>5</v>
      </c>
      <c r="D74">
        <v>3</v>
      </c>
      <c r="F74" t="s">
        <v>2</v>
      </c>
      <c r="G74">
        <f>G34/G64</f>
        <v>15.358576106120376</v>
      </c>
    </row>
    <row r="75" spans="1:7" x14ac:dyDescent="0.25">
      <c r="A75">
        <v>3</v>
      </c>
      <c r="B75">
        <v>3</v>
      </c>
      <c r="C75">
        <v>2</v>
      </c>
      <c r="D75">
        <v>4</v>
      </c>
    </row>
    <row r="76" spans="1:7" x14ac:dyDescent="0.25">
      <c r="A76">
        <v>2</v>
      </c>
      <c r="B76">
        <v>4</v>
      </c>
      <c r="C76">
        <v>2</v>
      </c>
      <c r="D76">
        <v>3</v>
      </c>
    </row>
    <row r="77" spans="1:7" x14ac:dyDescent="0.25">
      <c r="A77">
        <v>5</v>
      </c>
      <c r="B77">
        <v>2</v>
      </c>
      <c r="C77">
        <v>1</v>
      </c>
      <c r="D77">
        <v>3</v>
      </c>
      <c r="F77" s="2" t="s">
        <v>35</v>
      </c>
      <c r="G77" s="2"/>
    </row>
    <row r="78" spans="1:7" x14ac:dyDescent="0.25">
      <c r="A78">
        <v>3</v>
      </c>
      <c r="B78">
        <v>3</v>
      </c>
      <c r="C78">
        <v>4</v>
      </c>
      <c r="D78">
        <v>4</v>
      </c>
    </row>
    <row r="79" spans="1:7" x14ac:dyDescent="0.25">
      <c r="A79">
        <v>3</v>
      </c>
      <c r="B79">
        <v>3</v>
      </c>
      <c r="C79">
        <v>1</v>
      </c>
      <c r="D79">
        <v>2</v>
      </c>
      <c r="F79" s="4" t="s">
        <v>33</v>
      </c>
      <c r="G79">
        <v>0.05</v>
      </c>
    </row>
    <row r="80" spans="1:7" x14ac:dyDescent="0.25">
      <c r="A80">
        <v>4</v>
      </c>
      <c r="B80">
        <v>4</v>
      </c>
      <c r="C80">
        <v>3</v>
      </c>
      <c r="D80">
        <v>4</v>
      </c>
      <c r="F80" t="s">
        <v>0</v>
      </c>
      <c r="G80">
        <f xml:space="preserve"> G25</f>
        <v>3</v>
      </c>
    </row>
    <row r="81" spans="1:7" x14ac:dyDescent="0.25">
      <c r="A81">
        <v>3</v>
      </c>
      <c r="B81">
        <v>1</v>
      </c>
      <c r="C81">
        <v>4</v>
      </c>
      <c r="D81">
        <v>5</v>
      </c>
      <c r="F81" t="s">
        <v>4</v>
      </c>
      <c r="G81">
        <f xml:space="preserve"> G54</f>
        <v>384</v>
      </c>
    </row>
    <row r="82" spans="1:7" x14ac:dyDescent="0.25">
      <c r="A82">
        <v>3</v>
      </c>
      <c r="B82">
        <v>2</v>
      </c>
      <c r="C82">
        <v>3</v>
      </c>
      <c r="D82">
        <v>4</v>
      </c>
      <c r="F82" t="s">
        <v>34</v>
      </c>
      <c r="G82">
        <f>FINV(G79, G80, G81)</f>
        <v>2.6281486844038939</v>
      </c>
    </row>
    <row r="83" spans="1:7" x14ac:dyDescent="0.25">
      <c r="A83">
        <v>3</v>
      </c>
      <c r="B83">
        <v>3</v>
      </c>
      <c r="C83">
        <v>2</v>
      </c>
      <c r="D83">
        <v>2</v>
      </c>
      <c r="F83" t="s">
        <v>36</v>
      </c>
      <c r="G83">
        <f>_xlfn.F.DIST.RT(G74, G80, G81)</f>
        <v>1.8619809365521278E-9</v>
      </c>
    </row>
    <row r="84" spans="1:7" x14ac:dyDescent="0.25">
      <c r="A84">
        <v>2</v>
      </c>
      <c r="B84">
        <v>2</v>
      </c>
      <c r="C84">
        <v>4</v>
      </c>
      <c r="D84">
        <v>4</v>
      </c>
    </row>
    <row r="85" spans="1:7" x14ac:dyDescent="0.25">
      <c r="A85">
        <v>3</v>
      </c>
      <c r="B85">
        <v>4</v>
      </c>
      <c r="C85">
        <v>5</v>
      </c>
      <c r="D85">
        <v>5</v>
      </c>
      <c r="F85" s="2" t="s">
        <v>6</v>
      </c>
      <c r="G85" s="2"/>
    </row>
    <row r="86" spans="1:7" x14ac:dyDescent="0.25">
      <c r="A86">
        <v>3</v>
      </c>
      <c r="B86">
        <v>3</v>
      </c>
      <c r="C86">
        <v>5</v>
      </c>
      <c r="D86">
        <v>5</v>
      </c>
    </row>
    <row r="87" spans="1:7" x14ac:dyDescent="0.25">
      <c r="A87">
        <v>3</v>
      </c>
      <c r="B87">
        <v>5</v>
      </c>
      <c r="C87">
        <v>4</v>
      </c>
      <c r="D87">
        <v>5</v>
      </c>
      <c r="F87" t="s">
        <v>40</v>
      </c>
    </row>
    <row r="88" spans="1:7" x14ac:dyDescent="0.25">
      <c r="A88">
        <v>3</v>
      </c>
      <c r="B88">
        <v>1</v>
      </c>
      <c r="C88">
        <v>3</v>
      </c>
      <c r="D88">
        <v>3</v>
      </c>
      <c r="F88" t="s">
        <v>41</v>
      </c>
    </row>
    <row r="89" spans="1:7" x14ac:dyDescent="0.25">
      <c r="A89">
        <v>2</v>
      </c>
      <c r="B89">
        <v>4</v>
      </c>
      <c r="C89">
        <v>4</v>
      </c>
      <c r="D89">
        <v>5</v>
      </c>
    </row>
    <row r="90" spans="1:7" x14ac:dyDescent="0.25">
      <c r="A90">
        <v>2</v>
      </c>
      <c r="B90">
        <v>3</v>
      </c>
      <c r="C90">
        <v>4</v>
      </c>
      <c r="D90">
        <v>2</v>
      </c>
      <c r="F90" t="str">
        <f>"Si F calculado ("&amp;G74&amp;") &gt; F critico ("&amp;G82&amp;") ---&gt; Se rechaza la hipotesis nula"</f>
        <v>Si F calculado (15.3585761061204) &gt; F critico (2.62814868440389) ---&gt; Se rechaza la hipotesis nula</v>
      </c>
    </row>
    <row r="91" spans="1:7" x14ac:dyDescent="0.25">
      <c r="A91">
        <v>2</v>
      </c>
      <c r="B91">
        <v>5</v>
      </c>
      <c r="C91">
        <v>5</v>
      </c>
      <c r="D91">
        <v>4</v>
      </c>
      <c r="F91" t="str">
        <f>"Si p-valor ("&amp;G83&amp;") &lt; α Nivel Significancia ("&amp;G79&amp;") ---&gt; Se rechaza la hipotesis nula"</f>
        <v>Si p-valor (1.86198093655213E-09) &lt; α Nivel Significancia (0.05) ---&gt; Se rechaza la hipotesis nula</v>
      </c>
    </row>
    <row r="92" spans="1:7" x14ac:dyDescent="0.25">
      <c r="A92">
        <v>2</v>
      </c>
      <c r="B92">
        <v>5</v>
      </c>
      <c r="C92">
        <v>1</v>
      </c>
      <c r="D92">
        <v>5</v>
      </c>
    </row>
    <row r="93" spans="1:7" x14ac:dyDescent="0.25">
      <c r="A93">
        <v>5</v>
      </c>
      <c r="B93">
        <v>4</v>
      </c>
      <c r="C93">
        <v>1</v>
      </c>
      <c r="D93">
        <v>4</v>
      </c>
    </row>
    <row r="94" spans="1:7" x14ac:dyDescent="0.25">
      <c r="A94">
        <v>3</v>
      </c>
      <c r="B94">
        <v>5</v>
      </c>
      <c r="C94">
        <v>5</v>
      </c>
      <c r="D94">
        <v>4</v>
      </c>
      <c r="F94" s="2" t="s">
        <v>37</v>
      </c>
    </row>
    <row r="95" spans="1:7" x14ac:dyDescent="0.25">
      <c r="A95">
        <v>4</v>
      </c>
      <c r="B95">
        <v>4</v>
      </c>
      <c r="C95">
        <v>5</v>
      </c>
      <c r="D95">
        <v>3</v>
      </c>
      <c r="F95" t="s">
        <v>38</v>
      </c>
    </row>
    <row r="96" spans="1:7" x14ac:dyDescent="0.25">
      <c r="A96">
        <v>2</v>
      </c>
      <c r="B96">
        <v>5</v>
      </c>
      <c r="C96">
        <v>5</v>
      </c>
      <c r="D96">
        <v>5</v>
      </c>
      <c r="F96" t="s">
        <v>39</v>
      </c>
    </row>
    <row r="97" spans="1:4" x14ac:dyDescent="0.25">
      <c r="A97">
        <v>3</v>
      </c>
      <c r="B97">
        <v>1</v>
      </c>
      <c r="C97">
        <v>4</v>
      </c>
      <c r="D97">
        <v>4</v>
      </c>
    </row>
    <row r="98" spans="1:4" x14ac:dyDescent="0.25">
      <c r="A98">
        <v>5</v>
      </c>
      <c r="B98">
        <v>4</v>
      </c>
      <c r="C98">
        <v>3</v>
      </c>
      <c r="D98">
        <v>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67"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2</v>
      </c>
      <c r="B2">
        <v>3</v>
      </c>
      <c r="C2">
        <v>3</v>
      </c>
      <c r="D2">
        <v>4</v>
      </c>
      <c r="F2" s="2" t="s">
        <v>13</v>
      </c>
      <c r="G2" s="2"/>
    </row>
    <row r="3" spans="1:7" x14ac:dyDescent="0.25">
      <c r="A3">
        <v>2</v>
      </c>
      <c r="B3">
        <v>4</v>
      </c>
      <c r="C3">
        <v>3</v>
      </c>
      <c r="D3">
        <v>5</v>
      </c>
      <c r="F3" t="s">
        <v>14</v>
      </c>
      <c r="G3">
        <f>COUNT(A:A)</f>
        <v>97</v>
      </c>
    </row>
    <row r="4" spans="1:7" x14ac:dyDescent="0.25">
      <c r="A4">
        <v>5</v>
      </c>
      <c r="B4">
        <v>2</v>
      </c>
      <c r="C4">
        <v>3</v>
      </c>
      <c r="D4">
        <v>5</v>
      </c>
      <c r="F4" t="s">
        <v>7</v>
      </c>
      <c r="G4">
        <f>AVERAGE(A:A)</f>
        <v>3.2268041237113403</v>
      </c>
    </row>
    <row r="5" spans="1:7" x14ac:dyDescent="0.25">
      <c r="A5">
        <v>4</v>
      </c>
      <c r="B5">
        <v>2</v>
      </c>
      <c r="C5">
        <v>5</v>
      </c>
      <c r="D5">
        <v>5</v>
      </c>
      <c r="F5" t="s">
        <v>8</v>
      </c>
      <c r="G5">
        <f>AVERAGE(B:B)</f>
        <v>3.134020618556701</v>
      </c>
    </row>
    <row r="6" spans="1:7" x14ac:dyDescent="0.25">
      <c r="A6">
        <v>5</v>
      </c>
      <c r="B6">
        <v>2</v>
      </c>
      <c r="C6">
        <v>4</v>
      </c>
      <c r="D6">
        <v>3</v>
      </c>
      <c r="F6" t="s">
        <v>9</v>
      </c>
      <c r="G6">
        <f>AVERAGE(C:C)</f>
        <v>3.0412371134020617</v>
      </c>
    </row>
    <row r="7" spans="1:7" x14ac:dyDescent="0.25">
      <c r="A7">
        <v>5</v>
      </c>
      <c r="B7">
        <v>3</v>
      </c>
      <c r="C7">
        <v>3</v>
      </c>
      <c r="D7">
        <v>3</v>
      </c>
      <c r="F7" t="s">
        <v>10</v>
      </c>
      <c r="G7">
        <f>AVERAGE(D:D)</f>
        <v>4.2061855670103094</v>
      </c>
    </row>
    <row r="8" spans="1:7" x14ac:dyDescent="0.25">
      <c r="A8">
        <v>5</v>
      </c>
      <c r="B8">
        <v>3</v>
      </c>
      <c r="C8">
        <v>4</v>
      </c>
      <c r="D8">
        <v>4</v>
      </c>
      <c r="F8" t="s">
        <v>15</v>
      </c>
      <c r="G8">
        <f>AVERAGE(G4:G7)</f>
        <v>3.4020618556701034</v>
      </c>
    </row>
    <row r="9" spans="1:7" x14ac:dyDescent="0.25">
      <c r="A9">
        <v>2</v>
      </c>
      <c r="B9">
        <v>4</v>
      </c>
      <c r="C9">
        <v>3</v>
      </c>
      <c r="D9">
        <v>5</v>
      </c>
    </row>
    <row r="10" spans="1:7" x14ac:dyDescent="0.25">
      <c r="A10">
        <v>4</v>
      </c>
      <c r="B10">
        <v>2</v>
      </c>
      <c r="C10">
        <v>4</v>
      </c>
      <c r="D10">
        <v>5</v>
      </c>
    </row>
    <row r="11" spans="1:7" x14ac:dyDescent="0.25">
      <c r="A11">
        <v>3</v>
      </c>
      <c r="B11">
        <v>2</v>
      </c>
      <c r="C11">
        <v>2</v>
      </c>
      <c r="D11">
        <v>4</v>
      </c>
      <c r="F11" s="2" t="s">
        <v>12</v>
      </c>
      <c r="G11" s="2"/>
    </row>
    <row r="12" spans="1:7" x14ac:dyDescent="0.25">
      <c r="A12">
        <v>3</v>
      </c>
      <c r="B12">
        <v>5</v>
      </c>
      <c r="C12">
        <v>1</v>
      </c>
      <c r="D12">
        <v>5</v>
      </c>
      <c r="F12" s="3" t="s">
        <v>17</v>
      </c>
    </row>
    <row r="13" spans="1:7" x14ac:dyDescent="0.25">
      <c r="A13">
        <v>4</v>
      </c>
      <c r="B13">
        <v>5</v>
      </c>
      <c r="C13">
        <v>3</v>
      </c>
      <c r="D13">
        <v>5</v>
      </c>
      <c r="F13" s="3" t="s">
        <v>18</v>
      </c>
    </row>
    <row r="14" spans="1:7" x14ac:dyDescent="0.25">
      <c r="A14">
        <v>3</v>
      </c>
      <c r="B14">
        <v>1</v>
      </c>
      <c r="C14">
        <v>5</v>
      </c>
      <c r="D14">
        <v>4</v>
      </c>
    </row>
    <row r="15" spans="1:7" x14ac:dyDescent="0.25">
      <c r="A15">
        <v>4</v>
      </c>
      <c r="B15">
        <v>5</v>
      </c>
      <c r="C15">
        <v>5</v>
      </c>
      <c r="D15">
        <v>5</v>
      </c>
    </row>
    <row r="16" spans="1:7" x14ac:dyDescent="0.25">
      <c r="A16">
        <v>3</v>
      </c>
      <c r="B16">
        <v>3</v>
      </c>
      <c r="C16">
        <v>2</v>
      </c>
      <c r="D16">
        <v>5</v>
      </c>
    </row>
    <row r="17" spans="1:7" x14ac:dyDescent="0.25">
      <c r="A17">
        <v>3</v>
      </c>
      <c r="B17">
        <v>5</v>
      </c>
      <c r="C17">
        <v>3</v>
      </c>
      <c r="D17">
        <v>4</v>
      </c>
      <c r="F17" t="s">
        <v>11</v>
      </c>
      <c r="G17">
        <f>G3*((G4-G8)^2+(G5-G8)^2+(G6-G8)^2+(G7-G8)^2)</f>
        <v>85.298969072164979</v>
      </c>
    </row>
    <row r="18" spans="1:7" x14ac:dyDescent="0.25">
      <c r="A18">
        <v>4</v>
      </c>
      <c r="B18">
        <v>1</v>
      </c>
      <c r="C18">
        <v>3</v>
      </c>
      <c r="D18">
        <v>5</v>
      </c>
    </row>
    <row r="19" spans="1:7" x14ac:dyDescent="0.25">
      <c r="A19">
        <v>3</v>
      </c>
      <c r="B19">
        <v>2</v>
      </c>
      <c r="C19">
        <v>4</v>
      </c>
      <c r="D19">
        <v>4</v>
      </c>
    </row>
    <row r="20" spans="1:7" x14ac:dyDescent="0.25">
      <c r="A20">
        <v>3</v>
      </c>
      <c r="B20">
        <v>3</v>
      </c>
      <c r="C20">
        <v>2</v>
      </c>
      <c r="D20">
        <v>3</v>
      </c>
      <c r="F20" s="2" t="s">
        <v>19</v>
      </c>
      <c r="G20" s="2"/>
    </row>
    <row r="21" spans="1:7" x14ac:dyDescent="0.25">
      <c r="A21">
        <v>3</v>
      </c>
      <c r="B21">
        <v>3</v>
      </c>
      <c r="C21">
        <v>5</v>
      </c>
      <c r="D21">
        <v>4</v>
      </c>
      <c r="F21" t="s">
        <v>20</v>
      </c>
    </row>
    <row r="22" spans="1:7" x14ac:dyDescent="0.25">
      <c r="A22">
        <v>4</v>
      </c>
      <c r="B22">
        <v>4</v>
      </c>
      <c r="C22">
        <v>1</v>
      </c>
      <c r="D22">
        <v>4</v>
      </c>
      <c r="F22" t="s">
        <v>16</v>
      </c>
      <c r="G22">
        <v>4</v>
      </c>
    </row>
    <row r="23" spans="1:7" x14ac:dyDescent="0.25">
      <c r="A23">
        <v>4</v>
      </c>
      <c r="B23">
        <v>4</v>
      </c>
      <c r="C23">
        <v>4</v>
      </c>
      <c r="D23">
        <v>3</v>
      </c>
    </row>
    <row r="24" spans="1:7" x14ac:dyDescent="0.25">
      <c r="A24">
        <v>1</v>
      </c>
      <c r="B24">
        <v>4</v>
      </c>
      <c r="C24">
        <v>5</v>
      </c>
      <c r="D24">
        <v>4</v>
      </c>
    </row>
    <row r="25" spans="1:7" x14ac:dyDescent="0.25">
      <c r="A25">
        <v>5</v>
      </c>
      <c r="B25">
        <v>2</v>
      </c>
      <c r="C25">
        <v>3</v>
      </c>
      <c r="D25">
        <v>5</v>
      </c>
      <c r="F25" t="s">
        <v>0</v>
      </c>
      <c r="G25">
        <f>G22-1</f>
        <v>3</v>
      </c>
    </row>
    <row r="26" spans="1:7" x14ac:dyDescent="0.25">
      <c r="A26">
        <v>5</v>
      </c>
      <c r="B26">
        <v>3</v>
      </c>
      <c r="C26">
        <v>3</v>
      </c>
      <c r="D26">
        <v>4</v>
      </c>
    </row>
    <row r="27" spans="1:7" x14ac:dyDescent="0.25">
      <c r="A27">
        <v>4</v>
      </c>
      <c r="B27">
        <v>3</v>
      </c>
      <c r="C27">
        <v>3</v>
      </c>
      <c r="D27">
        <v>4</v>
      </c>
    </row>
    <row r="28" spans="1:7" x14ac:dyDescent="0.25">
      <c r="A28">
        <v>4</v>
      </c>
      <c r="B28">
        <v>1</v>
      </c>
      <c r="C28">
        <v>3</v>
      </c>
      <c r="D28">
        <v>5</v>
      </c>
      <c r="F28" s="2" t="s">
        <v>21</v>
      </c>
      <c r="G28" s="2"/>
    </row>
    <row r="29" spans="1:7" x14ac:dyDescent="0.25">
      <c r="A29">
        <v>3</v>
      </c>
      <c r="B29">
        <v>3</v>
      </c>
      <c r="C29">
        <v>5</v>
      </c>
      <c r="D29">
        <v>5</v>
      </c>
      <c r="F29" t="s">
        <v>22</v>
      </c>
    </row>
    <row r="30" spans="1:7" x14ac:dyDescent="0.25">
      <c r="A30">
        <v>2</v>
      </c>
      <c r="B30">
        <v>5</v>
      </c>
      <c r="C30">
        <v>5</v>
      </c>
      <c r="D30">
        <v>4</v>
      </c>
    </row>
    <row r="31" spans="1:7" x14ac:dyDescent="0.25">
      <c r="A31">
        <v>5</v>
      </c>
      <c r="B31">
        <v>1</v>
      </c>
      <c r="C31">
        <v>2</v>
      </c>
      <c r="D31">
        <v>5</v>
      </c>
    </row>
    <row r="32" spans="1:7" x14ac:dyDescent="0.25">
      <c r="A32">
        <v>4</v>
      </c>
      <c r="B32">
        <v>5</v>
      </c>
      <c r="C32">
        <v>1</v>
      </c>
      <c r="D32">
        <v>4</v>
      </c>
    </row>
    <row r="33" spans="1:7" x14ac:dyDescent="0.25">
      <c r="A33">
        <v>3</v>
      </c>
      <c r="B33">
        <v>3</v>
      </c>
      <c r="C33">
        <v>3</v>
      </c>
      <c r="D33">
        <v>4</v>
      </c>
    </row>
    <row r="34" spans="1:7" x14ac:dyDescent="0.25">
      <c r="A34">
        <v>4</v>
      </c>
      <c r="B34">
        <v>4</v>
      </c>
      <c r="C34">
        <v>3</v>
      </c>
      <c r="D34">
        <v>3</v>
      </c>
      <c r="F34" t="s">
        <v>1</v>
      </c>
      <c r="G34">
        <f>G17/G25</f>
        <v>28.432989690721659</v>
      </c>
    </row>
    <row r="35" spans="1:7" x14ac:dyDescent="0.25">
      <c r="A35">
        <v>1</v>
      </c>
      <c r="B35">
        <v>5</v>
      </c>
      <c r="C35">
        <v>2</v>
      </c>
      <c r="D35">
        <v>5</v>
      </c>
    </row>
    <row r="36" spans="1:7" x14ac:dyDescent="0.25">
      <c r="A36">
        <v>3</v>
      </c>
      <c r="B36">
        <v>4</v>
      </c>
      <c r="C36">
        <v>3</v>
      </c>
      <c r="D36">
        <v>5</v>
      </c>
    </row>
    <row r="37" spans="1:7" x14ac:dyDescent="0.25">
      <c r="A37">
        <v>3</v>
      </c>
      <c r="B37">
        <v>2</v>
      </c>
      <c r="C37">
        <v>2</v>
      </c>
      <c r="D37">
        <v>4</v>
      </c>
      <c r="F37" s="2" t="s">
        <v>26</v>
      </c>
      <c r="G37" s="2"/>
    </row>
    <row r="38" spans="1:7" x14ac:dyDescent="0.25">
      <c r="A38">
        <v>5</v>
      </c>
      <c r="B38">
        <v>3</v>
      </c>
      <c r="C38">
        <v>3</v>
      </c>
      <c r="D38">
        <v>4</v>
      </c>
      <c r="F38" t="s">
        <v>23</v>
      </c>
    </row>
    <row r="39" spans="1:7" x14ac:dyDescent="0.25">
      <c r="A39">
        <v>3</v>
      </c>
      <c r="B39">
        <v>2</v>
      </c>
      <c r="C39">
        <v>3</v>
      </c>
      <c r="D39">
        <v>2</v>
      </c>
      <c r="F39" t="s">
        <v>24</v>
      </c>
    </row>
    <row r="40" spans="1:7" x14ac:dyDescent="0.25">
      <c r="A40">
        <v>3</v>
      </c>
      <c r="B40">
        <v>4</v>
      </c>
      <c r="C40">
        <v>3</v>
      </c>
      <c r="D40">
        <v>4</v>
      </c>
    </row>
    <row r="41" spans="1:7" x14ac:dyDescent="0.25">
      <c r="A41">
        <v>4</v>
      </c>
      <c r="B41">
        <v>5</v>
      </c>
      <c r="C41">
        <v>2</v>
      </c>
      <c r="D41">
        <v>5</v>
      </c>
    </row>
    <row r="42" spans="1:7" x14ac:dyDescent="0.25">
      <c r="A42">
        <v>4</v>
      </c>
      <c r="B42">
        <v>5</v>
      </c>
      <c r="C42">
        <v>3</v>
      </c>
      <c r="D42">
        <v>3</v>
      </c>
    </row>
    <row r="43" spans="1:7" x14ac:dyDescent="0.25">
      <c r="A43">
        <v>2</v>
      </c>
      <c r="B43">
        <v>2</v>
      </c>
      <c r="C43">
        <v>1</v>
      </c>
      <c r="D43">
        <v>4</v>
      </c>
    </row>
    <row r="44" spans="1:7" x14ac:dyDescent="0.25">
      <c r="A44">
        <v>2</v>
      </c>
      <c r="B44">
        <v>3</v>
      </c>
      <c r="C44">
        <v>4</v>
      </c>
      <c r="D44">
        <v>5</v>
      </c>
      <c r="F44" t="s">
        <v>3</v>
      </c>
      <c r="G44">
        <f>DEVSQ(A:A)+DEVSQ(B:B)+DEVSQ(C:C)+DEVSQ(D:D)</f>
        <v>483.97938144329885</v>
      </c>
    </row>
    <row r="45" spans="1:7" x14ac:dyDescent="0.25">
      <c r="A45">
        <v>4</v>
      </c>
      <c r="B45">
        <v>2</v>
      </c>
      <c r="C45">
        <v>3</v>
      </c>
      <c r="D45">
        <v>3</v>
      </c>
    </row>
    <row r="46" spans="1:7" x14ac:dyDescent="0.25">
      <c r="A46">
        <v>4</v>
      </c>
      <c r="B46">
        <v>5</v>
      </c>
      <c r="C46">
        <v>3</v>
      </c>
      <c r="D46">
        <v>4</v>
      </c>
    </row>
    <row r="47" spans="1:7" x14ac:dyDescent="0.25">
      <c r="A47">
        <v>1</v>
      </c>
      <c r="B47">
        <v>3</v>
      </c>
      <c r="C47">
        <v>5</v>
      </c>
      <c r="D47">
        <v>5</v>
      </c>
      <c r="F47" s="2" t="s">
        <v>25</v>
      </c>
      <c r="G47" s="2"/>
    </row>
    <row r="48" spans="1:7" x14ac:dyDescent="0.25">
      <c r="A48">
        <v>4</v>
      </c>
      <c r="B48">
        <v>2</v>
      </c>
      <c r="C48">
        <v>3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4</v>
      </c>
      <c r="B49">
        <v>5</v>
      </c>
      <c r="C49">
        <v>3</v>
      </c>
      <c r="D49">
        <v>4</v>
      </c>
      <c r="F49" t="s">
        <v>16</v>
      </c>
      <c r="G49">
        <f>G22</f>
        <v>4</v>
      </c>
    </row>
    <row r="50" spans="1:7" x14ac:dyDescent="0.25">
      <c r="A50">
        <v>4</v>
      </c>
      <c r="B50">
        <v>4</v>
      </c>
      <c r="C50">
        <v>4</v>
      </c>
      <c r="D50">
        <v>5</v>
      </c>
    </row>
    <row r="51" spans="1:7" x14ac:dyDescent="0.25">
      <c r="A51">
        <v>2</v>
      </c>
      <c r="B51">
        <v>4</v>
      </c>
      <c r="C51">
        <v>5</v>
      </c>
      <c r="D51">
        <v>5</v>
      </c>
    </row>
    <row r="52" spans="1:7" x14ac:dyDescent="0.25">
      <c r="A52">
        <v>4</v>
      </c>
      <c r="B52">
        <v>2</v>
      </c>
      <c r="C52">
        <v>3</v>
      </c>
      <c r="D52">
        <v>4</v>
      </c>
    </row>
    <row r="53" spans="1:7" x14ac:dyDescent="0.25">
      <c r="A53">
        <v>2</v>
      </c>
      <c r="B53">
        <v>3</v>
      </c>
      <c r="C53">
        <v>4</v>
      </c>
      <c r="D53">
        <v>4</v>
      </c>
    </row>
    <row r="54" spans="1:7" x14ac:dyDescent="0.25">
      <c r="A54">
        <v>2</v>
      </c>
      <c r="B54">
        <v>2</v>
      </c>
      <c r="C54">
        <v>1</v>
      </c>
      <c r="D54">
        <v>4</v>
      </c>
      <c r="F54" t="s">
        <v>4</v>
      </c>
      <c r="G54">
        <f>G48-G49</f>
        <v>384</v>
      </c>
    </row>
    <row r="55" spans="1:7" x14ac:dyDescent="0.25">
      <c r="A55">
        <v>4</v>
      </c>
      <c r="B55">
        <v>4</v>
      </c>
      <c r="C55">
        <v>4</v>
      </c>
      <c r="D55">
        <v>2</v>
      </c>
    </row>
    <row r="56" spans="1:7" x14ac:dyDescent="0.25">
      <c r="A56">
        <v>4</v>
      </c>
      <c r="B56">
        <v>4</v>
      </c>
      <c r="C56">
        <v>2</v>
      </c>
      <c r="D56">
        <v>5</v>
      </c>
    </row>
    <row r="57" spans="1:7" x14ac:dyDescent="0.25">
      <c r="A57">
        <v>3</v>
      </c>
      <c r="B57">
        <v>1</v>
      </c>
      <c r="C57">
        <v>2</v>
      </c>
      <c r="D57">
        <v>5</v>
      </c>
      <c r="F57" s="2" t="s">
        <v>28</v>
      </c>
      <c r="G57" s="2"/>
    </row>
    <row r="58" spans="1:7" x14ac:dyDescent="0.25">
      <c r="A58">
        <v>3</v>
      </c>
      <c r="B58">
        <v>5</v>
      </c>
      <c r="C58">
        <v>1</v>
      </c>
      <c r="D58">
        <v>5</v>
      </c>
      <c r="F58" t="s">
        <v>29</v>
      </c>
    </row>
    <row r="59" spans="1:7" x14ac:dyDescent="0.25">
      <c r="A59">
        <v>4</v>
      </c>
      <c r="B59">
        <v>3</v>
      </c>
      <c r="C59">
        <v>3</v>
      </c>
      <c r="D59">
        <v>5</v>
      </c>
    </row>
    <row r="60" spans="1:7" x14ac:dyDescent="0.25">
      <c r="A60">
        <v>5</v>
      </c>
      <c r="B60">
        <v>1</v>
      </c>
      <c r="C60">
        <v>4</v>
      </c>
      <c r="D60">
        <v>4</v>
      </c>
    </row>
    <row r="61" spans="1:7" x14ac:dyDescent="0.25">
      <c r="A61">
        <v>5</v>
      </c>
      <c r="B61">
        <v>2</v>
      </c>
      <c r="C61">
        <v>1</v>
      </c>
      <c r="D61">
        <v>4</v>
      </c>
    </row>
    <row r="62" spans="1:7" x14ac:dyDescent="0.25">
      <c r="A62">
        <v>3</v>
      </c>
      <c r="B62">
        <v>2</v>
      </c>
      <c r="C62">
        <v>3</v>
      </c>
      <c r="D62">
        <v>5</v>
      </c>
    </row>
    <row r="63" spans="1:7" x14ac:dyDescent="0.25">
      <c r="A63">
        <v>1</v>
      </c>
      <c r="B63">
        <v>4</v>
      </c>
      <c r="C63">
        <v>4</v>
      </c>
      <c r="D63">
        <v>5</v>
      </c>
    </row>
    <row r="64" spans="1:7" x14ac:dyDescent="0.25">
      <c r="A64">
        <v>3</v>
      </c>
      <c r="B64">
        <v>3</v>
      </c>
      <c r="C64">
        <v>5</v>
      </c>
      <c r="D64">
        <v>4</v>
      </c>
      <c r="F64" t="s">
        <v>5</v>
      </c>
      <c r="G64">
        <f>G44/G54</f>
        <v>1.2603629725085908</v>
      </c>
    </row>
    <row r="65" spans="1:7" x14ac:dyDescent="0.25">
      <c r="A65">
        <v>1</v>
      </c>
      <c r="B65">
        <v>4</v>
      </c>
      <c r="C65">
        <v>5</v>
      </c>
      <c r="D65">
        <v>3</v>
      </c>
    </row>
    <row r="66" spans="1:7" x14ac:dyDescent="0.25">
      <c r="A66">
        <v>3</v>
      </c>
      <c r="B66">
        <v>2</v>
      </c>
      <c r="C66">
        <v>2</v>
      </c>
      <c r="D66">
        <v>5</v>
      </c>
    </row>
    <row r="67" spans="1:7" x14ac:dyDescent="0.25">
      <c r="A67">
        <v>3</v>
      </c>
      <c r="B67">
        <v>1</v>
      </c>
      <c r="C67">
        <v>2</v>
      </c>
      <c r="D67">
        <v>3</v>
      </c>
      <c r="F67" s="2" t="s">
        <v>30</v>
      </c>
      <c r="G67" s="2"/>
    </row>
    <row r="68" spans="1:7" x14ac:dyDescent="0.25">
      <c r="A68">
        <v>3</v>
      </c>
      <c r="B68">
        <v>1</v>
      </c>
      <c r="C68">
        <v>3</v>
      </c>
      <c r="D68">
        <v>5</v>
      </c>
      <c r="F68" t="s">
        <v>31</v>
      </c>
    </row>
    <row r="69" spans="1:7" x14ac:dyDescent="0.25">
      <c r="A69">
        <v>5</v>
      </c>
      <c r="B69">
        <v>5</v>
      </c>
      <c r="C69">
        <v>5</v>
      </c>
      <c r="D69">
        <v>2</v>
      </c>
      <c r="F69" t="s">
        <v>32</v>
      </c>
    </row>
    <row r="70" spans="1:7" x14ac:dyDescent="0.25">
      <c r="A70">
        <v>3</v>
      </c>
      <c r="B70">
        <v>4</v>
      </c>
      <c r="C70">
        <v>3</v>
      </c>
      <c r="D70">
        <v>5</v>
      </c>
    </row>
    <row r="71" spans="1:7" x14ac:dyDescent="0.25">
      <c r="A71">
        <v>5</v>
      </c>
      <c r="B71">
        <v>4</v>
      </c>
      <c r="C71">
        <v>3</v>
      </c>
      <c r="D71">
        <v>4</v>
      </c>
    </row>
    <row r="72" spans="1:7" x14ac:dyDescent="0.25">
      <c r="A72">
        <v>2</v>
      </c>
      <c r="B72">
        <v>5</v>
      </c>
      <c r="C72">
        <v>4</v>
      </c>
      <c r="D72">
        <v>3</v>
      </c>
    </row>
    <row r="73" spans="1:7" x14ac:dyDescent="0.25">
      <c r="A73">
        <v>3</v>
      </c>
      <c r="B73">
        <v>4</v>
      </c>
      <c r="C73">
        <v>5</v>
      </c>
      <c r="D73">
        <v>4</v>
      </c>
    </row>
    <row r="74" spans="1:7" x14ac:dyDescent="0.25">
      <c r="A74">
        <v>1</v>
      </c>
      <c r="B74">
        <v>4</v>
      </c>
      <c r="C74">
        <v>2</v>
      </c>
      <c r="D74">
        <v>4</v>
      </c>
      <c r="F74" t="s">
        <v>2</v>
      </c>
      <c r="G74">
        <f>G34/G64</f>
        <v>22.559366080177238</v>
      </c>
    </row>
    <row r="75" spans="1:7" x14ac:dyDescent="0.25">
      <c r="A75">
        <v>1</v>
      </c>
      <c r="B75">
        <v>3</v>
      </c>
      <c r="C75">
        <v>3</v>
      </c>
      <c r="D75">
        <v>4</v>
      </c>
    </row>
    <row r="76" spans="1:7" x14ac:dyDescent="0.25">
      <c r="A76">
        <v>3</v>
      </c>
      <c r="B76">
        <v>1</v>
      </c>
      <c r="C76">
        <v>1</v>
      </c>
      <c r="D76">
        <v>2</v>
      </c>
    </row>
    <row r="77" spans="1:7" x14ac:dyDescent="0.25">
      <c r="A77">
        <v>4</v>
      </c>
      <c r="B77">
        <v>3</v>
      </c>
      <c r="C77">
        <v>3</v>
      </c>
      <c r="D77">
        <v>4</v>
      </c>
      <c r="F77" s="2" t="s">
        <v>35</v>
      </c>
      <c r="G77" s="2"/>
    </row>
    <row r="78" spans="1:7" x14ac:dyDescent="0.25">
      <c r="A78">
        <v>5</v>
      </c>
      <c r="B78">
        <v>2</v>
      </c>
      <c r="C78">
        <v>3</v>
      </c>
      <c r="D78">
        <v>5</v>
      </c>
    </row>
    <row r="79" spans="1:7" x14ac:dyDescent="0.25">
      <c r="A79">
        <v>2</v>
      </c>
      <c r="B79">
        <v>2</v>
      </c>
      <c r="C79">
        <v>3</v>
      </c>
      <c r="D79">
        <v>4</v>
      </c>
      <c r="F79" s="4" t="s">
        <v>33</v>
      </c>
      <c r="G79">
        <v>0.05</v>
      </c>
    </row>
    <row r="80" spans="1:7" x14ac:dyDescent="0.25">
      <c r="A80">
        <v>3</v>
      </c>
      <c r="B80">
        <v>4</v>
      </c>
      <c r="C80">
        <v>4</v>
      </c>
      <c r="D80">
        <v>4</v>
      </c>
      <c r="F80" t="s">
        <v>0</v>
      </c>
      <c r="G80">
        <f xml:space="preserve"> G25</f>
        <v>3</v>
      </c>
    </row>
    <row r="81" spans="1:7" x14ac:dyDescent="0.25">
      <c r="A81">
        <v>3</v>
      </c>
      <c r="B81">
        <v>4</v>
      </c>
      <c r="C81">
        <v>2</v>
      </c>
      <c r="D81">
        <v>5</v>
      </c>
      <c r="F81" t="s">
        <v>4</v>
      </c>
      <c r="G81">
        <f xml:space="preserve"> G54</f>
        <v>384</v>
      </c>
    </row>
    <row r="82" spans="1:7" x14ac:dyDescent="0.25">
      <c r="A82">
        <v>1</v>
      </c>
      <c r="B82">
        <v>3</v>
      </c>
      <c r="C82">
        <v>1</v>
      </c>
      <c r="D82">
        <v>4</v>
      </c>
      <c r="F82" t="s">
        <v>34</v>
      </c>
      <c r="G82">
        <f>FINV(G79, G80, G81)</f>
        <v>2.6281486844038939</v>
      </c>
    </row>
    <row r="83" spans="1:7" x14ac:dyDescent="0.25">
      <c r="A83">
        <v>2</v>
      </c>
      <c r="B83">
        <v>2</v>
      </c>
      <c r="C83">
        <v>3</v>
      </c>
      <c r="D83">
        <v>1</v>
      </c>
      <c r="F83" t="s">
        <v>36</v>
      </c>
      <c r="G83">
        <f>_xlfn.F.DIST.RT(G74, G80, G81)</f>
        <v>1.7923877602870231E-13</v>
      </c>
    </row>
    <row r="84" spans="1:7" x14ac:dyDescent="0.25">
      <c r="A84">
        <v>2</v>
      </c>
      <c r="B84">
        <v>4</v>
      </c>
      <c r="C84">
        <v>5</v>
      </c>
      <c r="D84">
        <v>5</v>
      </c>
    </row>
    <row r="85" spans="1:7" x14ac:dyDescent="0.25">
      <c r="A85">
        <v>5</v>
      </c>
      <c r="B85">
        <v>3</v>
      </c>
      <c r="C85">
        <v>1</v>
      </c>
      <c r="D85">
        <v>4</v>
      </c>
      <c r="F85" s="2" t="s">
        <v>6</v>
      </c>
      <c r="G85" s="2"/>
    </row>
    <row r="86" spans="1:7" x14ac:dyDescent="0.25">
      <c r="A86">
        <v>3</v>
      </c>
      <c r="B86">
        <v>3</v>
      </c>
      <c r="C86">
        <v>5</v>
      </c>
      <c r="D86">
        <v>5</v>
      </c>
    </row>
    <row r="87" spans="1:7" x14ac:dyDescent="0.25">
      <c r="A87">
        <v>4</v>
      </c>
      <c r="B87">
        <v>4</v>
      </c>
      <c r="C87">
        <v>2</v>
      </c>
      <c r="D87">
        <v>5</v>
      </c>
      <c r="F87" t="s">
        <v>40</v>
      </c>
    </row>
    <row r="88" spans="1:7" x14ac:dyDescent="0.25">
      <c r="A88">
        <v>3</v>
      </c>
      <c r="B88">
        <v>5</v>
      </c>
      <c r="C88">
        <v>2</v>
      </c>
      <c r="D88">
        <v>5</v>
      </c>
      <c r="F88" t="s">
        <v>41</v>
      </c>
    </row>
    <row r="89" spans="1:7" x14ac:dyDescent="0.25">
      <c r="A89">
        <v>2</v>
      </c>
      <c r="B89">
        <v>2</v>
      </c>
      <c r="C89">
        <v>2</v>
      </c>
      <c r="D89">
        <v>5</v>
      </c>
    </row>
    <row r="90" spans="1:7" x14ac:dyDescent="0.25">
      <c r="A90">
        <v>3</v>
      </c>
      <c r="B90">
        <v>3</v>
      </c>
      <c r="C90">
        <v>1</v>
      </c>
      <c r="D90">
        <v>4</v>
      </c>
      <c r="F90" t="str">
        <f>"Si F calculado ("&amp;G74&amp;") &gt; F critico ("&amp;G82&amp;") ---&gt; Se rechaza la hipotesis nula"</f>
        <v>Si F calculado (22.5593660801772) &gt; F critico (2.62814868440389) ---&gt; Se rechaza la hipotesis nula</v>
      </c>
    </row>
    <row r="91" spans="1:7" x14ac:dyDescent="0.25">
      <c r="A91">
        <v>3</v>
      </c>
      <c r="B91">
        <v>2</v>
      </c>
      <c r="C91">
        <v>3</v>
      </c>
      <c r="D91">
        <v>5</v>
      </c>
      <c r="F91" t="str">
        <f>"Si p-valor ("&amp;G83&amp;") &lt; α Nivel Significancia ("&amp;G79&amp;") ---&gt; Se rechaza la hipotesis nula"</f>
        <v>Si p-valor (1.79238776028702E-13) &lt; α Nivel Significancia (0.05) ---&gt; Se rechaza la hipotesis nula</v>
      </c>
    </row>
    <row r="92" spans="1:7" x14ac:dyDescent="0.25">
      <c r="A92">
        <v>3</v>
      </c>
      <c r="B92">
        <v>2</v>
      </c>
      <c r="C92">
        <v>1</v>
      </c>
      <c r="D92">
        <v>4</v>
      </c>
    </row>
    <row r="93" spans="1:7" x14ac:dyDescent="0.25">
      <c r="A93">
        <v>3</v>
      </c>
      <c r="B93">
        <v>3</v>
      </c>
      <c r="C93">
        <v>3</v>
      </c>
      <c r="D93">
        <v>2</v>
      </c>
    </row>
    <row r="94" spans="1:7" x14ac:dyDescent="0.25">
      <c r="A94">
        <v>3</v>
      </c>
      <c r="B94">
        <v>5</v>
      </c>
      <c r="C94">
        <v>2</v>
      </c>
      <c r="D94">
        <v>5</v>
      </c>
      <c r="F94" s="2" t="s">
        <v>37</v>
      </c>
    </row>
    <row r="95" spans="1:7" x14ac:dyDescent="0.25">
      <c r="A95">
        <v>3</v>
      </c>
      <c r="B95">
        <v>2</v>
      </c>
      <c r="C95">
        <v>3</v>
      </c>
      <c r="D95">
        <v>5</v>
      </c>
      <c r="F95" t="s">
        <v>38</v>
      </c>
    </row>
    <row r="96" spans="1:7" x14ac:dyDescent="0.25">
      <c r="A96">
        <v>3</v>
      </c>
      <c r="B96">
        <v>3</v>
      </c>
      <c r="C96">
        <v>4</v>
      </c>
      <c r="D96">
        <v>5</v>
      </c>
      <c r="F96" t="s">
        <v>39</v>
      </c>
    </row>
    <row r="97" spans="1:4" x14ac:dyDescent="0.25">
      <c r="A97">
        <v>3</v>
      </c>
      <c r="B97">
        <v>4</v>
      </c>
      <c r="C97">
        <v>4</v>
      </c>
      <c r="D97">
        <v>5</v>
      </c>
    </row>
    <row r="98" spans="1:4" x14ac:dyDescent="0.25">
      <c r="A98">
        <v>3</v>
      </c>
      <c r="B98">
        <v>3</v>
      </c>
      <c r="C98">
        <v>3</v>
      </c>
      <c r="D98">
        <v>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55" zoomScaleNormal="55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3</v>
      </c>
      <c r="B2">
        <v>3</v>
      </c>
      <c r="C2">
        <v>3</v>
      </c>
      <c r="D2">
        <v>4</v>
      </c>
      <c r="F2" s="2" t="s">
        <v>13</v>
      </c>
      <c r="G2" s="2"/>
    </row>
    <row r="3" spans="1:7" x14ac:dyDescent="0.25">
      <c r="A3">
        <v>4</v>
      </c>
      <c r="B3">
        <v>2</v>
      </c>
      <c r="C3">
        <v>3</v>
      </c>
      <c r="D3">
        <v>3</v>
      </c>
      <c r="F3" t="s">
        <v>14</v>
      </c>
      <c r="G3">
        <f>COUNT(A:A)</f>
        <v>97</v>
      </c>
    </row>
    <row r="4" spans="1:7" x14ac:dyDescent="0.25">
      <c r="A4">
        <v>3</v>
      </c>
      <c r="B4">
        <v>1</v>
      </c>
      <c r="C4">
        <v>3</v>
      </c>
      <c r="D4">
        <v>5</v>
      </c>
      <c r="F4" t="s">
        <v>7</v>
      </c>
      <c r="G4">
        <f>AVERAGE(A:A)</f>
        <v>2.9381443298969074</v>
      </c>
    </row>
    <row r="5" spans="1:7" x14ac:dyDescent="0.25">
      <c r="A5">
        <v>3</v>
      </c>
      <c r="B5">
        <v>2</v>
      </c>
      <c r="C5">
        <v>2</v>
      </c>
      <c r="D5">
        <v>3</v>
      </c>
      <c r="F5" t="s">
        <v>8</v>
      </c>
      <c r="G5">
        <f>AVERAGE(B:B)</f>
        <v>2.7731958762886597</v>
      </c>
    </row>
    <row r="6" spans="1:7" x14ac:dyDescent="0.25">
      <c r="A6">
        <v>2</v>
      </c>
      <c r="B6">
        <v>5</v>
      </c>
      <c r="C6">
        <v>3</v>
      </c>
      <c r="D6">
        <v>5</v>
      </c>
      <c r="F6" t="s">
        <v>9</v>
      </c>
      <c r="G6">
        <f>AVERAGE(C:C)</f>
        <v>2.8969072164948453</v>
      </c>
    </row>
    <row r="7" spans="1:7" x14ac:dyDescent="0.25">
      <c r="A7">
        <v>2</v>
      </c>
      <c r="B7">
        <v>2</v>
      </c>
      <c r="C7">
        <v>3</v>
      </c>
      <c r="D7">
        <v>4</v>
      </c>
      <c r="F7" t="s">
        <v>10</v>
      </c>
      <c r="G7">
        <f>AVERAGE(D:D)</f>
        <v>4.1546391752577323</v>
      </c>
    </row>
    <row r="8" spans="1:7" x14ac:dyDescent="0.25">
      <c r="A8">
        <v>3</v>
      </c>
      <c r="B8">
        <v>4</v>
      </c>
      <c r="C8">
        <v>3</v>
      </c>
      <c r="D8">
        <v>2</v>
      </c>
      <c r="F8" t="s">
        <v>15</v>
      </c>
      <c r="G8">
        <f>AVERAGE(G4:G7)</f>
        <v>3.1907216494845363</v>
      </c>
    </row>
    <row r="9" spans="1:7" x14ac:dyDescent="0.25">
      <c r="A9">
        <v>1</v>
      </c>
      <c r="B9">
        <v>4</v>
      </c>
      <c r="C9">
        <v>3</v>
      </c>
      <c r="D9">
        <v>4</v>
      </c>
    </row>
    <row r="10" spans="1:7" x14ac:dyDescent="0.25">
      <c r="A10">
        <v>4</v>
      </c>
      <c r="B10">
        <v>2</v>
      </c>
      <c r="C10">
        <v>1</v>
      </c>
      <c r="D10">
        <v>5</v>
      </c>
    </row>
    <row r="11" spans="1:7" x14ac:dyDescent="0.25">
      <c r="A11">
        <v>5</v>
      </c>
      <c r="B11">
        <v>2</v>
      </c>
      <c r="C11">
        <v>4</v>
      </c>
      <c r="D11">
        <v>3</v>
      </c>
      <c r="F11" s="2" t="s">
        <v>12</v>
      </c>
      <c r="G11" s="2"/>
    </row>
    <row r="12" spans="1:7" x14ac:dyDescent="0.25">
      <c r="A12">
        <v>1</v>
      </c>
      <c r="B12">
        <v>3</v>
      </c>
      <c r="C12">
        <v>1</v>
      </c>
      <c r="D12">
        <v>4</v>
      </c>
      <c r="F12" s="3" t="s">
        <v>17</v>
      </c>
    </row>
    <row r="13" spans="1:7" x14ac:dyDescent="0.25">
      <c r="A13">
        <v>3</v>
      </c>
      <c r="B13">
        <v>5</v>
      </c>
      <c r="C13">
        <v>4</v>
      </c>
      <c r="D13">
        <v>5</v>
      </c>
      <c r="F13" s="3" t="s">
        <v>18</v>
      </c>
    </row>
    <row r="14" spans="1:7" x14ac:dyDescent="0.25">
      <c r="A14">
        <v>5</v>
      </c>
      <c r="B14">
        <v>3</v>
      </c>
      <c r="C14">
        <v>2</v>
      </c>
      <c r="D14">
        <v>5</v>
      </c>
    </row>
    <row r="15" spans="1:7" x14ac:dyDescent="0.25">
      <c r="A15">
        <v>3</v>
      </c>
      <c r="B15">
        <v>1</v>
      </c>
      <c r="C15">
        <v>1</v>
      </c>
      <c r="D15">
        <v>5</v>
      </c>
    </row>
    <row r="16" spans="1:7" x14ac:dyDescent="0.25">
      <c r="A16">
        <v>3</v>
      </c>
      <c r="B16">
        <v>1</v>
      </c>
      <c r="C16">
        <v>3</v>
      </c>
      <c r="D16">
        <v>2</v>
      </c>
    </row>
    <row r="17" spans="1:7" x14ac:dyDescent="0.25">
      <c r="A17">
        <v>3</v>
      </c>
      <c r="B17">
        <v>3</v>
      </c>
      <c r="C17">
        <v>2</v>
      </c>
      <c r="D17">
        <v>5</v>
      </c>
      <c r="F17" t="s">
        <v>11</v>
      </c>
      <c r="G17">
        <f>G3*((G4-G8)^2+(G5-G8)^2+(G6-G8)^2+(G7-G8)^2)</f>
        <v>121.59793814432997</v>
      </c>
    </row>
    <row r="18" spans="1:7" x14ac:dyDescent="0.25">
      <c r="A18">
        <v>2</v>
      </c>
      <c r="B18">
        <v>3</v>
      </c>
      <c r="C18">
        <v>4</v>
      </c>
      <c r="D18">
        <v>4</v>
      </c>
    </row>
    <row r="19" spans="1:7" x14ac:dyDescent="0.25">
      <c r="A19">
        <v>3</v>
      </c>
      <c r="B19">
        <v>2</v>
      </c>
      <c r="C19">
        <v>3</v>
      </c>
      <c r="D19">
        <v>5</v>
      </c>
    </row>
    <row r="20" spans="1:7" x14ac:dyDescent="0.25">
      <c r="A20">
        <v>3</v>
      </c>
      <c r="B20">
        <v>4</v>
      </c>
      <c r="C20">
        <v>3</v>
      </c>
      <c r="D20">
        <v>5</v>
      </c>
      <c r="F20" s="2" t="s">
        <v>19</v>
      </c>
      <c r="G20" s="2"/>
    </row>
    <row r="21" spans="1:7" x14ac:dyDescent="0.25">
      <c r="A21">
        <v>4</v>
      </c>
      <c r="B21">
        <v>2</v>
      </c>
      <c r="C21">
        <v>4</v>
      </c>
      <c r="D21">
        <v>4</v>
      </c>
      <c r="F21" t="s">
        <v>20</v>
      </c>
    </row>
    <row r="22" spans="1:7" x14ac:dyDescent="0.25">
      <c r="A22">
        <v>3</v>
      </c>
      <c r="B22">
        <v>3</v>
      </c>
      <c r="C22">
        <v>3</v>
      </c>
      <c r="D22">
        <v>4</v>
      </c>
      <c r="F22" t="s">
        <v>16</v>
      </c>
      <c r="G22">
        <v>4</v>
      </c>
    </row>
    <row r="23" spans="1:7" x14ac:dyDescent="0.25">
      <c r="A23">
        <v>4</v>
      </c>
      <c r="B23">
        <v>1</v>
      </c>
      <c r="C23">
        <v>2</v>
      </c>
      <c r="D23">
        <v>5</v>
      </c>
    </row>
    <row r="24" spans="1:7" x14ac:dyDescent="0.25">
      <c r="A24">
        <v>3</v>
      </c>
      <c r="B24">
        <v>4</v>
      </c>
      <c r="C24">
        <v>5</v>
      </c>
      <c r="D24">
        <v>5</v>
      </c>
    </row>
    <row r="25" spans="1:7" x14ac:dyDescent="0.25">
      <c r="A25">
        <v>3</v>
      </c>
      <c r="B25">
        <v>3</v>
      </c>
      <c r="C25">
        <v>1</v>
      </c>
      <c r="D25">
        <v>5</v>
      </c>
      <c r="F25" t="s">
        <v>0</v>
      </c>
      <c r="G25">
        <f>G22-1</f>
        <v>3</v>
      </c>
    </row>
    <row r="26" spans="1:7" x14ac:dyDescent="0.25">
      <c r="A26">
        <v>4</v>
      </c>
      <c r="B26">
        <v>3</v>
      </c>
      <c r="C26">
        <v>5</v>
      </c>
      <c r="D26">
        <v>4</v>
      </c>
    </row>
    <row r="27" spans="1:7" x14ac:dyDescent="0.25">
      <c r="A27">
        <v>2</v>
      </c>
      <c r="B27">
        <v>3</v>
      </c>
      <c r="C27">
        <v>2</v>
      </c>
      <c r="D27">
        <v>5</v>
      </c>
    </row>
    <row r="28" spans="1:7" x14ac:dyDescent="0.25">
      <c r="A28">
        <v>2</v>
      </c>
      <c r="B28">
        <v>1</v>
      </c>
      <c r="C28">
        <v>5</v>
      </c>
      <c r="D28">
        <v>4</v>
      </c>
      <c r="F28" s="2" t="s">
        <v>21</v>
      </c>
      <c r="G28" s="2"/>
    </row>
    <row r="29" spans="1:7" x14ac:dyDescent="0.25">
      <c r="A29">
        <v>2</v>
      </c>
      <c r="B29">
        <v>2</v>
      </c>
      <c r="C29">
        <v>1</v>
      </c>
      <c r="D29">
        <v>3</v>
      </c>
      <c r="F29" t="s">
        <v>22</v>
      </c>
    </row>
    <row r="30" spans="1:7" x14ac:dyDescent="0.25">
      <c r="A30">
        <v>1</v>
      </c>
      <c r="B30">
        <v>3</v>
      </c>
      <c r="C30">
        <v>4</v>
      </c>
      <c r="D30">
        <v>5</v>
      </c>
    </row>
    <row r="31" spans="1:7" x14ac:dyDescent="0.25">
      <c r="A31">
        <v>3</v>
      </c>
      <c r="B31">
        <v>1</v>
      </c>
      <c r="C31">
        <v>2</v>
      </c>
      <c r="D31">
        <v>4</v>
      </c>
    </row>
    <row r="32" spans="1:7" x14ac:dyDescent="0.25">
      <c r="A32">
        <v>4</v>
      </c>
      <c r="B32">
        <v>1</v>
      </c>
      <c r="C32">
        <v>5</v>
      </c>
      <c r="D32">
        <v>4</v>
      </c>
    </row>
    <row r="33" spans="1:7" x14ac:dyDescent="0.25">
      <c r="A33">
        <v>3</v>
      </c>
      <c r="B33">
        <v>3</v>
      </c>
      <c r="C33">
        <v>2</v>
      </c>
      <c r="D33">
        <v>3</v>
      </c>
    </row>
    <row r="34" spans="1:7" x14ac:dyDescent="0.25">
      <c r="A34">
        <v>4</v>
      </c>
      <c r="B34">
        <v>5</v>
      </c>
      <c r="C34">
        <v>4</v>
      </c>
      <c r="D34">
        <v>5</v>
      </c>
      <c r="F34" t="s">
        <v>1</v>
      </c>
      <c r="G34">
        <f>G17/G25</f>
        <v>40.532646048109989</v>
      </c>
    </row>
    <row r="35" spans="1:7" x14ac:dyDescent="0.25">
      <c r="A35">
        <v>2</v>
      </c>
      <c r="B35">
        <v>5</v>
      </c>
      <c r="C35">
        <v>3</v>
      </c>
      <c r="D35">
        <v>5</v>
      </c>
    </row>
    <row r="36" spans="1:7" x14ac:dyDescent="0.25">
      <c r="A36">
        <v>1</v>
      </c>
      <c r="B36">
        <v>1</v>
      </c>
      <c r="C36">
        <v>3</v>
      </c>
      <c r="D36">
        <v>5</v>
      </c>
    </row>
    <row r="37" spans="1:7" x14ac:dyDescent="0.25">
      <c r="A37">
        <v>5</v>
      </c>
      <c r="B37">
        <v>3</v>
      </c>
      <c r="C37">
        <v>2</v>
      </c>
      <c r="D37">
        <v>4</v>
      </c>
      <c r="F37" s="2" t="s">
        <v>26</v>
      </c>
      <c r="G37" s="2"/>
    </row>
    <row r="38" spans="1:7" x14ac:dyDescent="0.25">
      <c r="A38">
        <v>2</v>
      </c>
      <c r="B38">
        <v>2</v>
      </c>
      <c r="C38">
        <v>4</v>
      </c>
      <c r="D38">
        <v>4</v>
      </c>
      <c r="F38" t="s">
        <v>23</v>
      </c>
    </row>
    <row r="39" spans="1:7" x14ac:dyDescent="0.25">
      <c r="A39">
        <v>3</v>
      </c>
      <c r="B39">
        <v>2</v>
      </c>
      <c r="C39">
        <v>1</v>
      </c>
      <c r="D39">
        <v>5</v>
      </c>
      <c r="F39" t="s">
        <v>24</v>
      </c>
    </row>
    <row r="40" spans="1:7" x14ac:dyDescent="0.25">
      <c r="A40">
        <v>3</v>
      </c>
      <c r="B40">
        <v>1</v>
      </c>
      <c r="C40">
        <v>2</v>
      </c>
      <c r="D40">
        <v>4</v>
      </c>
    </row>
    <row r="41" spans="1:7" x14ac:dyDescent="0.25">
      <c r="A41">
        <v>1</v>
      </c>
      <c r="B41">
        <v>1</v>
      </c>
      <c r="C41">
        <v>4</v>
      </c>
      <c r="D41">
        <v>5</v>
      </c>
    </row>
    <row r="42" spans="1:7" x14ac:dyDescent="0.25">
      <c r="A42">
        <v>3</v>
      </c>
      <c r="B42">
        <v>3</v>
      </c>
      <c r="C42">
        <v>4</v>
      </c>
      <c r="D42">
        <v>4</v>
      </c>
    </row>
    <row r="43" spans="1:7" x14ac:dyDescent="0.25">
      <c r="A43">
        <v>4</v>
      </c>
      <c r="B43">
        <v>1</v>
      </c>
      <c r="C43">
        <v>3</v>
      </c>
      <c r="D43">
        <v>5</v>
      </c>
    </row>
    <row r="44" spans="1:7" x14ac:dyDescent="0.25">
      <c r="A44">
        <v>5</v>
      </c>
      <c r="B44">
        <v>3</v>
      </c>
      <c r="C44">
        <v>1</v>
      </c>
      <c r="D44">
        <v>5</v>
      </c>
      <c r="F44" t="s">
        <v>3</v>
      </c>
      <c r="G44">
        <f>DEVSQ(A:A)+DEVSQ(B:B)+DEVSQ(C:C)+DEVSQ(D:D)</f>
        <v>430.28865979381442</v>
      </c>
    </row>
    <row r="45" spans="1:7" x14ac:dyDescent="0.25">
      <c r="A45">
        <v>5</v>
      </c>
      <c r="B45">
        <v>4</v>
      </c>
      <c r="C45">
        <v>2</v>
      </c>
      <c r="D45">
        <v>5</v>
      </c>
    </row>
    <row r="46" spans="1:7" x14ac:dyDescent="0.25">
      <c r="A46">
        <v>1</v>
      </c>
      <c r="B46">
        <v>2</v>
      </c>
      <c r="C46">
        <v>3</v>
      </c>
      <c r="D46">
        <v>4</v>
      </c>
    </row>
    <row r="47" spans="1:7" x14ac:dyDescent="0.25">
      <c r="A47">
        <v>2</v>
      </c>
      <c r="B47">
        <v>3</v>
      </c>
      <c r="C47">
        <v>2</v>
      </c>
      <c r="D47">
        <v>5</v>
      </c>
      <c r="F47" s="2" t="s">
        <v>25</v>
      </c>
      <c r="G47" s="2"/>
    </row>
    <row r="48" spans="1:7" x14ac:dyDescent="0.25">
      <c r="A48">
        <v>3</v>
      </c>
      <c r="B48">
        <v>3</v>
      </c>
      <c r="C48">
        <v>3</v>
      </c>
      <c r="D48">
        <v>4</v>
      </c>
      <c r="F48" t="s">
        <v>27</v>
      </c>
      <c r="G48">
        <f>COUNT(A:A,B:B,C:C,D:D)</f>
        <v>388</v>
      </c>
    </row>
    <row r="49" spans="1:7" x14ac:dyDescent="0.25">
      <c r="A49">
        <v>4</v>
      </c>
      <c r="B49">
        <v>2</v>
      </c>
      <c r="C49">
        <v>4</v>
      </c>
      <c r="D49">
        <v>4</v>
      </c>
      <c r="F49" t="s">
        <v>16</v>
      </c>
      <c r="G49">
        <f>G22</f>
        <v>4</v>
      </c>
    </row>
    <row r="50" spans="1:7" x14ac:dyDescent="0.25">
      <c r="A50">
        <v>3</v>
      </c>
      <c r="B50">
        <v>5</v>
      </c>
      <c r="C50">
        <v>4</v>
      </c>
      <c r="D50">
        <v>3</v>
      </c>
    </row>
    <row r="51" spans="1:7" x14ac:dyDescent="0.25">
      <c r="A51">
        <v>4</v>
      </c>
      <c r="B51">
        <v>3</v>
      </c>
      <c r="C51">
        <v>4</v>
      </c>
      <c r="D51">
        <v>5</v>
      </c>
    </row>
    <row r="52" spans="1:7" x14ac:dyDescent="0.25">
      <c r="A52">
        <v>4</v>
      </c>
      <c r="B52">
        <v>4</v>
      </c>
      <c r="C52">
        <v>3</v>
      </c>
      <c r="D52">
        <v>3</v>
      </c>
    </row>
    <row r="53" spans="1:7" x14ac:dyDescent="0.25">
      <c r="A53">
        <v>5</v>
      </c>
      <c r="B53">
        <v>3</v>
      </c>
      <c r="C53">
        <v>3</v>
      </c>
      <c r="D53">
        <v>2</v>
      </c>
    </row>
    <row r="54" spans="1:7" x14ac:dyDescent="0.25">
      <c r="A54">
        <v>3</v>
      </c>
      <c r="B54">
        <v>3</v>
      </c>
      <c r="C54">
        <v>4</v>
      </c>
      <c r="D54">
        <v>3</v>
      </c>
      <c r="F54" t="s">
        <v>4</v>
      </c>
      <c r="G54">
        <f>G48-G49</f>
        <v>384</v>
      </c>
    </row>
    <row r="55" spans="1:7" x14ac:dyDescent="0.25">
      <c r="A55">
        <v>3</v>
      </c>
      <c r="B55">
        <v>2</v>
      </c>
      <c r="C55">
        <v>1</v>
      </c>
      <c r="D55">
        <v>5</v>
      </c>
    </row>
    <row r="56" spans="1:7" x14ac:dyDescent="0.25">
      <c r="A56">
        <v>4</v>
      </c>
      <c r="B56">
        <v>1</v>
      </c>
      <c r="C56">
        <v>1</v>
      </c>
      <c r="D56">
        <v>2</v>
      </c>
    </row>
    <row r="57" spans="1:7" x14ac:dyDescent="0.25">
      <c r="A57">
        <v>2</v>
      </c>
      <c r="B57">
        <v>3</v>
      </c>
      <c r="C57">
        <v>3</v>
      </c>
      <c r="D57">
        <v>5</v>
      </c>
      <c r="F57" s="2" t="s">
        <v>28</v>
      </c>
      <c r="G57" s="2"/>
    </row>
    <row r="58" spans="1:7" x14ac:dyDescent="0.25">
      <c r="A58">
        <v>3</v>
      </c>
      <c r="B58">
        <v>3</v>
      </c>
      <c r="C58">
        <v>4</v>
      </c>
      <c r="D58">
        <v>3</v>
      </c>
      <c r="F58" t="s">
        <v>29</v>
      </c>
    </row>
    <row r="59" spans="1:7" x14ac:dyDescent="0.25">
      <c r="A59">
        <v>2</v>
      </c>
      <c r="B59">
        <v>2</v>
      </c>
      <c r="C59">
        <v>4</v>
      </c>
      <c r="D59">
        <v>4</v>
      </c>
    </row>
    <row r="60" spans="1:7" x14ac:dyDescent="0.25">
      <c r="A60">
        <v>2</v>
      </c>
      <c r="B60">
        <v>3</v>
      </c>
      <c r="C60">
        <v>2</v>
      </c>
      <c r="D60">
        <v>5</v>
      </c>
    </row>
    <row r="61" spans="1:7" x14ac:dyDescent="0.25">
      <c r="A61">
        <v>3</v>
      </c>
      <c r="B61">
        <v>4</v>
      </c>
      <c r="C61">
        <v>3</v>
      </c>
      <c r="D61">
        <v>4</v>
      </c>
    </row>
    <row r="62" spans="1:7" x14ac:dyDescent="0.25">
      <c r="A62">
        <v>2</v>
      </c>
      <c r="B62">
        <v>2</v>
      </c>
      <c r="C62">
        <v>3</v>
      </c>
      <c r="D62">
        <v>4</v>
      </c>
    </row>
    <row r="63" spans="1:7" x14ac:dyDescent="0.25">
      <c r="A63">
        <v>3</v>
      </c>
      <c r="B63">
        <v>4</v>
      </c>
      <c r="C63">
        <v>3</v>
      </c>
      <c r="D63">
        <v>5</v>
      </c>
    </row>
    <row r="64" spans="1:7" x14ac:dyDescent="0.25">
      <c r="A64">
        <v>5</v>
      </c>
      <c r="B64">
        <v>1</v>
      </c>
      <c r="C64">
        <v>2</v>
      </c>
      <c r="D64">
        <v>5</v>
      </c>
      <c r="F64" t="s">
        <v>5</v>
      </c>
      <c r="G64">
        <f>G44/G54</f>
        <v>1.120543384879725</v>
      </c>
    </row>
    <row r="65" spans="1:7" x14ac:dyDescent="0.25">
      <c r="A65">
        <v>2</v>
      </c>
      <c r="B65">
        <v>2</v>
      </c>
      <c r="C65">
        <v>2</v>
      </c>
      <c r="D65">
        <v>5</v>
      </c>
    </row>
    <row r="66" spans="1:7" x14ac:dyDescent="0.25">
      <c r="A66">
        <v>1</v>
      </c>
      <c r="B66">
        <v>4</v>
      </c>
      <c r="C66">
        <v>4</v>
      </c>
      <c r="D66">
        <v>4</v>
      </c>
    </row>
    <row r="67" spans="1:7" x14ac:dyDescent="0.25">
      <c r="A67">
        <v>2</v>
      </c>
      <c r="B67">
        <v>4</v>
      </c>
      <c r="C67">
        <v>4</v>
      </c>
      <c r="D67">
        <v>4</v>
      </c>
      <c r="F67" s="2" t="s">
        <v>30</v>
      </c>
      <c r="G67" s="2"/>
    </row>
    <row r="68" spans="1:7" x14ac:dyDescent="0.25">
      <c r="A68">
        <v>4</v>
      </c>
      <c r="B68">
        <v>3</v>
      </c>
      <c r="C68">
        <v>1</v>
      </c>
      <c r="D68">
        <v>5</v>
      </c>
      <c r="F68" t="s">
        <v>31</v>
      </c>
    </row>
    <row r="69" spans="1:7" x14ac:dyDescent="0.25">
      <c r="A69">
        <v>3</v>
      </c>
      <c r="B69">
        <v>1</v>
      </c>
      <c r="C69">
        <v>4</v>
      </c>
      <c r="D69">
        <v>3</v>
      </c>
      <c r="F69" t="s">
        <v>32</v>
      </c>
    </row>
    <row r="70" spans="1:7" x14ac:dyDescent="0.25">
      <c r="A70">
        <v>3</v>
      </c>
      <c r="B70">
        <v>3</v>
      </c>
      <c r="C70">
        <v>2</v>
      </c>
      <c r="D70">
        <v>4</v>
      </c>
    </row>
    <row r="71" spans="1:7" x14ac:dyDescent="0.25">
      <c r="A71">
        <v>3</v>
      </c>
      <c r="B71">
        <v>5</v>
      </c>
      <c r="C71">
        <v>3</v>
      </c>
      <c r="D71">
        <v>5</v>
      </c>
    </row>
    <row r="72" spans="1:7" x14ac:dyDescent="0.25">
      <c r="A72">
        <v>4</v>
      </c>
      <c r="B72">
        <v>3</v>
      </c>
      <c r="C72">
        <v>3</v>
      </c>
      <c r="D72">
        <v>4</v>
      </c>
    </row>
    <row r="73" spans="1:7" x14ac:dyDescent="0.25">
      <c r="A73">
        <v>5</v>
      </c>
      <c r="B73">
        <v>3</v>
      </c>
      <c r="C73">
        <v>4</v>
      </c>
      <c r="D73">
        <v>4</v>
      </c>
    </row>
    <row r="74" spans="1:7" x14ac:dyDescent="0.25">
      <c r="A74">
        <v>3</v>
      </c>
      <c r="B74">
        <v>4</v>
      </c>
      <c r="C74">
        <v>3</v>
      </c>
      <c r="D74">
        <v>4</v>
      </c>
      <c r="F74" t="s">
        <v>2</v>
      </c>
      <c r="G74">
        <f>G34/G64</f>
        <v>36.172313000143774</v>
      </c>
    </row>
    <row r="75" spans="1:7" x14ac:dyDescent="0.25">
      <c r="A75">
        <v>3</v>
      </c>
      <c r="B75">
        <v>3</v>
      </c>
      <c r="C75">
        <v>5</v>
      </c>
      <c r="D75">
        <v>5</v>
      </c>
    </row>
    <row r="76" spans="1:7" x14ac:dyDescent="0.25">
      <c r="A76">
        <v>3</v>
      </c>
      <c r="B76">
        <v>3</v>
      </c>
      <c r="C76">
        <v>3</v>
      </c>
      <c r="D76">
        <v>2</v>
      </c>
    </row>
    <row r="77" spans="1:7" x14ac:dyDescent="0.25">
      <c r="A77">
        <v>4</v>
      </c>
      <c r="B77">
        <v>3</v>
      </c>
      <c r="C77">
        <v>2</v>
      </c>
      <c r="D77">
        <v>4</v>
      </c>
      <c r="F77" s="2" t="s">
        <v>35</v>
      </c>
      <c r="G77" s="2"/>
    </row>
    <row r="78" spans="1:7" x14ac:dyDescent="0.25">
      <c r="A78">
        <v>3</v>
      </c>
      <c r="B78">
        <v>3</v>
      </c>
      <c r="C78">
        <v>3</v>
      </c>
      <c r="D78">
        <v>4</v>
      </c>
    </row>
    <row r="79" spans="1:7" x14ac:dyDescent="0.25">
      <c r="A79">
        <v>3</v>
      </c>
      <c r="B79">
        <v>1</v>
      </c>
      <c r="C79">
        <v>2</v>
      </c>
      <c r="D79">
        <v>5</v>
      </c>
      <c r="F79" s="4" t="s">
        <v>33</v>
      </c>
      <c r="G79">
        <v>0.05</v>
      </c>
    </row>
    <row r="80" spans="1:7" x14ac:dyDescent="0.25">
      <c r="A80">
        <v>2</v>
      </c>
      <c r="B80">
        <v>3</v>
      </c>
      <c r="C80">
        <v>3</v>
      </c>
      <c r="D80">
        <v>4</v>
      </c>
      <c r="F80" t="s">
        <v>0</v>
      </c>
      <c r="G80">
        <f xml:space="preserve"> G25</f>
        <v>3</v>
      </c>
    </row>
    <row r="81" spans="1:7" x14ac:dyDescent="0.25">
      <c r="A81">
        <v>2</v>
      </c>
      <c r="B81">
        <v>4</v>
      </c>
      <c r="C81">
        <v>2</v>
      </c>
      <c r="D81">
        <v>3</v>
      </c>
      <c r="F81" t="s">
        <v>4</v>
      </c>
      <c r="G81">
        <f xml:space="preserve"> G54</f>
        <v>384</v>
      </c>
    </row>
    <row r="82" spans="1:7" x14ac:dyDescent="0.25">
      <c r="A82">
        <v>3</v>
      </c>
      <c r="B82">
        <v>4</v>
      </c>
      <c r="C82">
        <v>3</v>
      </c>
      <c r="D82">
        <v>4</v>
      </c>
      <c r="F82" t="s">
        <v>34</v>
      </c>
      <c r="G82">
        <f>FINV(G79, G80, G81)</f>
        <v>2.6281486844038939</v>
      </c>
    </row>
    <row r="83" spans="1:7" x14ac:dyDescent="0.25">
      <c r="A83">
        <v>3</v>
      </c>
      <c r="B83">
        <v>3</v>
      </c>
      <c r="C83">
        <v>4</v>
      </c>
      <c r="D83">
        <v>5</v>
      </c>
      <c r="F83" t="s">
        <v>36</v>
      </c>
      <c r="G83">
        <f>_xlfn.F.DIST.RT(G74, G80, G81)</f>
        <v>1.3096308793764231E-20</v>
      </c>
    </row>
    <row r="84" spans="1:7" x14ac:dyDescent="0.25">
      <c r="A84">
        <v>3</v>
      </c>
      <c r="B84">
        <v>3</v>
      </c>
      <c r="C84">
        <v>2</v>
      </c>
      <c r="D84">
        <v>5</v>
      </c>
    </row>
    <row r="85" spans="1:7" x14ac:dyDescent="0.25">
      <c r="A85">
        <v>2</v>
      </c>
      <c r="B85">
        <v>1</v>
      </c>
      <c r="C85">
        <v>3</v>
      </c>
      <c r="D85">
        <v>2</v>
      </c>
      <c r="F85" s="2" t="s">
        <v>6</v>
      </c>
      <c r="G85" s="2"/>
    </row>
    <row r="86" spans="1:7" x14ac:dyDescent="0.25">
      <c r="A86">
        <v>1</v>
      </c>
      <c r="B86">
        <v>5</v>
      </c>
      <c r="C86">
        <v>3</v>
      </c>
      <c r="D86">
        <v>4</v>
      </c>
    </row>
    <row r="87" spans="1:7" x14ac:dyDescent="0.25">
      <c r="A87">
        <v>5</v>
      </c>
      <c r="B87">
        <v>4</v>
      </c>
      <c r="C87">
        <v>2</v>
      </c>
      <c r="D87">
        <v>5</v>
      </c>
      <c r="F87" t="s">
        <v>40</v>
      </c>
    </row>
    <row r="88" spans="1:7" x14ac:dyDescent="0.25">
      <c r="A88">
        <v>3</v>
      </c>
      <c r="B88">
        <v>2</v>
      </c>
      <c r="C88">
        <v>3</v>
      </c>
      <c r="D88">
        <v>5</v>
      </c>
      <c r="F88" t="s">
        <v>41</v>
      </c>
    </row>
    <row r="89" spans="1:7" x14ac:dyDescent="0.25">
      <c r="A89">
        <v>3</v>
      </c>
      <c r="B89">
        <v>1</v>
      </c>
      <c r="C89">
        <v>2</v>
      </c>
      <c r="D89">
        <v>4</v>
      </c>
    </row>
    <row r="90" spans="1:7" x14ac:dyDescent="0.25">
      <c r="A90">
        <v>3</v>
      </c>
      <c r="B90">
        <v>3</v>
      </c>
      <c r="C90">
        <v>4</v>
      </c>
      <c r="D90">
        <v>4</v>
      </c>
      <c r="F90" t="str">
        <f>"Si F calculado ("&amp;G74&amp;") &gt; F critico ("&amp;G82&amp;") ---&gt; Se rechaza la hipotesis nula"</f>
        <v>Si F calculado (36.1723130001438) &gt; F critico (2.62814868440389) ---&gt; Se rechaza la hipotesis nula</v>
      </c>
    </row>
    <row r="91" spans="1:7" x14ac:dyDescent="0.25">
      <c r="A91">
        <v>1</v>
      </c>
      <c r="B91">
        <v>3</v>
      </c>
      <c r="C91">
        <v>3</v>
      </c>
      <c r="D91">
        <v>5</v>
      </c>
      <c r="F91" t="str">
        <f>"Si p-valor ("&amp;G83&amp;") &lt; α Nivel Significancia ("&amp;G79&amp;") ---&gt; Se rechaza la hipotesis nula"</f>
        <v>Si p-valor (1.30963087937642E-20) &lt; α Nivel Significancia (0.05) ---&gt; Se rechaza la hipotesis nula</v>
      </c>
    </row>
    <row r="92" spans="1:7" x14ac:dyDescent="0.25">
      <c r="A92">
        <v>4</v>
      </c>
      <c r="B92">
        <v>3</v>
      </c>
      <c r="C92">
        <v>3</v>
      </c>
      <c r="D92">
        <v>2</v>
      </c>
    </row>
    <row r="93" spans="1:7" x14ac:dyDescent="0.25">
      <c r="A93">
        <v>1</v>
      </c>
      <c r="B93">
        <v>1</v>
      </c>
      <c r="C93">
        <v>2</v>
      </c>
      <c r="D93">
        <v>5</v>
      </c>
    </row>
    <row r="94" spans="1:7" x14ac:dyDescent="0.25">
      <c r="A94">
        <v>2</v>
      </c>
      <c r="B94">
        <v>3</v>
      </c>
      <c r="C94">
        <v>3</v>
      </c>
      <c r="D94">
        <v>4</v>
      </c>
      <c r="F94" s="2" t="s">
        <v>37</v>
      </c>
    </row>
    <row r="95" spans="1:7" x14ac:dyDescent="0.25">
      <c r="A95">
        <v>3</v>
      </c>
      <c r="B95">
        <v>3</v>
      </c>
      <c r="C95">
        <v>4</v>
      </c>
      <c r="D95">
        <v>5</v>
      </c>
      <c r="F95" t="s">
        <v>38</v>
      </c>
    </row>
    <row r="96" spans="1:7" x14ac:dyDescent="0.25">
      <c r="A96">
        <v>1</v>
      </c>
      <c r="B96">
        <v>4</v>
      </c>
      <c r="C96">
        <v>3</v>
      </c>
      <c r="D96">
        <v>3</v>
      </c>
      <c r="F96" t="s">
        <v>39</v>
      </c>
    </row>
    <row r="97" spans="1:4" x14ac:dyDescent="0.25">
      <c r="A97">
        <v>3</v>
      </c>
      <c r="B97">
        <v>5</v>
      </c>
      <c r="C97">
        <v>3</v>
      </c>
      <c r="D97">
        <v>5</v>
      </c>
    </row>
    <row r="98" spans="1:4" x14ac:dyDescent="0.25">
      <c r="A98">
        <v>4</v>
      </c>
      <c r="B98">
        <v>3</v>
      </c>
      <c r="C98">
        <v>3</v>
      </c>
      <c r="D98">
        <v>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3</v>
      </c>
      <c r="B2">
        <v>3</v>
      </c>
      <c r="C2">
        <v>5</v>
      </c>
      <c r="D2">
        <v>4</v>
      </c>
      <c r="F2" s="2" t="s">
        <v>13</v>
      </c>
      <c r="G2" s="2"/>
    </row>
    <row r="3" spans="1:7" x14ac:dyDescent="0.25">
      <c r="A3">
        <v>3</v>
      </c>
      <c r="B3">
        <v>5</v>
      </c>
      <c r="C3">
        <v>3</v>
      </c>
      <c r="D3">
        <v>5</v>
      </c>
      <c r="F3" t="s">
        <v>14</v>
      </c>
      <c r="G3">
        <f>COUNT(A:A)</f>
        <v>97</v>
      </c>
    </row>
    <row r="4" spans="1:7" x14ac:dyDescent="0.25">
      <c r="A4">
        <v>1</v>
      </c>
      <c r="B4">
        <v>2</v>
      </c>
      <c r="C4">
        <v>4</v>
      </c>
      <c r="D4">
        <v>4</v>
      </c>
      <c r="F4" t="s">
        <v>7</v>
      </c>
      <c r="G4">
        <f>AVERAGE(A:A)</f>
        <v>3.134020618556701</v>
      </c>
    </row>
    <row r="5" spans="1:7" x14ac:dyDescent="0.25">
      <c r="A5">
        <v>3</v>
      </c>
      <c r="B5">
        <v>3</v>
      </c>
      <c r="C5">
        <v>3</v>
      </c>
      <c r="D5">
        <v>5</v>
      </c>
      <c r="F5" t="s">
        <v>8</v>
      </c>
      <c r="G5">
        <f>AVERAGE(B:B)</f>
        <v>3.0618556701030926</v>
      </c>
    </row>
    <row r="6" spans="1:7" x14ac:dyDescent="0.25">
      <c r="A6">
        <v>3</v>
      </c>
      <c r="B6">
        <v>3</v>
      </c>
      <c r="C6">
        <v>4</v>
      </c>
      <c r="D6">
        <v>4</v>
      </c>
      <c r="F6" t="s">
        <v>9</v>
      </c>
      <c r="G6">
        <f>AVERAGE(C:C)</f>
        <v>3.1237113402061856</v>
      </c>
    </row>
    <row r="7" spans="1:7" x14ac:dyDescent="0.25">
      <c r="A7">
        <v>3</v>
      </c>
      <c r="B7">
        <v>3</v>
      </c>
      <c r="C7">
        <v>2</v>
      </c>
      <c r="D7">
        <v>5</v>
      </c>
      <c r="F7" t="s">
        <v>10</v>
      </c>
      <c r="G7">
        <f>AVERAGE(D:D)</f>
        <v>4.1237113402061851</v>
      </c>
    </row>
    <row r="8" spans="1:7" x14ac:dyDescent="0.25">
      <c r="A8">
        <v>3</v>
      </c>
      <c r="B8">
        <v>2</v>
      </c>
      <c r="C8">
        <v>3</v>
      </c>
      <c r="D8">
        <v>3</v>
      </c>
      <c r="F8" t="s">
        <v>15</v>
      </c>
      <c r="G8">
        <f>AVERAGE(G4:G7)</f>
        <v>3.3608247422680408</v>
      </c>
    </row>
    <row r="9" spans="1:7" x14ac:dyDescent="0.25">
      <c r="A9">
        <v>4</v>
      </c>
      <c r="B9">
        <v>1</v>
      </c>
      <c r="C9">
        <v>4</v>
      </c>
      <c r="D9">
        <v>5</v>
      </c>
    </row>
    <row r="10" spans="1:7" x14ac:dyDescent="0.25">
      <c r="A10">
        <v>3</v>
      </c>
      <c r="B10">
        <v>3</v>
      </c>
      <c r="C10">
        <v>4</v>
      </c>
      <c r="D10">
        <v>3</v>
      </c>
    </row>
    <row r="11" spans="1:7" x14ac:dyDescent="0.25">
      <c r="A11">
        <v>5</v>
      </c>
      <c r="B11">
        <v>3</v>
      </c>
      <c r="C11">
        <v>4</v>
      </c>
      <c r="D11">
        <v>5</v>
      </c>
      <c r="F11" s="2" t="s">
        <v>12</v>
      </c>
      <c r="G11" s="2"/>
    </row>
    <row r="12" spans="1:7" x14ac:dyDescent="0.25">
      <c r="A12">
        <v>1</v>
      </c>
      <c r="B12">
        <v>3</v>
      </c>
      <c r="C12">
        <v>3</v>
      </c>
      <c r="D12">
        <v>5</v>
      </c>
      <c r="F12" s="3" t="s">
        <v>17</v>
      </c>
    </row>
    <row r="13" spans="1:7" x14ac:dyDescent="0.25">
      <c r="A13">
        <v>2</v>
      </c>
      <c r="B13">
        <v>2</v>
      </c>
      <c r="C13">
        <v>2</v>
      </c>
      <c r="D13">
        <v>4</v>
      </c>
      <c r="F13" s="3" t="s">
        <v>18</v>
      </c>
    </row>
    <row r="14" spans="1:7" x14ac:dyDescent="0.25">
      <c r="A14">
        <v>5</v>
      </c>
      <c r="B14">
        <v>2</v>
      </c>
      <c r="C14">
        <v>3</v>
      </c>
      <c r="D14">
        <v>4</v>
      </c>
    </row>
    <row r="15" spans="1:7" x14ac:dyDescent="0.25">
      <c r="A15">
        <v>2</v>
      </c>
      <c r="B15">
        <v>5</v>
      </c>
      <c r="C15">
        <v>3</v>
      </c>
      <c r="D15">
        <v>4</v>
      </c>
    </row>
    <row r="16" spans="1:7" x14ac:dyDescent="0.25">
      <c r="A16">
        <v>3</v>
      </c>
      <c r="B16">
        <v>4</v>
      </c>
      <c r="C16">
        <v>1</v>
      </c>
      <c r="D16">
        <v>5</v>
      </c>
    </row>
    <row r="17" spans="1:7" x14ac:dyDescent="0.25">
      <c r="A17">
        <v>4</v>
      </c>
      <c r="B17">
        <v>3</v>
      </c>
      <c r="C17">
        <v>3</v>
      </c>
      <c r="D17">
        <v>4</v>
      </c>
      <c r="F17" t="s">
        <v>11</v>
      </c>
      <c r="G17">
        <f>G3*((G4-G8)^2+(G5-G8)^2+(G6-G8)^2+(G7-G8)^2)</f>
        <v>75.567010309278302</v>
      </c>
    </row>
    <row r="18" spans="1:7" x14ac:dyDescent="0.25">
      <c r="A18">
        <v>4</v>
      </c>
      <c r="B18">
        <v>3</v>
      </c>
      <c r="C18">
        <v>5</v>
      </c>
      <c r="D18">
        <v>2</v>
      </c>
    </row>
    <row r="19" spans="1:7" x14ac:dyDescent="0.25">
      <c r="A19">
        <v>3</v>
      </c>
      <c r="B19">
        <v>5</v>
      </c>
      <c r="C19">
        <v>4</v>
      </c>
      <c r="D19">
        <v>5</v>
      </c>
    </row>
    <row r="20" spans="1:7" x14ac:dyDescent="0.25">
      <c r="A20">
        <v>2</v>
      </c>
      <c r="B20">
        <v>4</v>
      </c>
      <c r="C20">
        <v>2</v>
      </c>
      <c r="D20">
        <v>3</v>
      </c>
      <c r="F20" s="2" t="s">
        <v>19</v>
      </c>
      <c r="G20" s="2"/>
    </row>
    <row r="21" spans="1:7" x14ac:dyDescent="0.25">
      <c r="A21">
        <v>4</v>
      </c>
      <c r="B21">
        <v>3</v>
      </c>
      <c r="C21">
        <v>2</v>
      </c>
      <c r="D21">
        <v>4</v>
      </c>
      <c r="F21" t="s">
        <v>20</v>
      </c>
    </row>
    <row r="22" spans="1:7" x14ac:dyDescent="0.25">
      <c r="A22">
        <v>3</v>
      </c>
      <c r="B22">
        <v>1</v>
      </c>
      <c r="C22">
        <v>4</v>
      </c>
      <c r="D22">
        <v>4</v>
      </c>
      <c r="F22" t="s">
        <v>16</v>
      </c>
      <c r="G22">
        <v>4</v>
      </c>
    </row>
    <row r="23" spans="1:7" x14ac:dyDescent="0.25">
      <c r="A23">
        <v>4</v>
      </c>
      <c r="B23">
        <v>2</v>
      </c>
      <c r="C23">
        <v>4</v>
      </c>
      <c r="D23">
        <v>3</v>
      </c>
    </row>
    <row r="24" spans="1:7" x14ac:dyDescent="0.25">
      <c r="A24">
        <v>5</v>
      </c>
      <c r="B24">
        <v>5</v>
      </c>
      <c r="C24">
        <v>4</v>
      </c>
      <c r="D24">
        <v>5</v>
      </c>
    </row>
    <row r="25" spans="1:7" x14ac:dyDescent="0.25">
      <c r="A25">
        <v>4</v>
      </c>
      <c r="B25">
        <v>3</v>
      </c>
      <c r="C25">
        <v>5</v>
      </c>
      <c r="D25">
        <v>5</v>
      </c>
      <c r="F25" t="s">
        <v>0</v>
      </c>
      <c r="G25">
        <f>G22-1</f>
        <v>3</v>
      </c>
    </row>
    <row r="26" spans="1:7" x14ac:dyDescent="0.25">
      <c r="A26">
        <v>4</v>
      </c>
      <c r="B26">
        <v>3</v>
      </c>
      <c r="C26">
        <v>3</v>
      </c>
      <c r="D26">
        <v>5</v>
      </c>
    </row>
    <row r="27" spans="1:7" x14ac:dyDescent="0.25">
      <c r="A27">
        <v>5</v>
      </c>
      <c r="B27">
        <v>3</v>
      </c>
      <c r="C27">
        <v>5</v>
      </c>
      <c r="D27">
        <v>5</v>
      </c>
    </row>
    <row r="28" spans="1:7" x14ac:dyDescent="0.25">
      <c r="A28">
        <v>3</v>
      </c>
      <c r="B28">
        <v>1</v>
      </c>
      <c r="C28">
        <v>2</v>
      </c>
      <c r="D28">
        <v>5</v>
      </c>
      <c r="F28" s="2" t="s">
        <v>21</v>
      </c>
      <c r="G28" s="2"/>
    </row>
    <row r="29" spans="1:7" x14ac:dyDescent="0.25">
      <c r="A29">
        <v>3</v>
      </c>
      <c r="B29">
        <v>3</v>
      </c>
      <c r="C29">
        <v>4</v>
      </c>
      <c r="D29">
        <v>3</v>
      </c>
      <c r="F29" t="s">
        <v>22</v>
      </c>
    </row>
    <row r="30" spans="1:7" x14ac:dyDescent="0.25">
      <c r="A30">
        <v>2</v>
      </c>
      <c r="B30">
        <v>2</v>
      </c>
      <c r="C30">
        <v>2</v>
      </c>
      <c r="D30">
        <v>4</v>
      </c>
    </row>
    <row r="31" spans="1:7" x14ac:dyDescent="0.25">
      <c r="A31">
        <v>2</v>
      </c>
      <c r="B31">
        <v>2</v>
      </c>
      <c r="C31">
        <v>3</v>
      </c>
      <c r="D31">
        <v>5</v>
      </c>
    </row>
    <row r="32" spans="1:7" x14ac:dyDescent="0.25">
      <c r="A32">
        <v>5</v>
      </c>
      <c r="B32">
        <v>5</v>
      </c>
      <c r="C32">
        <v>3</v>
      </c>
      <c r="D32">
        <v>4</v>
      </c>
    </row>
    <row r="33" spans="1:7" x14ac:dyDescent="0.25">
      <c r="A33">
        <v>3</v>
      </c>
      <c r="B33">
        <v>4</v>
      </c>
      <c r="C33">
        <v>3</v>
      </c>
      <c r="D33">
        <v>4</v>
      </c>
    </row>
    <row r="34" spans="1:7" x14ac:dyDescent="0.25">
      <c r="A34">
        <v>4</v>
      </c>
      <c r="B34">
        <v>4</v>
      </c>
      <c r="C34">
        <v>4</v>
      </c>
      <c r="D34">
        <v>5</v>
      </c>
      <c r="F34" t="s">
        <v>1</v>
      </c>
      <c r="G34">
        <f>G17/G25</f>
        <v>25.189003436426102</v>
      </c>
    </row>
    <row r="35" spans="1:7" x14ac:dyDescent="0.25">
      <c r="A35">
        <v>4</v>
      </c>
      <c r="B35">
        <v>5</v>
      </c>
      <c r="C35">
        <v>5</v>
      </c>
      <c r="D35">
        <v>5</v>
      </c>
    </row>
    <row r="36" spans="1:7" x14ac:dyDescent="0.25">
      <c r="A36">
        <v>4</v>
      </c>
      <c r="B36">
        <v>3</v>
      </c>
      <c r="C36">
        <v>3</v>
      </c>
      <c r="D36">
        <v>5</v>
      </c>
    </row>
    <row r="37" spans="1:7" x14ac:dyDescent="0.25">
      <c r="A37">
        <v>2</v>
      </c>
      <c r="B37">
        <v>5</v>
      </c>
      <c r="C37">
        <v>2</v>
      </c>
      <c r="D37">
        <v>4</v>
      </c>
      <c r="F37" s="2" t="s">
        <v>26</v>
      </c>
      <c r="G37" s="2"/>
    </row>
    <row r="38" spans="1:7" x14ac:dyDescent="0.25">
      <c r="A38">
        <v>3</v>
      </c>
      <c r="B38">
        <v>1</v>
      </c>
      <c r="C38">
        <v>5</v>
      </c>
      <c r="D38">
        <v>5</v>
      </c>
      <c r="F38" t="s">
        <v>23</v>
      </c>
    </row>
    <row r="39" spans="1:7" x14ac:dyDescent="0.25">
      <c r="A39">
        <v>2</v>
      </c>
      <c r="B39">
        <v>4</v>
      </c>
      <c r="C39">
        <v>5</v>
      </c>
      <c r="D39">
        <v>1</v>
      </c>
      <c r="F39" t="s">
        <v>24</v>
      </c>
    </row>
    <row r="40" spans="1:7" x14ac:dyDescent="0.25">
      <c r="A40">
        <v>3</v>
      </c>
      <c r="B40">
        <v>1</v>
      </c>
      <c r="C40">
        <v>2</v>
      </c>
      <c r="D40">
        <v>5</v>
      </c>
    </row>
    <row r="41" spans="1:7" x14ac:dyDescent="0.25">
      <c r="A41">
        <v>3</v>
      </c>
      <c r="B41">
        <v>2</v>
      </c>
      <c r="C41">
        <v>2</v>
      </c>
      <c r="D41">
        <v>5</v>
      </c>
    </row>
    <row r="42" spans="1:7" x14ac:dyDescent="0.25">
      <c r="A42">
        <v>2</v>
      </c>
      <c r="B42">
        <v>5</v>
      </c>
      <c r="C42">
        <v>1</v>
      </c>
      <c r="D42">
        <v>3</v>
      </c>
    </row>
    <row r="43" spans="1:7" x14ac:dyDescent="0.25">
      <c r="A43">
        <v>4</v>
      </c>
      <c r="B43">
        <v>3</v>
      </c>
      <c r="C43">
        <v>3</v>
      </c>
      <c r="D43">
        <v>3</v>
      </c>
    </row>
    <row r="44" spans="1:7" x14ac:dyDescent="0.25">
      <c r="A44">
        <v>3</v>
      </c>
      <c r="B44">
        <v>2</v>
      </c>
      <c r="C44">
        <v>3</v>
      </c>
      <c r="D44">
        <v>4</v>
      </c>
      <c r="F44" t="s">
        <v>3</v>
      </c>
      <c r="G44">
        <f>DEVSQ(A:A)+DEVSQ(B:B)+DEVSQ(C:C)+DEVSQ(D:D)</f>
        <v>489.91752577319596</v>
      </c>
    </row>
    <row r="45" spans="1:7" x14ac:dyDescent="0.25">
      <c r="A45">
        <v>5</v>
      </c>
      <c r="B45">
        <v>5</v>
      </c>
      <c r="C45">
        <v>4</v>
      </c>
      <c r="D45">
        <v>5</v>
      </c>
    </row>
    <row r="46" spans="1:7" x14ac:dyDescent="0.25">
      <c r="A46">
        <v>3</v>
      </c>
      <c r="B46">
        <v>4</v>
      </c>
      <c r="C46">
        <v>3</v>
      </c>
      <c r="D46">
        <v>5</v>
      </c>
    </row>
    <row r="47" spans="1:7" x14ac:dyDescent="0.25">
      <c r="A47">
        <v>2</v>
      </c>
      <c r="B47">
        <v>4</v>
      </c>
      <c r="C47">
        <v>2</v>
      </c>
      <c r="D47">
        <v>3</v>
      </c>
      <c r="F47" s="2" t="s">
        <v>25</v>
      </c>
      <c r="G47" s="2"/>
    </row>
    <row r="48" spans="1:7" x14ac:dyDescent="0.25">
      <c r="A48">
        <v>1</v>
      </c>
      <c r="B48">
        <v>2</v>
      </c>
      <c r="C48">
        <v>2</v>
      </c>
      <c r="D48">
        <v>5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3</v>
      </c>
      <c r="C49">
        <v>2</v>
      </c>
      <c r="D49">
        <v>4</v>
      </c>
      <c r="F49" t="s">
        <v>16</v>
      </c>
      <c r="G49">
        <f>G22</f>
        <v>4</v>
      </c>
    </row>
    <row r="50" spans="1:7" x14ac:dyDescent="0.25">
      <c r="A50">
        <v>3</v>
      </c>
      <c r="B50">
        <v>2</v>
      </c>
      <c r="C50">
        <v>3</v>
      </c>
      <c r="D50">
        <v>5</v>
      </c>
    </row>
    <row r="51" spans="1:7" x14ac:dyDescent="0.25">
      <c r="A51">
        <v>2</v>
      </c>
      <c r="B51">
        <v>3</v>
      </c>
      <c r="C51">
        <v>2</v>
      </c>
      <c r="D51">
        <v>4</v>
      </c>
    </row>
    <row r="52" spans="1:7" x14ac:dyDescent="0.25">
      <c r="A52">
        <v>4</v>
      </c>
      <c r="B52">
        <v>3</v>
      </c>
      <c r="C52">
        <v>4</v>
      </c>
      <c r="D52">
        <v>4</v>
      </c>
    </row>
    <row r="53" spans="1:7" x14ac:dyDescent="0.25">
      <c r="A53">
        <v>4</v>
      </c>
      <c r="B53">
        <v>1</v>
      </c>
      <c r="C53">
        <v>5</v>
      </c>
      <c r="D53">
        <v>4</v>
      </c>
    </row>
    <row r="54" spans="1:7" x14ac:dyDescent="0.25">
      <c r="A54">
        <v>2</v>
      </c>
      <c r="B54">
        <v>5</v>
      </c>
      <c r="C54">
        <v>3</v>
      </c>
      <c r="D54">
        <v>4</v>
      </c>
      <c r="F54" t="s">
        <v>4</v>
      </c>
      <c r="G54">
        <f>G48-G49</f>
        <v>384</v>
      </c>
    </row>
    <row r="55" spans="1:7" x14ac:dyDescent="0.25">
      <c r="A55">
        <v>5</v>
      </c>
      <c r="B55">
        <v>3</v>
      </c>
      <c r="C55">
        <v>3</v>
      </c>
      <c r="D55">
        <v>5</v>
      </c>
    </row>
    <row r="56" spans="1:7" x14ac:dyDescent="0.25">
      <c r="A56">
        <v>1</v>
      </c>
      <c r="B56">
        <v>2</v>
      </c>
      <c r="C56">
        <v>3</v>
      </c>
      <c r="D56">
        <v>5</v>
      </c>
    </row>
    <row r="57" spans="1:7" x14ac:dyDescent="0.25">
      <c r="A57">
        <v>1</v>
      </c>
      <c r="B57">
        <v>3</v>
      </c>
      <c r="C57">
        <v>3</v>
      </c>
      <c r="D57">
        <v>5</v>
      </c>
      <c r="F57" s="2" t="s">
        <v>28</v>
      </c>
      <c r="G57" s="2"/>
    </row>
    <row r="58" spans="1:7" x14ac:dyDescent="0.25">
      <c r="A58">
        <v>4</v>
      </c>
      <c r="B58">
        <v>2</v>
      </c>
      <c r="C58">
        <v>3</v>
      </c>
      <c r="D58">
        <v>4</v>
      </c>
      <c r="F58" t="s">
        <v>29</v>
      </c>
    </row>
    <row r="59" spans="1:7" x14ac:dyDescent="0.25">
      <c r="A59">
        <v>4</v>
      </c>
      <c r="B59">
        <v>1</v>
      </c>
      <c r="C59">
        <v>5</v>
      </c>
      <c r="D59">
        <v>5</v>
      </c>
    </row>
    <row r="60" spans="1:7" x14ac:dyDescent="0.25">
      <c r="A60">
        <v>2</v>
      </c>
      <c r="B60">
        <v>5</v>
      </c>
      <c r="C60">
        <v>5</v>
      </c>
      <c r="D60">
        <v>5</v>
      </c>
    </row>
    <row r="61" spans="1:7" x14ac:dyDescent="0.25">
      <c r="A61">
        <v>1</v>
      </c>
      <c r="B61">
        <v>4</v>
      </c>
      <c r="C61">
        <v>2</v>
      </c>
      <c r="D61">
        <v>4</v>
      </c>
    </row>
    <row r="62" spans="1:7" x14ac:dyDescent="0.25">
      <c r="A62">
        <v>5</v>
      </c>
      <c r="B62">
        <v>2</v>
      </c>
      <c r="C62">
        <v>5</v>
      </c>
      <c r="D62">
        <v>4</v>
      </c>
    </row>
    <row r="63" spans="1:7" x14ac:dyDescent="0.25">
      <c r="A63">
        <v>5</v>
      </c>
      <c r="B63">
        <v>2</v>
      </c>
      <c r="C63">
        <v>3</v>
      </c>
      <c r="D63">
        <v>3</v>
      </c>
    </row>
    <row r="64" spans="1:7" x14ac:dyDescent="0.25">
      <c r="A64">
        <v>4</v>
      </c>
      <c r="B64">
        <v>2</v>
      </c>
      <c r="C64">
        <v>4</v>
      </c>
      <c r="D64">
        <v>5</v>
      </c>
      <c r="F64" t="s">
        <v>5</v>
      </c>
      <c r="G64">
        <f>G44/G54</f>
        <v>1.2758268900343646</v>
      </c>
    </row>
    <row r="65" spans="1:7" x14ac:dyDescent="0.25">
      <c r="A65">
        <v>1</v>
      </c>
      <c r="B65">
        <v>2</v>
      </c>
      <c r="C65">
        <v>2</v>
      </c>
      <c r="D65">
        <v>4</v>
      </c>
    </row>
    <row r="66" spans="1:7" x14ac:dyDescent="0.25">
      <c r="A66">
        <v>5</v>
      </c>
      <c r="B66">
        <v>3</v>
      </c>
      <c r="C66">
        <v>3</v>
      </c>
      <c r="D66">
        <v>4</v>
      </c>
    </row>
    <row r="67" spans="1:7" x14ac:dyDescent="0.25">
      <c r="A67">
        <v>5</v>
      </c>
      <c r="B67">
        <v>2</v>
      </c>
      <c r="C67">
        <v>3</v>
      </c>
      <c r="D67">
        <v>5</v>
      </c>
      <c r="F67" s="2" t="s">
        <v>30</v>
      </c>
      <c r="G67" s="2"/>
    </row>
    <row r="68" spans="1:7" x14ac:dyDescent="0.25">
      <c r="A68">
        <v>3</v>
      </c>
      <c r="B68">
        <v>5</v>
      </c>
      <c r="C68">
        <v>4</v>
      </c>
      <c r="D68">
        <v>5</v>
      </c>
      <c r="F68" t="s">
        <v>31</v>
      </c>
    </row>
    <row r="69" spans="1:7" x14ac:dyDescent="0.25">
      <c r="A69">
        <v>1</v>
      </c>
      <c r="B69">
        <v>3</v>
      </c>
      <c r="C69">
        <v>2</v>
      </c>
      <c r="D69">
        <v>4</v>
      </c>
      <c r="F69" t="s">
        <v>32</v>
      </c>
    </row>
    <row r="70" spans="1:7" x14ac:dyDescent="0.25">
      <c r="A70">
        <v>5</v>
      </c>
      <c r="B70">
        <v>2</v>
      </c>
      <c r="C70">
        <v>3</v>
      </c>
      <c r="D70">
        <v>5</v>
      </c>
    </row>
    <row r="71" spans="1:7" x14ac:dyDescent="0.25">
      <c r="A71">
        <v>1</v>
      </c>
      <c r="B71">
        <v>3</v>
      </c>
      <c r="C71">
        <v>2</v>
      </c>
      <c r="D71">
        <v>4</v>
      </c>
    </row>
    <row r="72" spans="1:7" x14ac:dyDescent="0.25">
      <c r="A72">
        <v>4</v>
      </c>
      <c r="B72">
        <v>1</v>
      </c>
      <c r="C72">
        <v>1</v>
      </c>
      <c r="D72">
        <v>3</v>
      </c>
    </row>
    <row r="73" spans="1:7" x14ac:dyDescent="0.25">
      <c r="A73">
        <v>5</v>
      </c>
      <c r="B73">
        <v>3</v>
      </c>
      <c r="C73">
        <v>4</v>
      </c>
      <c r="D73">
        <v>1</v>
      </c>
    </row>
    <row r="74" spans="1:7" x14ac:dyDescent="0.25">
      <c r="A74">
        <v>1</v>
      </c>
      <c r="B74">
        <v>2</v>
      </c>
      <c r="C74">
        <v>3</v>
      </c>
      <c r="D74">
        <v>3</v>
      </c>
      <c r="F74" t="s">
        <v>2</v>
      </c>
      <c r="G74">
        <f>G34/G64</f>
        <v>19.74327679811454</v>
      </c>
    </row>
    <row r="75" spans="1:7" x14ac:dyDescent="0.25">
      <c r="A75">
        <v>3</v>
      </c>
      <c r="B75">
        <v>3</v>
      </c>
      <c r="C75">
        <v>3</v>
      </c>
      <c r="D75">
        <v>4</v>
      </c>
    </row>
    <row r="76" spans="1:7" x14ac:dyDescent="0.25">
      <c r="A76">
        <v>3</v>
      </c>
      <c r="B76">
        <v>5</v>
      </c>
      <c r="C76">
        <v>4</v>
      </c>
      <c r="D76">
        <v>4</v>
      </c>
    </row>
    <row r="77" spans="1:7" x14ac:dyDescent="0.25">
      <c r="A77">
        <v>4</v>
      </c>
      <c r="B77">
        <v>3</v>
      </c>
      <c r="C77">
        <v>2</v>
      </c>
      <c r="D77">
        <v>4</v>
      </c>
      <c r="F77" s="2" t="s">
        <v>35</v>
      </c>
      <c r="G77" s="2"/>
    </row>
    <row r="78" spans="1:7" x14ac:dyDescent="0.25">
      <c r="A78">
        <v>3</v>
      </c>
      <c r="B78">
        <v>3</v>
      </c>
      <c r="C78">
        <v>4</v>
      </c>
      <c r="D78">
        <v>4</v>
      </c>
    </row>
    <row r="79" spans="1:7" x14ac:dyDescent="0.25">
      <c r="A79">
        <v>4</v>
      </c>
      <c r="B79">
        <v>3</v>
      </c>
      <c r="C79">
        <v>3</v>
      </c>
      <c r="D79">
        <v>3</v>
      </c>
      <c r="F79" s="4" t="s">
        <v>33</v>
      </c>
      <c r="G79">
        <v>0.05</v>
      </c>
    </row>
    <row r="80" spans="1:7" x14ac:dyDescent="0.25">
      <c r="A80">
        <v>3</v>
      </c>
      <c r="B80">
        <v>3</v>
      </c>
      <c r="C80">
        <v>3</v>
      </c>
      <c r="D80">
        <v>5</v>
      </c>
      <c r="F80" t="s">
        <v>0</v>
      </c>
      <c r="G80">
        <f xml:space="preserve"> G25</f>
        <v>3</v>
      </c>
    </row>
    <row r="81" spans="1:7" x14ac:dyDescent="0.25">
      <c r="A81">
        <v>3</v>
      </c>
      <c r="B81">
        <v>4</v>
      </c>
      <c r="C81">
        <v>5</v>
      </c>
      <c r="D81">
        <v>4</v>
      </c>
      <c r="F81" t="s">
        <v>4</v>
      </c>
      <c r="G81">
        <f xml:space="preserve"> G54</f>
        <v>384</v>
      </c>
    </row>
    <row r="82" spans="1:7" x14ac:dyDescent="0.25">
      <c r="A82">
        <v>2</v>
      </c>
      <c r="B82">
        <v>3</v>
      </c>
      <c r="C82">
        <v>2</v>
      </c>
      <c r="D82">
        <v>5</v>
      </c>
      <c r="F82" t="s">
        <v>34</v>
      </c>
      <c r="G82">
        <f>FINV(G79, G80, G81)</f>
        <v>2.6281486844038939</v>
      </c>
    </row>
    <row r="83" spans="1:7" x14ac:dyDescent="0.25">
      <c r="A83">
        <v>1</v>
      </c>
      <c r="B83">
        <v>5</v>
      </c>
      <c r="C83">
        <v>2</v>
      </c>
      <c r="D83">
        <v>4</v>
      </c>
      <c r="F83" t="s">
        <v>36</v>
      </c>
      <c r="G83">
        <f>_xlfn.F.DIST.RT(G74, G80, G81)</f>
        <v>6.3658765488498821E-12</v>
      </c>
    </row>
    <row r="84" spans="1:7" x14ac:dyDescent="0.25">
      <c r="A84">
        <v>3</v>
      </c>
      <c r="B84">
        <v>2</v>
      </c>
      <c r="C84">
        <v>1</v>
      </c>
      <c r="D84">
        <v>5</v>
      </c>
    </row>
    <row r="85" spans="1:7" x14ac:dyDescent="0.25">
      <c r="A85">
        <v>3</v>
      </c>
      <c r="B85">
        <v>3</v>
      </c>
      <c r="C85">
        <v>3</v>
      </c>
      <c r="D85">
        <v>4</v>
      </c>
      <c r="F85" s="2" t="s">
        <v>6</v>
      </c>
      <c r="G85" s="2"/>
    </row>
    <row r="86" spans="1:7" x14ac:dyDescent="0.25">
      <c r="A86">
        <v>3</v>
      </c>
      <c r="B86">
        <v>3</v>
      </c>
      <c r="C86">
        <v>3</v>
      </c>
      <c r="D86">
        <v>4</v>
      </c>
    </row>
    <row r="87" spans="1:7" x14ac:dyDescent="0.25">
      <c r="A87">
        <v>2</v>
      </c>
      <c r="B87">
        <v>4</v>
      </c>
      <c r="C87">
        <v>1</v>
      </c>
      <c r="D87">
        <v>4</v>
      </c>
      <c r="F87" t="s">
        <v>40</v>
      </c>
    </row>
    <row r="88" spans="1:7" x14ac:dyDescent="0.25">
      <c r="A88">
        <v>5</v>
      </c>
      <c r="B88">
        <v>3</v>
      </c>
      <c r="C88">
        <v>2</v>
      </c>
      <c r="D88">
        <v>5</v>
      </c>
      <c r="F88" t="s">
        <v>41</v>
      </c>
    </row>
    <row r="89" spans="1:7" x14ac:dyDescent="0.25">
      <c r="A89">
        <v>3</v>
      </c>
      <c r="B89">
        <v>1</v>
      </c>
      <c r="C89">
        <v>4</v>
      </c>
      <c r="D89">
        <v>2</v>
      </c>
    </row>
    <row r="90" spans="1:7" x14ac:dyDescent="0.25">
      <c r="A90">
        <v>5</v>
      </c>
      <c r="B90">
        <v>5</v>
      </c>
      <c r="C90">
        <v>3</v>
      </c>
      <c r="D90">
        <v>5</v>
      </c>
      <c r="F90" t="str">
        <f>"Si F calculado ("&amp;G74&amp;") &gt; F critico ("&amp;G82&amp;") ---&gt; Se rechaza la hipotesis nula"</f>
        <v>Si F calculado (19.7432767981145) &gt; F critico (2.62814868440389) ---&gt; Se rechaza la hipotesis nula</v>
      </c>
    </row>
    <row r="91" spans="1:7" x14ac:dyDescent="0.25">
      <c r="A91">
        <v>2</v>
      </c>
      <c r="B91">
        <v>4</v>
      </c>
      <c r="C91">
        <v>4</v>
      </c>
      <c r="D91">
        <v>3</v>
      </c>
      <c r="F91" t="str">
        <f>"Si p-valor ("&amp;G83&amp;") &lt; α Nivel Significancia ("&amp;G79&amp;") ---&gt; Se rechaza la hipotesis nula"</f>
        <v>Si p-valor (6.36587654884988E-12) &lt; α Nivel Significancia (0.05) ---&gt; Se rechaza la hipotesis nula</v>
      </c>
    </row>
    <row r="92" spans="1:7" x14ac:dyDescent="0.25">
      <c r="A92">
        <v>1</v>
      </c>
      <c r="B92">
        <v>2</v>
      </c>
      <c r="C92">
        <v>3</v>
      </c>
      <c r="D92">
        <v>3</v>
      </c>
    </row>
    <row r="93" spans="1:7" x14ac:dyDescent="0.25">
      <c r="A93">
        <v>3</v>
      </c>
      <c r="B93">
        <v>5</v>
      </c>
      <c r="C93">
        <v>2</v>
      </c>
      <c r="D93">
        <v>5</v>
      </c>
    </row>
    <row r="94" spans="1:7" x14ac:dyDescent="0.25">
      <c r="A94">
        <v>4</v>
      </c>
      <c r="B94">
        <v>2</v>
      </c>
      <c r="C94">
        <v>3</v>
      </c>
      <c r="D94">
        <v>3</v>
      </c>
      <c r="F94" s="2" t="s">
        <v>37</v>
      </c>
    </row>
    <row r="95" spans="1:7" x14ac:dyDescent="0.25">
      <c r="A95">
        <v>3</v>
      </c>
      <c r="B95">
        <v>3</v>
      </c>
      <c r="C95">
        <v>5</v>
      </c>
      <c r="D95">
        <v>2</v>
      </c>
      <c r="F95" t="s">
        <v>38</v>
      </c>
    </row>
    <row r="96" spans="1:7" x14ac:dyDescent="0.25">
      <c r="A96">
        <v>3</v>
      </c>
      <c r="B96">
        <v>5</v>
      </c>
      <c r="C96">
        <v>2</v>
      </c>
      <c r="D96">
        <v>5</v>
      </c>
      <c r="F96" t="s">
        <v>39</v>
      </c>
    </row>
    <row r="97" spans="1:4" x14ac:dyDescent="0.25">
      <c r="A97">
        <v>5</v>
      </c>
      <c r="B97">
        <v>3</v>
      </c>
      <c r="C97">
        <v>1</v>
      </c>
      <c r="D97">
        <v>3</v>
      </c>
    </row>
    <row r="98" spans="1:4" x14ac:dyDescent="0.25">
      <c r="A98">
        <v>3</v>
      </c>
      <c r="B98">
        <v>5</v>
      </c>
      <c r="C98">
        <v>4</v>
      </c>
      <c r="D98">
        <v>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4</v>
      </c>
      <c r="B2">
        <v>4</v>
      </c>
      <c r="C2">
        <v>3</v>
      </c>
      <c r="D2">
        <v>4</v>
      </c>
      <c r="F2" s="2" t="s">
        <v>13</v>
      </c>
      <c r="G2" s="2"/>
    </row>
    <row r="3" spans="1:7" x14ac:dyDescent="0.25">
      <c r="A3">
        <v>4</v>
      </c>
      <c r="B3">
        <v>4</v>
      </c>
      <c r="C3">
        <v>3</v>
      </c>
      <c r="D3">
        <v>3</v>
      </c>
      <c r="F3" t="s">
        <v>14</v>
      </c>
      <c r="G3">
        <f>COUNT(A:A)</f>
        <v>97</v>
      </c>
    </row>
    <row r="4" spans="1:7" x14ac:dyDescent="0.25">
      <c r="A4">
        <v>3</v>
      </c>
      <c r="B4">
        <v>4</v>
      </c>
      <c r="C4">
        <v>5</v>
      </c>
      <c r="D4">
        <v>3</v>
      </c>
      <c r="F4" t="s">
        <v>7</v>
      </c>
      <c r="G4">
        <f>AVERAGE(A:A)</f>
        <v>3.1546391752577319</v>
      </c>
    </row>
    <row r="5" spans="1:7" x14ac:dyDescent="0.25">
      <c r="A5">
        <v>3</v>
      </c>
      <c r="B5">
        <v>2</v>
      </c>
      <c r="C5">
        <v>3</v>
      </c>
      <c r="D5">
        <v>5</v>
      </c>
      <c r="F5" t="s">
        <v>8</v>
      </c>
      <c r="G5">
        <f>AVERAGE(B:B)</f>
        <v>3.0927835051546393</v>
      </c>
    </row>
    <row r="6" spans="1:7" x14ac:dyDescent="0.25">
      <c r="A6">
        <v>5</v>
      </c>
      <c r="B6">
        <v>1</v>
      </c>
      <c r="C6">
        <v>4</v>
      </c>
      <c r="D6">
        <v>3</v>
      </c>
      <c r="F6" t="s">
        <v>9</v>
      </c>
      <c r="G6">
        <f>AVERAGE(C:C)</f>
        <v>2.9587628865979383</v>
      </c>
    </row>
    <row r="7" spans="1:7" x14ac:dyDescent="0.25">
      <c r="A7">
        <v>3</v>
      </c>
      <c r="B7">
        <v>5</v>
      </c>
      <c r="C7">
        <v>2</v>
      </c>
      <c r="D7">
        <v>5</v>
      </c>
      <c r="F7" t="s">
        <v>10</v>
      </c>
      <c r="G7">
        <f>AVERAGE(D:D)</f>
        <v>4.072164948453608</v>
      </c>
    </row>
    <row r="8" spans="1:7" x14ac:dyDescent="0.25">
      <c r="A8">
        <v>4</v>
      </c>
      <c r="B8">
        <v>4</v>
      </c>
      <c r="C8">
        <v>4</v>
      </c>
      <c r="D8">
        <v>3</v>
      </c>
      <c r="F8" t="s">
        <v>15</v>
      </c>
      <c r="G8">
        <f>AVERAGE(G4:G7)</f>
        <v>3.3195876288659791</v>
      </c>
    </row>
    <row r="9" spans="1:7" x14ac:dyDescent="0.25">
      <c r="A9">
        <v>3</v>
      </c>
      <c r="B9">
        <v>2</v>
      </c>
      <c r="C9">
        <v>3</v>
      </c>
      <c r="D9">
        <v>4</v>
      </c>
    </row>
    <row r="10" spans="1:7" x14ac:dyDescent="0.25">
      <c r="A10">
        <v>5</v>
      </c>
      <c r="B10">
        <v>1</v>
      </c>
      <c r="C10">
        <v>2</v>
      </c>
      <c r="D10">
        <v>5</v>
      </c>
    </row>
    <row r="11" spans="1:7" x14ac:dyDescent="0.25">
      <c r="A11">
        <v>4</v>
      </c>
      <c r="B11">
        <v>4</v>
      </c>
      <c r="C11">
        <v>4</v>
      </c>
      <c r="D11">
        <v>1</v>
      </c>
      <c r="F11" s="2" t="s">
        <v>12</v>
      </c>
      <c r="G11" s="2"/>
    </row>
    <row r="12" spans="1:7" x14ac:dyDescent="0.25">
      <c r="A12">
        <v>3</v>
      </c>
      <c r="B12">
        <v>2</v>
      </c>
      <c r="C12">
        <v>2</v>
      </c>
      <c r="D12">
        <v>4</v>
      </c>
      <c r="F12" s="3" t="s">
        <v>17</v>
      </c>
    </row>
    <row r="13" spans="1:7" x14ac:dyDescent="0.25">
      <c r="A13">
        <v>3</v>
      </c>
      <c r="B13">
        <v>3</v>
      </c>
      <c r="C13">
        <v>2</v>
      </c>
      <c r="D13">
        <v>4</v>
      </c>
      <c r="F13" s="3" t="s">
        <v>18</v>
      </c>
    </row>
    <row r="14" spans="1:7" x14ac:dyDescent="0.25">
      <c r="A14">
        <v>3</v>
      </c>
      <c r="B14">
        <v>5</v>
      </c>
      <c r="C14">
        <v>5</v>
      </c>
      <c r="D14">
        <v>5</v>
      </c>
    </row>
    <row r="15" spans="1:7" x14ac:dyDescent="0.25">
      <c r="A15">
        <v>1</v>
      </c>
      <c r="B15">
        <v>2</v>
      </c>
      <c r="C15">
        <v>5</v>
      </c>
      <c r="D15">
        <v>5</v>
      </c>
    </row>
    <row r="16" spans="1:7" x14ac:dyDescent="0.25">
      <c r="A16">
        <v>3</v>
      </c>
      <c r="B16">
        <v>3</v>
      </c>
      <c r="C16">
        <v>5</v>
      </c>
      <c r="D16">
        <v>3</v>
      </c>
    </row>
    <row r="17" spans="1:7" x14ac:dyDescent="0.25">
      <c r="A17">
        <v>1</v>
      </c>
      <c r="B17">
        <v>4</v>
      </c>
      <c r="C17">
        <v>5</v>
      </c>
      <c r="D17">
        <v>4</v>
      </c>
      <c r="F17" t="s">
        <v>11</v>
      </c>
      <c r="G17">
        <f>G3*((G4-G8)^2+(G5-G8)^2+(G6-G8)^2+(G7-G8)^2)</f>
        <v>75.195876288659761</v>
      </c>
    </row>
    <row r="18" spans="1:7" x14ac:dyDescent="0.25">
      <c r="A18">
        <v>5</v>
      </c>
      <c r="B18">
        <v>4</v>
      </c>
      <c r="C18">
        <v>3</v>
      </c>
      <c r="D18">
        <v>5</v>
      </c>
    </row>
    <row r="19" spans="1:7" x14ac:dyDescent="0.25">
      <c r="A19">
        <v>1</v>
      </c>
      <c r="B19">
        <v>3</v>
      </c>
      <c r="C19">
        <v>1</v>
      </c>
      <c r="D19">
        <v>5</v>
      </c>
    </row>
    <row r="20" spans="1:7" x14ac:dyDescent="0.25">
      <c r="A20">
        <v>4</v>
      </c>
      <c r="B20">
        <v>3</v>
      </c>
      <c r="C20">
        <v>3</v>
      </c>
      <c r="D20">
        <v>2</v>
      </c>
      <c r="F20" s="2" t="s">
        <v>19</v>
      </c>
      <c r="G20" s="2"/>
    </row>
    <row r="21" spans="1:7" x14ac:dyDescent="0.25">
      <c r="A21">
        <v>4</v>
      </c>
      <c r="B21">
        <v>3</v>
      </c>
      <c r="C21">
        <v>1</v>
      </c>
      <c r="D21">
        <v>4</v>
      </c>
      <c r="F21" t="s">
        <v>20</v>
      </c>
    </row>
    <row r="22" spans="1:7" x14ac:dyDescent="0.25">
      <c r="A22">
        <v>2</v>
      </c>
      <c r="B22">
        <v>2</v>
      </c>
      <c r="C22">
        <v>5</v>
      </c>
      <c r="D22">
        <v>5</v>
      </c>
      <c r="F22" t="s">
        <v>16</v>
      </c>
      <c r="G22">
        <v>4</v>
      </c>
    </row>
    <row r="23" spans="1:7" x14ac:dyDescent="0.25">
      <c r="A23">
        <v>2</v>
      </c>
      <c r="B23">
        <v>5</v>
      </c>
      <c r="C23">
        <v>4</v>
      </c>
      <c r="D23">
        <v>3</v>
      </c>
    </row>
    <row r="24" spans="1:7" x14ac:dyDescent="0.25">
      <c r="A24">
        <v>4</v>
      </c>
      <c r="B24">
        <v>3</v>
      </c>
      <c r="C24">
        <v>3</v>
      </c>
      <c r="D24">
        <v>4</v>
      </c>
    </row>
    <row r="25" spans="1:7" x14ac:dyDescent="0.25">
      <c r="A25">
        <v>3</v>
      </c>
      <c r="B25">
        <v>3</v>
      </c>
      <c r="C25">
        <v>2</v>
      </c>
      <c r="D25">
        <v>5</v>
      </c>
      <c r="F25" t="s">
        <v>0</v>
      </c>
      <c r="G25">
        <f>G22-1</f>
        <v>3</v>
      </c>
    </row>
    <row r="26" spans="1:7" x14ac:dyDescent="0.25">
      <c r="A26">
        <v>4</v>
      </c>
      <c r="B26">
        <v>4</v>
      </c>
      <c r="C26">
        <v>1</v>
      </c>
      <c r="D26">
        <v>5</v>
      </c>
    </row>
    <row r="27" spans="1:7" x14ac:dyDescent="0.25">
      <c r="A27">
        <v>4</v>
      </c>
      <c r="B27">
        <v>1</v>
      </c>
      <c r="C27">
        <v>3</v>
      </c>
      <c r="D27">
        <v>4</v>
      </c>
    </row>
    <row r="28" spans="1:7" x14ac:dyDescent="0.25">
      <c r="A28">
        <v>2</v>
      </c>
      <c r="B28">
        <v>5</v>
      </c>
      <c r="C28">
        <v>3</v>
      </c>
      <c r="D28">
        <v>2</v>
      </c>
      <c r="F28" s="2" t="s">
        <v>21</v>
      </c>
      <c r="G28" s="2"/>
    </row>
    <row r="29" spans="1:7" x14ac:dyDescent="0.25">
      <c r="A29">
        <v>2</v>
      </c>
      <c r="B29">
        <v>5</v>
      </c>
      <c r="C29">
        <v>2</v>
      </c>
      <c r="D29">
        <v>4</v>
      </c>
      <c r="F29" t="s">
        <v>22</v>
      </c>
    </row>
    <row r="30" spans="1:7" x14ac:dyDescent="0.25">
      <c r="A30">
        <v>3</v>
      </c>
      <c r="B30">
        <v>1</v>
      </c>
      <c r="C30">
        <v>5</v>
      </c>
      <c r="D30">
        <v>4</v>
      </c>
    </row>
    <row r="31" spans="1:7" x14ac:dyDescent="0.25">
      <c r="A31">
        <v>3</v>
      </c>
      <c r="B31">
        <v>2</v>
      </c>
      <c r="C31">
        <v>1</v>
      </c>
      <c r="D31">
        <v>5</v>
      </c>
    </row>
    <row r="32" spans="1:7" x14ac:dyDescent="0.25">
      <c r="A32">
        <v>5</v>
      </c>
      <c r="B32">
        <v>3</v>
      </c>
      <c r="C32">
        <v>3</v>
      </c>
      <c r="D32">
        <v>5</v>
      </c>
    </row>
    <row r="33" spans="1:7" x14ac:dyDescent="0.25">
      <c r="A33">
        <v>3</v>
      </c>
      <c r="B33">
        <v>3</v>
      </c>
      <c r="C33">
        <v>3</v>
      </c>
      <c r="D33">
        <v>4</v>
      </c>
    </row>
    <row r="34" spans="1:7" x14ac:dyDescent="0.25">
      <c r="A34">
        <v>4</v>
      </c>
      <c r="B34">
        <v>2</v>
      </c>
      <c r="C34">
        <v>5</v>
      </c>
      <c r="D34">
        <v>5</v>
      </c>
      <c r="F34" t="s">
        <v>1</v>
      </c>
      <c r="G34">
        <f>G17/G25</f>
        <v>25.06529209621992</v>
      </c>
    </row>
    <row r="35" spans="1:7" x14ac:dyDescent="0.25">
      <c r="A35">
        <v>3</v>
      </c>
      <c r="B35">
        <v>4</v>
      </c>
      <c r="C35">
        <v>3</v>
      </c>
      <c r="D35">
        <v>5</v>
      </c>
    </row>
    <row r="36" spans="1:7" x14ac:dyDescent="0.25">
      <c r="A36">
        <v>3</v>
      </c>
      <c r="B36">
        <v>4</v>
      </c>
      <c r="C36">
        <v>4</v>
      </c>
      <c r="D36">
        <v>5</v>
      </c>
    </row>
    <row r="37" spans="1:7" x14ac:dyDescent="0.25">
      <c r="A37">
        <v>4</v>
      </c>
      <c r="B37">
        <v>4</v>
      </c>
      <c r="C37">
        <v>3</v>
      </c>
      <c r="D37">
        <v>4</v>
      </c>
      <c r="F37" s="2" t="s">
        <v>26</v>
      </c>
      <c r="G37" s="2"/>
    </row>
    <row r="38" spans="1:7" x14ac:dyDescent="0.25">
      <c r="A38">
        <v>2</v>
      </c>
      <c r="B38">
        <v>4</v>
      </c>
      <c r="C38">
        <v>4</v>
      </c>
      <c r="D38">
        <v>4</v>
      </c>
      <c r="F38" t="s">
        <v>23</v>
      </c>
    </row>
    <row r="39" spans="1:7" x14ac:dyDescent="0.25">
      <c r="A39">
        <v>2</v>
      </c>
      <c r="B39">
        <v>2</v>
      </c>
      <c r="C39">
        <v>2</v>
      </c>
      <c r="D39">
        <v>5</v>
      </c>
      <c r="F39" t="s">
        <v>24</v>
      </c>
    </row>
    <row r="40" spans="1:7" x14ac:dyDescent="0.25">
      <c r="A40">
        <v>5</v>
      </c>
      <c r="B40">
        <v>5</v>
      </c>
      <c r="C40">
        <v>4</v>
      </c>
      <c r="D40">
        <v>5</v>
      </c>
    </row>
    <row r="41" spans="1:7" x14ac:dyDescent="0.25">
      <c r="A41">
        <v>3</v>
      </c>
      <c r="B41">
        <v>2</v>
      </c>
      <c r="C41">
        <v>5</v>
      </c>
      <c r="D41">
        <v>5</v>
      </c>
    </row>
    <row r="42" spans="1:7" x14ac:dyDescent="0.25">
      <c r="A42">
        <v>4</v>
      </c>
      <c r="B42">
        <v>4</v>
      </c>
      <c r="C42">
        <v>1</v>
      </c>
      <c r="D42">
        <v>5</v>
      </c>
    </row>
    <row r="43" spans="1:7" x14ac:dyDescent="0.25">
      <c r="A43">
        <v>2</v>
      </c>
      <c r="B43">
        <v>3</v>
      </c>
      <c r="C43">
        <v>3</v>
      </c>
      <c r="D43">
        <v>5</v>
      </c>
    </row>
    <row r="44" spans="1:7" x14ac:dyDescent="0.25">
      <c r="A44">
        <v>2</v>
      </c>
      <c r="B44">
        <v>2</v>
      </c>
      <c r="C44">
        <v>3</v>
      </c>
      <c r="D44">
        <v>3</v>
      </c>
      <c r="F44" t="s">
        <v>3</v>
      </c>
      <c r="G44">
        <f>DEVSQ(A:A)+DEVSQ(B:B)+DEVSQ(C:C)+DEVSQ(D:D)</f>
        <v>487.17525773195848</v>
      </c>
    </row>
    <row r="45" spans="1:7" x14ac:dyDescent="0.25">
      <c r="A45">
        <v>4</v>
      </c>
      <c r="B45">
        <v>1</v>
      </c>
      <c r="C45">
        <v>4</v>
      </c>
      <c r="D45">
        <v>3</v>
      </c>
    </row>
    <row r="46" spans="1:7" x14ac:dyDescent="0.25">
      <c r="A46">
        <v>2</v>
      </c>
      <c r="B46">
        <v>4</v>
      </c>
      <c r="C46">
        <v>3</v>
      </c>
      <c r="D46">
        <v>4</v>
      </c>
    </row>
    <row r="47" spans="1:7" x14ac:dyDescent="0.25">
      <c r="A47">
        <v>4</v>
      </c>
      <c r="B47">
        <v>3</v>
      </c>
      <c r="C47">
        <v>3</v>
      </c>
      <c r="D47">
        <v>4</v>
      </c>
      <c r="F47" s="2" t="s">
        <v>25</v>
      </c>
      <c r="G47" s="2"/>
    </row>
    <row r="48" spans="1:7" x14ac:dyDescent="0.25">
      <c r="A48">
        <v>1</v>
      </c>
      <c r="B48">
        <v>3</v>
      </c>
      <c r="C48">
        <v>5</v>
      </c>
      <c r="D48">
        <v>2</v>
      </c>
      <c r="F48" t="s">
        <v>27</v>
      </c>
      <c r="G48">
        <f>COUNT(A:A,B:B,C:C,D:D)</f>
        <v>388</v>
      </c>
    </row>
    <row r="49" spans="1:7" x14ac:dyDescent="0.25">
      <c r="A49">
        <v>2</v>
      </c>
      <c r="B49">
        <v>4</v>
      </c>
      <c r="C49">
        <v>3</v>
      </c>
      <c r="D49">
        <v>4</v>
      </c>
      <c r="F49" t="s">
        <v>16</v>
      </c>
      <c r="G49">
        <f>G22</f>
        <v>4</v>
      </c>
    </row>
    <row r="50" spans="1:7" x14ac:dyDescent="0.25">
      <c r="A50">
        <v>3</v>
      </c>
      <c r="B50">
        <v>2</v>
      </c>
      <c r="C50">
        <v>3</v>
      </c>
      <c r="D50">
        <v>3</v>
      </c>
    </row>
    <row r="51" spans="1:7" x14ac:dyDescent="0.25">
      <c r="A51">
        <v>2</v>
      </c>
      <c r="B51">
        <v>2</v>
      </c>
      <c r="C51">
        <v>4</v>
      </c>
      <c r="D51">
        <v>5</v>
      </c>
    </row>
    <row r="52" spans="1:7" x14ac:dyDescent="0.25">
      <c r="A52">
        <v>2</v>
      </c>
      <c r="B52">
        <v>4</v>
      </c>
      <c r="C52">
        <v>2</v>
      </c>
      <c r="D52">
        <v>5</v>
      </c>
    </row>
    <row r="53" spans="1:7" x14ac:dyDescent="0.25">
      <c r="A53">
        <v>2</v>
      </c>
      <c r="B53">
        <v>4</v>
      </c>
      <c r="C53">
        <v>3</v>
      </c>
      <c r="D53">
        <v>5</v>
      </c>
    </row>
    <row r="54" spans="1:7" x14ac:dyDescent="0.25">
      <c r="A54">
        <v>3</v>
      </c>
      <c r="B54">
        <v>1</v>
      </c>
      <c r="C54">
        <v>2</v>
      </c>
      <c r="D54">
        <v>2</v>
      </c>
      <c r="F54" t="s">
        <v>4</v>
      </c>
      <c r="G54">
        <f>G48-G49</f>
        <v>384</v>
      </c>
    </row>
    <row r="55" spans="1:7" x14ac:dyDescent="0.25">
      <c r="A55">
        <v>3</v>
      </c>
      <c r="B55">
        <v>3</v>
      </c>
      <c r="C55">
        <v>3</v>
      </c>
      <c r="D55">
        <v>5</v>
      </c>
    </row>
    <row r="56" spans="1:7" x14ac:dyDescent="0.25">
      <c r="A56">
        <v>4</v>
      </c>
      <c r="B56">
        <v>2</v>
      </c>
      <c r="C56">
        <v>3</v>
      </c>
      <c r="D56">
        <v>5</v>
      </c>
    </row>
    <row r="57" spans="1:7" x14ac:dyDescent="0.25">
      <c r="A57">
        <v>2</v>
      </c>
      <c r="B57">
        <v>5</v>
      </c>
      <c r="C57">
        <v>3</v>
      </c>
      <c r="D57">
        <v>5</v>
      </c>
      <c r="F57" s="2" t="s">
        <v>28</v>
      </c>
      <c r="G57" s="2"/>
    </row>
    <row r="58" spans="1:7" x14ac:dyDescent="0.25">
      <c r="A58">
        <v>2</v>
      </c>
      <c r="B58">
        <v>2</v>
      </c>
      <c r="C58">
        <v>2</v>
      </c>
      <c r="D58">
        <v>3</v>
      </c>
      <c r="F58" t="s">
        <v>29</v>
      </c>
    </row>
    <row r="59" spans="1:7" x14ac:dyDescent="0.25">
      <c r="A59">
        <v>2</v>
      </c>
      <c r="B59">
        <v>3</v>
      </c>
      <c r="C59">
        <v>1</v>
      </c>
      <c r="D59">
        <v>3</v>
      </c>
    </row>
    <row r="60" spans="1:7" x14ac:dyDescent="0.25">
      <c r="A60">
        <v>5</v>
      </c>
      <c r="B60">
        <v>3</v>
      </c>
      <c r="C60">
        <v>1</v>
      </c>
      <c r="D60">
        <v>5</v>
      </c>
    </row>
    <row r="61" spans="1:7" x14ac:dyDescent="0.25">
      <c r="A61">
        <v>5</v>
      </c>
      <c r="B61">
        <v>4</v>
      </c>
      <c r="C61">
        <v>2</v>
      </c>
      <c r="D61">
        <v>4</v>
      </c>
    </row>
    <row r="62" spans="1:7" x14ac:dyDescent="0.25">
      <c r="A62">
        <v>5</v>
      </c>
      <c r="B62">
        <v>3</v>
      </c>
      <c r="C62">
        <v>2</v>
      </c>
      <c r="D62">
        <v>5</v>
      </c>
    </row>
    <row r="63" spans="1:7" x14ac:dyDescent="0.25">
      <c r="A63">
        <v>4</v>
      </c>
      <c r="B63">
        <v>3</v>
      </c>
      <c r="C63">
        <v>3</v>
      </c>
      <c r="D63">
        <v>5</v>
      </c>
    </row>
    <row r="64" spans="1:7" x14ac:dyDescent="0.25">
      <c r="A64">
        <v>3</v>
      </c>
      <c r="B64">
        <v>2</v>
      </c>
      <c r="C64">
        <v>4</v>
      </c>
      <c r="D64">
        <v>4</v>
      </c>
      <c r="F64" t="s">
        <v>5</v>
      </c>
      <c r="G64">
        <f>G44/G54</f>
        <v>1.2686855670103085</v>
      </c>
    </row>
    <row r="65" spans="1:7" x14ac:dyDescent="0.25">
      <c r="A65">
        <v>3</v>
      </c>
      <c r="B65">
        <v>4</v>
      </c>
      <c r="C65">
        <v>2</v>
      </c>
      <c r="D65">
        <v>5</v>
      </c>
    </row>
    <row r="66" spans="1:7" x14ac:dyDescent="0.25">
      <c r="A66">
        <v>2</v>
      </c>
      <c r="B66">
        <v>2</v>
      </c>
      <c r="C66">
        <v>2</v>
      </c>
      <c r="D66">
        <v>5</v>
      </c>
    </row>
    <row r="67" spans="1:7" x14ac:dyDescent="0.25">
      <c r="A67">
        <v>5</v>
      </c>
      <c r="B67">
        <v>3</v>
      </c>
      <c r="C67">
        <v>2</v>
      </c>
      <c r="D67">
        <v>4</v>
      </c>
      <c r="F67" s="2" t="s">
        <v>30</v>
      </c>
      <c r="G67" s="2"/>
    </row>
    <row r="68" spans="1:7" x14ac:dyDescent="0.25">
      <c r="A68">
        <v>3</v>
      </c>
      <c r="B68">
        <v>2</v>
      </c>
      <c r="C68">
        <v>4</v>
      </c>
      <c r="D68">
        <v>4</v>
      </c>
      <c r="F68" t="s">
        <v>31</v>
      </c>
    </row>
    <row r="69" spans="1:7" x14ac:dyDescent="0.25">
      <c r="A69">
        <v>3</v>
      </c>
      <c r="B69">
        <v>4</v>
      </c>
      <c r="C69">
        <v>2</v>
      </c>
      <c r="D69">
        <v>5</v>
      </c>
      <c r="F69" t="s">
        <v>32</v>
      </c>
    </row>
    <row r="70" spans="1:7" x14ac:dyDescent="0.25">
      <c r="A70">
        <v>2</v>
      </c>
      <c r="B70">
        <v>4</v>
      </c>
      <c r="C70">
        <v>1</v>
      </c>
      <c r="D70">
        <v>3</v>
      </c>
    </row>
    <row r="71" spans="1:7" x14ac:dyDescent="0.25">
      <c r="A71">
        <v>2</v>
      </c>
      <c r="B71">
        <v>5</v>
      </c>
      <c r="C71">
        <v>3</v>
      </c>
      <c r="D71">
        <v>2</v>
      </c>
    </row>
    <row r="72" spans="1:7" x14ac:dyDescent="0.25">
      <c r="A72">
        <v>3</v>
      </c>
      <c r="B72">
        <v>2</v>
      </c>
      <c r="C72">
        <v>4</v>
      </c>
      <c r="D72">
        <v>3</v>
      </c>
    </row>
    <row r="73" spans="1:7" x14ac:dyDescent="0.25">
      <c r="A73">
        <v>5</v>
      </c>
      <c r="B73">
        <v>4</v>
      </c>
      <c r="C73">
        <v>3</v>
      </c>
      <c r="D73">
        <v>5</v>
      </c>
    </row>
    <row r="74" spans="1:7" x14ac:dyDescent="0.25">
      <c r="A74">
        <v>5</v>
      </c>
      <c r="B74">
        <v>3</v>
      </c>
      <c r="C74">
        <v>2</v>
      </c>
      <c r="D74">
        <v>5</v>
      </c>
      <c r="F74" t="s">
        <v>2</v>
      </c>
      <c r="G74">
        <f>G34/G64</f>
        <v>19.756898594887424</v>
      </c>
    </row>
    <row r="75" spans="1:7" x14ac:dyDescent="0.25">
      <c r="A75">
        <v>3</v>
      </c>
      <c r="B75">
        <v>5</v>
      </c>
      <c r="C75">
        <v>3</v>
      </c>
      <c r="D75">
        <v>4</v>
      </c>
    </row>
    <row r="76" spans="1:7" x14ac:dyDescent="0.25">
      <c r="A76">
        <v>2</v>
      </c>
      <c r="B76">
        <v>3</v>
      </c>
      <c r="C76">
        <v>3</v>
      </c>
      <c r="D76">
        <v>5</v>
      </c>
    </row>
    <row r="77" spans="1:7" x14ac:dyDescent="0.25">
      <c r="A77">
        <v>3</v>
      </c>
      <c r="B77">
        <v>4</v>
      </c>
      <c r="C77">
        <v>2</v>
      </c>
      <c r="D77">
        <v>5</v>
      </c>
      <c r="F77" s="2" t="s">
        <v>35</v>
      </c>
      <c r="G77" s="2"/>
    </row>
    <row r="78" spans="1:7" x14ac:dyDescent="0.25">
      <c r="A78">
        <v>3</v>
      </c>
      <c r="B78">
        <v>3</v>
      </c>
      <c r="C78">
        <v>3</v>
      </c>
      <c r="D78">
        <v>4</v>
      </c>
    </row>
    <row r="79" spans="1:7" x14ac:dyDescent="0.25">
      <c r="A79">
        <v>4</v>
      </c>
      <c r="B79">
        <v>5</v>
      </c>
      <c r="C79">
        <v>4</v>
      </c>
      <c r="D79">
        <v>5</v>
      </c>
      <c r="F79" s="4" t="s">
        <v>33</v>
      </c>
      <c r="G79">
        <v>0.05</v>
      </c>
    </row>
    <row r="80" spans="1:7" x14ac:dyDescent="0.25">
      <c r="A80">
        <v>5</v>
      </c>
      <c r="B80">
        <v>3</v>
      </c>
      <c r="C80">
        <v>4</v>
      </c>
      <c r="D80">
        <v>5</v>
      </c>
      <c r="F80" t="s">
        <v>0</v>
      </c>
      <c r="G80">
        <f xml:space="preserve"> G25</f>
        <v>3</v>
      </c>
    </row>
    <row r="81" spans="1:7" x14ac:dyDescent="0.25">
      <c r="A81">
        <v>2</v>
      </c>
      <c r="B81">
        <v>1</v>
      </c>
      <c r="C81">
        <v>3</v>
      </c>
      <c r="D81">
        <v>4</v>
      </c>
      <c r="F81" t="s">
        <v>4</v>
      </c>
      <c r="G81">
        <f xml:space="preserve"> G54</f>
        <v>384</v>
      </c>
    </row>
    <row r="82" spans="1:7" x14ac:dyDescent="0.25">
      <c r="A82">
        <v>4</v>
      </c>
      <c r="B82">
        <v>2</v>
      </c>
      <c r="C82">
        <v>2</v>
      </c>
      <c r="D82">
        <v>1</v>
      </c>
      <c r="F82" t="s">
        <v>34</v>
      </c>
      <c r="G82">
        <f>FINV(G79, G80, G81)</f>
        <v>2.6281486844038939</v>
      </c>
    </row>
    <row r="83" spans="1:7" x14ac:dyDescent="0.25">
      <c r="A83">
        <v>2</v>
      </c>
      <c r="B83">
        <v>2</v>
      </c>
      <c r="C83">
        <v>5</v>
      </c>
      <c r="D83">
        <v>2</v>
      </c>
      <c r="F83" t="s">
        <v>36</v>
      </c>
      <c r="G83">
        <f>_xlfn.F.DIST.RT(G74, G80, G81)</f>
        <v>6.2559827457242797E-12</v>
      </c>
    </row>
    <row r="84" spans="1:7" x14ac:dyDescent="0.25">
      <c r="A84">
        <v>3</v>
      </c>
      <c r="B84">
        <v>5</v>
      </c>
      <c r="C84">
        <v>3</v>
      </c>
      <c r="D84">
        <v>5</v>
      </c>
    </row>
    <row r="85" spans="1:7" x14ac:dyDescent="0.25">
      <c r="A85">
        <v>1</v>
      </c>
      <c r="B85">
        <v>3</v>
      </c>
      <c r="C85">
        <v>3</v>
      </c>
      <c r="D85">
        <v>4</v>
      </c>
      <c r="F85" s="2" t="s">
        <v>6</v>
      </c>
      <c r="G85" s="2"/>
    </row>
    <row r="86" spans="1:7" x14ac:dyDescent="0.25">
      <c r="A86">
        <v>1</v>
      </c>
      <c r="B86">
        <v>3</v>
      </c>
      <c r="C86">
        <v>4</v>
      </c>
      <c r="D86">
        <v>4</v>
      </c>
    </row>
    <row r="87" spans="1:7" x14ac:dyDescent="0.25">
      <c r="A87">
        <v>4</v>
      </c>
      <c r="B87">
        <v>4</v>
      </c>
      <c r="C87">
        <v>3</v>
      </c>
      <c r="D87">
        <v>3</v>
      </c>
      <c r="F87" t="s">
        <v>40</v>
      </c>
    </row>
    <row r="88" spans="1:7" x14ac:dyDescent="0.25">
      <c r="A88">
        <v>4</v>
      </c>
      <c r="B88">
        <v>3</v>
      </c>
      <c r="C88">
        <v>1</v>
      </c>
      <c r="D88">
        <v>5</v>
      </c>
      <c r="F88" t="s">
        <v>41</v>
      </c>
    </row>
    <row r="89" spans="1:7" x14ac:dyDescent="0.25">
      <c r="A89">
        <v>4</v>
      </c>
      <c r="B89">
        <v>2</v>
      </c>
      <c r="C89">
        <v>3</v>
      </c>
      <c r="D89">
        <v>3</v>
      </c>
    </row>
    <row r="90" spans="1:7" x14ac:dyDescent="0.25">
      <c r="A90">
        <v>3</v>
      </c>
      <c r="B90">
        <v>3</v>
      </c>
      <c r="C90">
        <v>3</v>
      </c>
      <c r="D90">
        <v>1</v>
      </c>
      <c r="F90" t="str">
        <f>"Si F calculado ("&amp;G74&amp;") &gt; F critico ("&amp;G82&amp;") ---&gt; Se rechaza la hipotesis nula"</f>
        <v>Si F calculado (19.7568985948874) &gt; F critico (2.62814868440389) ---&gt; Se rechaza la hipotesis nula</v>
      </c>
    </row>
    <row r="91" spans="1:7" x14ac:dyDescent="0.25">
      <c r="A91">
        <v>4</v>
      </c>
      <c r="B91">
        <v>5</v>
      </c>
      <c r="C91">
        <v>1</v>
      </c>
      <c r="D91">
        <v>4</v>
      </c>
      <c r="F91" t="str">
        <f>"Si p-valor ("&amp;G83&amp;") &lt; α Nivel Significancia ("&amp;G79&amp;") ---&gt; Se rechaza la hipotesis nula"</f>
        <v>Si p-valor (6.25598274572428E-12) &lt; α Nivel Significancia (0.05) ---&gt; Se rechaza la hipotesis nula</v>
      </c>
    </row>
    <row r="92" spans="1:7" x14ac:dyDescent="0.25">
      <c r="A92">
        <v>5</v>
      </c>
      <c r="B92">
        <v>3</v>
      </c>
      <c r="C92">
        <v>3</v>
      </c>
      <c r="D92">
        <v>4</v>
      </c>
    </row>
    <row r="93" spans="1:7" x14ac:dyDescent="0.25">
      <c r="A93">
        <v>4</v>
      </c>
      <c r="B93">
        <v>2</v>
      </c>
      <c r="C93">
        <v>2</v>
      </c>
      <c r="D93">
        <v>5</v>
      </c>
    </row>
    <row r="94" spans="1:7" x14ac:dyDescent="0.25">
      <c r="A94">
        <v>3</v>
      </c>
      <c r="B94">
        <v>2</v>
      </c>
      <c r="C94">
        <v>3</v>
      </c>
      <c r="D94">
        <v>2</v>
      </c>
      <c r="F94" s="2" t="s">
        <v>37</v>
      </c>
    </row>
    <row r="95" spans="1:7" x14ac:dyDescent="0.25">
      <c r="A95">
        <v>3</v>
      </c>
      <c r="B95">
        <v>5</v>
      </c>
      <c r="C95">
        <v>2</v>
      </c>
      <c r="D95">
        <v>5</v>
      </c>
      <c r="F95" t="s">
        <v>38</v>
      </c>
    </row>
    <row r="96" spans="1:7" x14ac:dyDescent="0.25">
      <c r="A96">
        <v>3</v>
      </c>
      <c r="B96">
        <v>2</v>
      </c>
      <c r="C96">
        <v>4</v>
      </c>
      <c r="D96">
        <v>5</v>
      </c>
      <c r="F96" t="s">
        <v>39</v>
      </c>
    </row>
    <row r="97" spans="1:4" x14ac:dyDescent="0.25">
      <c r="A97">
        <v>3</v>
      </c>
      <c r="B97">
        <v>2</v>
      </c>
      <c r="C97">
        <v>2</v>
      </c>
      <c r="D97">
        <v>5</v>
      </c>
    </row>
    <row r="98" spans="1:4" x14ac:dyDescent="0.25">
      <c r="A98">
        <v>3</v>
      </c>
      <c r="B98">
        <v>1</v>
      </c>
      <c r="C98">
        <v>3</v>
      </c>
      <c r="D98">
        <v>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zoomScale="70" zoomScaleNormal="70" workbookViewId="0">
      <selection activeCell="D98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3</v>
      </c>
      <c r="B2">
        <v>3</v>
      </c>
      <c r="C2">
        <v>1</v>
      </c>
      <c r="D2">
        <v>5</v>
      </c>
      <c r="F2" s="2" t="s">
        <v>13</v>
      </c>
      <c r="G2" s="2"/>
    </row>
    <row r="3" spans="1:7" x14ac:dyDescent="0.25">
      <c r="A3">
        <v>4</v>
      </c>
      <c r="B3">
        <v>2</v>
      </c>
      <c r="C3">
        <v>1</v>
      </c>
      <c r="D3">
        <v>5</v>
      </c>
      <c r="F3" t="s">
        <v>14</v>
      </c>
      <c r="G3">
        <f>COUNT(A:A)</f>
        <v>97</v>
      </c>
    </row>
    <row r="4" spans="1:7" x14ac:dyDescent="0.25">
      <c r="A4">
        <v>3</v>
      </c>
      <c r="B4">
        <v>5</v>
      </c>
      <c r="C4">
        <v>3</v>
      </c>
      <c r="D4">
        <v>4</v>
      </c>
      <c r="F4" t="s">
        <v>7</v>
      </c>
      <c r="G4">
        <f>AVERAGE(A:A)</f>
        <v>2.9793814432989691</v>
      </c>
    </row>
    <row r="5" spans="1:7" x14ac:dyDescent="0.25">
      <c r="A5">
        <v>3</v>
      </c>
      <c r="B5">
        <v>5</v>
      </c>
      <c r="C5">
        <v>3</v>
      </c>
      <c r="D5">
        <v>2</v>
      </c>
      <c r="F5" t="s">
        <v>8</v>
      </c>
      <c r="G5">
        <f>AVERAGE(B:B)</f>
        <v>2.9587628865979383</v>
      </c>
    </row>
    <row r="6" spans="1:7" x14ac:dyDescent="0.25">
      <c r="A6">
        <v>3</v>
      </c>
      <c r="B6">
        <v>4</v>
      </c>
      <c r="C6">
        <v>1</v>
      </c>
      <c r="D6">
        <v>3</v>
      </c>
      <c r="F6" t="s">
        <v>9</v>
      </c>
      <c r="G6">
        <f>AVERAGE(C:C)</f>
        <v>3.0206185567010309</v>
      </c>
    </row>
    <row r="7" spans="1:7" x14ac:dyDescent="0.25">
      <c r="A7">
        <v>3</v>
      </c>
      <c r="B7">
        <v>2</v>
      </c>
      <c r="C7">
        <v>3</v>
      </c>
      <c r="D7">
        <v>5</v>
      </c>
      <c r="F7" t="s">
        <v>10</v>
      </c>
      <c r="G7">
        <f>AVERAGE(D:D)</f>
        <v>4.2371134020618557</v>
      </c>
    </row>
    <row r="8" spans="1:7" x14ac:dyDescent="0.25">
      <c r="A8">
        <v>3</v>
      </c>
      <c r="B8">
        <v>4</v>
      </c>
      <c r="C8">
        <v>4</v>
      </c>
      <c r="D8">
        <v>4</v>
      </c>
      <c r="F8" t="s">
        <v>15</v>
      </c>
      <c r="G8">
        <f>AVERAGE(G4:G7)</f>
        <v>3.2989690721649483</v>
      </c>
    </row>
    <row r="9" spans="1:7" x14ac:dyDescent="0.25">
      <c r="A9">
        <v>3</v>
      </c>
      <c r="B9">
        <v>3</v>
      </c>
      <c r="C9">
        <v>1</v>
      </c>
      <c r="D9">
        <v>5</v>
      </c>
    </row>
    <row r="10" spans="1:7" x14ac:dyDescent="0.25">
      <c r="A10">
        <v>4</v>
      </c>
      <c r="B10">
        <v>3</v>
      </c>
      <c r="C10">
        <v>4</v>
      </c>
      <c r="D10">
        <v>4</v>
      </c>
    </row>
    <row r="11" spans="1:7" x14ac:dyDescent="0.25">
      <c r="A11">
        <v>3</v>
      </c>
      <c r="B11">
        <v>3</v>
      </c>
      <c r="C11">
        <v>4</v>
      </c>
      <c r="D11">
        <v>5</v>
      </c>
      <c r="F11" s="2" t="s">
        <v>12</v>
      </c>
      <c r="G11" s="2"/>
    </row>
    <row r="12" spans="1:7" x14ac:dyDescent="0.25">
      <c r="A12">
        <v>5</v>
      </c>
      <c r="B12">
        <v>5</v>
      </c>
      <c r="C12">
        <v>3</v>
      </c>
      <c r="D12">
        <v>5</v>
      </c>
      <c r="F12" s="3" t="s">
        <v>17</v>
      </c>
    </row>
    <row r="13" spans="1:7" x14ac:dyDescent="0.25">
      <c r="A13">
        <v>3</v>
      </c>
      <c r="B13">
        <v>5</v>
      </c>
      <c r="C13">
        <v>2</v>
      </c>
      <c r="D13">
        <v>5</v>
      </c>
      <c r="F13" s="3" t="s">
        <v>18</v>
      </c>
    </row>
    <row r="14" spans="1:7" x14ac:dyDescent="0.25">
      <c r="A14">
        <v>1</v>
      </c>
      <c r="B14">
        <v>4</v>
      </c>
      <c r="C14">
        <v>3</v>
      </c>
      <c r="D14">
        <v>1</v>
      </c>
    </row>
    <row r="15" spans="1:7" x14ac:dyDescent="0.25">
      <c r="A15">
        <v>2</v>
      </c>
      <c r="B15">
        <v>3</v>
      </c>
      <c r="C15">
        <v>1</v>
      </c>
      <c r="D15">
        <v>4</v>
      </c>
    </row>
    <row r="16" spans="1:7" x14ac:dyDescent="0.25">
      <c r="A16">
        <v>2</v>
      </c>
      <c r="B16">
        <v>3</v>
      </c>
      <c r="C16">
        <v>3</v>
      </c>
      <c r="D16">
        <v>4</v>
      </c>
    </row>
    <row r="17" spans="1:7" x14ac:dyDescent="0.25">
      <c r="A17">
        <v>3</v>
      </c>
      <c r="B17">
        <v>3</v>
      </c>
      <c r="C17">
        <v>5</v>
      </c>
      <c r="D17">
        <v>4</v>
      </c>
      <c r="F17" t="s">
        <v>11</v>
      </c>
      <c r="G17">
        <f>G3*((G4-G8)^2+(G5-G8)^2+(G6-G8)^2+(G7-G8)^2)</f>
        <v>114.02061855670102</v>
      </c>
    </row>
    <row r="18" spans="1:7" x14ac:dyDescent="0.25">
      <c r="A18">
        <v>2</v>
      </c>
      <c r="B18">
        <v>3</v>
      </c>
      <c r="C18">
        <v>3</v>
      </c>
      <c r="D18">
        <v>4</v>
      </c>
    </row>
    <row r="19" spans="1:7" x14ac:dyDescent="0.25">
      <c r="A19">
        <v>3</v>
      </c>
      <c r="B19">
        <v>4</v>
      </c>
      <c r="C19">
        <v>3</v>
      </c>
      <c r="D19">
        <v>5</v>
      </c>
    </row>
    <row r="20" spans="1:7" x14ac:dyDescent="0.25">
      <c r="A20">
        <v>4</v>
      </c>
      <c r="B20">
        <v>3</v>
      </c>
      <c r="C20">
        <v>3</v>
      </c>
      <c r="D20">
        <v>5</v>
      </c>
      <c r="F20" s="2" t="s">
        <v>19</v>
      </c>
      <c r="G20" s="2"/>
    </row>
    <row r="21" spans="1:7" x14ac:dyDescent="0.25">
      <c r="A21">
        <v>5</v>
      </c>
      <c r="B21">
        <v>4</v>
      </c>
      <c r="C21">
        <v>5</v>
      </c>
      <c r="D21">
        <v>3</v>
      </c>
      <c r="F21" t="s">
        <v>20</v>
      </c>
    </row>
    <row r="22" spans="1:7" x14ac:dyDescent="0.25">
      <c r="A22">
        <v>2</v>
      </c>
      <c r="B22">
        <v>2</v>
      </c>
      <c r="C22">
        <v>3</v>
      </c>
      <c r="D22">
        <v>4</v>
      </c>
      <c r="F22" t="s">
        <v>16</v>
      </c>
      <c r="G22">
        <v>4</v>
      </c>
    </row>
    <row r="23" spans="1:7" x14ac:dyDescent="0.25">
      <c r="A23">
        <v>3</v>
      </c>
      <c r="B23">
        <v>5</v>
      </c>
      <c r="C23">
        <v>5</v>
      </c>
      <c r="D23">
        <v>5</v>
      </c>
    </row>
    <row r="24" spans="1:7" x14ac:dyDescent="0.25">
      <c r="A24">
        <v>3</v>
      </c>
      <c r="B24">
        <v>4</v>
      </c>
      <c r="C24">
        <v>3</v>
      </c>
      <c r="D24">
        <v>5</v>
      </c>
    </row>
    <row r="25" spans="1:7" x14ac:dyDescent="0.25">
      <c r="A25">
        <v>4</v>
      </c>
      <c r="B25">
        <v>2</v>
      </c>
      <c r="C25">
        <v>4</v>
      </c>
      <c r="D25">
        <v>5</v>
      </c>
      <c r="F25" t="s">
        <v>0</v>
      </c>
      <c r="G25">
        <f>G22-1</f>
        <v>3</v>
      </c>
    </row>
    <row r="26" spans="1:7" x14ac:dyDescent="0.25">
      <c r="A26">
        <v>5</v>
      </c>
      <c r="B26">
        <v>4</v>
      </c>
      <c r="C26">
        <v>3</v>
      </c>
      <c r="D26">
        <v>5</v>
      </c>
    </row>
    <row r="27" spans="1:7" x14ac:dyDescent="0.25">
      <c r="A27">
        <v>2</v>
      </c>
      <c r="B27">
        <v>3</v>
      </c>
      <c r="C27">
        <v>3</v>
      </c>
      <c r="D27">
        <v>5</v>
      </c>
    </row>
    <row r="28" spans="1:7" x14ac:dyDescent="0.25">
      <c r="A28">
        <v>2</v>
      </c>
      <c r="B28">
        <v>3</v>
      </c>
      <c r="C28">
        <v>3</v>
      </c>
      <c r="D28">
        <v>4</v>
      </c>
      <c r="F28" s="2" t="s">
        <v>21</v>
      </c>
      <c r="G28" s="2"/>
    </row>
    <row r="29" spans="1:7" x14ac:dyDescent="0.25">
      <c r="A29">
        <v>2</v>
      </c>
      <c r="B29">
        <v>3</v>
      </c>
      <c r="C29">
        <v>4</v>
      </c>
      <c r="D29">
        <v>3</v>
      </c>
      <c r="F29" t="s">
        <v>22</v>
      </c>
    </row>
    <row r="30" spans="1:7" x14ac:dyDescent="0.25">
      <c r="A30">
        <v>2</v>
      </c>
      <c r="B30">
        <v>1</v>
      </c>
      <c r="C30">
        <v>3</v>
      </c>
      <c r="D30">
        <v>5</v>
      </c>
    </row>
    <row r="31" spans="1:7" x14ac:dyDescent="0.25">
      <c r="A31">
        <v>4</v>
      </c>
      <c r="B31">
        <v>3</v>
      </c>
      <c r="C31">
        <v>3</v>
      </c>
      <c r="D31">
        <v>5</v>
      </c>
    </row>
    <row r="32" spans="1:7" x14ac:dyDescent="0.25">
      <c r="A32">
        <v>3</v>
      </c>
      <c r="B32">
        <v>1</v>
      </c>
      <c r="C32">
        <v>4</v>
      </c>
      <c r="D32">
        <v>5</v>
      </c>
    </row>
    <row r="33" spans="1:7" x14ac:dyDescent="0.25">
      <c r="A33">
        <v>4</v>
      </c>
      <c r="B33">
        <v>3</v>
      </c>
      <c r="C33">
        <v>3</v>
      </c>
      <c r="D33">
        <v>5</v>
      </c>
    </row>
    <row r="34" spans="1:7" x14ac:dyDescent="0.25">
      <c r="A34">
        <v>3</v>
      </c>
      <c r="B34">
        <v>3</v>
      </c>
      <c r="C34">
        <v>2</v>
      </c>
      <c r="D34">
        <v>4</v>
      </c>
      <c r="F34" t="s">
        <v>1</v>
      </c>
      <c r="G34">
        <f>G17/G25</f>
        <v>38.006872852233677</v>
      </c>
    </row>
    <row r="35" spans="1:7" x14ac:dyDescent="0.25">
      <c r="A35">
        <v>3</v>
      </c>
      <c r="B35">
        <v>3</v>
      </c>
      <c r="C35">
        <v>3</v>
      </c>
      <c r="D35">
        <v>5</v>
      </c>
    </row>
    <row r="36" spans="1:7" x14ac:dyDescent="0.25">
      <c r="A36">
        <v>2</v>
      </c>
      <c r="B36">
        <v>3</v>
      </c>
      <c r="C36">
        <v>3</v>
      </c>
      <c r="D36">
        <v>5</v>
      </c>
    </row>
    <row r="37" spans="1:7" x14ac:dyDescent="0.25">
      <c r="A37">
        <v>1</v>
      </c>
      <c r="B37">
        <v>4</v>
      </c>
      <c r="C37">
        <v>2</v>
      </c>
      <c r="D37">
        <v>3</v>
      </c>
      <c r="F37" s="2" t="s">
        <v>26</v>
      </c>
      <c r="G37" s="2"/>
    </row>
    <row r="38" spans="1:7" x14ac:dyDescent="0.25">
      <c r="A38">
        <v>3</v>
      </c>
      <c r="B38">
        <v>3</v>
      </c>
      <c r="C38">
        <v>5</v>
      </c>
      <c r="D38">
        <v>3</v>
      </c>
      <c r="F38" t="s">
        <v>23</v>
      </c>
    </row>
    <row r="39" spans="1:7" x14ac:dyDescent="0.25">
      <c r="A39">
        <v>3</v>
      </c>
      <c r="B39">
        <v>2</v>
      </c>
      <c r="C39">
        <v>3</v>
      </c>
      <c r="D39">
        <v>3</v>
      </c>
      <c r="F39" t="s">
        <v>24</v>
      </c>
    </row>
    <row r="40" spans="1:7" x14ac:dyDescent="0.25">
      <c r="A40">
        <v>2</v>
      </c>
      <c r="B40">
        <v>2</v>
      </c>
      <c r="C40">
        <v>2</v>
      </c>
      <c r="D40">
        <v>3</v>
      </c>
    </row>
    <row r="41" spans="1:7" x14ac:dyDescent="0.25">
      <c r="A41">
        <v>4</v>
      </c>
      <c r="B41">
        <v>3</v>
      </c>
      <c r="C41">
        <v>1</v>
      </c>
      <c r="D41">
        <v>4</v>
      </c>
    </row>
    <row r="42" spans="1:7" x14ac:dyDescent="0.25">
      <c r="A42">
        <v>2</v>
      </c>
      <c r="B42">
        <v>5</v>
      </c>
      <c r="C42">
        <v>2</v>
      </c>
      <c r="D42">
        <v>3</v>
      </c>
    </row>
    <row r="43" spans="1:7" x14ac:dyDescent="0.25">
      <c r="A43">
        <v>2</v>
      </c>
      <c r="B43">
        <v>1</v>
      </c>
      <c r="C43">
        <v>4</v>
      </c>
      <c r="D43">
        <v>5</v>
      </c>
    </row>
    <row r="44" spans="1:7" x14ac:dyDescent="0.25">
      <c r="A44">
        <v>2</v>
      </c>
      <c r="B44">
        <v>2</v>
      </c>
      <c r="C44">
        <v>1</v>
      </c>
      <c r="D44">
        <v>5</v>
      </c>
      <c r="F44" t="s">
        <v>3</v>
      </c>
      <c r="G44">
        <f>DEVSQ(A:A)+DEVSQ(B:B)+DEVSQ(C:C)+DEVSQ(D:D)</f>
        <v>421.29896907216516</v>
      </c>
    </row>
    <row r="45" spans="1:7" x14ac:dyDescent="0.25">
      <c r="A45">
        <v>5</v>
      </c>
      <c r="B45">
        <v>2</v>
      </c>
      <c r="C45">
        <v>4</v>
      </c>
      <c r="D45">
        <v>4</v>
      </c>
    </row>
    <row r="46" spans="1:7" x14ac:dyDescent="0.25">
      <c r="A46">
        <v>3</v>
      </c>
      <c r="B46">
        <v>2</v>
      </c>
      <c r="C46">
        <v>3</v>
      </c>
      <c r="D46">
        <v>5</v>
      </c>
    </row>
    <row r="47" spans="1:7" x14ac:dyDescent="0.25">
      <c r="A47">
        <v>2</v>
      </c>
      <c r="B47">
        <v>2</v>
      </c>
      <c r="C47">
        <v>5</v>
      </c>
      <c r="D47">
        <v>4</v>
      </c>
      <c r="F47" s="2" t="s">
        <v>25</v>
      </c>
      <c r="G47" s="2"/>
    </row>
    <row r="48" spans="1:7" x14ac:dyDescent="0.25">
      <c r="A48">
        <v>3</v>
      </c>
      <c r="B48">
        <v>4</v>
      </c>
      <c r="C48">
        <v>3</v>
      </c>
      <c r="D48">
        <v>4</v>
      </c>
      <c r="F48" t="s">
        <v>27</v>
      </c>
      <c r="G48">
        <f>COUNT(A:A,B:B,C:C,D:D)</f>
        <v>388</v>
      </c>
    </row>
    <row r="49" spans="1:7" x14ac:dyDescent="0.25">
      <c r="A49">
        <v>2</v>
      </c>
      <c r="B49">
        <v>2</v>
      </c>
      <c r="C49">
        <v>4</v>
      </c>
      <c r="D49">
        <v>5</v>
      </c>
      <c r="F49" t="s">
        <v>16</v>
      </c>
      <c r="G49">
        <f>G22</f>
        <v>4</v>
      </c>
    </row>
    <row r="50" spans="1:7" x14ac:dyDescent="0.25">
      <c r="A50">
        <v>2</v>
      </c>
      <c r="B50">
        <v>2</v>
      </c>
      <c r="C50">
        <v>2</v>
      </c>
      <c r="D50">
        <v>5</v>
      </c>
    </row>
    <row r="51" spans="1:7" x14ac:dyDescent="0.25">
      <c r="A51">
        <v>4</v>
      </c>
      <c r="B51">
        <v>1</v>
      </c>
      <c r="C51">
        <v>4</v>
      </c>
      <c r="D51">
        <v>5</v>
      </c>
    </row>
    <row r="52" spans="1:7" x14ac:dyDescent="0.25">
      <c r="A52">
        <v>3</v>
      </c>
      <c r="B52">
        <v>1</v>
      </c>
      <c r="C52">
        <v>1</v>
      </c>
      <c r="D52">
        <v>4</v>
      </c>
    </row>
    <row r="53" spans="1:7" x14ac:dyDescent="0.25">
      <c r="A53">
        <v>2</v>
      </c>
      <c r="B53">
        <v>5</v>
      </c>
      <c r="C53">
        <v>3</v>
      </c>
      <c r="D53">
        <v>4</v>
      </c>
    </row>
    <row r="54" spans="1:7" x14ac:dyDescent="0.25">
      <c r="A54">
        <v>3</v>
      </c>
      <c r="B54">
        <v>3</v>
      </c>
      <c r="C54">
        <v>4</v>
      </c>
      <c r="D54">
        <v>4</v>
      </c>
      <c r="F54" t="s">
        <v>4</v>
      </c>
      <c r="G54">
        <f>G48-G49</f>
        <v>384</v>
      </c>
    </row>
    <row r="55" spans="1:7" x14ac:dyDescent="0.25">
      <c r="A55">
        <v>3</v>
      </c>
      <c r="B55">
        <v>2</v>
      </c>
      <c r="C55">
        <v>5</v>
      </c>
      <c r="D55">
        <v>5</v>
      </c>
    </row>
    <row r="56" spans="1:7" x14ac:dyDescent="0.25">
      <c r="A56">
        <v>1</v>
      </c>
      <c r="B56">
        <v>3</v>
      </c>
      <c r="C56">
        <v>2</v>
      </c>
      <c r="D56">
        <v>4</v>
      </c>
    </row>
    <row r="57" spans="1:7" x14ac:dyDescent="0.25">
      <c r="A57">
        <v>2</v>
      </c>
      <c r="B57">
        <v>3</v>
      </c>
      <c r="C57">
        <v>2</v>
      </c>
      <c r="D57">
        <v>4</v>
      </c>
      <c r="F57" s="2" t="s">
        <v>28</v>
      </c>
      <c r="G57" s="2"/>
    </row>
    <row r="58" spans="1:7" x14ac:dyDescent="0.25">
      <c r="A58">
        <v>3</v>
      </c>
      <c r="B58">
        <v>3</v>
      </c>
      <c r="C58">
        <v>3</v>
      </c>
      <c r="D58">
        <v>4</v>
      </c>
      <c r="F58" t="s">
        <v>29</v>
      </c>
    </row>
    <row r="59" spans="1:7" x14ac:dyDescent="0.25">
      <c r="A59">
        <v>2</v>
      </c>
      <c r="B59">
        <v>3</v>
      </c>
      <c r="C59">
        <v>3</v>
      </c>
      <c r="D59">
        <v>4</v>
      </c>
    </row>
    <row r="60" spans="1:7" x14ac:dyDescent="0.25">
      <c r="A60">
        <v>3</v>
      </c>
      <c r="B60">
        <v>4</v>
      </c>
      <c r="C60">
        <v>3</v>
      </c>
      <c r="D60">
        <v>5</v>
      </c>
    </row>
    <row r="61" spans="1:7" x14ac:dyDescent="0.25">
      <c r="A61">
        <v>4</v>
      </c>
      <c r="B61">
        <v>2</v>
      </c>
      <c r="C61">
        <v>2</v>
      </c>
      <c r="D61">
        <v>5</v>
      </c>
    </row>
    <row r="62" spans="1:7" x14ac:dyDescent="0.25">
      <c r="A62">
        <v>1</v>
      </c>
      <c r="B62">
        <v>3</v>
      </c>
      <c r="C62">
        <v>4</v>
      </c>
      <c r="D62">
        <v>5</v>
      </c>
    </row>
    <row r="63" spans="1:7" x14ac:dyDescent="0.25">
      <c r="A63">
        <v>3</v>
      </c>
      <c r="B63">
        <v>4</v>
      </c>
      <c r="C63">
        <v>3</v>
      </c>
      <c r="D63">
        <v>4</v>
      </c>
    </row>
    <row r="64" spans="1:7" x14ac:dyDescent="0.25">
      <c r="A64">
        <v>2</v>
      </c>
      <c r="B64">
        <v>2</v>
      </c>
      <c r="C64">
        <v>3</v>
      </c>
      <c r="D64">
        <v>4</v>
      </c>
      <c r="F64" t="s">
        <v>5</v>
      </c>
      <c r="G64">
        <f>G44/G54</f>
        <v>1.0971327319587634</v>
      </c>
    </row>
    <row r="65" spans="1:7" x14ac:dyDescent="0.25">
      <c r="A65">
        <v>1</v>
      </c>
      <c r="B65">
        <v>2</v>
      </c>
      <c r="C65">
        <v>2</v>
      </c>
      <c r="D65">
        <v>5</v>
      </c>
    </row>
    <row r="66" spans="1:7" x14ac:dyDescent="0.25">
      <c r="A66">
        <v>2</v>
      </c>
      <c r="B66">
        <v>2</v>
      </c>
      <c r="C66">
        <v>2</v>
      </c>
      <c r="D66">
        <v>5</v>
      </c>
    </row>
    <row r="67" spans="1:7" x14ac:dyDescent="0.25">
      <c r="A67">
        <v>4</v>
      </c>
      <c r="B67">
        <v>3</v>
      </c>
      <c r="C67">
        <v>2</v>
      </c>
      <c r="D67">
        <v>2</v>
      </c>
      <c r="F67" s="2" t="s">
        <v>30</v>
      </c>
      <c r="G67" s="2"/>
    </row>
    <row r="68" spans="1:7" x14ac:dyDescent="0.25">
      <c r="A68">
        <v>3</v>
      </c>
      <c r="B68">
        <v>1</v>
      </c>
      <c r="C68">
        <v>2</v>
      </c>
      <c r="D68">
        <v>4</v>
      </c>
      <c r="F68" t="s">
        <v>31</v>
      </c>
    </row>
    <row r="69" spans="1:7" x14ac:dyDescent="0.25">
      <c r="A69">
        <v>2</v>
      </c>
      <c r="B69">
        <v>3</v>
      </c>
      <c r="C69">
        <v>3</v>
      </c>
      <c r="D69">
        <v>4</v>
      </c>
      <c r="F69" t="s">
        <v>32</v>
      </c>
    </row>
    <row r="70" spans="1:7" x14ac:dyDescent="0.25">
      <c r="A70">
        <v>3</v>
      </c>
      <c r="B70">
        <v>3</v>
      </c>
      <c r="C70">
        <v>3</v>
      </c>
      <c r="D70">
        <v>4</v>
      </c>
    </row>
    <row r="71" spans="1:7" x14ac:dyDescent="0.25">
      <c r="A71">
        <v>2</v>
      </c>
      <c r="B71">
        <v>1</v>
      </c>
      <c r="C71">
        <v>3</v>
      </c>
      <c r="D71">
        <v>5</v>
      </c>
    </row>
    <row r="72" spans="1:7" x14ac:dyDescent="0.25">
      <c r="A72">
        <v>5</v>
      </c>
      <c r="B72">
        <v>3</v>
      </c>
      <c r="C72">
        <v>4</v>
      </c>
      <c r="D72">
        <v>5</v>
      </c>
    </row>
    <row r="73" spans="1:7" x14ac:dyDescent="0.25">
      <c r="A73">
        <v>5</v>
      </c>
      <c r="B73">
        <v>4</v>
      </c>
      <c r="C73">
        <v>4</v>
      </c>
      <c r="D73">
        <v>5</v>
      </c>
    </row>
    <row r="74" spans="1:7" x14ac:dyDescent="0.25">
      <c r="A74">
        <v>1</v>
      </c>
      <c r="B74">
        <v>2</v>
      </c>
      <c r="C74">
        <v>3</v>
      </c>
      <c r="D74">
        <v>5</v>
      </c>
      <c r="F74" t="s">
        <v>2</v>
      </c>
      <c r="G74">
        <f>G34/G64</f>
        <v>34.642000685166138</v>
      </c>
    </row>
    <row r="75" spans="1:7" x14ac:dyDescent="0.25">
      <c r="A75">
        <v>2</v>
      </c>
      <c r="B75">
        <v>3</v>
      </c>
      <c r="C75">
        <v>3</v>
      </c>
      <c r="D75">
        <v>5</v>
      </c>
    </row>
    <row r="76" spans="1:7" x14ac:dyDescent="0.25">
      <c r="A76">
        <v>3</v>
      </c>
      <c r="B76">
        <v>4</v>
      </c>
      <c r="C76">
        <v>5</v>
      </c>
      <c r="D76">
        <v>4</v>
      </c>
    </row>
    <row r="77" spans="1:7" x14ac:dyDescent="0.25">
      <c r="A77">
        <v>4</v>
      </c>
      <c r="B77">
        <v>1</v>
      </c>
      <c r="C77">
        <v>3</v>
      </c>
      <c r="D77">
        <v>5</v>
      </c>
      <c r="F77" s="2" t="s">
        <v>35</v>
      </c>
      <c r="G77" s="2"/>
    </row>
    <row r="78" spans="1:7" x14ac:dyDescent="0.25">
      <c r="A78">
        <v>3</v>
      </c>
      <c r="B78">
        <v>4</v>
      </c>
      <c r="C78">
        <v>4</v>
      </c>
      <c r="D78">
        <v>5</v>
      </c>
    </row>
    <row r="79" spans="1:7" x14ac:dyDescent="0.25">
      <c r="A79">
        <v>3</v>
      </c>
      <c r="B79">
        <v>5</v>
      </c>
      <c r="C79">
        <v>3</v>
      </c>
      <c r="D79">
        <v>5</v>
      </c>
      <c r="F79" s="4" t="s">
        <v>33</v>
      </c>
      <c r="G79">
        <v>0.05</v>
      </c>
    </row>
    <row r="80" spans="1:7" x14ac:dyDescent="0.25">
      <c r="A80">
        <v>3</v>
      </c>
      <c r="B80">
        <v>3</v>
      </c>
      <c r="C80">
        <v>5</v>
      </c>
      <c r="D80">
        <v>5</v>
      </c>
      <c r="F80" t="s">
        <v>0</v>
      </c>
      <c r="G80">
        <f xml:space="preserve"> G25</f>
        <v>3</v>
      </c>
    </row>
    <row r="81" spans="1:7" x14ac:dyDescent="0.25">
      <c r="A81">
        <v>2</v>
      </c>
      <c r="B81">
        <v>5</v>
      </c>
      <c r="C81">
        <v>2</v>
      </c>
      <c r="D81">
        <v>5</v>
      </c>
      <c r="F81" t="s">
        <v>4</v>
      </c>
      <c r="G81">
        <f xml:space="preserve"> G54</f>
        <v>384</v>
      </c>
    </row>
    <row r="82" spans="1:7" x14ac:dyDescent="0.25">
      <c r="A82">
        <v>4</v>
      </c>
      <c r="B82">
        <v>3</v>
      </c>
      <c r="C82">
        <v>5</v>
      </c>
      <c r="D82">
        <v>1</v>
      </c>
      <c r="F82" t="s">
        <v>34</v>
      </c>
      <c r="G82">
        <f>FINV(G79, G80, G81)</f>
        <v>2.6281486844038939</v>
      </c>
    </row>
    <row r="83" spans="1:7" x14ac:dyDescent="0.25">
      <c r="A83">
        <v>4</v>
      </c>
      <c r="B83">
        <v>3</v>
      </c>
      <c r="C83">
        <v>4</v>
      </c>
      <c r="D83">
        <v>5</v>
      </c>
      <c r="F83" t="s">
        <v>36</v>
      </c>
      <c r="G83">
        <f>_xlfn.F.DIST.RT(G74, G80, G81)</f>
        <v>7.7780568086526788E-20</v>
      </c>
    </row>
    <row r="84" spans="1:7" x14ac:dyDescent="0.25">
      <c r="A84">
        <v>3</v>
      </c>
      <c r="B84">
        <v>4</v>
      </c>
      <c r="C84">
        <v>4</v>
      </c>
      <c r="D84">
        <v>4</v>
      </c>
    </row>
    <row r="85" spans="1:7" x14ac:dyDescent="0.25">
      <c r="A85">
        <v>3</v>
      </c>
      <c r="B85">
        <v>3</v>
      </c>
      <c r="C85">
        <v>4</v>
      </c>
      <c r="D85">
        <v>2</v>
      </c>
      <c r="F85" s="2" t="s">
        <v>6</v>
      </c>
      <c r="G85" s="2"/>
    </row>
    <row r="86" spans="1:7" x14ac:dyDescent="0.25">
      <c r="A86">
        <v>3</v>
      </c>
      <c r="B86">
        <v>3</v>
      </c>
      <c r="C86">
        <v>3</v>
      </c>
      <c r="D86">
        <v>5</v>
      </c>
    </row>
    <row r="87" spans="1:7" x14ac:dyDescent="0.25">
      <c r="A87">
        <v>5</v>
      </c>
      <c r="B87">
        <v>4</v>
      </c>
      <c r="C87">
        <v>2</v>
      </c>
      <c r="D87">
        <v>5</v>
      </c>
      <c r="F87" t="s">
        <v>40</v>
      </c>
    </row>
    <row r="88" spans="1:7" x14ac:dyDescent="0.25">
      <c r="A88">
        <v>4</v>
      </c>
      <c r="B88">
        <v>1</v>
      </c>
      <c r="C88">
        <v>2</v>
      </c>
      <c r="D88">
        <v>3</v>
      </c>
      <c r="F88" t="s">
        <v>41</v>
      </c>
    </row>
    <row r="89" spans="1:7" x14ac:dyDescent="0.25">
      <c r="A89">
        <v>3</v>
      </c>
      <c r="B89">
        <v>2</v>
      </c>
      <c r="C89">
        <v>4</v>
      </c>
      <c r="D89">
        <v>4</v>
      </c>
    </row>
    <row r="90" spans="1:7" x14ac:dyDescent="0.25">
      <c r="A90">
        <v>3</v>
      </c>
      <c r="B90">
        <v>3</v>
      </c>
      <c r="C90">
        <v>4</v>
      </c>
      <c r="D90">
        <v>5</v>
      </c>
      <c r="F90" t="str">
        <f>"Si F calculado ("&amp;G74&amp;") &gt; F critico ("&amp;G82&amp;") ---&gt; Se rechaza la hipotesis nula"</f>
        <v>Si F calculado (34.6420006851661) &gt; F critico (2.62814868440389) ---&gt; Se rechaza la hipotesis nula</v>
      </c>
    </row>
    <row r="91" spans="1:7" x14ac:dyDescent="0.25">
      <c r="A91">
        <v>5</v>
      </c>
      <c r="B91">
        <v>2</v>
      </c>
      <c r="C91">
        <v>1</v>
      </c>
      <c r="D91">
        <v>3</v>
      </c>
      <c r="F91" t="str">
        <f>"Si p-valor ("&amp;G83&amp;") &lt; α Nivel Significancia ("&amp;G79&amp;") ---&gt; Se rechaza la hipotesis nula"</f>
        <v>Si p-valor (7.77805680865268E-20) &lt; α Nivel Significancia (0.05) ---&gt; Se rechaza la hipotesis nula</v>
      </c>
    </row>
    <row r="92" spans="1:7" x14ac:dyDescent="0.25">
      <c r="A92">
        <v>4</v>
      </c>
      <c r="B92">
        <v>2</v>
      </c>
      <c r="C92">
        <v>3</v>
      </c>
      <c r="D92">
        <v>5</v>
      </c>
    </row>
    <row r="93" spans="1:7" x14ac:dyDescent="0.25">
      <c r="A93">
        <v>5</v>
      </c>
      <c r="B93">
        <v>2</v>
      </c>
      <c r="C93">
        <v>2</v>
      </c>
      <c r="D93">
        <v>3</v>
      </c>
    </row>
    <row r="94" spans="1:7" x14ac:dyDescent="0.25">
      <c r="A94">
        <v>4</v>
      </c>
      <c r="B94">
        <v>3</v>
      </c>
      <c r="C94">
        <v>2</v>
      </c>
      <c r="D94">
        <v>2</v>
      </c>
      <c r="F94" s="2" t="s">
        <v>37</v>
      </c>
    </row>
    <row r="95" spans="1:7" x14ac:dyDescent="0.25">
      <c r="A95">
        <v>3</v>
      </c>
      <c r="B95">
        <v>4</v>
      </c>
      <c r="C95">
        <v>4</v>
      </c>
      <c r="D95">
        <v>5</v>
      </c>
      <c r="F95" t="s">
        <v>38</v>
      </c>
    </row>
    <row r="96" spans="1:7" x14ac:dyDescent="0.25">
      <c r="A96">
        <v>2</v>
      </c>
      <c r="B96">
        <v>2</v>
      </c>
      <c r="C96">
        <v>3</v>
      </c>
      <c r="D96">
        <v>3</v>
      </c>
      <c r="F96" t="s">
        <v>39</v>
      </c>
    </row>
    <row r="97" spans="1:4" x14ac:dyDescent="0.25">
      <c r="A97">
        <v>5</v>
      </c>
      <c r="B97">
        <v>4</v>
      </c>
      <c r="C97">
        <v>2</v>
      </c>
      <c r="D97">
        <v>4</v>
      </c>
    </row>
    <row r="98" spans="1:4" x14ac:dyDescent="0.25">
      <c r="A98">
        <v>3</v>
      </c>
      <c r="B98">
        <v>4</v>
      </c>
      <c r="C98">
        <v>3</v>
      </c>
      <c r="D98">
        <v>5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topLeftCell="A46" zoomScale="70" zoomScaleNormal="70" workbookViewId="0">
      <selection activeCell="D2" sqref="D2:D98"/>
    </sheetView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6" max="6" width="47" bestFit="1" customWidth="1"/>
    <col min="7" max="7" width="11.85546875" bestFit="1" customWidth="1"/>
    <col min="8" max="8" width="17" customWidth="1"/>
    <col min="11" max="11" width="15.7109375" customWidth="1"/>
  </cols>
  <sheetData>
    <row r="1" spans="1:7" ht="75" x14ac:dyDescent="0.25">
      <c r="A1" s="5" t="s">
        <v>42</v>
      </c>
      <c r="B1" s="5" t="s">
        <v>43</v>
      </c>
      <c r="C1" s="5" t="s">
        <v>44</v>
      </c>
      <c r="D1" s="5" t="s">
        <v>45</v>
      </c>
    </row>
    <row r="2" spans="1:7" x14ac:dyDescent="0.25">
      <c r="A2">
        <v>4</v>
      </c>
      <c r="B2">
        <v>3</v>
      </c>
      <c r="C2">
        <v>3</v>
      </c>
      <c r="D2">
        <v>5</v>
      </c>
      <c r="F2" s="2" t="s">
        <v>13</v>
      </c>
      <c r="G2" s="2"/>
    </row>
    <row r="3" spans="1:7" x14ac:dyDescent="0.25">
      <c r="A3">
        <v>4</v>
      </c>
      <c r="B3">
        <v>3</v>
      </c>
      <c r="C3">
        <v>4</v>
      </c>
      <c r="D3">
        <v>4</v>
      </c>
      <c r="F3" t="s">
        <v>14</v>
      </c>
      <c r="G3">
        <f>COUNT(A:A)</f>
        <v>97</v>
      </c>
    </row>
    <row r="4" spans="1:7" x14ac:dyDescent="0.25">
      <c r="A4">
        <v>2</v>
      </c>
      <c r="B4">
        <v>5</v>
      </c>
      <c r="C4">
        <v>2</v>
      </c>
      <c r="D4">
        <v>4</v>
      </c>
      <c r="F4" t="s">
        <v>7</v>
      </c>
      <c r="G4">
        <f>AVERAGE(A:A)</f>
        <v>3.0309278350515463</v>
      </c>
    </row>
    <row r="5" spans="1:7" x14ac:dyDescent="0.25">
      <c r="A5">
        <v>3</v>
      </c>
      <c r="B5">
        <v>5</v>
      </c>
      <c r="C5">
        <v>1</v>
      </c>
      <c r="D5">
        <v>1</v>
      </c>
      <c r="F5" t="s">
        <v>8</v>
      </c>
      <c r="G5">
        <f>AVERAGE(B:B)</f>
        <v>2.9278350515463916</v>
      </c>
    </row>
    <row r="6" spans="1:7" x14ac:dyDescent="0.25">
      <c r="A6">
        <v>3</v>
      </c>
      <c r="B6">
        <v>2</v>
      </c>
      <c r="C6">
        <v>3</v>
      </c>
      <c r="D6">
        <v>5</v>
      </c>
      <c r="F6" t="s">
        <v>9</v>
      </c>
      <c r="G6">
        <f>AVERAGE(C:C)</f>
        <v>2.9484536082474229</v>
      </c>
    </row>
    <row r="7" spans="1:7" x14ac:dyDescent="0.25">
      <c r="A7">
        <v>2</v>
      </c>
      <c r="B7">
        <v>3</v>
      </c>
      <c r="C7">
        <v>3</v>
      </c>
      <c r="D7">
        <v>4</v>
      </c>
      <c r="F7" t="s">
        <v>10</v>
      </c>
      <c r="G7">
        <f>AVERAGE(D:D)</f>
        <v>3.9484536082474229</v>
      </c>
    </row>
    <row r="8" spans="1:7" x14ac:dyDescent="0.25">
      <c r="A8">
        <v>4</v>
      </c>
      <c r="B8">
        <v>3</v>
      </c>
      <c r="C8">
        <v>3</v>
      </c>
      <c r="D8">
        <v>3</v>
      </c>
      <c r="F8" t="s">
        <v>15</v>
      </c>
      <c r="G8">
        <f>AVERAGE(G4:G7)</f>
        <v>3.213917525773196</v>
      </c>
    </row>
    <row r="9" spans="1:7" x14ac:dyDescent="0.25">
      <c r="A9">
        <v>3</v>
      </c>
      <c r="B9">
        <v>1</v>
      </c>
      <c r="C9">
        <v>2</v>
      </c>
      <c r="D9">
        <v>2</v>
      </c>
    </row>
    <row r="10" spans="1:7" x14ac:dyDescent="0.25">
      <c r="A10">
        <v>3</v>
      </c>
      <c r="B10">
        <v>2</v>
      </c>
      <c r="C10">
        <v>3</v>
      </c>
      <c r="D10">
        <v>5</v>
      </c>
    </row>
    <row r="11" spans="1:7" x14ac:dyDescent="0.25">
      <c r="A11">
        <v>1</v>
      </c>
      <c r="B11">
        <v>3</v>
      </c>
      <c r="C11">
        <v>3</v>
      </c>
      <c r="D11">
        <v>5</v>
      </c>
      <c r="F11" s="2" t="s">
        <v>12</v>
      </c>
      <c r="G11" s="2"/>
    </row>
    <row r="12" spans="1:7" x14ac:dyDescent="0.25">
      <c r="A12">
        <v>1</v>
      </c>
      <c r="B12">
        <v>3</v>
      </c>
      <c r="C12">
        <v>2</v>
      </c>
      <c r="D12">
        <v>3</v>
      </c>
      <c r="F12" s="3" t="s">
        <v>17</v>
      </c>
    </row>
    <row r="13" spans="1:7" x14ac:dyDescent="0.25">
      <c r="A13">
        <v>4</v>
      </c>
      <c r="B13">
        <v>5</v>
      </c>
      <c r="C13">
        <v>4</v>
      </c>
      <c r="D13">
        <v>4</v>
      </c>
      <c r="F13" s="3" t="s">
        <v>18</v>
      </c>
    </row>
    <row r="14" spans="1:7" x14ac:dyDescent="0.25">
      <c r="A14">
        <v>4</v>
      </c>
      <c r="B14">
        <v>4</v>
      </c>
      <c r="C14">
        <v>3</v>
      </c>
      <c r="D14">
        <v>5</v>
      </c>
    </row>
    <row r="15" spans="1:7" x14ac:dyDescent="0.25">
      <c r="A15">
        <v>5</v>
      </c>
      <c r="B15">
        <v>3</v>
      </c>
      <c r="C15">
        <v>5</v>
      </c>
      <c r="D15">
        <v>2</v>
      </c>
    </row>
    <row r="16" spans="1:7" x14ac:dyDescent="0.25">
      <c r="A16">
        <v>5</v>
      </c>
      <c r="B16">
        <v>4</v>
      </c>
      <c r="C16">
        <v>3</v>
      </c>
      <c r="D16">
        <v>5</v>
      </c>
    </row>
    <row r="17" spans="1:7" x14ac:dyDescent="0.25">
      <c r="A17">
        <v>2</v>
      </c>
      <c r="B17">
        <v>4</v>
      </c>
      <c r="C17">
        <v>3</v>
      </c>
      <c r="D17">
        <v>4</v>
      </c>
      <c r="F17" t="s">
        <v>11</v>
      </c>
      <c r="G17">
        <f>G3*((G4-G8)^2+(G5-G8)^2+(G6-G8)^2+(G7-G8)^2)</f>
        <v>70.358247422680435</v>
      </c>
    </row>
    <row r="18" spans="1:7" x14ac:dyDescent="0.25">
      <c r="A18">
        <v>3</v>
      </c>
      <c r="B18">
        <v>2</v>
      </c>
      <c r="C18">
        <v>3</v>
      </c>
      <c r="D18">
        <v>5</v>
      </c>
    </row>
    <row r="19" spans="1:7" x14ac:dyDescent="0.25">
      <c r="A19">
        <v>3</v>
      </c>
      <c r="B19">
        <v>2</v>
      </c>
      <c r="C19">
        <v>3</v>
      </c>
      <c r="D19">
        <v>5</v>
      </c>
    </row>
    <row r="20" spans="1:7" x14ac:dyDescent="0.25">
      <c r="A20">
        <v>4</v>
      </c>
      <c r="B20">
        <v>3</v>
      </c>
      <c r="C20">
        <v>4</v>
      </c>
      <c r="D20">
        <v>4</v>
      </c>
      <c r="F20" s="2" t="s">
        <v>19</v>
      </c>
      <c r="G20" s="2"/>
    </row>
    <row r="21" spans="1:7" x14ac:dyDescent="0.25">
      <c r="A21">
        <v>3</v>
      </c>
      <c r="B21">
        <v>5</v>
      </c>
      <c r="C21">
        <v>2</v>
      </c>
      <c r="D21">
        <v>1</v>
      </c>
      <c r="F21" t="s">
        <v>20</v>
      </c>
    </row>
    <row r="22" spans="1:7" x14ac:dyDescent="0.25">
      <c r="A22">
        <v>2</v>
      </c>
      <c r="B22">
        <v>1</v>
      </c>
      <c r="C22">
        <v>2</v>
      </c>
      <c r="D22">
        <v>4</v>
      </c>
      <c r="F22" t="s">
        <v>16</v>
      </c>
      <c r="G22">
        <v>4</v>
      </c>
    </row>
    <row r="23" spans="1:7" x14ac:dyDescent="0.25">
      <c r="A23">
        <v>3</v>
      </c>
      <c r="B23">
        <v>2</v>
      </c>
      <c r="C23">
        <v>3</v>
      </c>
      <c r="D23">
        <v>3</v>
      </c>
    </row>
    <row r="24" spans="1:7" x14ac:dyDescent="0.25">
      <c r="A24">
        <v>1</v>
      </c>
      <c r="B24">
        <v>3</v>
      </c>
      <c r="C24">
        <v>4</v>
      </c>
      <c r="D24">
        <v>5</v>
      </c>
    </row>
    <row r="25" spans="1:7" x14ac:dyDescent="0.25">
      <c r="A25">
        <v>3</v>
      </c>
      <c r="B25">
        <v>3</v>
      </c>
      <c r="C25">
        <v>2</v>
      </c>
      <c r="D25">
        <v>4</v>
      </c>
      <c r="F25" t="s">
        <v>0</v>
      </c>
      <c r="G25">
        <f>G22-1</f>
        <v>3</v>
      </c>
    </row>
    <row r="26" spans="1:7" x14ac:dyDescent="0.25">
      <c r="A26">
        <v>3</v>
      </c>
      <c r="B26">
        <v>4</v>
      </c>
      <c r="C26">
        <v>4</v>
      </c>
      <c r="D26">
        <v>3</v>
      </c>
    </row>
    <row r="27" spans="1:7" x14ac:dyDescent="0.25">
      <c r="A27">
        <v>4</v>
      </c>
      <c r="B27">
        <v>1</v>
      </c>
      <c r="C27">
        <v>4</v>
      </c>
      <c r="D27">
        <v>4</v>
      </c>
    </row>
    <row r="28" spans="1:7" x14ac:dyDescent="0.25">
      <c r="A28">
        <v>3</v>
      </c>
      <c r="B28">
        <v>1</v>
      </c>
      <c r="C28">
        <v>1</v>
      </c>
      <c r="D28">
        <v>5</v>
      </c>
      <c r="F28" s="2" t="s">
        <v>21</v>
      </c>
      <c r="G28" s="2"/>
    </row>
    <row r="29" spans="1:7" x14ac:dyDescent="0.25">
      <c r="A29">
        <v>3</v>
      </c>
      <c r="B29">
        <v>4</v>
      </c>
      <c r="C29">
        <v>3</v>
      </c>
      <c r="D29">
        <v>2</v>
      </c>
      <c r="F29" t="s">
        <v>22</v>
      </c>
    </row>
    <row r="30" spans="1:7" x14ac:dyDescent="0.25">
      <c r="A30">
        <v>3</v>
      </c>
      <c r="B30">
        <v>1</v>
      </c>
      <c r="C30">
        <v>1</v>
      </c>
      <c r="D30">
        <v>3</v>
      </c>
    </row>
    <row r="31" spans="1:7" x14ac:dyDescent="0.25">
      <c r="A31">
        <v>3</v>
      </c>
      <c r="B31">
        <v>1</v>
      </c>
      <c r="C31">
        <v>3</v>
      </c>
      <c r="D31">
        <v>4</v>
      </c>
    </row>
    <row r="32" spans="1:7" x14ac:dyDescent="0.25">
      <c r="A32">
        <v>5</v>
      </c>
      <c r="B32">
        <v>4</v>
      </c>
      <c r="C32">
        <v>3</v>
      </c>
      <c r="D32">
        <v>5</v>
      </c>
    </row>
    <row r="33" spans="1:7" x14ac:dyDescent="0.25">
      <c r="A33">
        <v>3</v>
      </c>
      <c r="B33">
        <v>2</v>
      </c>
      <c r="C33">
        <v>5</v>
      </c>
      <c r="D33">
        <v>3</v>
      </c>
    </row>
    <row r="34" spans="1:7" x14ac:dyDescent="0.25">
      <c r="A34">
        <v>1</v>
      </c>
      <c r="B34">
        <v>3</v>
      </c>
      <c r="C34">
        <v>3</v>
      </c>
      <c r="D34">
        <v>5</v>
      </c>
      <c r="F34" t="s">
        <v>1</v>
      </c>
      <c r="G34">
        <f>G17/G25</f>
        <v>23.452749140893477</v>
      </c>
    </row>
    <row r="35" spans="1:7" x14ac:dyDescent="0.25">
      <c r="A35">
        <v>5</v>
      </c>
      <c r="B35">
        <v>3</v>
      </c>
      <c r="C35">
        <v>1</v>
      </c>
      <c r="D35">
        <v>4</v>
      </c>
    </row>
    <row r="36" spans="1:7" x14ac:dyDescent="0.25">
      <c r="A36">
        <v>1</v>
      </c>
      <c r="B36">
        <v>5</v>
      </c>
      <c r="C36">
        <v>5</v>
      </c>
      <c r="D36">
        <v>5</v>
      </c>
    </row>
    <row r="37" spans="1:7" x14ac:dyDescent="0.25">
      <c r="A37">
        <v>3</v>
      </c>
      <c r="B37">
        <v>2</v>
      </c>
      <c r="C37">
        <v>3</v>
      </c>
      <c r="D37">
        <v>5</v>
      </c>
      <c r="F37" s="2" t="s">
        <v>26</v>
      </c>
      <c r="G37" s="2"/>
    </row>
    <row r="38" spans="1:7" x14ac:dyDescent="0.25">
      <c r="A38">
        <v>2</v>
      </c>
      <c r="B38">
        <v>5</v>
      </c>
      <c r="C38">
        <v>3</v>
      </c>
      <c r="D38">
        <v>5</v>
      </c>
      <c r="F38" t="s">
        <v>23</v>
      </c>
    </row>
    <row r="39" spans="1:7" x14ac:dyDescent="0.25">
      <c r="A39">
        <v>2</v>
      </c>
      <c r="B39">
        <v>2</v>
      </c>
      <c r="C39">
        <v>4</v>
      </c>
      <c r="D39">
        <v>4</v>
      </c>
      <c r="F39" t="s">
        <v>24</v>
      </c>
    </row>
    <row r="40" spans="1:7" x14ac:dyDescent="0.25">
      <c r="A40">
        <v>3</v>
      </c>
      <c r="B40">
        <v>5</v>
      </c>
      <c r="C40">
        <v>4</v>
      </c>
      <c r="D40">
        <v>4</v>
      </c>
    </row>
    <row r="41" spans="1:7" x14ac:dyDescent="0.25">
      <c r="A41">
        <v>2</v>
      </c>
      <c r="B41">
        <v>3</v>
      </c>
      <c r="C41">
        <v>2</v>
      </c>
      <c r="D41">
        <v>4</v>
      </c>
    </row>
    <row r="42" spans="1:7" x14ac:dyDescent="0.25">
      <c r="A42">
        <v>4</v>
      </c>
      <c r="B42">
        <v>3</v>
      </c>
      <c r="C42">
        <v>2</v>
      </c>
      <c r="D42">
        <v>5</v>
      </c>
    </row>
    <row r="43" spans="1:7" x14ac:dyDescent="0.25">
      <c r="A43">
        <v>4</v>
      </c>
      <c r="B43">
        <v>1</v>
      </c>
      <c r="C43">
        <v>2</v>
      </c>
      <c r="D43">
        <v>4</v>
      </c>
    </row>
    <row r="44" spans="1:7" x14ac:dyDescent="0.25">
      <c r="A44">
        <v>3</v>
      </c>
      <c r="B44">
        <v>3</v>
      </c>
      <c r="C44">
        <v>5</v>
      </c>
      <c r="D44">
        <v>5</v>
      </c>
      <c r="F44" t="s">
        <v>3</v>
      </c>
      <c r="G44">
        <f>DEVSQ(A:A)+DEVSQ(B:B)+DEVSQ(C:C)+DEVSQ(D:D)</f>
        <v>464.88659793814401</v>
      </c>
    </row>
    <row r="45" spans="1:7" x14ac:dyDescent="0.25">
      <c r="A45">
        <v>4</v>
      </c>
      <c r="B45">
        <v>5</v>
      </c>
      <c r="C45">
        <v>4</v>
      </c>
      <c r="D45">
        <v>4</v>
      </c>
    </row>
    <row r="46" spans="1:7" x14ac:dyDescent="0.25">
      <c r="A46">
        <v>3</v>
      </c>
      <c r="B46">
        <v>3</v>
      </c>
      <c r="C46">
        <v>4</v>
      </c>
      <c r="D46">
        <v>3</v>
      </c>
    </row>
    <row r="47" spans="1:7" x14ac:dyDescent="0.25">
      <c r="A47">
        <v>1</v>
      </c>
      <c r="B47">
        <v>3</v>
      </c>
      <c r="C47">
        <v>3</v>
      </c>
      <c r="D47">
        <v>5</v>
      </c>
      <c r="F47" s="2" t="s">
        <v>25</v>
      </c>
      <c r="G47" s="2"/>
    </row>
    <row r="48" spans="1:7" x14ac:dyDescent="0.25">
      <c r="A48">
        <v>2</v>
      </c>
      <c r="B48">
        <v>1</v>
      </c>
      <c r="C48">
        <v>4</v>
      </c>
      <c r="D48">
        <v>3</v>
      </c>
      <c r="F48" t="s">
        <v>27</v>
      </c>
      <c r="G48">
        <f>COUNT(A:A,B:B,C:C,D:D)</f>
        <v>388</v>
      </c>
    </row>
    <row r="49" spans="1:7" x14ac:dyDescent="0.25">
      <c r="A49">
        <v>3</v>
      </c>
      <c r="B49">
        <v>2</v>
      </c>
      <c r="C49">
        <v>2</v>
      </c>
      <c r="D49">
        <v>1</v>
      </c>
      <c r="F49" t="s">
        <v>16</v>
      </c>
      <c r="G49">
        <f>G22</f>
        <v>4</v>
      </c>
    </row>
    <row r="50" spans="1:7" x14ac:dyDescent="0.25">
      <c r="A50">
        <v>5</v>
      </c>
      <c r="B50">
        <v>4</v>
      </c>
      <c r="C50">
        <v>3</v>
      </c>
      <c r="D50">
        <v>5</v>
      </c>
    </row>
    <row r="51" spans="1:7" x14ac:dyDescent="0.25">
      <c r="A51">
        <v>3</v>
      </c>
      <c r="B51">
        <v>3</v>
      </c>
      <c r="C51">
        <v>5</v>
      </c>
      <c r="D51">
        <v>3</v>
      </c>
    </row>
    <row r="52" spans="1:7" x14ac:dyDescent="0.25">
      <c r="A52">
        <v>1</v>
      </c>
      <c r="B52">
        <v>4</v>
      </c>
      <c r="C52">
        <v>3</v>
      </c>
      <c r="D52">
        <v>3</v>
      </c>
    </row>
    <row r="53" spans="1:7" x14ac:dyDescent="0.25">
      <c r="A53">
        <v>5</v>
      </c>
      <c r="B53">
        <v>3</v>
      </c>
      <c r="C53">
        <v>3</v>
      </c>
      <c r="D53">
        <v>5</v>
      </c>
    </row>
    <row r="54" spans="1:7" x14ac:dyDescent="0.25">
      <c r="A54">
        <v>3</v>
      </c>
      <c r="B54">
        <v>3</v>
      </c>
      <c r="C54">
        <v>4</v>
      </c>
      <c r="D54">
        <v>3</v>
      </c>
      <c r="F54" t="s">
        <v>4</v>
      </c>
      <c r="G54">
        <f>G48-G49</f>
        <v>384</v>
      </c>
    </row>
    <row r="55" spans="1:7" x14ac:dyDescent="0.25">
      <c r="A55">
        <v>3</v>
      </c>
      <c r="B55">
        <v>3</v>
      </c>
      <c r="C55">
        <v>3</v>
      </c>
      <c r="D55">
        <v>5</v>
      </c>
    </row>
    <row r="56" spans="1:7" x14ac:dyDescent="0.25">
      <c r="A56">
        <v>4</v>
      </c>
      <c r="B56">
        <v>3</v>
      </c>
      <c r="C56">
        <v>1</v>
      </c>
      <c r="D56">
        <v>1</v>
      </c>
    </row>
    <row r="57" spans="1:7" x14ac:dyDescent="0.25">
      <c r="A57">
        <v>3</v>
      </c>
      <c r="B57">
        <v>3</v>
      </c>
      <c r="C57">
        <v>3</v>
      </c>
      <c r="D57">
        <v>5</v>
      </c>
      <c r="F57" s="2" t="s">
        <v>28</v>
      </c>
      <c r="G57" s="2"/>
    </row>
    <row r="58" spans="1:7" x14ac:dyDescent="0.25">
      <c r="A58">
        <v>4</v>
      </c>
      <c r="B58">
        <v>3</v>
      </c>
      <c r="C58">
        <v>1</v>
      </c>
      <c r="D58">
        <v>5</v>
      </c>
      <c r="F58" t="s">
        <v>29</v>
      </c>
    </row>
    <row r="59" spans="1:7" x14ac:dyDescent="0.25">
      <c r="A59">
        <v>4</v>
      </c>
      <c r="B59">
        <v>3</v>
      </c>
      <c r="C59">
        <v>5</v>
      </c>
      <c r="D59">
        <v>5</v>
      </c>
    </row>
    <row r="60" spans="1:7" x14ac:dyDescent="0.25">
      <c r="A60">
        <v>3</v>
      </c>
      <c r="B60">
        <v>5</v>
      </c>
      <c r="C60">
        <v>3</v>
      </c>
      <c r="D60">
        <v>5</v>
      </c>
    </row>
    <row r="61" spans="1:7" x14ac:dyDescent="0.25">
      <c r="A61">
        <v>2</v>
      </c>
      <c r="B61">
        <v>2</v>
      </c>
      <c r="C61">
        <v>3</v>
      </c>
      <c r="D61">
        <v>4</v>
      </c>
    </row>
    <row r="62" spans="1:7" x14ac:dyDescent="0.25">
      <c r="A62">
        <v>5</v>
      </c>
      <c r="B62">
        <v>3</v>
      </c>
      <c r="C62">
        <v>3</v>
      </c>
      <c r="D62">
        <v>5</v>
      </c>
    </row>
    <row r="63" spans="1:7" x14ac:dyDescent="0.25">
      <c r="A63">
        <v>2</v>
      </c>
      <c r="B63">
        <v>5</v>
      </c>
      <c r="C63">
        <v>2</v>
      </c>
      <c r="D63">
        <v>5</v>
      </c>
    </row>
    <row r="64" spans="1:7" x14ac:dyDescent="0.25">
      <c r="A64">
        <v>4</v>
      </c>
      <c r="B64">
        <v>3</v>
      </c>
      <c r="C64">
        <v>3</v>
      </c>
      <c r="D64">
        <v>5</v>
      </c>
      <c r="F64" t="s">
        <v>5</v>
      </c>
      <c r="G64">
        <f>G44/G54</f>
        <v>1.2106421821305833</v>
      </c>
    </row>
    <row r="65" spans="1:7" x14ac:dyDescent="0.25">
      <c r="A65">
        <v>5</v>
      </c>
      <c r="B65">
        <v>3</v>
      </c>
      <c r="C65">
        <v>5</v>
      </c>
      <c r="D65">
        <v>2</v>
      </c>
    </row>
    <row r="66" spans="1:7" x14ac:dyDescent="0.25">
      <c r="A66">
        <v>1</v>
      </c>
      <c r="B66">
        <v>3</v>
      </c>
      <c r="C66">
        <v>2</v>
      </c>
      <c r="D66">
        <v>4</v>
      </c>
    </row>
    <row r="67" spans="1:7" x14ac:dyDescent="0.25">
      <c r="A67">
        <v>3</v>
      </c>
      <c r="B67">
        <v>4</v>
      </c>
      <c r="C67">
        <v>5</v>
      </c>
      <c r="D67">
        <v>5</v>
      </c>
      <c r="F67" s="2" t="s">
        <v>30</v>
      </c>
      <c r="G67" s="2"/>
    </row>
    <row r="68" spans="1:7" x14ac:dyDescent="0.25">
      <c r="A68">
        <v>3</v>
      </c>
      <c r="B68">
        <v>5</v>
      </c>
      <c r="C68">
        <v>3</v>
      </c>
      <c r="D68">
        <v>4</v>
      </c>
      <c r="F68" t="s">
        <v>31</v>
      </c>
    </row>
    <row r="69" spans="1:7" x14ac:dyDescent="0.25">
      <c r="A69">
        <v>2</v>
      </c>
      <c r="B69">
        <v>5</v>
      </c>
      <c r="C69">
        <v>3</v>
      </c>
      <c r="D69">
        <v>5</v>
      </c>
      <c r="F69" t="s">
        <v>32</v>
      </c>
    </row>
    <row r="70" spans="1:7" x14ac:dyDescent="0.25">
      <c r="A70">
        <v>2</v>
      </c>
      <c r="B70">
        <v>4</v>
      </c>
      <c r="C70">
        <v>2</v>
      </c>
      <c r="D70">
        <v>3</v>
      </c>
    </row>
    <row r="71" spans="1:7" x14ac:dyDescent="0.25">
      <c r="A71">
        <v>4</v>
      </c>
      <c r="B71">
        <v>1</v>
      </c>
      <c r="C71">
        <v>3</v>
      </c>
      <c r="D71">
        <v>4</v>
      </c>
    </row>
    <row r="72" spans="1:7" x14ac:dyDescent="0.25">
      <c r="A72">
        <v>3</v>
      </c>
      <c r="B72">
        <v>3</v>
      </c>
      <c r="C72">
        <v>2</v>
      </c>
      <c r="D72">
        <v>4</v>
      </c>
    </row>
    <row r="73" spans="1:7" x14ac:dyDescent="0.25">
      <c r="A73">
        <v>4</v>
      </c>
      <c r="B73">
        <v>3</v>
      </c>
      <c r="C73">
        <v>2</v>
      </c>
      <c r="D73">
        <v>3</v>
      </c>
    </row>
    <row r="74" spans="1:7" x14ac:dyDescent="0.25">
      <c r="A74">
        <v>4</v>
      </c>
      <c r="B74">
        <v>1</v>
      </c>
      <c r="C74">
        <v>3</v>
      </c>
      <c r="D74">
        <v>2</v>
      </c>
      <c r="F74" t="s">
        <v>2</v>
      </c>
      <c r="G74">
        <f>G34/G64</f>
        <v>19.372155940923424</v>
      </c>
    </row>
    <row r="75" spans="1:7" x14ac:dyDescent="0.25">
      <c r="A75">
        <v>1</v>
      </c>
      <c r="B75">
        <v>3</v>
      </c>
      <c r="C75">
        <v>3</v>
      </c>
      <c r="D75">
        <v>4</v>
      </c>
    </row>
    <row r="76" spans="1:7" x14ac:dyDescent="0.25">
      <c r="A76">
        <v>2</v>
      </c>
      <c r="B76">
        <v>3</v>
      </c>
      <c r="C76">
        <v>1</v>
      </c>
      <c r="D76">
        <v>4</v>
      </c>
    </row>
    <row r="77" spans="1:7" x14ac:dyDescent="0.25">
      <c r="A77">
        <v>4</v>
      </c>
      <c r="B77">
        <v>3</v>
      </c>
      <c r="C77">
        <v>2</v>
      </c>
      <c r="D77">
        <v>4</v>
      </c>
      <c r="F77" s="2" t="s">
        <v>35</v>
      </c>
      <c r="G77" s="2"/>
    </row>
    <row r="78" spans="1:7" x14ac:dyDescent="0.25">
      <c r="A78">
        <v>3</v>
      </c>
      <c r="B78">
        <v>2</v>
      </c>
      <c r="C78">
        <v>3</v>
      </c>
      <c r="D78">
        <v>4</v>
      </c>
    </row>
    <row r="79" spans="1:7" x14ac:dyDescent="0.25">
      <c r="A79">
        <v>3</v>
      </c>
      <c r="B79">
        <v>2</v>
      </c>
      <c r="C79">
        <v>2</v>
      </c>
      <c r="D79">
        <v>5</v>
      </c>
      <c r="F79" s="4" t="s">
        <v>33</v>
      </c>
      <c r="G79">
        <v>0.05</v>
      </c>
    </row>
    <row r="80" spans="1:7" x14ac:dyDescent="0.25">
      <c r="A80">
        <v>3</v>
      </c>
      <c r="B80">
        <v>3</v>
      </c>
      <c r="C80">
        <v>4</v>
      </c>
      <c r="D80">
        <v>3</v>
      </c>
      <c r="F80" t="s">
        <v>0</v>
      </c>
      <c r="G80">
        <f xml:space="preserve"> G25</f>
        <v>3</v>
      </c>
    </row>
    <row r="81" spans="1:7" x14ac:dyDescent="0.25">
      <c r="A81">
        <v>3</v>
      </c>
      <c r="B81">
        <v>3</v>
      </c>
      <c r="C81">
        <v>4</v>
      </c>
      <c r="D81">
        <v>3</v>
      </c>
      <c r="F81" t="s">
        <v>4</v>
      </c>
      <c r="G81">
        <f xml:space="preserve"> G54</f>
        <v>384</v>
      </c>
    </row>
    <row r="82" spans="1:7" x14ac:dyDescent="0.25">
      <c r="A82">
        <v>4</v>
      </c>
      <c r="B82">
        <v>4</v>
      </c>
      <c r="C82">
        <v>3</v>
      </c>
      <c r="D82">
        <v>5</v>
      </c>
      <c r="F82" t="s">
        <v>34</v>
      </c>
      <c r="G82">
        <f>FINV(G79, G80, G81)</f>
        <v>2.6281486844038939</v>
      </c>
    </row>
    <row r="83" spans="1:7" x14ac:dyDescent="0.25">
      <c r="A83">
        <v>4</v>
      </c>
      <c r="B83">
        <v>2</v>
      </c>
      <c r="C83">
        <v>1</v>
      </c>
      <c r="D83">
        <v>4</v>
      </c>
      <c r="F83" t="s">
        <v>36</v>
      </c>
      <c r="G83">
        <f>_xlfn.F.DIST.RT(G74, G80, G81)</f>
        <v>1.0236147488227127E-11</v>
      </c>
    </row>
    <row r="84" spans="1:7" x14ac:dyDescent="0.25">
      <c r="A84">
        <v>3</v>
      </c>
      <c r="B84">
        <v>1</v>
      </c>
      <c r="C84">
        <v>2</v>
      </c>
      <c r="D84">
        <v>3</v>
      </c>
    </row>
    <row r="85" spans="1:7" x14ac:dyDescent="0.25">
      <c r="A85">
        <v>2</v>
      </c>
      <c r="B85">
        <v>2</v>
      </c>
      <c r="C85">
        <v>2</v>
      </c>
      <c r="D85">
        <v>3</v>
      </c>
      <c r="F85" s="2" t="s">
        <v>6</v>
      </c>
      <c r="G85" s="2"/>
    </row>
    <row r="86" spans="1:7" x14ac:dyDescent="0.25">
      <c r="A86">
        <v>3</v>
      </c>
      <c r="B86">
        <v>1</v>
      </c>
      <c r="C86">
        <v>2</v>
      </c>
      <c r="D86">
        <v>3</v>
      </c>
    </row>
    <row r="87" spans="1:7" x14ac:dyDescent="0.25">
      <c r="A87">
        <v>3</v>
      </c>
      <c r="B87">
        <v>3</v>
      </c>
      <c r="C87">
        <v>3</v>
      </c>
      <c r="D87">
        <v>4</v>
      </c>
      <c r="F87" t="s">
        <v>40</v>
      </c>
    </row>
    <row r="88" spans="1:7" x14ac:dyDescent="0.25">
      <c r="A88">
        <v>3</v>
      </c>
      <c r="B88">
        <v>3</v>
      </c>
      <c r="C88">
        <v>1</v>
      </c>
      <c r="D88">
        <v>5</v>
      </c>
      <c r="F88" t="s">
        <v>41</v>
      </c>
    </row>
    <row r="89" spans="1:7" x14ac:dyDescent="0.25">
      <c r="A89">
        <v>2</v>
      </c>
      <c r="B89">
        <v>1</v>
      </c>
      <c r="C89">
        <v>3</v>
      </c>
      <c r="D89">
        <v>4</v>
      </c>
    </row>
    <row r="90" spans="1:7" x14ac:dyDescent="0.25">
      <c r="A90">
        <v>3</v>
      </c>
      <c r="B90">
        <v>3</v>
      </c>
      <c r="C90">
        <v>3</v>
      </c>
      <c r="D90">
        <v>5</v>
      </c>
      <c r="F90" t="str">
        <f>"Si F calculado ("&amp;G74&amp;") &gt; F critico ("&amp;G82&amp;") ---&gt; Se rechaza la hipotesis nula"</f>
        <v>Si F calculado (19.3721559409234) &gt; F critico (2.62814868440389) ---&gt; Se rechaza la hipotesis nula</v>
      </c>
    </row>
    <row r="91" spans="1:7" x14ac:dyDescent="0.25">
      <c r="A91">
        <v>3</v>
      </c>
      <c r="B91">
        <v>3</v>
      </c>
      <c r="C91">
        <v>3</v>
      </c>
      <c r="D91">
        <v>2</v>
      </c>
      <c r="F91" t="str">
        <f>"Si p-valor ("&amp;G83&amp;") &lt; α Nivel Significancia ("&amp;G79&amp;") ---&gt; Se rechaza la hipotesis nula"</f>
        <v>Si p-valor (1.02361474882271E-11) &lt; α Nivel Significancia (0.05) ---&gt; Se rechaza la hipotesis nula</v>
      </c>
    </row>
    <row r="92" spans="1:7" x14ac:dyDescent="0.25">
      <c r="A92">
        <v>3</v>
      </c>
      <c r="B92">
        <v>3</v>
      </c>
      <c r="C92">
        <v>3</v>
      </c>
      <c r="D92">
        <v>5</v>
      </c>
    </row>
    <row r="93" spans="1:7" x14ac:dyDescent="0.25">
      <c r="A93">
        <v>3</v>
      </c>
      <c r="B93">
        <v>2</v>
      </c>
      <c r="C93">
        <v>3</v>
      </c>
      <c r="D93">
        <v>5</v>
      </c>
    </row>
    <row r="94" spans="1:7" x14ac:dyDescent="0.25">
      <c r="A94">
        <v>2</v>
      </c>
      <c r="B94">
        <v>2</v>
      </c>
      <c r="C94">
        <v>4</v>
      </c>
      <c r="D94">
        <v>5</v>
      </c>
      <c r="F94" s="2" t="s">
        <v>37</v>
      </c>
    </row>
    <row r="95" spans="1:7" x14ac:dyDescent="0.25">
      <c r="A95">
        <v>4</v>
      </c>
      <c r="B95">
        <v>4</v>
      </c>
      <c r="C95">
        <v>4</v>
      </c>
      <c r="D95">
        <v>4</v>
      </c>
      <c r="F95" t="s">
        <v>38</v>
      </c>
    </row>
    <row r="96" spans="1:7" x14ac:dyDescent="0.25">
      <c r="A96">
        <v>4</v>
      </c>
      <c r="B96">
        <v>3</v>
      </c>
      <c r="C96">
        <v>3</v>
      </c>
      <c r="D96">
        <v>5</v>
      </c>
      <c r="F96" t="s">
        <v>39</v>
      </c>
    </row>
    <row r="97" spans="1:4" x14ac:dyDescent="0.25">
      <c r="A97">
        <v>2</v>
      </c>
      <c r="B97">
        <v>1</v>
      </c>
      <c r="C97">
        <v>4</v>
      </c>
      <c r="D97">
        <v>2</v>
      </c>
    </row>
    <row r="98" spans="1:4" x14ac:dyDescent="0.25">
      <c r="A98">
        <v>3</v>
      </c>
      <c r="B98">
        <v>4</v>
      </c>
      <c r="C98">
        <v>3</v>
      </c>
      <c r="D98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2026-03-24T02:19:28Z</dcterms:created>
  <dcterms:modified xsi:type="dcterms:W3CDTF">2026-06-24T05:59:26Z</dcterms:modified>
</cp:coreProperties>
</file>
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COLABORATIVO\prueba-anova\"/>
    </mc:Choice>
  </mc:AlternateContent>
  <bookViews>
    <workbookView xWindow="0" yWindow="0" windowWidth="28800" windowHeight="12435" tabRatio="929" activeTab="11"/>
  </bookViews>
  <sheets>
    <sheet name="Resumen" sheetId="16" r:id="rId1"/>
    <sheet name="Participación-activa" sheetId="1" r:id="rId2"/>
    <sheet name="Comunicación-equipo" sheetId="2" r:id="rId3"/>
    <sheet name="Cumplimiento-tareas" sheetId="3" r:id="rId4"/>
    <sheet name="Contribución-grupo" sheetId="4" r:id="rId5"/>
    <sheet name="Resolución-problemas" sheetId="8" r:id="rId6"/>
    <sheet name="Conocimientos-adquiridos" sheetId="10" r:id="rId7"/>
    <sheet name="Nota-final" sheetId="11" r:id="rId8"/>
    <sheet name="Comprensión" sheetId="12" r:id="rId9"/>
    <sheet name="Habilidades" sheetId="13" r:id="rId10"/>
    <sheet name="Resolución-autónoma" sheetId="14" r:id="rId11"/>
    <sheet name="Motivación" sheetId="15" r:id="rId12"/>
  </sheets>
  <calcPr calcId="152511"/>
</workbook>
</file>

<file path=xl/calcChain.xml><?xml version="1.0" encoding="utf-8"?>
<calcChain xmlns="http://schemas.openxmlformats.org/spreadsheetml/2006/main">
  <c r="C2" i="16" l="1"/>
  <c r="B2" i="16"/>
  <c r="F48" i="15" l="1"/>
  <c r="F47" i="15"/>
  <c r="F43" i="15"/>
  <c r="F24" i="15"/>
  <c r="F79" i="15" s="1"/>
  <c r="F6" i="15"/>
  <c r="F5" i="15"/>
  <c r="F4" i="15"/>
  <c r="F3" i="15"/>
  <c r="F48" i="14"/>
  <c r="F47" i="14"/>
  <c r="F43" i="14"/>
  <c r="F24" i="14"/>
  <c r="F79" i="14" s="1"/>
  <c r="F6" i="14"/>
  <c r="F5" i="14"/>
  <c r="F4" i="14"/>
  <c r="F3" i="14"/>
  <c r="F48" i="13"/>
  <c r="F47" i="13"/>
  <c r="F43" i="13"/>
  <c r="F24" i="13"/>
  <c r="F79" i="13" s="1"/>
  <c r="F6" i="13"/>
  <c r="F5" i="13"/>
  <c r="F4" i="13"/>
  <c r="F3" i="13"/>
  <c r="F48" i="12"/>
  <c r="F47" i="12"/>
  <c r="F53" i="12" s="1"/>
  <c r="F80" i="12" s="1"/>
  <c r="F43" i="12"/>
  <c r="F24" i="12"/>
  <c r="F79" i="12" s="1"/>
  <c r="F6" i="12"/>
  <c r="F5" i="12"/>
  <c r="F4" i="12"/>
  <c r="F3" i="12"/>
  <c r="F6" i="11"/>
  <c r="F5" i="11"/>
  <c r="F4" i="11"/>
  <c r="F3" i="11"/>
  <c r="F48" i="11"/>
  <c r="F47" i="11"/>
  <c r="F43" i="11"/>
  <c r="F24" i="11"/>
  <c r="F79" i="11" s="1"/>
  <c r="F48" i="10"/>
  <c r="F47" i="10"/>
  <c r="F43" i="10"/>
  <c r="F24" i="10"/>
  <c r="F79" i="10" s="1"/>
  <c r="F6" i="10"/>
  <c r="F5" i="10"/>
  <c r="F4" i="10"/>
  <c r="F3" i="10"/>
  <c r="F48" i="8"/>
  <c r="F47" i="8"/>
  <c r="F43" i="8"/>
  <c r="F24" i="8"/>
  <c r="F79" i="8" s="1"/>
  <c r="F6" i="8"/>
  <c r="F5" i="8"/>
  <c r="F4" i="8"/>
  <c r="F3" i="8"/>
  <c r="F48" i="4"/>
  <c r="F47" i="4"/>
  <c r="F43" i="4"/>
  <c r="F24" i="4"/>
  <c r="F79" i="4" s="1"/>
  <c r="F6" i="4"/>
  <c r="F5" i="4"/>
  <c r="F4" i="4"/>
  <c r="F3" i="4"/>
  <c r="F48" i="3"/>
  <c r="F47" i="3"/>
  <c r="F43" i="3"/>
  <c r="F24" i="3"/>
  <c r="F79" i="3" s="1"/>
  <c r="F6" i="3"/>
  <c r="F5" i="3"/>
  <c r="F4" i="3"/>
  <c r="F3" i="3"/>
  <c r="F48" i="2"/>
  <c r="F47" i="2"/>
  <c r="F43" i="2"/>
  <c r="F24" i="2"/>
  <c r="F79" i="2" s="1"/>
  <c r="F6" i="2"/>
  <c r="F5" i="2"/>
  <c r="F4" i="2"/>
  <c r="F3" i="2"/>
  <c r="F53" i="13" l="1"/>
  <c r="F80" i="13" s="1"/>
  <c r="F53" i="15"/>
  <c r="F80" i="15" s="1"/>
  <c r="F81" i="15" s="1"/>
  <c r="C12" i="16" s="1"/>
  <c r="F53" i="14"/>
  <c r="F80" i="14" s="1"/>
  <c r="F81" i="14" s="1"/>
  <c r="C11" i="16" s="1"/>
  <c r="F7" i="11"/>
  <c r="F16" i="11" s="1"/>
  <c r="F33" i="11" s="1"/>
  <c r="F7" i="15"/>
  <c r="F16" i="15" s="1"/>
  <c r="F33" i="15" s="1"/>
  <c r="F7" i="14"/>
  <c r="F16" i="14" s="1"/>
  <c r="F33" i="14" s="1"/>
  <c r="F7" i="13"/>
  <c r="F16" i="13" s="1"/>
  <c r="F33" i="13" s="1"/>
  <c r="F7" i="12"/>
  <c r="F16" i="12" s="1"/>
  <c r="F33" i="12" s="1"/>
  <c r="F63" i="12"/>
  <c r="F53" i="11"/>
  <c r="F80" i="11" s="1"/>
  <c r="F81" i="11" s="1"/>
  <c r="C8" i="16" s="1"/>
  <c r="F7" i="10"/>
  <c r="F16" i="10" s="1"/>
  <c r="F33" i="10" s="1"/>
  <c r="F53" i="10"/>
  <c r="F80" i="10" s="1"/>
  <c r="F81" i="10" s="1"/>
  <c r="C7" i="16" s="1"/>
  <c r="F7" i="8"/>
  <c r="F16" i="8" s="1"/>
  <c r="F33" i="8" s="1"/>
  <c r="F53" i="8"/>
  <c r="F80" i="8" s="1"/>
  <c r="F81" i="8" s="1"/>
  <c r="C6" i="16" s="1"/>
  <c r="F7" i="4"/>
  <c r="F53" i="4"/>
  <c r="F80" i="4" s="1"/>
  <c r="F81" i="4" s="1"/>
  <c r="C5" i="16" s="1"/>
  <c r="F7" i="3"/>
  <c r="F16" i="3" s="1"/>
  <c r="F33" i="3" s="1"/>
  <c r="F53" i="3"/>
  <c r="F80" i="3" s="1"/>
  <c r="F81" i="3" s="1"/>
  <c r="C4" i="16" s="1"/>
  <c r="F7" i="2"/>
  <c r="F16" i="2" s="1"/>
  <c r="F33" i="2" s="1"/>
  <c r="F53" i="2"/>
  <c r="F80" i="2" s="1"/>
  <c r="F81" i="2" s="1"/>
  <c r="C3" i="16" s="1"/>
  <c r="F81" i="13"/>
  <c r="C10" i="16" s="1"/>
  <c r="F63" i="13"/>
  <c r="F81" i="12"/>
  <c r="C9" i="16" s="1"/>
  <c r="F16" i="4"/>
  <c r="F33" i="4" s="1"/>
  <c r="F63" i="15" l="1"/>
  <c r="F73" i="15" s="1"/>
  <c r="F63" i="11"/>
  <c r="F63" i="3"/>
  <c r="F73" i="3" s="1"/>
  <c r="F63" i="14"/>
  <c r="F73" i="14" s="1"/>
  <c r="B11" i="16" s="1"/>
  <c r="F73" i="12"/>
  <c r="B9" i="16" s="1"/>
  <c r="F63" i="4"/>
  <c r="F73" i="4" s="1"/>
  <c r="B5" i="16" s="1"/>
  <c r="F73" i="13"/>
  <c r="F82" i="12"/>
  <c r="E89" i="12"/>
  <c r="F73" i="11"/>
  <c r="F63" i="10"/>
  <c r="F73" i="10" s="1"/>
  <c r="B7" i="16" s="1"/>
  <c r="F63" i="8"/>
  <c r="F73" i="8" s="1"/>
  <c r="B6" i="16" s="1"/>
  <c r="F63" i="2"/>
  <c r="F73" i="2" s="1"/>
  <c r="B3" i="16" s="1"/>
  <c r="F82" i="15" l="1"/>
  <c r="B12" i="16"/>
  <c r="F82" i="13"/>
  <c r="B10" i="16"/>
  <c r="E90" i="12"/>
  <c r="D9" i="16"/>
  <c r="F82" i="11"/>
  <c r="B8" i="16"/>
  <c r="B4" i="16"/>
  <c r="E89" i="3"/>
  <c r="F82" i="3"/>
  <c r="E89" i="14"/>
  <c r="F82" i="14"/>
  <c r="E89" i="13"/>
  <c r="E89" i="11"/>
  <c r="F82" i="4"/>
  <c r="E89" i="4"/>
  <c r="E89" i="15"/>
  <c r="F82" i="10"/>
  <c r="E89" i="10"/>
  <c r="F82" i="8"/>
  <c r="E89" i="8"/>
  <c r="E89" i="2"/>
  <c r="F82" i="2"/>
  <c r="F79" i="1"/>
  <c r="F48" i="1"/>
  <c r="F47" i="1"/>
  <c r="F53" i="1" s="1"/>
  <c r="F43" i="1"/>
  <c r="F24" i="1"/>
  <c r="E90" i="15" l="1"/>
  <c r="D12" i="16"/>
  <c r="E90" i="14"/>
  <c r="D11" i="16"/>
  <c r="E90" i="13"/>
  <c r="D10" i="16"/>
  <c r="E90" i="11"/>
  <c r="D8" i="16"/>
  <c r="E90" i="10"/>
  <c r="D7" i="16"/>
  <c r="E90" i="8"/>
  <c r="D6" i="16"/>
  <c r="E90" i="4"/>
  <c r="D5" i="16"/>
  <c r="E90" i="3"/>
  <c r="D4" i="16"/>
  <c r="E90" i="2"/>
  <c r="D3" i="16"/>
  <c r="F63" i="1"/>
  <c r="F80" i="1"/>
  <c r="F81" i="1" s="1"/>
  <c r="F3" i="1"/>
  <c r="F6" i="1"/>
  <c r="F5" i="1"/>
  <c r="F4" i="1"/>
  <c r="F7" i="1" l="1"/>
  <c r="F16" i="1"/>
  <c r="F33" i="1" s="1"/>
  <c r="F73" i="1" s="1"/>
  <c r="E89" i="1" l="1"/>
  <c r="F82" i="1"/>
  <c r="E90" i="1" l="1"/>
  <c r="D2" i="16"/>
</calcChain>
</file>

<file path=xl/sharedStrings.xml><?xml version="1.0" encoding="utf-8"?>
<sst xmlns="http://schemas.openxmlformats.org/spreadsheetml/2006/main" count="499" uniqueCount="56">
  <si>
    <t>gl entre</t>
  </si>
  <si>
    <t>MC entre</t>
  </si>
  <si>
    <t>F calculado</t>
  </si>
  <si>
    <t>SC Dentro Grupos</t>
  </si>
  <si>
    <t>gl dentro</t>
  </si>
  <si>
    <t>MC dentro</t>
  </si>
  <si>
    <t>Interpretación:</t>
  </si>
  <si>
    <t>Promedio Grupo A</t>
  </si>
  <si>
    <t>Promedio Grupo B</t>
  </si>
  <si>
    <t>Promedio Grupo C</t>
  </si>
  <si>
    <t xml:space="preserve">SC Entre Grupos </t>
  </si>
  <si>
    <t>Calculo Suma de Cuadrados Entre Grupos</t>
  </si>
  <si>
    <t>Datos Generales</t>
  </si>
  <si>
    <t>Tamano Grupos</t>
  </si>
  <si>
    <t>Promedio Total total</t>
  </si>
  <si>
    <t>k (Numero de grupos)</t>
  </si>
  <si>
    <t>Mide qué tan diferentes son los grupos entre sí</t>
  </si>
  <si>
    <t>Compara las medias de cada grupo con la media general</t>
  </si>
  <si>
    <t>Calculo gl ENTRE (Grados de libertad entre grupos)</t>
  </si>
  <si>
    <t>Cantidad de grupos independientes que puedes comparar</t>
  </si>
  <si>
    <t>Calculo MC ENTRE (Media Cuadrática Entre)</t>
  </si>
  <si>
    <t>Es el promedio de la variación entre grupos</t>
  </si>
  <si>
    <t>Mide la variabilidad interna de cada grupo</t>
  </si>
  <si>
    <t>Qué tanto varían los datos dentro del mismo grupo</t>
  </si>
  <si>
    <t>Calculo gl DENTRO (Grados de libertad dentro)</t>
  </si>
  <si>
    <t>Calculo SC DENTRO DE GRUPOS (Suma de Cuadrados Dentro)</t>
  </si>
  <si>
    <t>N = total de datos</t>
  </si>
  <si>
    <t>Calculo MC DENTRO (Media Cuadrática Dentro)</t>
  </si>
  <si>
    <t>Es el promedio de la variación interna</t>
  </si>
  <si>
    <t>Calculo F Calculado</t>
  </si>
  <si>
    <t>El F calculado es un valor numérico que obtienes al aplicar la fórmula de ANOVA.</t>
  </si>
  <si>
    <t>Sirve para decidir si hay diferencias significativas entre grupos.</t>
  </si>
  <si>
    <t>α  El mas comun 5%</t>
  </si>
  <si>
    <t>F critico (Tabla)</t>
  </si>
  <si>
    <t>Calculo F critico (Tabla) y P valor</t>
  </si>
  <si>
    <t xml:space="preserve">P valor </t>
  </si>
  <si>
    <r>
      <t xml:space="preserve">hipotesis nula Ho = </t>
    </r>
    <r>
      <rPr>
        <sz val="11"/>
        <color rgb="FFC00000"/>
        <rFont val="Calibri"/>
        <family val="2"/>
        <scheme val="minor"/>
      </rPr>
      <t>No hay diferencias significativa</t>
    </r>
  </si>
  <si>
    <r>
      <t xml:space="preserve">hipotesis alternativa H1 = </t>
    </r>
    <r>
      <rPr>
        <sz val="11"/>
        <color rgb="FF00B050"/>
        <rFont val="Calibri"/>
        <family val="2"/>
        <scheme val="minor"/>
      </rPr>
      <t>Si hay diferencia significativa</t>
    </r>
  </si>
  <si>
    <t xml:space="preserve">Grupo 
Control
Pre Test
Sin intervención </t>
  </si>
  <si>
    <t>Grupo 
Control
Post Test
Sin intervención</t>
  </si>
  <si>
    <t>Grupo 
Experimental
Pre Test
Sin intervención</t>
  </si>
  <si>
    <t>Indicador</t>
  </si>
  <si>
    <t>Resolución problemas</t>
  </si>
  <si>
    <t>Motivación</t>
  </si>
  <si>
    <t>F
Calculado</t>
  </si>
  <si>
    <t>F Critico
Critico</t>
  </si>
  <si>
    <t>P Valor</t>
  </si>
  <si>
    <t>Comunicación equipo</t>
  </si>
  <si>
    <t>Participación activa</t>
  </si>
  <si>
    <t>Comprensión</t>
  </si>
  <si>
    <t>Habilidades</t>
  </si>
  <si>
    <t>Cumplimiento tareas</t>
  </si>
  <si>
    <t>Contribución grupo</t>
  </si>
  <si>
    <t>Conocimientos adquiridos</t>
  </si>
  <si>
    <t>Nota final</t>
  </si>
  <si>
    <t>Resolución autónoma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</si>
</sst>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/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26484</xdr:colOff>
      <xdr:row>12</xdr:row>
      <xdr:rowOff>38018</xdr:rowOff>
    </xdr:from>
    <xdr:to>
      <xdr:col>4</xdr:col>
      <xdr:colOff>1366756</xdr:colOff>
      <xdr:row>13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1570" y="2514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4</xdr:col>
      <xdr:colOff>725461</xdr:colOff>
      <xdr:row>6</xdr:row>
      <xdr:rowOff>26892</xdr:rowOff>
    </xdr:from>
    <xdr:to>
      <xdr:col>4</xdr:col>
      <xdr:colOff>850271</xdr:colOff>
      <xdr:row>6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0852" y="1360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4</xdr:col>
      <xdr:colOff>1459811</xdr:colOff>
      <xdr:row>12</xdr:row>
      <xdr:rowOff>94593</xdr:rowOff>
    </xdr:from>
    <xdr:to>
      <xdr:col>4</xdr:col>
      <xdr:colOff>2432018</xdr:colOff>
      <xdr:row>14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94897" y="2571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4</xdr:col>
      <xdr:colOff>14655</xdr:colOff>
      <xdr:row>21</xdr:row>
      <xdr:rowOff>21982</xdr:rowOff>
    </xdr:from>
    <xdr:to>
      <xdr:col>4</xdr:col>
      <xdr:colOff>974481</xdr:colOff>
      <xdr:row>22</xdr:row>
      <xdr:rowOff>149531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72559" y="4593982"/>
          <a:ext cx="959826" cy="318049"/>
        </a:xfrm>
        <a:prstGeom prst="rect">
          <a:avLst/>
        </a:prstGeom>
      </xdr:spPr>
    </xdr:pic>
    <xdr:clientData/>
  </xdr:twoCellAnchor>
  <xdr:twoCellAnchor editAs="oneCell">
    <xdr:from>
      <xdr:col>4</xdr:col>
      <xdr:colOff>930519</xdr:colOff>
      <xdr:row>28</xdr:row>
      <xdr:rowOff>29307</xdr:rowOff>
    </xdr:from>
    <xdr:to>
      <xdr:col>4</xdr:col>
      <xdr:colOff>2432538</xdr:colOff>
      <xdr:row>31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59115" y="5553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43963</xdr:colOff>
      <xdr:row>38</xdr:row>
      <xdr:rowOff>43961</xdr:rowOff>
    </xdr:from>
    <xdr:to>
      <xdr:col>4</xdr:col>
      <xdr:colOff>2022233</xdr:colOff>
      <xdr:row>40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72559" y="7473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4</xdr:col>
      <xdr:colOff>2161443</xdr:colOff>
      <xdr:row>38</xdr:row>
      <xdr:rowOff>58616</xdr:rowOff>
    </xdr:from>
    <xdr:to>
      <xdr:col>5</xdr:col>
      <xdr:colOff>769327</xdr:colOff>
      <xdr:row>40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290039" y="7488116"/>
          <a:ext cx="1743808" cy="45908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48</xdr:row>
      <xdr:rowOff>142875</xdr:rowOff>
    </xdr:from>
    <xdr:to>
      <xdr:col>4</xdr:col>
      <xdr:colOff>1780954</xdr:colOff>
      <xdr:row>51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43250" y="9477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57</xdr:row>
      <xdr:rowOff>76200</xdr:rowOff>
    </xdr:from>
    <xdr:to>
      <xdr:col>4</xdr:col>
      <xdr:colOff>1676400</xdr:colOff>
      <xdr:row>61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57550" y="11125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4</xdr:col>
      <xdr:colOff>51288</xdr:colOff>
      <xdr:row>68</xdr:row>
      <xdr:rowOff>146538</xdr:rowOff>
    </xdr:from>
    <xdr:to>
      <xdr:col>4</xdr:col>
      <xdr:colOff>1298907</xdr:colOff>
      <xdr:row>71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79884" y="13291038"/>
          <a:ext cx="1247619" cy="571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26484</xdr:colOff>
      <xdr:row>12</xdr:row>
      <xdr:rowOff>38018</xdr:rowOff>
    </xdr:from>
    <xdr:to>
      <xdr:col>4</xdr:col>
      <xdr:colOff>1366756</xdr:colOff>
      <xdr:row>13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334" y="2895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4</xdr:col>
      <xdr:colOff>725461</xdr:colOff>
      <xdr:row>6</xdr:row>
      <xdr:rowOff>26892</xdr:rowOff>
    </xdr:from>
    <xdr:to>
      <xdr:col>4</xdr:col>
      <xdr:colOff>850271</xdr:colOff>
      <xdr:row>6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8311" y="1741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4</xdr:col>
      <xdr:colOff>1459811</xdr:colOff>
      <xdr:row>12</xdr:row>
      <xdr:rowOff>94593</xdr:rowOff>
    </xdr:from>
    <xdr:to>
      <xdr:col>4</xdr:col>
      <xdr:colOff>2432018</xdr:colOff>
      <xdr:row>14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2661" y="2952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4</xdr:col>
      <xdr:colOff>14655</xdr:colOff>
      <xdr:row>21</xdr:row>
      <xdr:rowOff>21982</xdr:rowOff>
    </xdr:from>
    <xdr:to>
      <xdr:col>4</xdr:col>
      <xdr:colOff>974481</xdr:colOff>
      <xdr:row>22</xdr:row>
      <xdr:rowOff>149531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7505" y="4593982"/>
          <a:ext cx="959826" cy="318049"/>
        </a:xfrm>
        <a:prstGeom prst="rect">
          <a:avLst/>
        </a:prstGeom>
      </xdr:spPr>
    </xdr:pic>
    <xdr:clientData/>
  </xdr:twoCellAnchor>
  <xdr:twoCellAnchor editAs="oneCell">
    <xdr:from>
      <xdr:col>4</xdr:col>
      <xdr:colOff>930519</xdr:colOff>
      <xdr:row>28</xdr:row>
      <xdr:rowOff>29307</xdr:rowOff>
    </xdr:from>
    <xdr:to>
      <xdr:col>4</xdr:col>
      <xdr:colOff>2432538</xdr:colOff>
      <xdr:row>31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83369" y="5934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43963</xdr:colOff>
      <xdr:row>38</xdr:row>
      <xdr:rowOff>43961</xdr:rowOff>
    </xdr:from>
    <xdr:to>
      <xdr:col>4</xdr:col>
      <xdr:colOff>2022233</xdr:colOff>
      <xdr:row>40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6813" y="7854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4</xdr:col>
      <xdr:colOff>2161443</xdr:colOff>
      <xdr:row>38</xdr:row>
      <xdr:rowOff>58616</xdr:rowOff>
    </xdr:from>
    <xdr:to>
      <xdr:col>5</xdr:col>
      <xdr:colOff>769327</xdr:colOff>
      <xdr:row>40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914293" y="7869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48</xdr:row>
      <xdr:rowOff>142875</xdr:rowOff>
    </xdr:from>
    <xdr:to>
      <xdr:col>4</xdr:col>
      <xdr:colOff>1780954</xdr:colOff>
      <xdr:row>51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62375" y="9858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57</xdr:row>
      <xdr:rowOff>76200</xdr:rowOff>
    </xdr:from>
    <xdr:to>
      <xdr:col>4</xdr:col>
      <xdr:colOff>1676400</xdr:colOff>
      <xdr:row>61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76675" y="11506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4</xdr:col>
      <xdr:colOff>51288</xdr:colOff>
      <xdr:row>68</xdr:row>
      <xdr:rowOff>146538</xdr:rowOff>
    </xdr:from>
    <xdr:to>
      <xdr:col>4</xdr:col>
      <xdr:colOff>1298907</xdr:colOff>
      <xdr:row>71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04138" y="13672038"/>
          <a:ext cx="1247619" cy="571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26484</xdr:colOff>
      <xdr:row>12</xdr:row>
      <xdr:rowOff>38018</xdr:rowOff>
    </xdr:from>
    <xdr:to>
      <xdr:col>4</xdr:col>
      <xdr:colOff>1366756</xdr:colOff>
      <xdr:row>13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334" y="2895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4</xdr:col>
      <xdr:colOff>725461</xdr:colOff>
      <xdr:row>6</xdr:row>
      <xdr:rowOff>26892</xdr:rowOff>
    </xdr:from>
    <xdr:to>
      <xdr:col>4</xdr:col>
      <xdr:colOff>850271</xdr:colOff>
      <xdr:row>6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8311" y="1741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4</xdr:col>
      <xdr:colOff>1459811</xdr:colOff>
      <xdr:row>12</xdr:row>
      <xdr:rowOff>94593</xdr:rowOff>
    </xdr:from>
    <xdr:to>
      <xdr:col>4</xdr:col>
      <xdr:colOff>2432018</xdr:colOff>
      <xdr:row>14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2661" y="2952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4</xdr:col>
      <xdr:colOff>14655</xdr:colOff>
      <xdr:row>21</xdr:row>
      <xdr:rowOff>21982</xdr:rowOff>
    </xdr:from>
    <xdr:to>
      <xdr:col>4</xdr:col>
      <xdr:colOff>974481</xdr:colOff>
      <xdr:row>22</xdr:row>
      <xdr:rowOff>149531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7505" y="4593982"/>
          <a:ext cx="959826" cy="318049"/>
        </a:xfrm>
        <a:prstGeom prst="rect">
          <a:avLst/>
        </a:prstGeom>
      </xdr:spPr>
    </xdr:pic>
    <xdr:clientData/>
  </xdr:twoCellAnchor>
  <xdr:twoCellAnchor editAs="oneCell">
    <xdr:from>
      <xdr:col>4</xdr:col>
      <xdr:colOff>930519</xdr:colOff>
      <xdr:row>28</xdr:row>
      <xdr:rowOff>29307</xdr:rowOff>
    </xdr:from>
    <xdr:to>
      <xdr:col>4</xdr:col>
      <xdr:colOff>2432538</xdr:colOff>
      <xdr:row>31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83369" y="5934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43963</xdr:colOff>
      <xdr:row>38</xdr:row>
      <xdr:rowOff>43961</xdr:rowOff>
    </xdr:from>
    <xdr:to>
      <xdr:col>4</xdr:col>
      <xdr:colOff>2022233</xdr:colOff>
      <xdr:row>40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6813" y="7854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4</xdr:col>
      <xdr:colOff>2161443</xdr:colOff>
      <xdr:row>38</xdr:row>
      <xdr:rowOff>58616</xdr:rowOff>
    </xdr:from>
    <xdr:to>
      <xdr:col>5</xdr:col>
      <xdr:colOff>769327</xdr:colOff>
      <xdr:row>40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914293" y="7869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48</xdr:row>
      <xdr:rowOff>142875</xdr:rowOff>
    </xdr:from>
    <xdr:to>
      <xdr:col>4</xdr:col>
      <xdr:colOff>1780954</xdr:colOff>
      <xdr:row>51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62375" y="9858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57</xdr:row>
      <xdr:rowOff>76200</xdr:rowOff>
    </xdr:from>
    <xdr:to>
      <xdr:col>4</xdr:col>
      <xdr:colOff>1676400</xdr:colOff>
      <xdr:row>61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76675" y="11506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4</xdr:col>
      <xdr:colOff>51288</xdr:colOff>
      <xdr:row>68</xdr:row>
      <xdr:rowOff>146538</xdr:rowOff>
    </xdr:from>
    <xdr:to>
      <xdr:col>4</xdr:col>
      <xdr:colOff>1298907</xdr:colOff>
      <xdr:row>71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04138" y="13672038"/>
          <a:ext cx="1247619" cy="5714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26484</xdr:colOff>
      <xdr:row>12</xdr:row>
      <xdr:rowOff>38018</xdr:rowOff>
    </xdr:from>
    <xdr:to>
      <xdr:col>4</xdr:col>
      <xdr:colOff>1366756</xdr:colOff>
      <xdr:row>13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334" y="2895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4</xdr:col>
      <xdr:colOff>725461</xdr:colOff>
      <xdr:row>6</xdr:row>
      <xdr:rowOff>26892</xdr:rowOff>
    </xdr:from>
    <xdr:to>
      <xdr:col>4</xdr:col>
      <xdr:colOff>850271</xdr:colOff>
      <xdr:row>6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8311" y="1741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4</xdr:col>
      <xdr:colOff>1459811</xdr:colOff>
      <xdr:row>12</xdr:row>
      <xdr:rowOff>94593</xdr:rowOff>
    </xdr:from>
    <xdr:to>
      <xdr:col>4</xdr:col>
      <xdr:colOff>2432018</xdr:colOff>
      <xdr:row>14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2661" y="2952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4</xdr:col>
      <xdr:colOff>14655</xdr:colOff>
      <xdr:row>21</xdr:row>
      <xdr:rowOff>21982</xdr:rowOff>
    </xdr:from>
    <xdr:to>
      <xdr:col>4</xdr:col>
      <xdr:colOff>974481</xdr:colOff>
      <xdr:row>22</xdr:row>
      <xdr:rowOff>149531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7505" y="4593982"/>
          <a:ext cx="959826" cy="318049"/>
        </a:xfrm>
        <a:prstGeom prst="rect">
          <a:avLst/>
        </a:prstGeom>
      </xdr:spPr>
    </xdr:pic>
    <xdr:clientData/>
  </xdr:twoCellAnchor>
  <xdr:twoCellAnchor editAs="oneCell">
    <xdr:from>
      <xdr:col>4</xdr:col>
      <xdr:colOff>930519</xdr:colOff>
      <xdr:row>28</xdr:row>
      <xdr:rowOff>29307</xdr:rowOff>
    </xdr:from>
    <xdr:to>
      <xdr:col>4</xdr:col>
      <xdr:colOff>2432538</xdr:colOff>
      <xdr:row>31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83369" y="5934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43963</xdr:colOff>
      <xdr:row>38</xdr:row>
      <xdr:rowOff>43961</xdr:rowOff>
    </xdr:from>
    <xdr:to>
      <xdr:col>4</xdr:col>
      <xdr:colOff>2022233</xdr:colOff>
      <xdr:row>40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6813" y="7854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4</xdr:col>
      <xdr:colOff>2161443</xdr:colOff>
      <xdr:row>38</xdr:row>
      <xdr:rowOff>58616</xdr:rowOff>
    </xdr:from>
    <xdr:to>
      <xdr:col>5</xdr:col>
      <xdr:colOff>769327</xdr:colOff>
      <xdr:row>40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914293" y="7869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48</xdr:row>
      <xdr:rowOff>142875</xdr:rowOff>
    </xdr:from>
    <xdr:to>
      <xdr:col>4</xdr:col>
      <xdr:colOff>1780954</xdr:colOff>
      <xdr:row>51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62375" y="9858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57</xdr:row>
      <xdr:rowOff>76200</xdr:rowOff>
    </xdr:from>
    <xdr:to>
      <xdr:col>4</xdr:col>
      <xdr:colOff>1676400</xdr:colOff>
      <xdr:row>61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76675" y="11506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4</xdr:col>
      <xdr:colOff>51288</xdr:colOff>
      <xdr:row>68</xdr:row>
      <xdr:rowOff>146538</xdr:rowOff>
    </xdr:from>
    <xdr:to>
      <xdr:col>4</xdr:col>
      <xdr:colOff>1298907</xdr:colOff>
      <xdr:row>71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04138" y="13672038"/>
          <a:ext cx="1247619" cy="5714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26484</xdr:colOff>
      <xdr:row>12</xdr:row>
      <xdr:rowOff>38018</xdr:rowOff>
    </xdr:from>
    <xdr:to>
      <xdr:col>4</xdr:col>
      <xdr:colOff>1366756</xdr:colOff>
      <xdr:row>13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334" y="2895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4</xdr:col>
      <xdr:colOff>725461</xdr:colOff>
      <xdr:row>6</xdr:row>
      <xdr:rowOff>26892</xdr:rowOff>
    </xdr:from>
    <xdr:to>
      <xdr:col>4</xdr:col>
      <xdr:colOff>850271</xdr:colOff>
      <xdr:row>6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8311" y="1741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4</xdr:col>
      <xdr:colOff>1459811</xdr:colOff>
      <xdr:row>12</xdr:row>
      <xdr:rowOff>94593</xdr:rowOff>
    </xdr:from>
    <xdr:to>
      <xdr:col>4</xdr:col>
      <xdr:colOff>2432018</xdr:colOff>
      <xdr:row>14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2661" y="2952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4</xdr:col>
      <xdr:colOff>14655</xdr:colOff>
      <xdr:row>21</xdr:row>
      <xdr:rowOff>21982</xdr:rowOff>
    </xdr:from>
    <xdr:to>
      <xdr:col>4</xdr:col>
      <xdr:colOff>974481</xdr:colOff>
      <xdr:row>22</xdr:row>
      <xdr:rowOff>149531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7505" y="4593982"/>
          <a:ext cx="959826" cy="318049"/>
        </a:xfrm>
        <a:prstGeom prst="rect">
          <a:avLst/>
        </a:prstGeom>
      </xdr:spPr>
    </xdr:pic>
    <xdr:clientData/>
  </xdr:twoCellAnchor>
  <xdr:twoCellAnchor editAs="oneCell">
    <xdr:from>
      <xdr:col>4</xdr:col>
      <xdr:colOff>930519</xdr:colOff>
      <xdr:row>28</xdr:row>
      <xdr:rowOff>29307</xdr:rowOff>
    </xdr:from>
    <xdr:to>
      <xdr:col>4</xdr:col>
      <xdr:colOff>2432538</xdr:colOff>
      <xdr:row>31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83369" y="5934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43963</xdr:colOff>
      <xdr:row>38</xdr:row>
      <xdr:rowOff>43961</xdr:rowOff>
    </xdr:from>
    <xdr:to>
      <xdr:col>4</xdr:col>
      <xdr:colOff>2022233</xdr:colOff>
      <xdr:row>40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6813" y="7854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4</xdr:col>
      <xdr:colOff>2161443</xdr:colOff>
      <xdr:row>38</xdr:row>
      <xdr:rowOff>58616</xdr:rowOff>
    </xdr:from>
    <xdr:to>
      <xdr:col>5</xdr:col>
      <xdr:colOff>769327</xdr:colOff>
      <xdr:row>40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914293" y="7869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48</xdr:row>
      <xdr:rowOff>142875</xdr:rowOff>
    </xdr:from>
    <xdr:to>
      <xdr:col>4</xdr:col>
      <xdr:colOff>1780954</xdr:colOff>
      <xdr:row>51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62375" y="9858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57</xdr:row>
      <xdr:rowOff>76200</xdr:rowOff>
    </xdr:from>
    <xdr:to>
      <xdr:col>4</xdr:col>
      <xdr:colOff>1676400</xdr:colOff>
      <xdr:row>61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76675" y="11506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4</xdr:col>
      <xdr:colOff>51288</xdr:colOff>
      <xdr:row>68</xdr:row>
      <xdr:rowOff>146538</xdr:rowOff>
    </xdr:from>
    <xdr:to>
      <xdr:col>4</xdr:col>
      <xdr:colOff>1298907</xdr:colOff>
      <xdr:row>71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04138" y="13672038"/>
          <a:ext cx="1247619" cy="5714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26484</xdr:colOff>
      <xdr:row>12</xdr:row>
      <xdr:rowOff>38018</xdr:rowOff>
    </xdr:from>
    <xdr:to>
      <xdr:col>4</xdr:col>
      <xdr:colOff>1366756</xdr:colOff>
      <xdr:row>13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334" y="2895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4</xdr:col>
      <xdr:colOff>725461</xdr:colOff>
      <xdr:row>6</xdr:row>
      <xdr:rowOff>26892</xdr:rowOff>
    </xdr:from>
    <xdr:to>
      <xdr:col>4</xdr:col>
      <xdr:colOff>850271</xdr:colOff>
      <xdr:row>6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8311" y="1741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4</xdr:col>
      <xdr:colOff>1459811</xdr:colOff>
      <xdr:row>12</xdr:row>
      <xdr:rowOff>94593</xdr:rowOff>
    </xdr:from>
    <xdr:to>
      <xdr:col>4</xdr:col>
      <xdr:colOff>2432018</xdr:colOff>
      <xdr:row>14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2661" y="2952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4</xdr:col>
      <xdr:colOff>14655</xdr:colOff>
      <xdr:row>21</xdr:row>
      <xdr:rowOff>21982</xdr:rowOff>
    </xdr:from>
    <xdr:to>
      <xdr:col>4</xdr:col>
      <xdr:colOff>974481</xdr:colOff>
      <xdr:row>22</xdr:row>
      <xdr:rowOff>149531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7505" y="4593982"/>
          <a:ext cx="959826" cy="318049"/>
        </a:xfrm>
        <a:prstGeom prst="rect">
          <a:avLst/>
        </a:prstGeom>
      </xdr:spPr>
    </xdr:pic>
    <xdr:clientData/>
  </xdr:twoCellAnchor>
  <xdr:twoCellAnchor editAs="oneCell">
    <xdr:from>
      <xdr:col>4</xdr:col>
      <xdr:colOff>930519</xdr:colOff>
      <xdr:row>28</xdr:row>
      <xdr:rowOff>29307</xdr:rowOff>
    </xdr:from>
    <xdr:to>
      <xdr:col>4</xdr:col>
      <xdr:colOff>2432538</xdr:colOff>
      <xdr:row>31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83369" y="5934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43963</xdr:colOff>
      <xdr:row>38</xdr:row>
      <xdr:rowOff>43961</xdr:rowOff>
    </xdr:from>
    <xdr:to>
      <xdr:col>4</xdr:col>
      <xdr:colOff>2022233</xdr:colOff>
      <xdr:row>40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6813" y="7854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4</xdr:col>
      <xdr:colOff>2161443</xdr:colOff>
      <xdr:row>38</xdr:row>
      <xdr:rowOff>58616</xdr:rowOff>
    </xdr:from>
    <xdr:to>
      <xdr:col>5</xdr:col>
      <xdr:colOff>769327</xdr:colOff>
      <xdr:row>40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914293" y="7869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48</xdr:row>
      <xdr:rowOff>142875</xdr:rowOff>
    </xdr:from>
    <xdr:to>
      <xdr:col>4</xdr:col>
      <xdr:colOff>1780954</xdr:colOff>
      <xdr:row>51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62375" y="9858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57</xdr:row>
      <xdr:rowOff>76200</xdr:rowOff>
    </xdr:from>
    <xdr:to>
      <xdr:col>4</xdr:col>
      <xdr:colOff>1676400</xdr:colOff>
      <xdr:row>61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76675" y="11506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4</xdr:col>
      <xdr:colOff>51288</xdr:colOff>
      <xdr:row>68</xdr:row>
      <xdr:rowOff>146538</xdr:rowOff>
    </xdr:from>
    <xdr:to>
      <xdr:col>4</xdr:col>
      <xdr:colOff>1298907</xdr:colOff>
      <xdr:row>71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04138" y="13672038"/>
          <a:ext cx="1247619" cy="57142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26484</xdr:colOff>
      <xdr:row>12</xdr:row>
      <xdr:rowOff>38018</xdr:rowOff>
    </xdr:from>
    <xdr:to>
      <xdr:col>4</xdr:col>
      <xdr:colOff>1366756</xdr:colOff>
      <xdr:row>13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334" y="2895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4</xdr:col>
      <xdr:colOff>725461</xdr:colOff>
      <xdr:row>6</xdr:row>
      <xdr:rowOff>26892</xdr:rowOff>
    </xdr:from>
    <xdr:to>
      <xdr:col>4</xdr:col>
      <xdr:colOff>850271</xdr:colOff>
      <xdr:row>6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8311" y="1741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4</xdr:col>
      <xdr:colOff>1459811</xdr:colOff>
      <xdr:row>12</xdr:row>
      <xdr:rowOff>94593</xdr:rowOff>
    </xdr:from>
    <xdr:to>
      <xdr:col>4</xdr:col>
      <xdr:colOff>2432018</xdr:colOff>
      <xdr:row>14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2661" y="2952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4</xdr:col>
      <xdr:colOff>14655</xdr:colOff>
      <xdr:row>21</xdr:row>
      <xdr:rowOff>21982</xdr:rowOff>
    </xdr:from>
    <xdr:to>
      <xdr:col>4</xdr:col>
      <xdr:colOff>974481</xdr:colOff>
      <xdr:row>22</xdr:row>
      <xdr:rowOff>149531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7505" y="4593982"/>
          <a:ext cx="959826" cy="318049"/>
        </a:xfrm>
        <a:prstGeom prst="rect">
          <a:avLst/>
        </a:prstGeom>
      </xdr:spPr>
    </xdr:pic>
    <xdr:clientData/>
  </xdr:twoCellAnchor>
  <xdr:twoCellAnchor editAs="oneCell">
    <xdr:from>
      <xdr:col>4</xdr:col>
      <xdr:colOff>930519</xdr:colOff>
      <xdr:row>28</xdr:row>
      <xdr:rowOff>29307</xdr:rowOff>
    </xdr:from>
    <xdr:to>
      <xdr:col>4</xdr:col>
      <xdr:colOff>2432538</xdr:colOff>
      <xdr:row>31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83369" y="5934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43963</xdr:colOff>
      <xdr:row>38</xdr:row>
      <xdr:rowOff>43961</xdr:rowOff>
    </xdr:from>
    <xdr:to>
      <xdr:col>4</xdr:col>
      <xdr:colOff>2022233</xdr:colOff>
      <xdr:row>40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6813" y="7854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4</xdr:col>
      <xdr:colOff>2161443</xdr:colOff>
      <xdr:row>38</xdr:row>
      <xdr:rowOff>58616</xdr:rowOff>
    </xdr:from>
    <xdr:to>
      <xdr:col>5</xdr:col>
      <xdr:colOff>769327</xdr:colOff>
      <xdr:row>40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914293" y="7869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48</xdr:row>
      <xdr:rowOff>142875</xdr:rowOff>
    </xdr:from>
    <xdr:to>
      <xdr:col>4</xdr:col>
      <xdr:colOff>1780954</xdr:colOff>
      <xdr:row>51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62375" y="9858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57</xdr:row>
      <xdr:rowOff>76200</xdr:rowOff>
    </xdr:from>
    <xdr:to>
      <xdr:col>4</xdr:col>
      <xdr:colOff>1676400</xdr:colOff>
      <xdr:row>61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76675" y="11506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4</xdr:col>
      <xdr:colOff>51288</xdr:colOff>
      <xdr:row>68</xdr:row>
      <xdr:rowOff>146538</xdr:rowOff>
    </xdr:from>
    <xdr:to>
      <xdr:col>4</xdr:col>
      <xdr:colOff>1298907</xdr:colOff>
      <xdr:row>71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04138" y="13672038"/>
          <a:ext cx="1247619" cy="5714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26484</xdr:colOff>
      <xdr:row>12</xdr:row>
      <xdr:rowOff>38018</xdr:rowOff>
    </xdr:from>
    <xdr:to>
      <xdr:col>4</xdr:col>
      <xdr:colOff>1366756</xdr:colOff>
      <xdr:row>13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334" y="2895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4</xdr:col>
      <xdr:colOff>725461</xdr:colOff>
      <xdr:row>6</xdr:row>
      <xdr:rowOff>26892</xdr:rowOff>
    </xdr:from>
    <xdr:to>
      <xdr:col>4</xdr:col>
      <xdr:colOff>850271</xdr:colOff>
      <xdr:row>6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8311" y="1741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4</xdr:col>
      <xdr:colOff>1459811</xdr:colOff>
      <xdr:row>12</xdr:row>
      <xdr:rowOff>94593</xdr:rowOff>
    </xdr:from>
    <xdr:to>
      <xdr:col>4</xdr:col>
      <xdr:colOff>2432018</xdr:colOff>
      <xdr:row>14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2661" y="2952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4</xdr:col>
      <xdr:colOff>14655</xdr:colOff>
      <xdr:row>21</xdr:row>
      <xdr:rowOff>21982</xdr:rowOff>
    </xdr:from>
    <xdr:to>
      <xdr:col>4</xdr:col>
      <xdr:colOff>974481</xdr:colOff>
      <xdr:row>22</xdr:row>
      <xdr:rowOff>149531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7505" y="4593982"/>
          <a:ext cx="959826" cy="318049"/>
        </a:xfrm>
        <a:prstGeom prst="rect">
          <a:avLst/>
        </a:prstGeom>
      </xdr:spPr>
    </xdr:pic>
    <xdr:clientData/>
  </xdr:twoCellAnchor>
  <xdr:twoCellAnchor editAs="oneCell">
    <xdr:from>
      <xdr:col>4</xdr:col>
      <xdr:colOff>930519</xdr:colOff>
      <xdr:row>28</xdr:row>
      <xdr:rowOff>29307</xdr:rowOff>
    </xdr:from>
    <xdr:to>
      <xdr:col>4</xdr:col>
      <xdr:colOff>2432538</xdr:colOff>
      <xdr:row>31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83369" y="5934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43963</xdr:colOff>
      <xdr:row>38</xdr:row>
      <xdr:rowOff>43961</xdr:rowOff>
    </xdr:from>
    <xdr:to>
      <xdr:col>4</xdr:col>
      <xdr:colOff>2022233</xdr:colOff>
      <xdr:row>40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6813" y="7854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4</xdr:col>
      <xdr:colOff>2161443</xdr:colOff>
      <xdr:row>38</xdr:row>
      <xdr:rowOff>58616</xdr:rowOff>
    </xdr:from>
    <xdr:to>
      <xdr:col>5</xdr:col>
      <xdr:colOff>769327</xdr:colOff>
      <xdr:row>40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914293" y="7869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48</xdr:row>
      <xdr:rowOff>142875</xdr:rowOff>
    </xdr:from>
    <xdr:to>
      <xdr:col>4</xdr:col>
      <xdr:colOff>1780954</xdr:colOff>
      <xdr:row>51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62375" y="9858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57</xdr:row>
      <xdr:rowOff>76200</xdr:rowOff>
    </xdr:from>
    <xdr:to>
      <xdr:col>4</xdr:col>
      <xdr:colOff>1676400</xdr:colOff>
      <xdr:row>61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76675" y="11506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4</xdr:col>
      <xdr:colOff>51288</xdr:colOff>
      <xdr:row>68</xdr:row>
      <xdr:rowOff>146538</xdr:rowOff>
    </xdr:from>
    <xdr:to>
      <xdr:col>4</xdr:col>
      <xdr:colOff>1298907</xdr:colOff>
      <xdr:row>71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04138" y="13672038"/>
          <a:ext cx="1247619" cy="57142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26484</xdr:colOff>
      <xdr:row>12</xdr:row>
      <xdr:rowOff>38018</xdr:rowOff>
    </xdr:from>
    <xdr:to>
      <xdr:col>4</xdr:col>
      <xdr:colOff>1366756</xdr:colOff>
      <xdr:row>13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334" y="2895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4</xdr:col>
      <xdr:colOff>725461</xdr:colOff>
      <xdr:row>6</xdr:row>
      <xdr:rowOff>26892</xdr:rowOff>
    </xdr:from>
    <xdr:to>
      <xdr:col>4</xdr:col>
      <xdr:colOff>850271</xdr:colOff>
      <xdr:row>6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8311" y="1741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4</xdr:col>
      <xdr:colOff>1459811</xdr:colOff>
      <xdr:row>12</xdr:row>
      <xdr:rowOff>94593</xdr:rowOff>
    </xdr:from>
    <xdr:to>
      <xdr:col>4</xdr:col>
      <xdr:colOff>2432018</xdr:colOff>
      <xdr:row>14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2661" y="2952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4</xdr:col>
      <xdr:colOff>14655</xdr:colOff>
      <xdr:row>21</xdr:row>
      <xdr:rowOff>21982</xdr:rowOff>
    </xdr:from>
    <xdr:to>
      <xdr:col>4</xdr:col>
      <xdr:colOff>974481</xdr:colOff>
      <xdr:row>22</xdr:row>
      <xdr:rowOff>149531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7505" y="4593982"/>
          <a:ext cx="959826" cy="318049"/>
        </a:xfrm>
        <a:prstGeom prst="rect">
          <a:avLst/>
        </a:prstGeom>
      </xdr:spPr>
    </xdr:pic>
    <xdr:clientData/>
  </xdr:twoCellAnchor>
  <xdr:twoCellAnchor editAs="oneCell">
    <xdr:from>
      <xdr:col>4</xdr:col>
      <xdr:colOff>930519</xdr:colOff>
      <xdr:row>28</xdr:row>
      <xdr:rowOff>29307</xdr:rowOff>
    </xdr:from>
    <xdr:to>
      <xdr:col>4</xdr:col>
      <xdr:colOff>2432538</xdr:colOff>
      <xdr:row>31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83369" y="5934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43963</xdr:colOff>
      <xdr:row>38</xdr:row>
      <xdr:rowOff>43961</xdr:rowOff>
    </xdr:from>
    <xdr:to>
      <xdr:col>4</xdr:col>
      <xdr:colOff>2022233</xdr:colOff>
      <xdr:row>40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6813" y="7854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4</xdr:col>
      <xdr:colOff>2161443</xdr:colOff>
      <xdr:row>38</xdr:row>
      <xdr:rowOff>58616</xdr:rowOff>
    </xdr:from>
    <xdr:to>
      <xdr:col>5</xdr:col>
      <xdr:colOff>769327</xdr:colOff>
      <xdr:row>40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914293" y="7869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48</xdr:row>
      <xdr:rowOff>142875</xdr:rowOff>
    </xdr:from>
    <xdr:to>
      <xdr:col>4</xdr:col>
      <xdr:colOff>1780954</xdr:colOff>
      <xdr:row>51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62375" y="9858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57</xdr:row>
      <xdr:rowOff>76200</xdr:rowOff>
    </xdr:from>
    <xdr:to>
      <xdr:col>4</xdr:col>
      <xdr:colOff>1676400</xdr:colOff>
      <xdr:row>61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76675" y="11506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4</xdr:col>
      <xdr:colOff>51288</xdr:colOff>
      <xdr:row>68</xdr:row>
      <xdr:rowOff>146538</xdr:rowOff>
    </xdr:from>
    <xdr:to>
      <xdr:col>4</xdr:col>
      <xdr:colOff>1298907</xdr:colOff>
      <xdr:row>71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04138" y="13672038"/>
          <a:ext cx="1247619" cy="57142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26484</xdr:colOff>
      <xdr:row>12</xdr:row>
      <xdr:rowOff>38018</xdr:rowOff>
    </xdr:from>
    <xdr:to>
      <xdr:col>4</xdr:col>
      <xdr:colOff>1366756</xdr:colOff>
      <xdr:row>13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334" y="2895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4</xdr:col>
      <xdr:colOff>725461</xdr:colOff>
      <xdr:row>6</xdr:row>
      <xdr:rowOff>26892</xdr:rowOff>
    </xdr:from>
    <xdr:to>
      <xdr:col>4</xdr:col>
      <xdr:colOff>850271</xdr:colOff>
      <xdr:row>6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8311" y="1741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4</xdr:col>
      <xdr:colOff>1459811</xdr:colOff>
      <xdr:row>12</xdr:row>
      <xdr:rowOff>94593</xdr:rowOff>
    </xdr:from>
    <xdr:to>
      <xdr:col>4</xdr:col>
      <xdr:colOff>2432018</xdr:colOff>
      <xdr:row>14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2661" y="2952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4</xdr:col>
      <xdr:colOff>14655</xdr:colOff>
      <xdr:row>21</xdr:row>
      <xdr:rowOff>21982</xdr:rowOff>
    </xdr:from>
    <xdr:to>
      <xdr:col>4</xdr:col>
      <xdr:colOff>974481</xdr:colOff>
      <xdr:row>22</xdr:row>
      <xdr:rowOff>149531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7505" y="4593982"/>
          <a:ext cx="959826" cy="318049"/>
        </a:xfrm>
        <a:prstGeom prst="rect">
          <a:avLst/>
        </a:prstGeom>
      </xdr:spPr>
    </xdr:pic>
    <xdr:clientData/>
  </xdr:twoCellAnchor>
  <xdr:twoCellAnchor editAs="oneCell">
    <xdr:from>
      <xdr:col>4</xdr:col>
      <xdr:colOff>930519</xdr:colOff>
      <xdr:row>28</xdr:row>
      <xdr:rowOff>29307</xdr:rowOff>
    </xdr:from>
    <xdr:to>
      <xdr:col>4</xdr:col>
      <xdr:colOff>2432538</xdr:colOff>
      <xdr:row>31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83369" y="5934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43963</xdr:colOff>
      <xdr:row>38</xdr:row>
      <xdr:rowOff>43961</xdr:rowOff>
    </xdr:from>
    <xdr:to>
      <xdr:col>4</xdr:col>
      <xdr:colOff>2022233</xdr:colOff>
      <xdr:row>40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6813" y="7854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4</xdr:col>
      <xdr:colOff>2161443</xdr:colOff>
      <xdr:row>38</xdr:row>
      <xdr:rowOff>58616</xdr:rowOff>
    </xdr:from>
    <xdr:to>
      <xdr:col>5</xdr:col>
      <xdr:colOff>769327</xdr:colOff>
      <xdr:row>40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914293" y="7869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48</xdr:row>
      <xdr:rowOff>142875</xdr:rowOff>
    </xdr:from>
    <xdr:to>
      <xdr:col>4</xdr:col>
      <xdr:colOff>1780954</xdr:colOff>
      <xdr:row>51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62375" y="9858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57</xdr:row>
      <xdr:rowOff>76200</xdr:rowOff>
    </xdr:from>
    <xdr:to>
      <xdr:col>4</xdr:col>
      <xdr:colOff>1676400</xdr:colOff>
      <xdr:row>61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76675" y="11506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4</xdr:col>
      <xdr:colOff>51288</xdr:colOff>
      <xdr:row>68</xdr:row>
      <xdr:rowOff>146538</xdr:rowOff>
    </xdr:from>
    <xdr:to>
      <xdr:col>4</xdr:col>
      <xdr:colOff>1298907</xdr:colOff>
      <xdr:row>71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04138" y="13672038"/>
          <a:ext cx="1247619" cy="57142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26484</xdr:colOff>
      <xdr:row>12</xdr:row>
      <xdr:rowOff>38018</xdr:rowOff>
    </xdr:from>
    <xdr:to>
      <xdr:col>4</xdr:col>
      <xdr:colOff>1366756</xdr:colOff>
      <xdr:row>13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334" y="2895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4</xdr:col>
      <xdr:colOff>725461</xdr:colOff>
      <xdr:row>6</xdr:row>
      <xdr:rowOff>26892</xdr:rowOff>
    </xdr:from>
    <xdr:to>
      <xdr:col>4</xdr:col>
      <xdr:colOff>850271</xdr:colOff>
      <xdr:row>6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8311" y="1741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4</xdr:col>
      <xdr:colOff>1459811</xdr:colOff>
      <xdr:row>12</xdr:row>
      <xdr:rowOff>94593</xdr:rowOff>
    </xdr:from>
    <xdr:to>
      <xdr:col>4</xdr:col>
      <xdr:colOff>2432018</xdr:colOff>
      <xdr:row>14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2661" y="2952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4</xdr:col>
      <xdr:colOff>14655</xdr:colOff>
      <xdr:row>21</xdr:row>
      <xdr:rowOff>21982</xdr:rowOff>
    </xdr:from>
    <xdr:to>
      <xdr:col>4</xdr:col>
      <xdr:colOff>974481</xdr:colOff>
      <xdr:row>22</xdr:row>
      <xdr:rowOff>149531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7505" y="4593982"/>
          <a:ext cx="959826" cy="318049"/>
        </a:xfrm>
        <a:prstGeom prst="rect">
          <a:avLst/>
        </a:prstGeom>
      </xdr:spPr>
    </xdr:pic>
    <xdr:clientData/>
  </xdr:twoCellAnchor>
  <xdr:twoCellAnchor editAs="oneCell">
    <xdr:from>
      <xdr:col>4</xdr:col>
      <xdr:colOff>930519</xdr:colOff>
      <xdr:row>28</xdr:row>
      <xdr:rowOff>29307</xdr:rowOff>
    </xdr:from>
    <xdr:to>
      <xdr:col>4</xdr:col>
      <xdr:colOff>2432538</xdr:colOff>
      <xdr:row>31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83369" y="5934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43963</xdr:colOff>
      <xdr:row>38</xdr:row>
      <xdr:rowOff>43961</xdr:rowOff>
    </xdr:from>
    <xdr:to>
      <xdr:col>4</xdr:col>
      <xdr:colOff>2022233</xdr:colOff>
      <xdr:row>40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96813" y="7854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4</xdr:col>
      <xdr:colOff>2161443</xdr:colOff>
      <xdr:row>38</xdr:row>
      <xdr:rowOff>58616</xdr:rowOff>
    </xdr:from>
    <xdr:to>
      <xdr:col>5</xdr:col>
      <xdr:colOff>769327</xdr:colOff>
      <xdr:row>40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914293" y="7869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48</xdr:row>
      <xdr:rowOff>142875</xdr:rowOff>
    </xdr:from>
    <xdr:to>
      <xdr:col>4</xdr:col>
      <xdr:colOff>1780954</xdr:colOff>
      <xdr:row>51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62375" y="9858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57</xdr:row>
      <xdr:rowOff>76200</xdr:rowOff>
    </xdr:from>
    <xdr:to>
      <xdr:col>4</xdr:col>
      <xdr:colOff>1676400</xdr:colOff>
      <xdr:row>61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76675" y="11506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4</xdr:col>
      <xdr:colOff>51288</xdr:colOff>
      <xdr:row>68</xdr:row>
      <xdr:rowOff>146538</xdr:rowOff>
    </xdr:from>
    <xdr:to>
      <xdr:col>4</xdr:col>
      <xdr:colOff>1298907</xdr:colOff>
      <xdr:row>71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04138" y="13672038"/>
          <a:ext cx="1247619" cy="5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60" zoomScaleNormal="160" workbookViewId="0">
      <selection activeCell="A14" sqref="A14"/>
    </sheetView>
  </sheetViews>
  <sheetFormatPr baseColWidth="10" defaultRowHeight="15" x14ac:dyDescent="0.25"/>
  <cols>
    <col min="1" max="1" width="32.7109375" customWidth="1"/>
  </cols>
  <sheetData>
    <row r="1" spans="1:4" ht="30" x14ac:dyDescent="0.25">
      <c r="A1" s="7" t="s">
        <v>41</v>
      </c>
      <c r="B1" s="8" t="s">
        <v>44</v>
      </c>
      <c r="C1" s="8" t="s">
        <v>45</v>
      </c>
      <c r="D1" s="8" t="s">
        <v>46</v>
      </c>
    </row>
    <row r="2" spans="1:4" x14ac:dyDescent="0.25">
      <c r="A2" s="9" t="s">
        <v>48</v>
      </c>
      <c r="B2" s="9">
        <f>ROUND('Participación-activa'!F73, 4)</f>
        <v>0.61670000000000003</v>
      </c>
      <c r="C2" s="9">
        <f>ROUND('Participación-activa'!F81, 4)</f>
        <v>3.0270999999999999</v>
      </c>
      <c r="D2" s="9">
        <f>ROUND('Participación-activa'!F82, 4)</f>
        <v>0.54049999999999998</v>
      </c>
    </row>
    <row r="3" spans="1:4" x14ac:dyDescent="0.25">
      <c r="A3" s="9" t="s">
        <v>47</v>
      </c>
      <c r="B3" s="9">
        <f>ROUND('Comunicación-equipo'!F73, 4)</f>
        <v>0.66739999999999999</v>
      </c>
      <c r="C3" s="9">
        <f>ROUND('Comunicación-equipo'!F81, 4)</f>
        <v>3.0270999999999999</v>
      </c>
      <c r="D3" s="9">
        <f>ROUND('Comunicación-equipo'!F82, 4)</f>
        <v>0.51380000000000003</v>
      </c>
    </row>
    <row r="4" spans="1:4" x14ac:dyDescent="0.25">
      <c r="A4" s="9" t="s">
        <v>51</v>
      </c>
      <c r="B4" s="9">
        <f>ROUND('Cumplimiento-tareas'!F73, 4)</f>
        <v>0.52010000000000001</v>
      </c>
      <c r="C4" s="9">
        <f>ROUND('Cumplimiento-tareas'!F81, 4)</f>
        <v>3.0270999999999999</v>
      </c>
      <c r="D4" s="9">
        <f>ROUND('Cumplimiento-tareas'!F82, 4)</f>
        <v>0.59499999999999997</v>
      </c>
    </row>
    <row r="5" spans="1:4" x14ac:dyDescent="0.25">
      <c r="A5" s="9" t="s">
        <v>52</v>
      </c>
      <c r="B5" s="9">
        <f>ROUND('Contribución-grupo'!F73, 4)</f>
        <v>0.71740000000000004</v>
      </c>
      <c r="C5" s="9">
        <f>ROUND('Contribución-grupo'!F81, 4)</f>
        <v>3.0270999999999999</v>
      </c>
      <c r="D5" s="9">
        <f>ROUND('Contribución-grupo'!F82, 4)</f>
        <v>0.4889</v>
      </c>
    </row>
    <row r="6" spans="1:4" x14ac:dyDescent="0.25">
      <c r="A6" s="9" t="s">
        <v>42</v>
      </c>
      <c r="B6" s="9">
        <f>ROUND('Resolución-problemas'!F73, 4)</f>
        <v>1.7528999999999999</v>
      </c>
      <c r="C6" s="9">
        <f>ROUND('Resolución-problemas'!F81, 4)</f>
        <v>3.0270999999999999</v>
      </c>
      <c r="D6" s="9">
        <f>ROUND('Resolución-problemas'!F82, 4)</f>
        <v>0.17510000000000001</v>
      </c>
    </row>
    <row r="7" spans="1:4" x14ac:dyDescent="0.25">
      <c r="A7" s="9" t="s">
        <v>53</v>
      </c>
      <c r="B7" s="9">
        <f>ROUND('Conocimientos-adquiridos'!F73, 4)</f>
        <v>0.59219999999999995</v>
      </c>
      <c r="C7" s="9">
        <f>ROUND('Conocimientos-adquiridos'!F81, 4)</f>
        <v>3.0270999999999999</v>
      </c>
      <c r="D7" s="9">
        <f>ROUND('Conocimientos-adquiridos'!F82, 4)</f>
        <v>0.55379999999999996</v>
      </c>
    </row>
    <row r="8" spans="1:4" x14ac:dyDescent="0.25">
      <c r="A8" s="9" t="s">
        <v>54</v>
      </c>
      <c r="B8" s="9">
        <f>ROUND('Nota-final'!F73, 4)</f>
        <v>0.58879999999999999</v>
      </c>
      <c r="C8" s="9">
        <f>ROUND('Nota-final'!F81, 4)</f>
        <v>3.0270999999999999</v>
      </c>
      <c r="D8" s="9">
        <f>ROUND('Nota-final'!F82, 4)</f>
        <v>0.55559999999999998</v>
      </c>
    </row>
    <row r="9" spans="1:4" x14ac:dyDescent="0.25">
      <c r="A9" s="9" t="s">
        <v>49</v>
      </c>
      <c r="B9" s="9">
        <f>ROUND(Comprensión!F73, 4)</f>
        <v>0.105</v>
      </c>
      <c r="C9" s="9">
        <f>ROUND(Comprensión!F81, 4)</f>
        <v>3.0270999999999999</v>
      </c>
      <c r="D9" s="9">
        <f>ROUND(Comprensión!F82, 4)</f>
        <v>0.90039999999999998</v>
      </c>
    </row>
    <row r="10" spans="1:4" x14ac:dyDescent="0.25">
      <c r="A10" s="9" t="s">
        <v>50</v>
      </c>
      <c r="B10" s="9">
        <f>ROUND(Habilidades!F73, 4)</f>
        <v>0.75149999999999995</v>
      </c>
      <c r="C10" s="9">
        <f>ROUND(Habilidades!F81, 4)</f>
        <v>3.0270999999999999</v>
      </c>
      <c r="D10" s="9">
        <f>ROUND(Habilidades!F82, 4)</f>
        <v>0.47260000000000002</v>
      </c>
    </row>
    <row r="11" spans="1:4" x14ac:dyDescent="0.25">
      <c r="A11" s="9" t="s">
        <v>55</v>
      </c>
      <c r="B11" s="9">
        <f>ROUND('Resolución-autónoma'!F73, 4)</f>
        <v>8.3500000000000005E-2</v>
      </c>
      <c r="C11" s="9">
        <f>ROUND('Resolución-autónoma'!F81, 4)</f>
        <v>3.0270999999999999</v>
      </c>
      <c r="D11" s="9">
        <f>ROUND('Resolución-autónoma'!F82, 4)</f>
        <v>0.91990000000000005</v>
      </c>
    </row>
    <row r="12" spans="1:4" x14ac:dyDescent="0.25">
      <c r="A12" s="9" t="s">
        <v>43</v>
      </c>
      <c r="B12" s="9">
        <f>ROUND(Motivación!F73, 4)</f>
        <v>0.24160000000000001</v>
      </c>
      <c r="C12" s="9">
        <f>ROUND(Motivación!F81, 4)</f>
        <v>3.0270999999999999</v>
      </c>
      <c r="D12" s="9">
        <f>ROUND(Motivación!F82, 4)</f>
        <v>0.78559999999999997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="130" zoomScaleNormal="130" workbookViewId="0">
      <selection activeCell="H15" sqref="H15"/>
    </sheetView>
  </sheetViews>
  <sheetFormatPr baseColWidth="10" defaultColWidth="9.140625" defaultRowHeight="15" x14ac:dyDescent="0.25"/>
  <cols>
    <col min="1" max="1" width="15.7109375" customWidth="1"/>
    <col min="2" max="3" width="15.7109375" style="1" customWidth="1"/>
    <col min="5" max="5" width="47" bestFit="1" customWidth="1"/>
    <col min="6" max="6" width="11.85546875" bestFit="1" customWidth="1"/>
    <col min="7" max="7" width="17" customWidth="1"/>
    <col min="9" max="9" width="15.7109375" customWidth="1"/>
  </cols>
  <sheetData>
    <row r="1" spans="1:6" ht="60" x14ac:dyDescent="0.25">
      <c r="A1" s="5" t="s">
        <v>38</v>
      </c>
      <c r="B1" s="5" t="s">
        <v>39</v>
      </c>
      <c r="C1" s="5" t="s">
        <v>40</v>
      </c>
    </row>
    <row r="2" spans="1:6" x14ac:dyDescent="0.25">
      <c r="A2">
        <v>2</v>
      </c>
      <c r="B2">
        <v>2</v>
      </c>
      <c r="C2">
        <v>4</v>
      </c>
      <c r="E2" s="2" t="s">
        <v>12</v>
      </c>
      <c r="F2" s="2"/>
    </row>
    <row r="3" spans="1:6" x14ac:dyDescent="0.25">
      <c r="A3">
        <v>4</v>
      </c>
      <c r="B3">
        <v>2</v>
      </c>
      <c r="C3">
        <v>1</v>
      </c>
      <c r="E3" t="s">
        <v>13</v>
      </c>
      <c r="F3">
        <f>COUNT(A:A)</f>
        <v>97</v>
      </c>
    </row>
    <row r="4" spans="1:6" x14ac:dyDescent="0.25">
      <c r="A4">
        <v>2</v>
      </c>
      <c r="B4">
        <v>2</v>
      </c>
      <c r="C4">
        <v>3</v>
      </c>
      <c r="E4" t="s">
        <v>7</v>
      </c>
      <c r="F4">
        <f>AVERAGE(A:A)</f>
        <v>3.1855670103092781</v>
      </c>
    </row>
    <row r="5" spans="1:6" x14ac:dyDescent="0.25">
      <c r="A5">
        <v>3</v>
      </c>
      <c r="B5">
        <v>3</v>
      </c>
      <c r="C5">
        <v>2</v>
      </c>
      <c r="E5" t="s">
        <v>8</v>
      </c>
      <c r="F5">
        <f>AVERAGE(B:B)</f>
        <v>3</v>
      </c>
    </row>
    <row r="6" spans="1:6" x14ac:dyDescent="0.25">
      <c r="A6">
        <v>2</v>
      </c>
      <c r="B6">
        <v>4</v>
      </c>
      <c r="C6">
        <v>3</v>
      </c>
      <c r="E6" t="s">
        <v>9</v>
      </c>
      <c r="F6">
        <f>AVERAGE(C:C)</f>
        <v>3.1134020618556701</v>
      </c>
    </row>
    <row r="7" spans="1:6" x14ac:dyDescent="0.25">
      <c r="A7">
        <v>1</v>
      </c>
      <c r="B7">
        <v>5</v>
      </c>
      <c r="C7">
        <v>5</v>
      </c>
      <c r="E7" t="s">
        <v>14</v>
      </c>
      <c r="F7">
        <f>AVERAGE(F4:F6)</f>
        <v>3.0996563573883158</v>
      </c>
    </row>
    <row r="8" spans="1:6" x14ac:dyDescent="0.25">
      <c r="A8">
        <v>5</v>
      </c>
      <c r="B8">
        <v>1</v>
      </c>
      <c r="C8">
        <v>3</v>
      </c>
    </row>
    <row r="9" spans="1:6" x14ac:dyDescent="0.25">
      <c r="A9">
        <v>3</v>
      </c>
      <c r="B9">
        <v>2</v>
      </c>
      <c r="C9">
        <v>5</v>
      </c>
    </row>
    <row r="10" spans="1:6" x14ac:dyDescent="0.25">
      <c r="A10">
        <v>3</v>
      </c>
      <c r="B10">
        <v>3</v>
      </c>
      <c r="C10">
        <v>3</v>
      </c>
      <c r="E10" s="2" t="s">
        <v>11</v>
      </c>
      <c r="F10" s="2"/>
    </row>
    <row r="11" spans="1:6" x14ac:dyDescent="0.25">
      <c r="A11">
        <v>5</v>
      </c>
      <c r="B11">
        <v>3</v>
      </c>
      <c r="C11">
        <v>2</v>
      </c>
      <c r="E11" s="3" t="s">
        <v>16</v>
      </c>
    </row>
    <row r="12" spans="1:6" x14ac:dyDescent="0.25">
      <c r="A12">
        <v>2</v>
      </c>
      <c r="B12">
        <v>3</v>
      </c>
      <c r="C12">
        <v>4</v>
      </c>
      <c r="E12" s="3" t="s">
        <v>17</v>
      </c>
    </row>
    <row r="13" spans="1:6" x14ac:dyDescent="0.25">
      <c r="A13">
        <v>4</v>
      </c>
      <c r="B13">
        <v>5</v>
      </c>
      <c r="C13">
        <v>2</v>
      </c>
    </row>
    <row r="14" spans="1:6" x14ac:dyDescent="0.25">
      <c r="A14">
        <v>5</v>
      </c>
      <c r="B14">
        <v>4</v>
      </c>
      <c r="C14">
        <v>3</v>
      </c>
    </row>
    <row r="15" spans="1:6" x14ac:dyDescent="0.25">
      <c r="A15">
        <v>5</v>
      </c>
      <c r="B15">
        <v>5</v>
      </c>
      <c r="C15">
        <v>3</v>
      </c>
    </row>
    <row r="16" spans="1:6" x14ac:dyDescent="0.25">
      <c r="A16">
        <v>1</v>
      </c>
      <c r="B16">
        <v>2</v>
      </c>
      <c r="C16">
        <v>4</v>
      </c>
      <c r="E16" t="s">
        <v>10</v>
      </c>
      <c r="F16">
        <f>F3*((F4-F7)^2+(F5-F7)^2+(F6-F7)^2)</f>
        <v>1.6975945017182099</v>
      </c>
    </row>
    <row r="17" spans="1:6" x14ac:dyDescent="0.25">
      <c r="A17">
        <v>3</v>
      </c>
      <c r="B17">
        <v>4</v>
      </c>
      <c r="C17">
        <v>2</v>
      </c>
    </row>
    <row r="18" spans="1:6" x14ac:dyDescent="0.25">
      <c r="A18">
        <v>5</v>
      </c>
      <c r="B18">
        <v>3</v>
      </c>
      <c r="C18">
        <v>2</v>
      </c>
    </row>
    <row r="19" spans="1:6" x14ac:dyDescent="0.25">
      <c r="A19">
        <v>4</v>
      </c>
      <c r="B19">
        <v>5</v>
      </c>
      <c r="C19">
        <v>1</v>
      </c>
      <c r="E19" s="2" t="s">
        <v>18</v>
      </c>
      <c r="F19" s="2"/>
    </row>
    <row r="20" spans="1:6" x14ac:dyDescent="0.25">
      <c r="A20">
        <v>2</v>
      </c>
      <c r="B20">
        <v>4</v>
      </c>
      <c r="C20">
        <v>5</v>
      </c>
      <c r="E20" t="s">
        <v>19</v>
      </c>
    </row>
    <row r="21" spans="1:6" x14ac:dyDescent="0.25">
      <c r="A21">
        <v>4</v>
      </c>
      <c r="B21">
        <v>3</v>
      </c>
      <c r="C21">
        <v>4</v>
      </c>
      <c r="E21" t="s">
        <v>15</v>
      </c>
      <c r="F21" s="6">
        <v>3</v>
      </c>
    </row>
    <row r="22" spans="1:6" x14ac:dyDescent="0.25">
      <c r="A22">
        <v>2</v>
      </c>
      <c r="B22">
        <v>2</v>
      </c>
      <c r="C22">
        <v>3</v>
      </c>
    </row>
    <row r="23" spans="1:6" x14ac:dyDescent="0.25">
      <c r="A23">
        <v>3</v>
      </c>
      <c r="B23">
        <v>2</v>
      </c>
      <c r="C23">
        <v>2</v>
      </c>
    </row>
    <row r="24" spans="1:6" x14ac:dyDescent="0.25">
      <c r="A24">
        <v>2</v>
      </c>
      <c r="B24">
        <v>1</v>
      </c>
      <c r="C24">
        <v>1</v>
      </c>
      <c r="E24" t="s">
        <v>0</v>
      </c>
      <c r="F24">
        <f>F21-1</f>
        <v>2</v>
      </c>
    </row>
    <row r="25" spans="1:6" x14ac:dyDescent="0.25">
      <c r="A25">
        <v>1</v>
      </c>
      <c r="B25">
        <v>2</v>
      </c>
      <c r="C25">
        <v>4</v>
      </c>
    </row>
    <row r="26" spans="1:6" x14ac:dyDescent="0.25">
      <c r="A26">
        <v>5</v>
      </c>
      <c r="B26">
        <v>2</v>
      </c>
      <c r="C26">
        <v>3</v>
      </c>
    </row>
    <row r="27" spans="1:6" x14ac:dyDescent="0.25">
      <c r="A27">
        <v>5</v>
      </c>
      <c r="B27">
        <v>2</v>
      </c>
      <c r="C27">
        <v>4</v>
      </c>
      <c r="E27" s="2" t="s">
        <v>20</v>
      </c>
      <c r="F27" s="2"/>
    </row>
    <row r="28" spans="1:6" x14ac:dyDescent="0.25">
      <c r="A28">
        <v>3</v>
      </c>
      <c r="B28">
        <v>5</v>
      </c>
      <c r="C28">
        <v>5</v>
      </c>
      <c r="E28" t="s">
        <v>21</v>
      </c>
    </row>
    <row r="29" spans="1:6" x14ac:dyDescent="0.25">
      <c r="A29">
        <v>3</v>
      </c>
      <c r="B29">
        <v>4</v>
      </c>
      <c r="C29">
        <v>2</v>
      </c>
    </row>
    <row r="30" spans="1:6" x14ac:dyDescent="0.25">
      <c r="A30">
        <v>4</v>
      </c>
      <c r="B30">
        <v>4</v>
      </c>
      <c r="C30">
        <v>5</v>
      </c>
    </row>
    <row r="31" spans="1:6" x14ac:dyDescent="0.25">
      <c r="A31">
        <v>5</v>
      </c>
      <c r="B31">
        <v>3</v>
      </c>
      <c r="C31">
        <v>3</v>
      </c>
    </row>
    <row r="32" spans="1:6" x14ac:dyDescent="0.25">
      <c r="A32">
        <v>4</v>
      </c>
      <c r="B32">
        <v>3</v>
      </c>
      <c r="C32">
        <v>5</v>
      </c>
    </row>
    <row r="33" spans="1:6" x14ac:dyDescent="0.25">
      <c r="A33">
        <v>5</v>
      </c>
      <c r="B33">
        <v>4</v>
      </c>
      <c r="C33">
        <v>3</v>
      </c>
      <c r="E33" t="s">
        <v>1</v>
      </c>
      <c r="F33">
        <f>F16/F24</f>
        <v>0.84879725085910496</v>
      </c>
    </row>
    <row r="34" spans="1:6" x14ac:dyDescent="0.25">
      <c r="A34">
        <v>2</v>
      </c>
      <c r="B34">
        <v>4</v>
      </c>
      <c r="C34">
        <v>4</v>
      </c>
    </row>
    <row r="35" spans="1:6" x14ac:dyDescent="0.25">
      <c r="A35">
        <v>3</v>
      </c>
      <c r="B35">
        <v>5</v>
      </c>
      <c r="C35">
        <v>2</v>
      </c>
    </row>
    <row r="36" spans="1:6" x14ac:dyDescent="0.25">
      <c r="A36">
        <v>3</v>
      </c>
      <c r="B36">
        <v>2</v>
      </c>
      <c r="C36">
        <v>2</v>
      </c>
      <c r="E36" s="2" t="s">
        <v>25</v>
      </c>
      <c r="F36" s="2"/>
    </row>
    <row r="37" spans="1:6" x14ac:dyDescent="0.25">
      <c r="A37">
        <v>3</v>
      </c>
      <c r="B37">
        <v>4</v>
      </c>
      <c r="C37">
        <v>2</v>
      </c>
      <c r="E37" t="s">
        <v>22</v>
      </c>
    </row>
    <row r="38" spans="1:6" x14ac:dyDescent="0.25">
      <c r="A38">
        <v>3</v>
      </c>
      <c r="B38">
        <v>2</v>
      </c>
      <c r="C38">
        <v>3</v>
      </c>
      <c r="E38" t="s">
        <v>23</v>
      </c>
    </row>
    <row r="39" spans="1:6" x14ac:dyDescent="0.25">
      <c r="A39">
        <v>5</v>
      </c>
      <c r="B39">
        <v>1</v>
      </c>
      <c r="C39">
        <v>3</v>
      </c>
    </row>
    <row r="40" spans="1:6" x14ac:dyDescent="0.25">
      <c r="A40">
        <v>5</v>
      </c>
      <c r="B40">
        <v>3</v>
      </c>
      <c r="C40">
        <v>1</v>
      </c>
    </row>
    <row r="41" spans="1:6" x14ac:dyDescent="0.25">
      <c r="A41">
        <v>4</v>
      </c>
      <c r="B41">
        <v>3</v>
      </c>
      <c r="C41">
        <v>3</v>
      </c>
    </row>
    <row r="42" spans="1:6" x14ac:dyDescent="0.25">
      <c r="A42">
        <v>3</v>
      </c>
      <c r="B42">
        <v>2</v>
      </c>
      <c r="C42">
        <v>3</v>
      </c>
    </row>
    <row r="43" spans="1:6" x14ac:dyDescent="0.25">
      <c r="A43">
        <v>3</v>
      </c>
      <c r="B43">
        <v>1</v>
      </c>
      <c r="C43">
        <v>3</v>
      </c>
      <c r="E43" t="s">
        <v>3</v>
      </c>
      <c r="F43">
        <f>DEVSQ(A:A)+DEVSQ(B:B)+DEVSQ(C:C)</f>
        <v>396.41237113402047</v>
      </c>
    </row>
    <row r="44" spans="1:6" x14ac:dyDescent="0.25">
      <c r="A44">
        <v>3</v>
      </c>
      <c r="B44">
        <v>2</v>
      </c>
      <c r="C44">
        <v>2</v>
      </c>
    </row>
    <row r="45" spans="1:6" x14ac:dyDescent="0.25">
      <c r="A45">
        <v>3</v>
      </c>
      <c r="B45">
        <v>3</v>
      </c>
      <c r="C45">
        <v>3</v>
      </c>
    </row>
    <row r="46" spans="1:6" x14ac:dyDescent="0.25">
      <c r="A46">
        <v>3</v>
      </c>
      <c r="B46">
        <v>3</v>
      </c>
      <c r="C46">
        <v>2</v>
      </c>
      <c r="E46" s="2" t="s">
        <v>24</v>
      </c>
      <c r="F46" s="2"/>
    </row>
    <row r="47" spans="1:6" x14ac:dyDescent="0.25">
      <c r="A47">
        <v>3</v>
      </c>
      <c r="B47">
        <v>1</v>
      </c>
      <c r="C47">
        <v>4</v>
      </c>
      <c r="E47" t="s">
        <v>26</v>
      </c>
      <c r="F47">
        <f>COUNT(A:A,B:B,C:C,#REF!)</f>
        <v>291</v>
      </c>
    </row>
    <row r="48" spans="1:6" x14ac:dyDescent="0.25">
      <c r="A48">
        <v>2</v>
      </c>
      <c r="B48">
        <v>1</v>
      </c>
      <c r="C48">
        <v>5</v>
      </c>
      <c r="E48" t="s">
        <v>15</v>
      </c>
      <c r="F48">
        <f>F21</f>
        <v>3</v>
      </c>
    </row>
    <row r="49" spans="1:6" x14ac:dyDescent="0.25">
      <c r="A49">
        <v>3</v>
      </c>
      <c r="B49">
        <v>3</v>
      </c>
      <c r="C49">
        <v>5</v>
      </c>
    </row>
    <row r="50" spans="1:6" x14ac:dyDescent="0.25">
      <c r="A50">
        <v>2</v>
      </c>
      <c r="B50">
        <v>3</v>
      </c>
      <c r="C50">
        <v>3</v>
      </c>
    </row>
    <row r="51" spans="1:6" x14ac:dyDescent="0.25">
      <c r="A51">
        <v>4</v>
      </c>
      <c r="B51">
        <v>3</v>
      </c>
      <c r="C51">
        <v>2</v>
      </c>
    </row>
    <row r="52" spans="1:6" x14ac:dyDescent="0.25">
      <c r="A52">
        <v>2</v>
      </c>
      <c r="B52">
        <v>2</v>
      </c>
      <c r="C52">
        <v>4</v>
      </c>
    </row>
    <row r="53" spans="1:6" x14ac:dyDescent="0.25">
      <c r="A53">
        <v>3</v>
      </c>
      <c r="B53">
        <v>3</v>
      </c>
      <c r="C53">
        <v>1</v>
      </c>
      <c r="E53" t="s">
        <v>4</v>
      </c>
      <c r="F53">
        <f>F47-F48</f>
        <v>288</v>
      </c>
    </row>
    <row r="54" spans="1:6" x14ac:dyDescent="0.25">
      <c r="A54">
        <v>5</v>
      </c>
      <c r="B54">
        <v>2</v>
      </c>
      <c r="C54">
        <v>5</v>
      </c>
    </row>
    <row r="55" spans="1:6" x14ac:dyDescent="0.25">
      <c r="A55">
        <v>4</v>
      </c>
      <c r="B55">
        <v>2</v>
      </c>
      <c r="C55">
        <v>1</v>
      </c>
    </row>
    <row r="56" spans="1:6" x14ac:dyDescent="0.25">
      <c r="A56">
        <v>2</v>
      </c>
      <c r="B56">
        <v>5</v>
      </c>
      <c r="C56">
        <v>4</v>
      </c>
      <c r="E56" s="2" t="s">
        <v>27</v>
      </c>
      <c r="F56" s="2"/>
    </row>
    <row r="57" spans="1:6" x14ac:dyDescent="0.25">
      <c r="A57">
        <v>5</v>
      </c>
      <c r="B57">
        <v>4</v>
      </c>
      <c r="C57">
        <v>2</v>
      </c>
      <c r="E57" t="s">
        <v>28</v>
      </c>
    </row>
    <row r="58" spans="1:6" x14ac:dyDescent="0.25">
      <c r="A58">
        <v>3</v>
      </c>
      <c r="B58">
        <v>3</v>
      </c>
      <c r="C58">
        <v>2</v>
      </c>
    </row>
    <row r="59" spans="1:6" x14ac:dyDescent="0.25">
      <c r="A59">
        <v>1</v>
      </c>
      <c r="B59">
        <v>3</v>
      </c>
      <c r="C59">
        <v>4</v>
      </c>
    </row>
    <row r="60" spans="1:6" x14ac:dyDescent="0.25">
      <c r="A60">
        <v>3</v>
      </c>
      <c r="B60">
        <v>4</v>
      </c>
      <c r="C60">
        <v>2</v>
      </c>
    </row>
    <row r="61" spans="1:6" x14ac:dyDescent="0.25">
      <c r="A61">
        <v>4</v>
      </c>
      <c r="B61">
        <v>2</v>
      </c>
      <c r="C61">
        <v>2</v>
      </c>
    </row>
    <row r="62" spans="1:6" x14ac:dyDescent="0.25">
      <c r="A62">
        <v>1</v>
      </c>
      <c r="B62">
        <v>1</v>
      </c>
      <c r="C62">
        <v>2</v>
      </c>
    </row>
    <row r="63" spans="1:6" x14ac:dyDescent="0.25">
      <c r="A63">
        <v>3</v>
      </c>
      <c r="B63">
        <v>3</v>
      </c>
      <c r="C63">
        <v>5</v>
      </c>
      <c r="E63" t="s">
        <v>5</v>
      </c>
      <c r="F63">
        <f>F43/F53</f>
        <v>1.3764318442153489</v>
      </c>
    </row>
    <row r="64" spans="1:6" x14ac:dyDescent="0.25">
      <c r="A64">
        <v>4</v>
      </c>
      <c r="B64">
        <v>3</v>
      </c>
      <c r="C64">
        <v>2</v>
      </c>
    </row>
    <row r="65" spans="1:6" x14ac:dyDescent="0.25">
      <c r="A65">
        <v>3</v>
      </c>
      <c r="B65">
        <v>3</v>
      </c>
      <c r="C65">
        <v>4</v>
      </c>
    </row>
    <row r="66" spans="1:6" x14ac:dyDescent="0.25">
      <c r="A66">
        <v>3</v>
      </c>
      <c r="B66">
        <v>4</v>
      </c>
      <c r="C66">
        <v>3</v>
      </c>
      <c r="E66" s="2" t="s">
        <v>29</v>
      </c>
      <c r="F66" s="2"/>
    </row>
    <row r="67" spans="1:6" x14ac:dyDescent="0.25">
      <c r="A67">
        <v>3</v>
      </c>
      <c r="B67">
        <v>2</v>
      </c>
      <c r="C67">
        <v>3</v>
      </c>
      <c r="E67" t="s">
        <v>30</v>
      </c>
    </row>
    <row r="68" spans="1:6" x14ac:dyDescent="0.25">
      <c r="A68">
        <v>3</v>
      </c>
      <c r="B68">
        <v>4</v>
      </c>
      <c r="C68">
        <v>3</v>
      </c>
      <c r="E68" t="s">
        <v>31</v>
      </c>
    </row>
    <row r="69" spans="1:6" x14ac:dyDescent="0.25">
      <c r="A69">
        <v>4</v>
      </c>
      <c r="B69">
        <v>3</v>
      </c>
      <c r="C69">
        <v>3</v>
      </c>
    </row>
    <row r="70" spans="1:6" x14ac:dyDescent="0.25">
      <c r="A70">
        <v>3</v>
      </c>
      <c r="B70">
        <v>3</v>
      </c>
      <c r="C70">
        <v>5</v>
      </c>
    </row>
    <row r="71" spans="1:6" x14ac:dyDescent="0.25">
      <c r="A71">
        <v>1</v>
      </c>
      <c r="B71">
        <v>5</v>
      </c>
      <c r="C71">
        <v>3</v>
      </c>
    </row>
    <row r="72" spans="1:6" x14ac:dyDescent="0.25">
      <c r="A72">
        <v>3</v>
      </c>
      <c r="B72">
        <v>3</v>
      </c>
      <c r="C72">
        <v>3</v>
      </c>
    </row>
    <row r="73" spans="1:6" x14ac:dyDescent="0.25">
      <c r="A73">
        <v>1</v>
      </c>
      <c r="B73">
        <v>4</v>
      </c>
      <c r="C73">
        <v>3</v>
      </c>
      <c r="E73" t="s">
        <v>2</v>
      </c>
      <c r="F73">
        <f>F33/F63</f>
        <v>0.61666493290335911</v>
      </c>
    </row>
    <row r="74" spans="1:6" x14ac:dyDescent="0.25">
      <c r="A74">
        <v>5</v>
      </c>
      <c r="B74">
        <v>4</v>
      </c>
      <c r="C74">
        <v>3</v>
      </c>
    </row>
    <row r="75" spans="1:6" x14ac:dyDescent="0.25">
      <c r="A75">
        <v>3</v>
      </c>
      <c r="B75">
        <v>2</v>
      </c>
      <c r="C75">
        <v>2</v>
      </c>
    </row>
    <row r="76" spans="1:6" x14ac:dyDescent="0.25">
      <c r="A76">
        <v>3</v>
      </c>
      <c r="B76">
        <v>5</v>
      </c>
      <c r="C76">
        <v>5</v>
      </c>
      <c r="E76" s="2" t="s">
        <v>34</v>
      </c>
      <c r="F76" s="2"/>
    </row>
    <row r="77" spans="1:6" x14ac:dyDescent="0.25">
      <c r="A77">
        <v>1</v>
      </c>
      <c r="B77">
        <v>3</v>
      </c>
      <c r="C77">
        <v>2</v>
      </c>
    </row>
    <row r="78" spans="1:6" x14ac:dyDescent="0.25">
      <c r="A78">
        <v>3</v>
      </c>
      <c r="B78">
        <v>5</v>
      </c>
      <c r="C78">
        <v>4</v>
      </c>
      <c r="E78" s="4" t="s">
        <v>32</v>
      </c>
      <c r="F78">
        <v>0.05</v>
      </c>
    </row>
    <row r="79" spans="1:6" x14ac:dyDescent="0.25">
      <c r="A79">
        <v>4</v>
      </c>
      <c r="B79">
        <v>3</v>
      </c>
      <c r="C79">
        <v>5</v>
      </c>
      <c r="E79" t="s">
        <v>0</v>
      </c>
      <c r="F79">
        <f xml:space="preserve"> F24</f>
        <v>2</v>
      </c>
    </row>
    <row r="80" spans="1:6" x14ac:dyDescent="0.25">
      <c r="A80">
        <v>3</v>
      </c>
      <c r="B80">
        <v>1</v>
      </c>
      <c r="C80">
        <v>2</v>
      </c>
      <c r="E80" t="s">
        <v>4</v>
      </c>
      <c r="F80">
        <f xml:space="preserve"> F53</f>
        <v>288</v>
      </c>
    </row>
    <row r="81" spans="1:6" x14ac:dyDescent="0.25">
      <c r="A81">
        <v>4</v>
      </c>
      <c r="B81">
        <v>4</v>
      </c>
      <c r="C81">
        <v>4</v>
      </c>
      <c r="E81" t="s">
        <v>33</v>
      </c>
      <c r="F81">
        <f>FINV(F78, F79, F80)</f>
        <v>3.0271106434326285</v>
      </c>
    </row>
    <row r="82" spans="1:6" x14ac:dyDescent="0.25">
      <c r="A82">
        <v>1</v>
      </c>
      <c r="B82">
        <v>3</v>
      </c>
      <c r="C82">
        <v>3</v>
      </c>
      <c r="E82" t="s">
        <v>35</v>
      </c>
      <c r="F82">
        <f>_xlfn.F.DIST.RT(F73, F79, F80)</f>
        <v>0.5404526288385807</v>
      </c>
    </row>
    <row r="83" spans="1:6" x14ac:dyDescent="0.25">
      <c r="A83">
        <v>2</v>
      </c>
      <c r="B83">
        <v>3</v>
      </c>
      <c r="C83">
        <v>3</v>
      </c>
    </row>
    <row r="84" spans="1:6" x14ac:dyDescent="0.25">
      <c r="A84">
        <v>4</v>
      </c>
      <c r="B84">
        <v>2</v>
      </c>
      <c r="C84">
        <v>3</v>
      </c>
      <c r="E84" s="2" t="s">
        <v>6</v>
      </c>
      <c r="F84" s="2"/>
    </row>
    <row r="85" spans="1:6" x14ac:dyDescent="0.25">
      <c r="A85">
        <v>3</v>
      </c>
      <c r="B85">
        <v>2</v>
      </c>
      <c r="C85">
        <v>5</v>
      </c>
    </row>
    <row r="86" spans="1:6" x14ac:dyDescent="0.25">
      <c r="A86">
        <v>2</v>
      </c>
      <c r="B86">
        <v>3</v>
      </c>
      <c r="C86">
        <v>5</v>
      </c>
      <c r="E86" t="s">
        <v>36</v>
      </c>
    </row>
    <row r="87" spans="1:6" x14ac:dyDescent="0.25">
      <c r="A87">
        <v>2</v>
      </c>
      <c r="B87">
        <v>3</v>
      </c>
      <c r="C87">
        <v>3</v>
      </c>
      <c r="E87" t="s">
        <v>37</v>
      </c>
    </row>
    <row r="88" spans="1:6" x14ac:dyDescent="0.25">
      <c r="A88">
        <v>4</v>
      </c>
      <c r="B88">
        <v>1</v>
      </c>
      <c r="C88">
        <v>1</v>
      </c>
    </row>
    <row r="89" spans="1:6" x14ac:dyDescent="0.25">
      <c r="A89">
        <v>3</v>
      </c>
      <c r="B89">
        <v>3</v>
      </c>
      <c r="C89">
        <v>3</v>
      </c>
      <c r="E89" t="str">
        <f>"Si F calculado ("&amp;F73&amp;") &gt; F critico ("&amp;F81&amp;") ---&gt; Se rechaza la hipotesis nula"</f>
        <v>Si F calculado (0.616664932903359) &gt; F critico (3.02711064343263) ---&gt; Se rechaza la hipotesis nula</v>
      </c>
    </row>
    <row r="90" spans="1:6" x14ac:dyDescent="0.25">
      <c r="A90">
        <v>1</v>
      </c>
      <c r="B90">
        <v>4</v>
      </c>
      <c r="C90">
        <v>3</v>
      </c>
      <c r="E90" t="str">
        <f>"Si p-valor ("&amp;F82&amp;") &lt; α Nivel Significancia ("&amp;F78&amp;") ---&gt; Se rechaza la hipotesis nula"</f>
        <v>Si p-valor (0.540452628838581) &lt; α Nivel Significancia (0.05) ---&gt; Se rechaza la hipotesis nula</v>
      </c>
    </row>
    <row r="91" spans="1:6" x14ac:dyDescent="0.25">
      <c r="A91">
        <v>5</v>
      </c>
      <c r="B91">
        <v>1</v>
      </c>
      <c r="C91">
        <v>3</v>
      </c>
    </row>
    <row r="92" spans="1:6" x14ac:dyDescent="0.25">
      <c r="A92">
        <v>3</v>
      </c>
      <c r="B92">
        <v>5</v>
      </c>
      <c r="C92">
        <v>3</v>
      </c>
    </row>
    <row r="93" spans="1:6" x14ac:dyDescent="0.25">
      <c r="A93">
        <v>5</v>
      </c>
      <c r="B93">
        <v>3</v>
      </c>
      <c r="C93">
        <v>3</v>
      </c>
    </row>
    <row r="94" spans="1:6" x14ac:dyDescent="0.25">
      <c r="A94">
        <v>3</v>
      </c>
      <c r="B94">
        <v>4</v>
      </c>
      <c r="C94">
        <v>3</v>
      </c>
    </row>
    <row r="95" spans="1:6" x14ac:dyDescent="0.25">
      <c r="A95">
        <v>4</v>
      </c>
      <c r="B95">
        <v>4</v>
      </c>
      <c r="C95">
        <v>5</v>
      </c>
    </row>
    <row r="96" spans="1:6" x14ac:dyDescent="0.25">
      <c r="A96">
        <v>4</v>
      </c>
      <c r="B96">
        <v>5</v>
      </c>
      <c r="C96">
        <v>3</v>
      </c>
    </row>
    <row r="97" spans="1:3" x14ac:dyDescent="0.25">
      <c r="A97">
        <v>4</v>
      </c>
      <c r="B97">
        <v>3</v>
      </c>
      <c r="C97">
        <v>3</v>
      </c>
    </row>
    <row r="98" spans="1:3" x14ac:dyDescent="0.25">
      <c r="A98">
        <v>5</v>
      </c>
      <c r="B98">
        <v>2</v>
      </c>
      <c r="C98">
        <v>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Normal="100" workbookViewId="0">
      <selection activeCell="C98" sqref="A2:C98"/>
    </sheetView>
  </sheetViews>
  <sheetFormatPr baseColWidth="10" defaultColWidth="9.140625" defaultRowHeight="15" x14ac:dyDescent="0.25"/>
  <cols>
    <col min="1" max="1" width="15.7109375" customWidth="1"/>
    <col min="2" max="3" width="15.7109375" style="1" customWidth="1"/>
    <col min="5" max="5" width="47" bestFit="1" customWidth="1"/>
    <col min="6" max="6" width="11.85546875" bestFit="1" customWidth="1"/>
    <col min="7" max="7" width="17" customWidth="1"/>
    <col min="9" max="9" width="15.7109375" customWidth="1"/>
  </cols>
  <sheetData>
    <row r="1" spans="1:6" ht="60" x14ac:dyDescent="0.25">
      <c r="A1" s="5" t="s">
        <v>38</v>
      </c>
      <c r="B1" s="5" t="s">
        <v>39</v>
      </c>
      <c r="C1" s="5" t="s">
        <v>40</v>
      </c>
    </row>
    <row r="2" spans="1:6" x14ac:dyDescent="0.25">
      <c r="A2">
        <v>3</v>
      </c>
      <c r="B2">
        <v>3</v>
      </c>
      <c r="C2">
        <v>2</v>
      </c>
      <c r="E2" s="2" t="s">
        <v>12</v>
      </c>
      <c r="F2" s="2"/>
    </row>
    <row r="3" spans="1:6" x14ac:dyDescent="0.25">
      <c r="A3">
        <v>4</v>
      </c>
      <c r="B3">
        <v>3</v>
      </c>
      <c r="C3">
        <v>5</v>
      </c>
      <c r="E3" t="s">
        <v>13</v>
      </c>
      <c r="F3">
        <f>COUNT(A:A)</f>
        <v>97</v>
      </c>
    </row>
    <row r="4" spans="1:6" x14ac:dyDescent="0.25">
      <c r="A4">
        <v>2</v>
      </c>
      <c r="B4">
        <v>3</v>
      </c>
      <c r="C4">
        <v>1</v>
      </c>
      <c r="E4" t="s">
        <v>7</v>
      </c>
      <c r="F4">
        <f>AVERAGE(A:A)</f>
        <v>2.9278350515463916</v>
      </c>
    </row>
    <row r="5" spans="1:6" x14ac:dyDescent="0.25">
      <c r="A5">
        <v>5</v>
      </c>
      <c r="B5">
        <v>2</v>
      </c>
      <c r="C5">
        <v>4</v>
      </c>
      <c r="E5" t="s">
        <v>8</v>
      </c>
      <c r="F5">
        <f>AVERAGE(B:B)</f>
        <v>3.1237113402061856</v>
      </c>
    </row>
    <row r="6" spans="1:6" x14ac:dyDescent="0.25">
      <c r="A6">
        <v>3</v>
      </c>
      <c r="B6">
        <v>1</v>
      </c>
      <c r="C6">
        <v>2</v>
      </c>
      <c r="E6" t="s">
        <v>9</v>
      </c>
      <c r="F6">
        <f>AVERAGE(C:C)</f>
        <v>3.0412371134020617</v>
      </c>
    </row>
    <row r="7" spans="1:6" x14ac:dyDescent="0.25">
      <c r="A7">
        <v>2</v>
      </c>
      <c r="B7">
        <v>3</v>
      </c>
      <c r="C7">
        <v>2</v>
      </c>
      <c r="E7" t="s">
        <v>14</v>
      </c>
      <c r="F7">
        <f>AVERAGE(F4:F6)</f>
        <v>3.0309278350515463</v>
      </c>
    </row>
    <row r="8" spans="1:6" x14ac:dyDescent="0.25">
      <c r="A8">
        <v>3</v>
      </c>
      <c r="B8">
        <v>3</v>
      </c>
      <c r="C8">
        <v>3</v>
      </c>
    </row>
    <row r="9" spans="1:6" x14ac:dyDescent="0.25">
      <c r="A9">
        <v>3</v>
      </c>
      <c r="B9">
        <v>4</v>
      </c>
      <c r="C9">
        <v>3</v>
      </c>
    </row>
    <row r="10" spans="1:6" x14ac:dyDescent="0.25">
      <c r="A10">
        <v>5</v>
      </c>
      <c r="B10">
        <v>1</v>
      </c>
      <c r="C10">
        <v>4</v>
      </c>
      <c r="E10" s="2" t="s">
        <v>11</v>
      </c>
      <c r="F10" s="2"/>
    </row>
    <row r="11" spans="1:6" x14ac:dyDescent="0.25">
      <c r="A11">
        <v>1</v>
      </c>
      <c r="B11">
        <v>4</v>
      </c>
      <c r="C11">
        <v>4</v>
      </c>
      <c r="E11" s="3" t="s">
        <v>16</v>
      </c>
    </row>
    <row r="12" spans="1:6" x14ac:dyDescent="0.25">
      <c r="A12">
        <v>3</v>
      </c>
      <c r="B12">
        <v>2</v>
      </c>
      <c r="C12">
        <v>3</v>
      </c>
      <c r="E12" s="3" t="s">
        <v>17</v>
      </c>
    </row>
    <row r="13" spans="1:6" x14ac:dyDescent="0.25">
      <c r="A13">
        <v>2</v>
      </c>
      <c r="B13">
        <v>3</v>
      </c>
      <c r="C13">
        <v>2</v>
      </c>
    </row>
    <row r="14" spans="1:6" x14ac:dyDescent="0.25">
      <c r="A14">
        <v>3</v>
      </c>
      <c r="B14">
        <v>2</v>
      </c>
      <c r="C14">
        <v>3</v>
      </c>
    </row>
    <row r="15" spans="1:6" x14ac:dyDescent="0.25">
      <c r="A15">
        <v>4</v>
      </c>
      <c r="B15">
        <v>2</v>
      </c>
      <c r="C15">
        <v>3</v>
      </c>
    </row>
    <row r="16" spans="1:6" x14ac:dyDescent="0.25">
      <c r="A16">
        <v>3</v>
      </c>
      <c r="B16">
        <v>5</v>
      </c>
      <c r="C16">
        <v>3</v>
      </c>
      <c r="E16" t="s">
        <v>10</v>
      </c>
      <c r="F16">
        <f>F3*((F4-F7)^2+(F5-F7)^2+(F6-F7)^2)</f>
        <v>1.876288659793818</v>
      </c>
    </row>
    <row r="17" spans="1:6" x14ac:dyDescent="0.25">
      <c r="A17">
        <v>4</v>
      </c>
      <c r="B17">
        <v>1</v>
      </c>
      <c r="C17">
        <v>1</v>
      </c>
    </row>
    <row r="18" spans="1:6" x14ac:dyDescent="0.25">
      <c r="A18">
        <v>1</v>
      </c>
      <c r="B18">
        <v>5</v>
      </c>
      <c r="C18">
        <v>3</v>
      </c>
    </row>
    <row r="19" spans="1:6" x14ac:dyDescent="0.25">
      <c r="A19">
        <v>3</v>
      </c>
      <c r="B19">
        <v>4</v>
      </c>
      <c r="C19">
        <v>5</v>
      </c>
      <c r="E19" s="2" t="s">
        <v>18</v>
      </c>
      <c r="F19" s="2"/>
    </row>
    <row r="20" spans="1:6" x14ac:dyDescent="0.25">
      <c r="A20">
        <v>3</v>
      </c>
      <c r="B20">
        <v>3</v>
      </c>
      <c r="C20">
        <v>3</v>
      </c>
      <c r="E20" t="s">
        <v>19</v>
      </c>
    </row>
    <row r="21" spans="1:6" x14ac:dyDescent="0.25">
      <c r="A21">
        <v>2</v>
      </c>
      <c r="B21">
        <v>3</v>
      </c>
      <c r="C21">
        <v>3</v>
      </c>
      <c r="E21" t="s">
        <v>15</v>
      </c>
      <c r="F21" s="6">
        <v>3</v>
      </c>
    </row>
    <row r="22" spans="1:6" x14ac:dyDescent="0.25">
      <c r="A22">
        <v>3</v>
      </c>
      <c r="B22">
        <v>3</v>
      </c>
      <c r="C22">
        <v>4</v>
      </c>
    </row>
    <row r="23" spans="1:6" x14ac:dyDescent="0.25">
      <c r="A23">
        <v>2</v>
      </c>
      <c r="B23">
        <v>4</v>
      </c>
      <c r="C23">
        <v>2</v>
      </c>
    </row>
    <row r="24" spans="1:6" x14ac:dyDescent="0.25">
      <c r="A24">
        <v>4</v>
      </c>
      <c r="B24">
        <v>1</v>
      </c>
      <c r="C24">
        <v>2</v>
      </c>
      <c r="E24" t="s">
        <v>0</v>
      </c>
      <c r="F24">
        <f>F21-1</f>
        <v>2</v>
      </c>
    </row>
    <row r="25" spans="1:6" x14ac:dyDescent="0.25">
      <c r="A25">
        <v>1</v>
      </c>
      <c r="B25">
        <v>4</v>
      </c>
      <c r="C25">
        <v>3</v>
      </c>
    </row>
    <row r="26" spans="1:6" x14ac:dyDescent="0.25">
      <c r="A26">
        <v>3</v>
      </c>
      <c r="B26">
        <v>4</v>
      </c>
      <c r="C26">
        <v>2</v>
      </c>
    </row>
    <row r="27" spans="1:6" x14ac:dyDescent="0.25">
      <c r="A27">
        <v>3</v>
      </c>
      <c r="B27">
        <v>4</v>
      </c>
      <c r="C27">
        <v>1</v>
      </c>
      <c r="E27" s="2" t="s">
        <v>20</v>
      </c>
      <c r="F27" s="2"/>
    </row>
    <row r="28" spans="1:6" x14ac:dyDescent="0.25">
      <c r="A28">
        <v>5</v>
      </c>
      <c r="B28">
        <v>5</v>
      </c>
      <c r="C28">
        <v>3</v>
      </c>
      <c r="E28" t="s">
        <v>21</v>
      </c>
    </row>
    <row r="29" spans="1:6" x14ac:dyDescent="0.25">
      <c r="A29">
        <v>4</v>
      </c>
      <c r="B29">
        <v>3</v>
      </c>
      <c r="C29">
        <v>2</v>
      </c>
    </row>
    <row r="30" spans="1:6" x14ac:dyDescent="0.25">
      <c r="A30">
        <v>5</v>
      </c>
      <c r="B30">
        <v>1</v>
      </c>
      <c r="C30">
        <v>5</v>
      </c>
    </row>
    <row r="31" spans="1:6" x14ac:dyDescent="0.25">
      <c r="A31">
        <v>3</v>
      </c>
      <c r="B31">
        <v>5</v>
      </c>
      <c r="C31">
        <v>3</v>
      </c>
    </row>
    <row r="32" spans="1:6" x14ac:dyDescent="0.25">
      <c r="A32">
        <v>1</v>
      </c>
      <c r="B32">
        <v>1</v>
      </c>
      <c r="C32">
        <v>5</v>
      </c>
    </row>
    <row r="33" spans="1:6" x14ac:dyDescent="0.25">
      <c r="A33">
        <v>2</v>
      </c>
      <c r="B33">
        <v>4</v>
      </c>
      <c r="C33">
        <v>5</v>
      </c>
      <c r="E33" t="s">
        <v>1</v>
      </c>
      <c r="F33">
        <f>F16/F24</f>
        <v>0.93814432989690899</v>
      </c>
    </row>
    <row r="34" spans="1:6" x14ac:dyDescent="0.25">
      <c r="A34">
        <v>3</v>
      </c>
      <c r="B34">
        <v>1</v>
      </c>
      <c r="C34">
        <v>2</v>
      </c>
    </row>
    <row r="35" spans="1:6" x14ac:dyDescent="0.25">
      <c r="A35">
        <v>4</v>
      </c>
      <c r="B35">
        <v>2</v>
      </c>
      <c r="C35">
        <v>5</v>
      </c>
    </row>
    <row r="36" spans="1:6" x14ac:dyDescent="0.25">
      <c r="A36">
        <v>5</v>
      </c>
      <c r="B36">
        <v>5</v>
      </c>
      <c r="C36">
        <v>2</v>
      </c>
      <c r="E36" s="2" t="s">
        <v>25</v>
      </c>
      <c r="F36" s="2"/>
    </row>
    <row r="37" spans="1:6" x14ac:dyDescent="0.25">
      <c r="A37">
        <v>4</v>
      </c>
      <c r="B37">
        <v>3</v>
      </c>
      <c r="C37">
        <v>4</v>
      </c>
      <c r="E37" t="s">
        <v>22</v>
      </c>
    </row>
    <row r="38" spans="1:6" x14ac:dyDescent="0.25">
      <c r="A38">
        <v>3</v>
      </c>
      <c r="B38">
        <v>4</v>
      </c>
      <c r="C38">
        <v>2</v>
      </c>
      <c r="E38" t="s">
        <v>23</v>
      </c>
    </row>
    <row r="39" spans="1:6" x14ac:dyDescent="0.25">
      <c r="A39">
        <v>3</v>
      </c>
      <c r="B39">
        <v>4</v>
      </c>
      <c r="C39">
        <v>3</v>
      </c>
    </row>
    <row r="40" spans="1:6" x14ac:dyDescent="0.25">
      <c r="A40">
        <v>3</v>
      </c>
      <c r="B40">
        <v>5</v>
      </c>
      <c r="C40">
        <v>3</v>
      </c>
    </row>
    <row r="41" spans="1:6" x14ac:dyDescent="0.25">
      <c r="A41">
        <v>4</v>
      </c>
      <c r="B41">
        <v>3</v>
      </c>
      <c r="C41">
        <v>3</v>
      </c>
    </row>
    <row r="42" spans="1:6" x14ac:dyDescent="0.25">
      <c r="A42">
        <v>3</v>
      </c>
      <c r="B42">
        <v>3</v>
      </c>
      <c r="C42">
        <v>2</v>
      </c>
    </row>
    <row r="43" spans="1:6" x14ac:dyDescent="0.25">
      <c r="A43">
        <v>4</v>
      </c>
      <c r="B43">
        <v>3</v>
      </c>
      <c r="C43">
        <v>4</v>
      </c>
      <c r="E43" t="s">
        <v>3</v>
      </c>
      <c r="F43">
        <f>DEVSQ(A:A)+DEVSQ(B:B)+DEVSQ(C:C)</f>
        <v>404.8453608247421</v>
      </c>
    </row>
    <row r="44" spans="1:6" x14ac:dyDescent="0.25">
      <c r="A44">
        <v>4</v>
      </c>
      <c r="B44">
        <v>2</v>
      </c>
      <c r="C44">
        <v>2</v>
      </c>
    </row>
    <row r="45" spans="1:6" x14ac:dyDescent="0.25">
      <c r="A45">
        <v>1</v>
      </c>
      <c r="B45">
        <v>3</v>
      </c>
      <c r="C45">
        <v>4</v>
      </c>
    </row>
    <row r="46" spans="1:6" x14ac:dyDescent="0.25">
      <c r="A46">
        <v>2</v>
      </c>
      <c r="B46">
        <v>1</v>
      </c>
      <c r="C46">
        <v>2</v>
      </c>
      <c r="E46" s="2" t="s">
        <v>24</v>
      </c>
      <c r="F46" s="2"/>
    </row>
    <row r="47" spans="1:6" x14ac:dyDescent="0.25">
      <c r="A47">
        <v>4</v>
      </c>
      <c r="B47">
        <v>3</v>
      </c>
      <c r="C47">
        <v>2</v>
      </c>
      <c r="E47" t="s">
        <v>26</v>
      </c>
      <c r="F47">
        <f>COUNT(A:A,B:B,C:C,#REF!)</f>
        <v>291</v>
      </c>
    </row>
    <row r="48" spans="1:6" x14ac:dyDescent="0.25">
      <c r="A48">
        <v>3</v>
      </c>
      <c r="B48">
        <v>5</v>
      </c>
      <c r="C48">
        <v>5</v>
      </c>
      <c r="E48" t="s">
        <v>15</v>
      </c>
      <c r="F48">
        <f>F21</f>
        <v>3</v>
      </c>
    </row>
    <row r="49" spans="1:6" x14ac:dyDescent="0.25">
      <c r="A49">
        <v>3</v>
      </c>
      <c r="B49">
        <v>2</v>
      </c>
      <c r="C49">
        <v>4</v>
      </c>
    </row>
    <row r="50" spans="1:6" x14ac:dyDescent="0.25">
      <c r="A50">
        <v>4</v>
      </c>
      <c r="B50">
        <v>4</v>
      </c>
      <c r="C50">
        <v>3</v>
      </c>
    </row>
    <row r="51" spans="1:6" x14ac:dyDescent="0.25">
      <c r="A51">
        <v>1</v>
      </c>
      <c r="B51">
        <v>4</v>
      </c>
      <c r="C51">
        <v>2</v>
      </c>
    </row>
    <row r="52" spans="1:6" x14ac:dyDescent="0.25">
      <c r="A52">
        <v>1</v>
      </c>
      <c r="B52">
        <v>4</v>
      </c>
      <c r="C52">
        <v>5</v>
      </c>
    </row>
    <row r="53" spans="1:6" x14ac:dyDescent="0.25">
      <c r="A53">
        <v>3</v>
      </c>
      <c r="B53">
        <v>5</v>
      </c>
      <c r="C53">
        <v>4</v>
      </c>
      <c r="E53" t="s">
        <v>4</v>
      </c>
      <c r="F53">
        <f>F47-F48</f>
        <v>288</v>
      </c>
    </row>
    <row r="54" spans="1:6" x14ac:dyDescent="0.25">
      <c r="A54">
        <v>3</v>
      </c>
      <c r="B54">
        <v>2</v>
      </c>
      <c r="C54">
        <v>1</v>
      </c>
    </row>
    <row r="55" spans="1:6" x14ac:dyDescent="0.25">
      <c r="A55">
        <v>2</v>
      </c>
      <c r="B55">
        <v>2</v>
      </c>
      <c r="C55">
        <v>4</v>
      </c>
    </row>
    <row r="56" spans="1:6" x14ac:dyDescent="0.25">
      <c r="A56">
        <v>3</v>
      </c>
      <c r="B56">
        <v>3</v>
      </c>
      <c r="C56">
        <v>1</v>
      </c>
      <c r="E56" s="2" t="s">
        <v>27</v>
      </c>
      <c r="F56" s="2"/>
    </row>
    <row r="57" spans="1:6" x14ac:dyDescent="0.25">
      <c r="A57">
        <v>2</v>
      </c>
      <c r="B57">
        <v>5</v>
      </c>
      <c r="C57">
        <v>1</v>
      </c>
      <c r="E57" t="s">
        <v>28</v>
      </c>
    </row>
    <row r="58" spans="1:6" x14ac:dyDescent="0.25">
      <c r="A58">
        <v>3</v>
      </c>
      <c r="B58">
        <v>1</v>
      </c>
      <c r="C58">
        <v>4</v>
      </c>
    </row>
    <row r="59" spans="1:6" x14ac:dyDescent="0.25">
      <c r="A59">
        <v>1</v>
      </c>
      <c r="B59">
        <v>3</v>
      </c>
      <c r="C59">
        <v>1</v>
      </c>
    </row>
    <row r="60" spans="1:6" x14ac:dyDescent="0.25">
      <c r="A60">
        <v>3</v>
      </c>
      <c r="B60">
        <v>1</v>
      </c>
      <c r="C60">
        <v>3</v>
      </c>
    </row>
    <row r="61" spans="1:6" x14ac:dyDescent="0.25">
      <c r="A61">
        <v>4</v>
      </c>
      <c r="B61">
        <v>3</v>
      </c>
      <c r="C61">
        <v>1</v>
      </c>
    </row>
    <row r="62" spans="1:6" x14ac:dyDescent="0.25">
      <c r="A62">
        <v>4</v>
      </c>
      <c r="B62">
        <v>3</v>
      </c>
      <c r="C62">
        <v>3</v>
      </c>
    </row>
    <row r="63" spans="1:6" x14ac:dyDescent="0.25">
      <c r="A63">
        <v>5</v>
      </c>
      <c r="B63">
        <v>1</v>
      </c>
      <c r="C63">
        <v>3</v>
      </c>
      <c r="E63" t="s">
        <v>5</v>
      </c>
      <c r="F63">
        <f>F43/F53</f>
        <v>1.4057130584192434</v>
      </c>
    </row>
    <row r="64" spans="1:6" x14ac:dyDescent="0.25">
      <c r="A64">
        <v>3</v>
      </c>
      <c r="B64">
        <v>2</v>
      </c>
      <c r="C64">
        <v>5</v>
      </c>
    </row>
    <row r="65" spans="1:6" x14ac:dyDescent="0.25">
      <c r="A65">
        <v>3</v>
      </c>
      <c r="B65">
        <v>3</v>
      </c>
      <c r="C65">
        <v>3</v>
      </c>
    </row>
    <row r="66" spans="1:6" x14ac:dyDescent="0.25">
      <c r="A66">
        <v>3</v>
      </c>
      <c r="B66">
        <v>3</v>
      </c>
      <c r="C66">
        <v>3</v>
      </c>
      <c r="E66" s="2" t="s">
        <v>29</v>
      </c>
      <c r="F66" s="2"/>
    </row>
    <row r="67" spans="1:6" x14ac:dyDescent="0.25">
      <c r="A67">
        <v>2</v>
      </c>
      <c r="B67">
        <v>3</v>
      </c>
      <c r="C67">
        <v>2</v>
      </c>
      <c r="E67" t="s">
        <v>30</v>
      </c>
    </row>
    <row r="68" spans="1:6" x14ac:dyDescent="0.25">
      <c r="A68">
        <v>3</v>
      </c>
      <c r="B68">
        <v>5</v>
      </c>
      <c r="C68">
        <v>3</v>
      </c>
      <c r="E68" t="s">
        <v>31</v>
      </c>
    </row>
    <row r="69" spans="1:6" x14ac:dyDescent="0.25">
      <c r="A69">
        <v>3</v>
      </c>
      <c r="B69">
        <v>3</v>
      </c>
      <c r="C69">
        <v>2</v>
      </c>
    </row>
    <row r="70" spans="1:6" x14ac:dyDescent="0.25">
      <c r="A70">
        <v>2</v>
      </c>
      <c r="B70">
        <v>5</v>
      </c>
      <c r="C70">
        <v>4</v>
      </c>
    </row>
    <row r="71" spans="1:6" x14ac:dyDescent="0.25">
      <c r="A71">
        <v>2</v>
      </c>
      <c r="B71">
        <v>3</v>
      </c>
      <c r="C71">
        <v>3</v>
      </c>
    </row>
    <row r="72" spans="1:6" x14ac:dyDescent="0.25">
      <c r="A72">
        <v>5</v>
      </c>
      <c r="B72">
        <v>5</v>
      </c>
      <c r="C72">
        <v>5</v>
      </c>
    </row>
    <row r="73" spans="1:6" x14ac:dyDescent="0.25">
      <c r="A73">
        <v>5</v>
      </c>
      <c r="B73">
        <v>2</v>
      </c>
      <c r="C73">
        <v>5</v>
      </c>
      <c r="E73" t="s">
        <v>2</v>
      </c>
      <c r="F73">
        <f>F33/F63</f>
        <v>0.66737967914438656</v>
      </c>
    </row>
    <row r="74" spans="1:6" x14ac:dyDescent="0.25">
      <c r="A74">
        <v>1</v>
      </c>
      <c r="B74">
        <v>5</v>
      </c>
      <c r="C74">
        <v>3</v>
      </c>
    </row>
    <row r="75" spans="1:6" x14ac:dyDescent="0.25">
      <c r="A75">
        <v>3</v>
      </c>
      <c r="B75">
        <v>2</v>
      </c>
      <c r="C75">
        <v>4</v>
      </c>
    </row>
    <row r="76" spans="1:6" x14ac:dyDescent="0.25">
      <c r="A76">
        <v>1</v>
      </c>
      <c r="B76">
        <v>2</v>
      </c>
      <c r="C76">
        <v>2</v>
      </c>
      <c r="E76" s="2" t="s">
        <v>34</v>
      </c>
      <c r="F76" s="2"/>
    </row>
    <row r="77" spans="1:6" x14ac:dyDescent="0.25">
      <c r="A77">
        <v>3</v>
      </c>
      <c r="B77">
        <v>3</v>
      </c>
      <c r="C77">
        <v>3</v>
      </c>
    </row>
    <row r="78" spans="1:6" x14ac:dyDescent="0.25">
      <c r="A78">
        <v>3</v>
      </c>
      <c r="B78">
        <v>4</v>
      </c>
      <c r="C78">
        <v>2</v>
      </c>
      <c r="E78" s="4" t="s">
        <v>32</v>
      </c>
      <c r="F78">
        <v>0.05</v>
      </c>
    </row>
    <row r="79" spans="1:6" x14ac:dyDescent="0.25">
      <c r="A79">
        <v>3</v>
      </c>
      <c r="B79">
        <v>3</v>
      </c>
      <c r="C79">
        <v>4</v>
      </c>
      <c r="E79" t="s">
        <v>0</v>
      </c>
      <c r="F79">
        <f xml:space="preserve"> F24</f>
        <v>2</v>
      </c>
    </row>
    <row r="80" spans="1:6" x14ac:dyDescent="0.25">
      <c r="A80">
        <v>5</v>
      </c>
      <c r="B80">
        <v>2</v>
      </c>
      <c r="C80">
        <v>2</v>
      </c>
      <c r="E80" t="s">
        <v>4</v>
      </c>
      <c r="F80">
        <f xml:space="preserve"> F53</f>
        <v>288</v>
      </c>
    </row>
    <row r="81" spans="1:6" x14ac:dyDescent="0.25">
      <c r="A81">
        <v>2</v>
      </c>
      <c r="B81">
        <v>4</v>
      </c>
      <c r="C81">
        <v>4</v>
      </c>
      <c r="E81" t="s">
        <v>33</v>
      </c>
      <c r="F81">
        <f>FINV(F78, F79, F80)</f>
        <v>3.0271106434326285</v>
      </c>
    </row>
    <row r="82" spans="1:6" x14ac:dyDescent="0.25">
      <c r="A82">
        <v>3</v>
      </c>
      <c r="B82">
        <v>3</v>
      </c>
      <c r="C82">
        <v>3</v>
      </c>
      <c r="E82" t="s">
        <v>35</v>
      </c>
      <c r="F82">
        <f>_xlfn.F.DIST.RT(F73, F79, F80)</f>
        <v>0.51384278387409055</v>
      </c>
    </row>
    <row r="83" spans="1:6" x14ac:dyDescent="0.25">
      <c r="A83">
        <v>4</v>
      </c>
      <c r="B83">
        <v>4</v>
      </c>
      <c r="C83">
        <v>3</v>
      </c>
    </row>
    <row r="84" spans="1:6" x14ac:dyDescent="0.25">
      <c r="A84">
        <v>3</v>
      </c>
      <c r="B84">
        <v>2</v>
      </c>
      <c r="C84">
        <v>4</v>
      </c>
      <c r="E84" s="2" t="s">
        <v>6</v>
      </c>
      <c r="F84" s="2"/>
    </row>
    <row r="85" spans="1:6" x14ac:dyDescent="0.25">
      <c r="A85">
        <v>3</v>
      </c>
      <c r="B85">
        <v>3</v>
      </c>
      <c r="C85">
        <v>3</v>
      </c>
    </row>
    <row r="86" spans="1:6" x14ac:dyDescent="0.25">
      <c r="A86">
        <v>3</v>
      </c>
      <c r="B86">
        <v>5</v>
      </c>
      <c r="C86">
        <v>5</v>
      </c>
      <c r="E86" t="s">
        <v>36</v>
      </c>
    </row>
    <row r="87" spans="1:6" x14ac:dyDescent="0.25">
      <c r="A87">
        <v>3</v>
      </c>
      <c r="B87">
        <v>5</v>
      </c>
      <c r="C87">
        <v>2</v>
      </c>
      <c r="E87" t="s">
        <v>37</v>
      </c>
    </row>
    <row r="88" spans="1:6" x14ac:dyDescent="0.25">
      <c r="A88">
        <v>3</v>
      </c>
      <c r="B88">
        <v>3</v>
      </c>
      <c r="C88">
        <v>1</v>
      </c>
    </row>
    <row r="89" spans="1:6" x14ac:dyDescent="0.25">
      <c r="A89">
        <v>4</v>
      </c>
      <c r="B89">
        <v>5</v>
      </c>
      <c r="C89">
        <v>3</v>
      </c>
      <c r="E89" t="str">
        <f>"Si F calculado ("&amp;F73&amp;") &gt; F critico ("&amp;F81&amp;") ---&gt; Se rechaza la hipotesis nula"</f>
        <v>Si F calculado (0.667379679144387) &gt; F critico (3.02711064343263) ---&gt; Se rechaza la hipotesis nula</v>
      </c>
    </row>
    <row r="90" spans="1:6" x14ac:dyDescent="0.25">
      <c r="A90">
        <v>1</v>
      </c>
      <c r="B90">
        <v>3</v>
      </c>
      <c r="C90">
        <v>4</v>
      </c>
      <c r="E90" t="str">
        <f>"Si p-valor ("&amp;F82&amp;") &lt; α Nivel Significancia ("&amp;F78&amp;") ---&gt; Se rechaza la hipotesis nula"</f>
        <v>Si p-valor (0.513842783874091) &lt; α Nivel Significancia (0.05) ---&gt; Se rechaza la hipotesis nula</v>
      </c>
    </row>
    <row r="91" spans="1:6" x14ac:dyDescent="0.25">
      <c r="A91">
        <v>1</v>
      </c>
      <c r="B91">
        <v>2</v>
      </c>
      <c r="C91">
        <v>5</v>
      </c>
    </row>
    <row r="92" spans="1:6" x14ac:dyDescent="0.25">
      <c r="A92">
        <v>3</v>
      </c>
      <c r="B92">
        <v>5</v>
      </c>
      <c r="C92">
        <v>3</v>
      </c>
    </row>
    <row r="93" spans="1:6" x14ac:dyDescent="0.25">
      <c r="A93">
        <v>1</v>
      </c>
      <c r="B93">
        <v>3</v>
      </c>
      <c r="C93">
        <v>3</v>
      </c>
    </row>
    <row r="94" spans="1:6" x14ac:dyDescent="0.25">
      <c r="A94">
        <v>1</v>
      </c>
      <c r="B94">
        <v>3</v>
      </c>
      <c r="C94">
        <v>3</v>
      </c>
    </row>
    <row r="95" spans="1:6" x14ac:dyDescent="0.25">
      <c r="A95">
        <v>4</v>
      </c>
      <c r="B95">
        <v>1</v>
      </c>
      <c r="C95">
        <v>2</v>
      </c>
    </row>
    <row r="96" spans="1:6" x14ac:dyDescent="0.25">
      <c r="A96">
        <v>3</v>
      </c>
      <c r="B96">
        <v>4</v>
      </c>
      <c r="C96">
        <v>5</v>
      </c>
    </row>
    <row r="97" spans="1:3" x14ac:dyDescent="0.25">
      <c r="A97">
        <v>2</v>
      </c>
      <c r="B97">
        <v>3</v>
      </c>
      <c r="C97">
        <v>2</v>
      </c>
    </row>
    <row r="98" spans="1:3" x14ac:dyDescent="0.25">
      <c r="A98">
        <v>3</v>
      </c>
      <c r="B98">
        <v>4</v>
      </c>
      <c r="C98">
        <v>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Normal="100" workbookViewId="0">
      <selection activeCell="C98" sqref="A2:C98"/>
    </sheetView>
  </sheetViews>
  <sheetFormatPr baseColWidth="10" defaultColWidth="9.140625" defaultRowHeight="15" x14ac:dyDescent="0.25"/>
  <cols>
    <col min="1" max="1" width="15.7109375" customWidth="1"/>
    <col min="2" max="3" width="15.7109375" style="1" customWidth="1"/>
    <col min="5" max="5" width="47" bestFit="1" customWidth="1"/>
    <col min="6" max="6" width="11.85546875" bestFit="1" customWidth="1"/>
    <col min="7" max="7" width="17" customWidth="1"/>
    <col min="9" max="9" width="15.7109375" customWidth="1"/>
  </cols>
  <sheetData>
    <row r="1" spans="1:6" ht="60" x14ac:dyDescent="0.25">
      <c r="A1" s="5" t="s">
        <v>38</v>
      </c>
      <c r="B1" s="5" t="s">
        <v>39</v>
      </c>
      <c r="C1" s="5" t="s">
        <v>40</v>
      </c>
    </row>
    <row r="2" spans="1:6" x14ac:dyDescent="0.25">
      <c r="A2">
        <v>3</v>
      </c>
      <c r="B2">
        <v>4</v>
      </c>
      <c r="C2">
        <v>5</v>
      </c>
      <c r="E2" s="2" t="s">
        <v>12</v>
      </c>
      <c r="F2" s="2"/>
    </row>
    <row r="3" spans="1:6" x14ac:dyDescent="0.25">
      <c r="A3">
        <v>3</v>
      </c>
      <c r="B3">
        <v>3</v>
      </c>
      <c r="C3">
        <v>3</v>
      </c>
      <c r="E3" t="s">
        <v>13</v>
      </c>
      <c r="F3">
        <f>COUNT(A:A)</f>
        <v>97</v>
      </c>
    </row>
    <row r="4" spans="1:6" x14ac:dyDescent="0.25">
      <c r="A4">
        <v>5</v>
      </c>
      <c r="B4">
        <v>4</v>
      </c>
      <c r="C4">
        <v>5</v>
      </c>
      <c r="E4" t="s">
        <v>7</v>
      </c>
      <c r="F4">
        <f>AVERAGE(A:A)</f>
        <v>3.2886597938144329</v>
      </c>
    </row>
    <row r="5" spans="1:6" x14ac:dyDescent="0.25">
      <c r="A5">
        <v>4</v>
      </c>
      <c r="B5">
        <v>3</v>
      </c>
      <c r="C5">
        <v>3</v>
      </c>
      <c r="E5" t="s">
        <v>8</v>
      </c>
      <c r="F5">
        <f>AVERAGE(B:B)</f>
        <v>3.1237113402061856</v>
      </c>
    </row>
    <row r="6" spans="1:6" x14ac:dyDescent="0.25">
      <c r="A6">
        <v>4</v>
      </c>
      <c r="B6">
        <v>3</v>
      </c>
      <c r="C6">
        <v>2</v>
      </c>
      <c r="E6" t="s">
        <v>9</v>
      </c>
      <c r="F6">
        <f>AVERAGE(C:C)</f>
        <v>3.1752577319587627</v>
      </c>
    </row>
    <row r="7" spans="1:6" x14ac:dyDescent="0.25">
      <c r="A7">
        <v>2</v>
      </c>
      <c r="B7">
        <v>4</v>
      </c>
      <c r="C7">
        <v>4</v>
      </c>
      <c r="E7" t="s">
        <v>14</v>
      </c>
      <c r="F7">
        <f>AVERAGE(F4:F6)</f>
        <v>3.1958762886597936</v>
      </c>
    </row>
    <row r="8" spans="1:6" x14ac:dyDescent="0.25">
      <c r="A8">
        <v>3</v>
      </c>
      <c r="B8">
        <v>3</v>
      </c>
      <c r="C8">
        <v>5</v>
      </c>
    </row>
    <row r="9" spans="1:6" x14ac:dyDescent="0.25">
      <c r="A9">
        <v>5</v>
      </c>
      <c r="B9">
        <v>3</v>
      </c>
      <c r="C9">
        <v>3</v>
      </c>
    </row>
    <row r="10" spans="1:6" x14ac:dyDescent="0.25">
      <c r="A10">
        <v>2</v>
      </c>
      <c r="B10">
        <v>5</v>
      </c>
      <c r="C10">
        <v>3</v>
      </c>
      <c r="E10" s="2" t="s">
        <v>11</v>
      </c>
      <c r="F10" s="2"/>
    </row>
    <row r="11" spans="1:6" x14ac:dyDescent="0.25">
      <c r="A11">
        <v>4</v>
      </c>
      <c r="B11">
        <v>3</v>
      </c>
      <c r="C11">
        <v>4</v>
      </c>
      <c r="E11" s="3" t="s">
        <v>16</v>
      </c>
    </row>
    <row r="12" spans="1:6" x14ac:dyDescent="0.25">
      <c r="A12">
        <v>1</v>
      </c>
      <c r="B12">
        <v>4</v>
      </c>
      <c r="C12">
        <v>4</v>
      </c>
      <c r="E12" s="3" t="s">
        <v>17</v>
      </c>
    </row>
    <row r="13" spans="1:6" x14ac:dyDescent="0.25">
      <c r="A13">
        <v>3</v>
      </c>
      <c r="B13">
        <v>5</v>
      </c>
      <c r="C13">
        <v>2</v>
      </c>
    </row>
    <row r="14" spans="1:6" x14ac:dyDescent="0.25">
      <c r="A14">
        <v>4</v>
      </c>
      <c r="B14">
        <v>2</v>
      </c>
      <c r="C14">
        <v>2</v>
      </c>
    </row>
    <row r="15" spans="1:6" x14ac:dyDescent="0.25">
      <c r="A15">
        <v>5</v>
      </c>
      <c r="B15">
        <v>3</v>
      </c>
      <c r="C15">
        <v>4</v>
      </c>
    </row>
    <row r="16" spans="1:6" x14ac:dyDescent="0.25">
      <c r="A16">
        <v>3</v>
      </c>
      <c r="B16">
        <v>4</v>
      </c>
      <c r="C16">
        <v>3</v>
      </c>
      <c r="E16" t="s">
        <v>10</v>
      </c>
      <c r="F16">
        <f>F3*((F4-F7)^2+(F5-F7)^2+(F6-F7)^2)</f>
        <v>1.3814432989690704</v>
      </c>
    </row>
    <row r="17" spans="1:6" x14ac:dyDescent="0.25">
      <c r="A17">
        <v>2</v>
      </c>
      <c r="B17">
        <v>4</v>
      </c>
      <c r="C17">
        <v>3</v>
      </c>
    </row>
    <row r="18" spans="1:6" x14ac:dyDescent="0.25">
      <c r="A18">
        <v>3</v>
      </c>
      <c r="B18">
        <v>4</v>
      </c>
      <c r="C18">
        <v>3</v>
      </c>
    </row>
    <row r="19" spans="1:6" x14ac:dyDescent="0.25">
      <c r="A19">
        <v>5</v>
      </c>
      <c r="B19">
        <v>5</v>
      </c>
      <c r="C19">
        <v>5</v>
      </c>
      <c r="E19" s="2" t="s">
        <v>18</v>
      </c>
      <c r="F19" s="2"/>
    </row>
    <row r="20" spans="1:6" x14ac:dyDescent="0.25">
      <c r="A20">
        <v>4</v>
      </c>
      <c r="B20">
        <v>3</v>
      </c>
      <c r="C20">
        <v>4</v>
      </c>
      <c r="E20" t="s">
        <v>19</v>
      </c>
    </row>
    <row r="21" spans="1:6" x14ac:dyDescent="0.25">
      <c r="A21">
        <v>5</v>
      </c>
      <c r="B21">
        <v>3</v>
      </c>
      <c r="C21">
        <v>4</v>
      </c>
      <c r="E21" t="s">
        <v>15</v>
      </c>
      <c r="F21" s="6">
        <v>3</v>
      </c>
    </row>
    <row r="22" spans="1:6" x14ac:dyDescent="0.25">
      <c r="A22">
        <v>3</v>
      </c>
      <c r="B22">
        <v>4</v>
      </c>
      <c r="C22">
        <v>2</v>
      </c>
    </row>
    <row r="23" spans="1:6" x14ac:dyDescent="0.25">
      <c r="A23">
        <v>2</v>
      </c>
      <c r="B23">
        <v>2</v>
      </c>
      <c r="C23">
        <v>4</v>
      </c>
    </row>
    <row r="24" spans="1:6" x14ac:dyDescent="0.25">
      <c r="A24">
        <v>2</v>
      </c>
      <c r="B24">
        <v>4</v>
      </c>
      <c r="C24">
        <v>4</v>
      </c>
      <c r="E24" t="s">
        <v>0</v>
      </c>
      <c r="F24">
        <f>F21-1</f>
        <v>2</v>
      </c>
    </row>
    <row r="25" spans="1:6" x14ac:dyDescent="0.25">
      <c r="A25">
        <v>2</v>
      </c>
      <c r="B25">
        <v>2</v>
      </c>
      <c r="C25">
        <v>3</v>
      </c>
    </row>
    <row r="26" spans="1:6" x14ac:dyDescent="0.25">
      <c r="A26">
        <v>2</v>
      </c>
      <c r="B26">
        <v>5</v>
      </c>
      <c r="C26">
        <v>3</v>
      </c>
    </row>
    <row r="27" spans="1:6" x14ac:dyDescent="0.25">
      <c r="A27">
        <v>4</v>
      </c>
      <c r="B27">
        <v>3</v>
      </c>
      <c r="C27">
        <v>2</v>
      </c>
      <c r="E27" s="2" t="s">
        <v>20</v>
      </c>
      <c r="F27" s="2"/>
    </row>
    <row r="28" spans="1:6" x14ac:dyDescent="0.25">
      <c r="A28">
        <v>3</v>
      </c>
      <c r="B28">
        <v>1</v>
      </c>
      <c r="C28">
        <v>4</v>
      </c>
      <c r="E28" t="s">
        <v>21</v>
      </c>
    </row>
    <row r="29" spans="1:6" x14ac:dyDescent="0.25">
      <c r="A29">
        <v>1</v>
      </c>
      <c r="B29">
        <v>3</v>
      </c>
      <c r="C29">
        <v>4</v>
      </c>
    </row>
    <row r="30" spans="1:6" x14ac:dyDescent="0.25">
      <c r="A30">
        <v>4</v>
      </c>
      <c r="B30">
        <v>3</v>
      </c>
      <c r="C30">
        <v>3</v>
      </c>
    </row>
    <row r="31" spans="1:6" x14ac:dyDescent="0.25">
      <c r="A31">
        <v>4</v>
      </c>
      <c r="B31">
        <v>1</v>
      </c>
      <c r="C31">
        <v>5</v>
      </c>
    </row>
    <row r="32" spans="1:6" x14ac:dyDescent="0.25">
      <c r="A32">
        <v>5</v>
      </c>
      <c r="B32">
        <v>5</v>
      </c>
      <c r="C32">
        <v>4</v>
      </c>
    </row>
    <row r="33" spans="1:6" x14ac:dyDescent="0.25">
      <c r="A33">
        <v>4</v>
      </c>
      <c r="B33">
        <v>4</v>
      </c>
      <c r="C33">
        <v>2</v>
      </c>
      <c r="E33" t="s">
        <v>1</v>
      </c>
      <c r="F33">
        <f>F16/F24</f>
        <v>0.69072164948453518</v>
      </c>
    </row>
    <row r="34" spans="1:6" x14ac:dyDescent="0.25">
      <c r="A34">
        <v>2</v>
      </c>
      <c r="B34">
        <v>5</v>
      </c>
      <c r="C34">
        <v>4</v>
      </c>
    </row>
    <row r="35" spans="1:6" x14ac:dyDescent="0.25">
      <c r="A35">
        <v>2</v>
      </c>
      <c r="B35">
        <v>3</v>
      </c>
      <c r="C35">
        <v>3</v>
      </c>
    </row>
    <row r="36" spans="1:6" x14ac:dyDescent="0.25">
      <c r="A36">
        <v>3</v>
      </c>
      <c r="B36">
        <v>1</v>
      </c>
      <c r="C36">
        <v>1</v>
      </c>
      <c r="E36" s="2" t="s">
        <v>25</v>
      </c>
      <c r="F36" s="2"/>
    </row>
    <row r="37" spans="1:6" x14ac:dyDescent="0.25">
      <c r="A37">
        <v>2</v>
      </c>
      <c r="B37">
        <v>2</v>
      </c>
      <c r="C37">
        <v>3</v>
      </c>
      <c r="E37" t="s">
        <v>22</v>
      </c>
    </row>
    <row r="38" spans="1:6" x14ac:dyDescent="0.25">
      <c r="A38">
        <v>4</v>
      </c>
      <c r="B38">
        <v>4</v>
      </c>
      <c r="C38">
        <v>1</v>
      </c>
      <c r="E38" t="s">
        <v>23</v>
      </c>
    </row>
    <row r="39" spans="1:6" x14ac:dyDescent="0.25">
      <c r="A39">
        <v>5</v>
      </c>
      <c r="B39">
        <v>4</v>
      </c>
      <c r="C39">
        <v>3</v>
      </c>
    </row>
    <row r="40" spans="1:6" x14ac:dyDescent="0.25">
      <c r="A40">
        <v>5</v>
      </c>
      <c r="B40">
        <v>4</v>
      </c>
      <c r="C40">
        <v>2</v>
      </c>
    </row>
    <row r="41" spans="1:6" x14ac:dyDescent="0.25">
      <c r="A41">
        <v>3</v>
      </c>
      <c r="B41">
        <v>1</v>
      </c>
      <c r="C41">
        <v>3</v>
      </c>
    </row>
    <row r="42" spans="1:6" x14ac:dyDescent="0.25">
      <c r="A42">
        <v>3</v>
      </c>
      <c r="B42">
        <v>5</v>
      </c>
      <c r="C42">
        <v>4</v>
      </c>
    </row>
    <row r="43" spans="1:6" x14ac:dyDescent="0.25">
      <c r="A43">
        <v>3</v>
      </c>
      <c r="B43">
        <v>1</v>
      </c>
      <c r="C43">
        <v>3</v>
      </c>
      <c r="E43" t="s">
        <v>3</v>
      </c>
      <c r="F43">
        <f>DEVSQ(A:A)+DEVSQ(B:B)+DEVSQ(C:C)</f>
        <v>382.45360824742284</v>
      </c>
    </row>
    <row r="44" spans="1:6" x14ac:dyDescent="0.25">
      <c r="A44">
        <v>3</v>
      </c>
      <c r="B44">
        <v>3</v>
      </c>
      <c r="C44">
        <v>5</v>
      </c>
    </row>
    <row r="45" spans="1:6" x14ac:dyDescent="0.25">
      <c r="A45">
        <v>4</v>
      </c>
      <c r="B45">
        <v>1</v>
      </c>
      <c r="C45">
        <v>2</v>
      </c>
    </row>
    <row r="46" spans="1:6" x14ac:dyDescent="0.25">
      <c r="A46">
        <v>3</v>
      </c>
      <c r="B46">
        <v>4</v>
      </c>
      <c r="C46">
        <v>4</v>
      </c>
      <c r="E46" s="2" t="s">
        <v>24</v>
      </c>
      <c r="F46" s="2"/>
    </row>
    <row r="47" spans="1:6" x14ac:dyDescent="0.25">
      <c r="A47">
        <v>3</v>
      </c>
      <c r="B47">
        <v>3</v>
      </c>
      <c r="C47">
        <v>3</v>
      </c>
      <c r="E47" t="s">
        <v>26</v>
      </c>
      <c r="F47">
        <f>COUNT(A:A,B:B,C:C,#REF!)</f>
        <v>291</v>
      </c>
    </row>
    <row r="48" spans="1:6" x14ac:dyDescent="0.25">
      <c r="A48">
        <v>2</v>
      </c>
      <c r="B48">
        <v>5</v>
      </c>
      <c r="C48">
        <v>2</v>
      </c>
      <c r="E48" t="s">
        <v>15</v>
      </c>
      <c r="F48">
        <f>F21</f>
        <v>3</v>
      </c>
    </row>
    <row r="49" spans="1:6" x14ac:dyDescent="0.25">
      <c r="A49">
        <v>2</v>
      </c>
      <c r="B49">
        <v>4</v>
      </c>
      <c r="C49">
        <v>3</v>
      </c>
    </row>
    <row r="50" spans="1:6" x14ac:dyDescent="0.25">
      <c r="A50">
        <v>5</v>
      </c>
      <c r="B50">
        <v>1</v>
      </c>
      <c r="C50">
        <v>2</v>
      </c>
    </row>
    <row r="51" spans="1:6" x14ac:dyDescent="0.25">
      <c r="A51">
        <v>3</v>
      </c>
      <c r="B51">
        <v>3</v>
      </c>
      <c r="C51">
        <v>3</v>
      </c>
    </row>
    <row r="52" spans="1:6" x14ac:dyDescent="0.25">
      <c r="A52">
        <v>3</v>
      </c>
      <c r="B52">
        <v>3</v>
      </c>
      <c r="C52">
        <v>5</v>
      </c>
    </row>
    <row r="53" spans="1:6" x14ac:dyDescent="0.25">
      <c r="A53">
        <v>3</v>
      </c>
      <c r="B53">
        <v>3</v>
      </c>
      <c r="C53">
        <v>2</v>
      </c>
      <c r="E53" t="s">
        <v>4</v>
      </c>
      <c r="F53">
        <f>F47-F48</f>
        <v>288</v>
      </c>
    </row>
    <row r="54" spans="1:6" x14ac:dyDescent="0.25">
      <c r="A54">
        <v>3</v>
      </c>
      <c r="B54">
        <v>4</v>
      </c>
      <c r="C54">
        <v>3</v>
      </c>
    </row>
    <row r="55" spans="1:6" x14ac:dyDescent="0.25">
      <c r="A55">
        <v>5</v>
      </c>
      <c r="B55">
        <v>2</v>
      </c>
      <c r="C55">
        <v>4</v>
      </c>
    </row>
    <row r="56" spans="1:6" x14ac:dyDescent="0.25">
      <c r="A56">
        <v>5</v>
      </c>
      <c r="B56">
        <v>2</v>
      </c>
      <c r="C56">
        <v>2</v>
      </c>
      <c r="E56" s="2" t="s">
        <v>27</v>
      </c>
      <c r="F56" s="2"/>
    </row>
    <row r="57" spans="1:6" x14ac:dyDescent="0.25">
      <c r="A57">
        <v>2</v>
      </c>
      <c r="B57">
        <v>4</v>
      </c>
      <c r="C57">
        <v>3</v>
      </c>
      <c r="E57" t="s">
        <v>28</v>
      </c>
    </row>
    <row r="58" spans="1:6" x14ac:dyDescent="0.25">
      <c r="A58">
        <v>1</v>
      </c>
      <c r="B58">
        <v>3</v>
      </c>
      <c r="C58">
        <v>4</v>
      </c>
    </row>
    <row r="59" spans="1:6" x14ac:dyDescent="0.25">
      <c r="A59">
        <v>1</v>
      </c>
      <c r="B59">
        <v>2</v>
      </c>
      <c r="C59">
        <v>5</v>
      </c>
    </row>
    <row r="60" spans="1:6" x14ac:dyDescent="0.25">
      <c r="A60">
        <v>4</v>
      </c>
      <c r="B60">
        <v>4</v>
      </c>
      <c r="C60">
        <v>2</v>
      </c>
    </row>
    <row r="61" spans="1:6" x14ac:dyDescent="0.25">
      <c r="A61">
        <v>5</v>
      </c>
      <c r="B61">
        <v>2</v>
      </c>
      <c r="C61">
        <v>2</v>
      </c>
    </row>
    <row r="62" spans="1:6" x14ac:dyDescent="0.25">
      <c r="A62">
        <v>3</v>
      </c>
      <c r="B62">
        <v>3</v>
      </c>
      <c r="C62">
        <v>3</v>
      </c>
    </row>
    <row r="63" spans="1:6" x14ac:dyDescent="0.25">
      <c r="A63">
        <v>4</v>
      </c>
      <c r="B63">
        <v>1</v>
      </c>
      <c r="C63">
        <v>3</v>
      </c>
      <c r="E63" t="s">
        <v>5</v>
      </c>
      <c r="F63">
        <f>F43/F53</f>
        <v>1.3279639175257738</v>
      </c>
    </row>
    <row r="64" spans="1:6" x14ac:dyDescent="0.25">
      <c r="A64">
        <v>5</v>
      </c>
      <c r="B64">
        <v>3</v>
      </c>
      <c r="C64">
        <v>2</v>
      </c>
    </row>
    <row r="65" spans="1:6" x14ac:dyDescent="0.25">
      <c r="A65">
        <v>4</v>
      </c>
      <c r="B65">
        <v>3</v>
      </c>
      <c r="C65">
        <v>1</v>
      </c>
    </row>
    <row r="66" spans="1:6" x14ac:dyDescent="0.25">
      <c r="A66">
        <v>3</v>
      </c>
      <c r="B66">
        <v>3</v>
      </c>
      <c r="C66">
        <v>3</v>
      </c>
      <c r="E66" s="2" t="s">
        <v>29</v>
      </c>
      <c r="F66" s="2"/>
    </row>
    <row r="67" spans="1:6" x14ac:dyDescent="0.25">
      <c r="A67">
        <v>5</v>
      </c>
      <c r="B67">
        <v>3</v>
      </c>
      <c r="C67">
        <v>4</v>
      </c>
      <c r="E67" t="s">
        <v>30</v>
      </c>
    </row>
    <row r="68" spans="1:6" x14ac:dyDescent="0.25">
      <c r="A68">
        <v>5</v>
      </c>
      <c r="B68">
        <v>2</v>
      </c>
      <c r="C68">
        <v>3</v>
      </c>
      <c r="E68" t="s">
        <v>31</v>
      </c>
    </row>
    <row r="69" spans="1:6" x14ac:dyDescent="0.25">
      <c r="A69">
        <v>3</v>
      </c>
      <c r="B69">
        <v>3</v>
      </c>
      <c r="C69">
        <v>3</v>
      </c>
    </row>
    <row r="70" spans="1:6" x14ac:dyDescent="0.25">
      <c r="A70">
        <v>3</v>
      </c>
      <c r="B70">
        <v>2</v>
      </c>
      <c r="C70">
        <v>3</v>
      </c>
    </row>
    <row r="71" spans="1:6" x14ac:dyDescent="0.25">
      <c r="A71">
        <v>3</v>
      </c>
      <c r="B71">
        <v>5</v>
      </c>
      <c r="C71">
        <v>4</v>
      </c>
    </row>
    <row r="72" spans="1:6" x14ac:dyDescent="0.25">
      <c r="A72">
        <v>1</v>
      </c>
      <c r="B72">
        <v>4</v>
      </c>
      <c r="C72">
        <v>2</v>
      </c>
    </row>
    <row r="73" spans="1:6" x14ac:dyDescent="0.25">
      <c r="A73">
        <v>5</v>
      </c>
      <c r="B73">
        <v>3</v>
      </c>
      <c r="C73">
        <v>1</v>
      </c>
      <c r="E73" t="s">
        <v>2</v>
      </c>
      <c r="F73">
        <f>F33/F63</f>
        <v>0.52013585638039694</v>
      </c>
    </row>
    <row r="74" spans="1:6" x14ac:dyDescent="0.25">
      <c r="A74">
        <v>1</v>
      </c>
      <c r="B74">
        <v>4</v>
      </c>
      <c r="C74">
        <v>3</v>
      </c>
    </row>
    <row r="75" spans="1:6" x14ac:dyDescent="0.25">
      <c r="A75">
        <v>3</v>
      </c>
      <c r="B75">
        <v>3</v>
      </c>
      <c r="C75">
        <v>4</v>
      </c>
    </row>
    <row r="76" spans="1:6" x14ac:dyDescent="0.25">
      <c r="A76">
        <v>4</v>
      </c>
      <c r="B76">
        <v>3</v>
      </c>
      <c r="C76">
        <v>5</v>
      </c>
      <c r="E76" s="2" t="s">
        <v>34</v>
      </c>
      <c r="F76" s="2"/>
    </row>
    <row r="77" spans="1:6" x14ac:dyDescent="0.25">
      <c r="A77">
        <v>4</v>
      </c>
      <c r="B77">
        <v>3</v>
      </c>
      <c r="C77">
        <v>3</v>
      </c>
    </row>
    <row r="78" spans="1:6" x14ac:dyDescent="0.25">
      <c r="A78">
        <v>2</v>
      </c>
      <c r="B78">
        <v>2</v>
      </c>
      <c r="C78">
        <v>4</v>
      </c>
      <c r="E78" s="4" t="s">
        <v>32</v>
      </c>
      <c r="F78">
        <v>0.05</v>
      </c>
    </row>
    <row r="79" spans="1:6" x14ac:dyDescent="0.25">
      <c r="A79">
        <v>4</v>
      </c>
      <c r="B79">
        <v>3</v>
      </c>
      <c r="C79">
        <v>3</v>
      </c>
      <c r="E79" t="s">
        <v>0</v>
      </c>
      <c r="F79">
        <f xml:space="preserve"> F24</f>
        <v>2</v>
      </c>
    </row>
    <row r="80" spans="1:6" x14ac:dyDescent="0.25">
      <c r="A80">
        <v>3</v>
      </c>
      <c r="B80">
        <v>3</v>
      </c>
      <c r="C80">
        <v>4</v>
      </c>
      <c r="E80" t="s">
        <v>4</v>
      </c>
      <c r="F80">
        <f xml:space="preserve"> F53</f>
        <v>288</v>
      </c>
    </row>
    <row r="81" spans="1:6" x14ac:dyDescent="0.25">
      <c r="A81">
        <v>2</v>
      </c>
      <c r="B81">
        <v>1</v>
      </c>
      <c r="C81">
        <v>5</v>
      </c>
      <c r="E81" t="s">
        <v>33</v>
      </c>
      <c r="F81">
        <f>FINV(F78, F79, F80)</f>
        <v>3.0271106434326285</v>
      </c>
    </row>
    <row r="82" spans="1:6" x14ac:dyDescent="0.25">
      <c r="A82">
        <v>1</v>
      </c>
      <c r="B82">
        <v>2</v>
      </c>
      <c r="C82">
        <v>4</v>
      </c>
      <c r="E82" t="s">
        <v>35</v>
      </c>
      <c r="F82">
        <f>_xlfn.F.DIST.RT(F73, F79, F80)</f>
        <v>0.59499710869485578</v>
      </c>
    </row>
    <row r="83" spans="1:6" x14ac:dyDescent="0.25">
      <c r="A83">
        <v>3</v>
      </c>
      <c r="B83">
        <v>5</v>
      </c>
      <c r="C83">
        <v>3</v>
      </c>
    </row>
    <row r="84" spans="1:6" x14ac:dyDescent="0.25">
      <c r="A84">
        <v>4</v>
      </c>
      <c r="B84">
        <v>5</v>
      </c>
      <c r="C84">
        <v>2</v>
      </c>
      <c r="E84" s="2" t="s">
        <v>6</v>
      </c>
      <c r="F84" s="2"/>
    </row>
    <row r="85" spans="1:6" x14ac:dyDescent="0.25">
      <c r="A85">
        <v>5</v>
      </c>
      <c r="B85">
        <v>3</v>
      </c>
      <c r="C85">
        <v>1</v>
      </c>
    </row>
    <row r="86" spans="1:6" x14ac:dyDescent="0.25">
      <c r="A86">
        <v>3</v>
      </c>
      <c r="B86">
        <v>4</v>
      </c>
      <c r="C86">
        <v>3</v>
      </c>
      <c r="E86" t="s">
        <v>36</v>
      </c>
    </row>
    <row r="87" spans="1:6" x14ac:dyDescent="0.25">
      <c r="A87">
        <v>5</v>
      </c>
      <c r="B87">
        <v>2</v>
      </c>
      <c r="C87">
        <v>2</v>
      </c>
      <c r="E87" t="s">
        <v>37</v>
      </c>
    </row>
    <row r="88" spans="1:6" x14ac:dyDescent="0.25">
      <c r="A88">
        <v>3</v>
      </c>
      <c r="B88">
        <v>3</v>
      </c>
      <c r="C88">
        <v>3</v>
      </c>
    </row>
    <row r="89" spans="1:6" x14ac:dyDescent="0.25">
      <c r="A89">
        <v>4</v>
      </c>
      <c r="B89">
        <v>3</v>
      </c>
      <c r="C89">
        <v>3</v>
      </c>
      <c r="E89" t="str">
        <f>"Si F calculado ("&amp;F73&amp;") &gt; F critico ("&amp;F81&amp;") ---&gt; Se rechaza la hipotesis nula"</f>
        <v>Si F calculado (0.520135856380397) &gt; F critico (3.02711064343263) ---&gt; Se rechaza la hipotesis nula</v>
      </c>
    </row>
    <row r="90" spans="1:6" x14ac:dyDescent="0.25">
      <c r="A90">
        <v>2</v>
      </c>
      <c r="B90">
        <v>1</v>
      </c>
      <c r="C90">
        <v>4</v>
      </c>
      <c r="E90" t="str">
        <f>"Si p-valor ("&amp;F82&amp;") &lt; α Nivel Significancia ("&amp;F78&amp;") ---&gt; Se rechaza la hipotesis nula"</f>
        <v>Si p-valor (0.594997108694856) &lt; α Nivel Significancia (0.05) ---&gt; Se rechaza la hipotesis nula</v>
      </c>
    </row>
    <row r="91" spans="1:6" x14ac:dyDescent="0.25">
      <c r="A91">
        <v>1</v>
      </c>
      <c r="B91">
        <v>5</v>
      </c>
      <c r="C91">
        <v>3</v>
      </c>
    </row>
    <row r="92" spans="1:6" x14ac:dyDescent="0.25">
      <c r="A92">
        <v>2</v>
      </c>
      <c r="B92">
        <v>2</v>
      </c>
      <c r="C92">
        <v>3</v>
      </c>
    </row>
    <row r="93" spans="1:6" x14ac:dyDescent="0.25">
      <c r="A93">
        <v>4</v>
      </c>
      <c r="B93">
        <v>3</v>
      </c>
      <c r="C93">
        <v>5</v>
      </c>
    </row>
    <row r="94" spans="1:6" x14ac:dyDescent="0.25">
      <c r="A94">
        <v>4</v>
      </c>
      <c r="B94">
        <v>5</v>
      </c>
      <c r="C94">
        <v>4</v>
      </c>
    </row>
    <row r="95" spans="1:6" x14ac:dyDescent="0.25">
      <c r="A95">
        <v>4</v>
      </c>
      <c r="B95">
        <v>2</v>
      </c>
      <c r="C95">
        <v>5</v>
      </c>
    </row>
    <row r="96" spans="1:6" x14ac:dyDescent="0.25">
      <c r="A96">
        <v>4</v>
      </c>
      <c r="B96">
        <v>2</v>
      </c>
      <c r="C96">
        <v>2</v>
      </c>
    </row>
    <row r="97" spans="1:3" x14ac:dyDescent="0.25">
      <c r="A97">
        <v>5</v>
      </c>
      <c r="B97">
        <v>5</v>
      </c>
      <c r="C97">
        <v>2</v>
      </c>
    </row>
    <row r="98" spans="1:3" x14ac:dyDescent="0.25">
      <c r="A98">
        <v>3</v>
      </c>
      <c r="B98">
        <v>2</v>
      </c>
      <c r="C98">
        <v>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Normal="100" workbookViewId="0">
      <selection activeCell="C98" sqref="A2:C98"/>
    </sheetView>
  </sheetViews>
  <sheetFormatPr baseColWidth="10" defaultColWidth="9.140625" defaultRowHeight="15" x14ac:dyDescent="0.25"/>
  <cols>
    <col min="1" max="1" width="15.7109375" customWidth="1"/>
    <col min="2" max="3" width="15.7109375" style="1" customWidth="1"/>
    <col min="5" max="5" width="47" bestFit="1" customWidth="1"/>
    <col min="6" max="6" width="11.85546875" bestFit="1" customWidth="1"/>
    <col min="7" max="7" width="17" customWidth="1"/>
    <col min="9" max="9" width="15.7109375" customWidth="1"/>
  </cols>
  <sheetData>
    <row r="1" spans="1:6" ht="60" x14ac:dyDescent="0.25">
      <c r="A1" s="5" t="s">
        <v>38</v>
      </c>
      <c r="B1" s="5" t="s">
        <v>39</v>
      </c>
      <c r="C1" s="5" t="s">
        <v>40</v>
      </c>
    </row>
    <row r="2" spans="1:6" x14ac:dyDescent="0.25">
      <c r="A2">
        <v>4</v>
      </c>
      <c r="B2">
        <v>3</v>
      </c>
      <c r="C2">
        <v>3</v>
      </c>
      <c r="E2" s="2" t="s">
        <v>12</v>
      </c>
      <c r="F2" s="2"/>
    </row>
    <row r="3" spans="1:6" x14ac:dyDescent="0.25">
      <c r="A3">
        <v>2</v>
      </c>
      <c r="B3">
        <v>3</v>
      </c>
      <c r="C3">
        <v>3</v>
      </c>
      <c r="E3" t="s">
        <v>13</v>
      </c>
      <c r="F3">
        <f>COUNT(A:A)</f>
        <v>97</v>
      </c>
    </row>
    <row r="4" spans="1:6" x14ac:dyDescent="0.25">
      <c r="A4">
        <v>5</v>
      </c>
      <c r="B4">
        <v>4</v>
      </c>
      <c r="C4">
        <v>3</v>
      </c>
      <c r="E4" t="s">
        <v>7</v>
      </c>
      <c r="F4">
        <f>AVERAGE(A:A)</f>
        <v>3.1030927835051547</v>
      </c>
    </row>
    <row r="5" spans="1:6" x14ac:dyDescent="0.25">
      <c r="A5">
        <v>3</v>
      </c>
      <c r="B5">
        <v>3</v>
      </c>
      <c r="C5">
        <v>3</v>
      </c>
      <c r="E5" t="s">
        <v>8</v>
      </c>
      <c r="F5">
        <f>AVERAGE(B:B)</f>
        <v>3.195876288659794</v>
      </c>
    </row>
    <row r="6" spans="1:6" x14ac:dyDescent="0.25">
      <c r="A6">
        <v>3</v>
      </c>
      <c r="B6">
        <v>4</v>
      </c>
      <c r="C6">
        <v>4</v>
      </c>
      <c r="E6" t="s">
        <v>9</v>
      </c>
      <c r="F6">
        <f>AVERAGE(C:C)</f>
        <v>3.0103092783505154</v>
      </c>
    </row>
    <row r="7" spans="1:6" x14ac:dyDescent="0.25">
      <c r="A7">
        <v>1</v>
      </c>
      <c r="B7">
        <v>3</v>
      </c>
      <c r="C7">
        <v>3</v>
      </c>
      <c r="E7" t="s">
        <v>14</v>
      </c>
      <c r="F7">
        <f>AVERAGE(F4:F6)</f>
        <v>3.1030927835051547</v>
      </c>
    </row>
    <row r="8" spans="1:6" x14ac:dyDescent="0.25">
      <c r="A8">
        <v>3</v>
      </c>
      <c r="B8">
        <v>4</v>
      </c>
      <c r="C8">
        <v>3</v>
      </c>
    </row>
    <row r="9" spans="1:6" x14ac:dyDescent="0.25">
      <c r="A9">
        <v>3</v>
      </c>
      <c r="B9">
        <v>2</v>
      </c>
      <c r="C9">
        <v>4</v>
      </c>
    </row>
    <row r="10" spans="1:6" x14ac:dyDescent="0.25">
      <c r="A10">
        <v>3</v>
      </c>
      <c r="B10">
        <v>3</v>
      </c>
      <c r="C10">
        <v>1</v>
      </c>
      <c r="E10" s="2" t="s">
        <v>11</v>
      </c>
      <c r="F10" s="2"/>
    </row>
    <row r="11" spans="1:6" x14ac:dyDescent="0.25">
      <c r="A11">
        <v>4</v>
      </c>
      <c r="B11">
        <v>3</v>
      </c>
      <c r="C11">
        <v>3</v>
      </c>
      <c r="E11" s="3" t="s">
        <v>16</v>
      </c>
    </row>
    <row r="12" spans="1:6" x14ac:dyDescent="0.25">
      <c r="A12">
        <v>4</v>
      </c>
      <c r="B12">
        <v>5</v>
      </c>
      <c r="C12">
        <v>3</v>
      </c>
      <c r="E12" s="3" t="s">
        <v>17</v>
      </c>
    </row>
    <row r="13" spans="1:6" x14ac:dyDescent="0.25">
      <c r="A13">
        <v>4</v>
      </c>
      <c r="B13">
        <v>4</v>
      </c>
      <c r="C13">
        <v>2</v>
      </c>
    </row>
    <row r="14" spans="1:6" x14ac:dyDescent="0.25">
      <c r="A14">
        <v>2</v>
      </c>
      <c r="B14">
        <v>5</v>
      </c>
      <c r="C14">
        <v>4</v>
      </c>
    </row>
    <row r="15" spans="1:6" x14ac:dyDescent="0.25">
      <c r="A15">
        <v>3</v>
      </c>
      <c r="B15">
        <v>5</v>
      </c>
      <c r="C15">
        <v>4</v>
      </c>
    </row>
    <row r="16" spans="1:6" x14ac:dyDescent="0.25">
      <c r="A16">
        <v>4</v>
      </c>
      <c r="B16">
        <v>4</v>
      </c>
      <c r="C16">
        <v>2</v>
      </c>
      <c r="E16" t="s">
        <v>10</v>
      </c>
      <c r="F16">
        <f>F3*((F4-F7)^2+(F5-F7)^2+(F6-F7)^2)</f>
        <v>1.6701030927835092</v>
      </c>
    </row>
    <row r="17" spans="1:6" x14ac:dyDescent="0.25">
      <c r="A17">
        <v>3</v>
      </c>
      <c r="B17">
        <v>5</v>
      </c>
      <c r="C17">
        <v>1</v>
      </c>
    </row>
    <row r="18" spans="1:6" x14ac:dyDescent="0.25">
      <c r="A18">
        <v>4</v>
      </c>
      <c r="B18">
        <v>3</v>
      </c>
      <c r="C18">
        <v>3</v>
      </c>
    </row>
    <row r="19" spans="1:6" x14ac:dyDescent="0.25">
      <c r="A19">
        <v>2</v>
      </c>
      <c r="B19">
        <v>2</v>
      </c>
      <c r="C19">
        <v>2</v>
      </c>
      <c r="E19" s="2" t="s">
        <v>18</v>
      </c>
      <c r="F19" s="2"/>
    </row>
    <row r="20" spans="1:6" x14ac:dyDescent="0.25">
      <c r="A20">
        <v>3</v>
      </c>
      <c r="B20">
        <v>3</v>
      </c>
      <c r="C20">
        <v>2</v>
      </c>
      <c r="E20" t="s">
        <v>19</v>
      </c>
    </row>
    <row r="21" spans="1:6" x14ac:dyDescent="0.25">
      <c r="A21">
        <v>5</v>
      </c>
      <c r="B21">
        <v>1</v>
      </c>
      <c r="C21">
        <v>4</v>
      </c>
      <c r="E21" t="s">
        <v>15</v>
      </c>
      <c r="F21" s="6">
        <v>3</v>
      </c>
    </row>
    <row r="22" spans="1:6" x14ac:dyDescent="0.25">
      <c r="A22">
        <v>3</v>
      </c>
      <c r="B22">
        <v>4</v>
      </c>
      <c r="C22">
        <v>3</v>
      </c>
    </row>
    <row r="23" spans="1:6" x14ac:dyDescent="0.25">
      <c r="A23">
        <v>5</v>
      </c>
      <c r="B23">
        <v>3</v>
      </c>
      <c r="C23">
        <v>3</v>
      </c>
    </row>
    <row r="24" spans="1:6" x14ac:dyDescent="0.25">
      <c r="A24">
        <v>3</v>
      </c>
      <c r="B24">
        <v>4</v>
      </c>
      <c r="C24">
        <v>3</v>
      </c>
      <c r="E24" t="s">
        <v>0</v>
      </c>
      <c r="F24">
        <f>F21-1</f>
        <v>2</v>
      </c>
    </row>
    <row r="25" spans="1:6" x14ac:dyDescent="0.25">
      <c r="A25">
        <v>4</v>
      </c>
      <c r="B25">
        <v>1</v>
      </c>
      <c r="C25">
        <v>4</v>
      </c>
    </row>
    <row r="26" spans="1:6" x14ac:dyDescent="0.25">
      <c r="A26">
        <v>3</v>
      </c>
      <c r="B26">
        <v>3</v>
      </c>
      <c r="C26">
        <v>2</v>
      </c>
    </row>
    <row r="27" spans="1:6" x14ac:dyDescent="0.25">
      <c r="A27">
        <v>3</v>
      </c>
      <c r="B27">
        <v>2</v>
      </c>
      <c r="C27">
        <v>3</v>
      </c>
      <c r="E27" s="2" t="s">
        <v>20</v>
      </c>
      <c r="F27" s="2"/>
    </row>
    <row r="28" spans="1:6" x14ac:dyDescent="0.25">
      <c r="A28">
        <v>3</v>
      </c>
      <c r="B28">
        <v>3</v>
      </c>
      <c r="C28">
        <v>5</v>
      </c>
      <c r="E28" t="s">
        <v>21</v>
      </c>
    </row>
    <row r="29" spans="1:6" x14ac:dyDescent="0.25">
      <c r="A29">
        <v>3</v>
      </c>
      <c r="B29">
        <v>5</v>
      </c>
      <c r="C29">
        <v>3</v>
      </c>
    </row>
    <row r="30" spans="1:6" x14ac:dyDescent="0.25">
      <c r="A30">
        <v>3</v>
      </c>
      <c r="B30">
        <v>4</v>
      </c>
      <c r="C30">
        <v>3</v>
      </c>
    </row>
    <row r="31" spans="1:6" x14ac:dyDescent="0.25">
      <c r="A31">
        <v>3</v>
      </c>
      <c r="B31">
        <v>3</v>
      </c>
      <c r="C31">
        <v>3</v>
      </c>
    </row>
    <row r="32" spans="1:6" x14ac:dyDescent="0.25">
      <c r="A32">
        <v>3</v>
      </c>
      <c r="B32">
        <v>2</v>
      </c>
      <c r="C32">
        <v>4</v>
      </c>
    </row>
    <row r="33" spans="1:6" x14ac:dyDescent="0.25">
      <c r="A33">
        <v>3</v>
      </c>
      <c r="B33">
        <v>3</v>
      </c>
      <c r="C33">
        <v>3</v>
      </c>
      <c r="E33" t="s">
        <v>1</v>
      </c>
      <c r="F33">
        <f>F16/F24</f>
        <v>0.83505154639175461</v>
      </c>
    </row>
    <row r="34" spans="1:6" x14ac:dyDescent="0.25">
      <c r="A34">
        <v>5</v>
      </c>
      <c r="B34">
        <v>2</v>
      </c>
      <c r="C34">
        <v>3</v>
      </c>
    </row>
    <row r="35" spans="1:6" x14ac:dyDescent="0.25">
      <c r="A35">
        <v>4</v>
      </c>
      <c r="B35">
        <v>5</v>
      </c>
      <c r="C35">
        <v>1</v>
      </c>
    </row>
    <row r="36" spans="1:6" x14ac:dyDescent="0.25">
      <c r="A36">
        <v>3</v>
      </c>
      <c r="B36">
        <v>3</v>
      </c>
      <c r="C36">
        <v>3</v>
      </c>
      <c r="E36" s="2" t="s">
        <v>25</v>
      </c>
      <c r="F36" s="2"/>
    </row>
    <row r="37" spans="1:6" x14ac:dyDescent="0.25">
      <c r="A37">
        <v>2</v>
      </c>
      <c r="B37">
        <v>3</v>
      </c>
      <c r="C37">
        <v>2</v>
      </c>
      <c r="E37" t="s">
        <v>22</v>
      </c>
    </row>
    <row r="38" spans="1:6" x14ac:dyDescent="0.25">
      <c r="A38">
        <v>5</v>
      </c>
      <c r="B38">
        <v>3</v>
      </c>
      <c r="C38">
        <v>1</v>
      </c>
      <c r="E38" t="s">
        <v>23</v>
      </c>
    </row>
    <row r="39" spans="1:6" x14ac:dyDescent="0.25">
      <c r="A39">
        <v>3</v>
      </c>
      <c r="B39">
        <v>2</v>
      </c>
      <c r="C39">
        <v>1</v>
      </c>
    </row>
    <row r="40" spans="1:6" x14ac:dyDescent="0.25">
      <c r="A40">
        <v>4</v>
      </c>
      <c r="B40">
        <v>4</v>
      </c>
      <c r="C40">
        <v>5</v>
      </c>
    </row>
    <row r="41" spans="1:6" x14ac:dyDescent="0.25">
      <c r="A41">
        <v>3</v>
      </c>
      <c r="B41">
        <v>2</v>
      </c>
      <c r="C41">
        <v>4</v>
      </c>
    </row>
    <row r="42" spans="1:6" x14ac:dyDescent="0.25">
      <c r="A42">
        <v>5</v>
      </c>
      <c r="B42">
        <v>3</v>
      </c>
      <c r="C42">
        <v>5</v>
      </c>
    </row>
    <row r="43" spans="1:6" x14ac:dyDescent="0.25">
      <c r="A43">
        <v>4</v>
      </c>
      <c r="B43">
        <v>4</v>
      </c>
      <c r="C43">
        <v>3</v>
      </c>
      <c r="E43" t="s">
        <v>3</v>
      </c>
      <c r="F43">
        <f>DEVSQ(A:A)+DEVSQ(B:B)+DEVSQ(C:C)</f>
        <v>335.23711340206194</v>
      </c>
    </row>
    <row r="44" spans="1:6" x14ac:dyDescent="0.25">
      <c r="A44">
        <v>2</v>
      </c>
      <c r="B44">
        <v>4</v>
      </c>
      <c r="C44">
        <v>1</v>
      </c>
    </row>
    <row r="45" spans="1:6" x14ac:dyDescent="0.25">
      <c r="A45">
        <v>4</v>
      </c>
      <c r="B45">
        <v>4</v>
      </c>
      <c r="C45">
        <v>1</v>
      </c>
    </row>
    <row r="46" spans="1:6" x14ac:dyDescent="0.25">
      <c r="A46">
        <v>3</v>
      </c>
      <c r="B46">
        <v>5</v>
      </c>
      <c r="C46">
        <v>3</v>
      </c>
      <c r="E46" s="2" t="s">
        <v>24</v>
      </c>
      <c r="F46" s="2"/>
    </row>
    <row r="47" spans="1:6" x14ac:dyDescent="0.25">
      <c r="A47">
        <v>5</v>
      </c>
      <c r="B47">
        <v>3</v>
      </c>
      <c r="C47">
        <v>3</v>
      </c>
      <c r="E47" t="s">
        <v>26</v>
      </c>
      <c r="F47">
        <f>COUNT(A:A,B:B,C:C,#REF!)</f>
        <v>291</v>
      </c>
    </row>
    <row r="48" spans="1:6" x14ac:dyDescent="0.25">
      <c r="A48">
        <v>3</v>
      </c>
      <c r="B48">
        <v>2</v>
      </c>
      <c r="C48">
        <v>4</v>
      </c>
      <c r="E48" t="s">
        <v>15</v>
      </c>
      <c r="F48">
        <f>F21</f>
        <v>3</v>
      </c>
    </row>
    <row r="49" spans="1:6" x14ac:dyDescent="0.25">
      <c r="A49">
        <v>3</v>
      </c>
      <c r="B49">
        <v>4</v>
      </c>
      <c r="C49">
        <v>4</v>
      </c>
    </row>
    <row r="50" spans="1:6" x14ac:dyDescent="0.25">
      <c r="A50">
        <v>5</v>
      </c>
      <c r="B50">
        <v>2</v>
      </c>
      <c r="C50">
        <v>2</v>
      </c>
    </row>
    <row r="51" spans="1:6" x14ac:dyDescent="0.25">
      <c r="A51">
        <v>1</v>
      </c>
      <c r="B51">
        <v>3</v>
      </c>
      <c r="C51">
        <v>3</v>
      </c>
    </row>
    <row r="52" spans="1:6" x14ac:dyDescent="0.25">
      <c r="A52">
        <v>1</v>
      </c>
      <c r="B52">
        <v>3</v>
      </c>
      <c r="C52">
        <v>3</v>
      </c>
    </row>
    <row r="53" spans="1:6" x14ac:dyDescent="0.25">
      <c r="A53">
        <v>3</v>
      </c>
      <c r="B53">
        <v>3</v>
      </c>
      <c r="C53">
        <v>1</v>
      </c>
      <c r="E53" t="s">
        <v>4</v>
      </c>
      <c r="F53">
        <f>F47-F48</f>
        <v>288</v>
      </c>
    </row>
    <row r="54" spans="1:6" x14ac:dyDescent="0.25">
      <c r="A54">
        <v>2</v>
      </c>
      <c r="B54">
        <v>4</v>
      </c>
      <c r="C54">
        <v>2</v>
      </c>
    </row>
    <row r="55" spans="1:6" x14ac:dyDescent="0.25">
      <c r="A55">
        <v>3</v>
      </c>
      <c r="B55">
        <v>3</v>
      </c>
      <c r="C55">
        <v>4</v>
      </c>
    </row>
    <row r="56" spans="1:6" x14ac:dyDescent="0.25">
      <c r="A56">
        <v>4</v>
      </c>
      <c r="B56">
        <v>3</v>
      </c>
      <c r="C56">
        <v>3</v>
      </c>
      <c r="E56" s="2" t="s">
        <v>27</v>
      </c>
      <c r="F56" s="2"/>
    </row>
    <row r="57" spans="1:6" x14ac:dyDescent="0.25">
      <c r="A57">
        <v>3</v>
      </c>
      <c r="B57">
        <v>3</v>
      </c>
      <c r="C57">
        <v>2</v>
      </c>
      <c r="E57" t="s">
        <v>28</v>
      </c>
    </row>
    <row r="58" spans="1:6" x14ac:dyDescent="0.25">
      <c r="A58">
        <v>2</v>
      </c>
      <c r="B58">
        <v>2</v>
      </c>
      <c r="C58">
        <v>1</v>
      </c>
    </row>
    <row r="59" spans="1:6" x14ac:dyDescent="0.25">
      <c r="A59">
        <v>3</v>
      </c>
      <c r="B59">
        <v>5</v>
      </c>
      <c r="C59">
        <v>2</v>
      </c>
    </row>
    <row r="60" spans="1:6" x14ac:dyDescent="0.25">
      <c r="A60">
        <v>2</v>
      </c>
      <c r="B60">
        <v>4</v>
      </c>
      <c r="C60">
        <v>4</v>
      </c>
    </row>
    <row r="61" spans="1:6" x14ac:dyDescent="0.25">
      <c r="A61">
        <v>3</v>
      </c>
      <c r="B61">
        <v>2</v>
      </c>
      <c r="C61">
        <v>2</v>
      </c>
    </row>
    <row r="62" spans="1:6" x14ac:dyDescent="0.25">
      <c r="A62">
        <v>2</v>
      </c>
      <c r="B62">
        <v>3</v>
      </c>
      <c r="C62">
        <v>2</v>
      </c>
    </row>
    <row r="63" spans="1:6" x14ac:dyDescent="0.25">
      <c r="A63">
        <v>2</v>
      </c>
      <c r="B63">
        <v>3</v>
      </c>
      <c r="C63">
        <v>4</v>
      </c>
      <c r="E63" t="s">
        <v>5</v>
      </c>
      <c r="F63">
        <f>F43/F53</f>
        <v>1.1640177548682706</v>
      </c>
    </row>
    <row r="64" spans="1:6" x14ac:dyDescent="0.25">
      <c r="A64">
        <v>3</v>
      </c>
      <c r="B64">
        <v>2</v>
      </c>
      <c r="C64">
        <v>1</v>
      </c>
    </row>
    <row r="65" spans="1:6" x14ac:dyDescent="0.25">
      <c r="A65">
        <v>3</v>
      </c>
      <c r="B65">
        <v>5</v>
      </c>
      <c r="C65">
        <v>4</v>
      </c>
    </row>
    <row r="66" spans="1:6" x14ac:dyDescent="0.25">
      <c r="A66">
        <v>3</v>
      </c>
      <c r="B66">
        <v>1</v>
      </c>
      <c r="C66">
        <v>3</v>
      </c>
      <c r="E66" s="2" t="s">
        <v>29</v>
      </c>
      <c r="F66" s="2"/>
    </row>
    <row r="67" spans="1:6" x14ac:dyDescent="0.25">
      <c r="A67">
        <v>4</v>
      </c>
      <c r="B67">
        <v>3</v>
      </c>
      <c r="C67">
        <v>1</v>
      </c>
      <c r="E67" t="s">
        <v>30</v>
      </c>
    </row>
    <row r="68" spans="1:6" x14ac:dyDescent="0.25">
      <c r="A68">
        <v>4</v>
      </c>
      <c r="B68">
        <v>1</v>
      </c>
      <c r="C68">
        <v>4</v>
      </c>
      <c r="E68" t="s">
        <v>31</v>
      </c>
    </row>
    <row r="69" spans="1:6" x14ac:dyDescent="0.25">
      <c r="A69">
        <v>3</v>
      </c>
      <c r="B69">
        <v>2</v>
      </c>
      <c r="C69">
        <v>5</v>
      </c>
    </row>
    <row r="70" spans="1:6" x14ac:dyDescent="0.25">
      <c r="A70">
        <v>4</v>
      </c>
      <c r="B70">
        <v>4</v>
      </c>
      <c r="C70">
        <v>3</v>
      </c>
    </row>
    <row r="71" spans="1:6" x14ac:dyDescent="0.25">
      <c r="A71">
        <v>2</v>
      </c>
      <c r="B71">
        <v>3</v>
      </c>
      <c r="C71">
        <v>4</v>
      </c>
    </row>
    <row r="72" spans="1:6" x14ac:dyDescent="0.25">
      <c r="A72">
        <v>2</v>
      </c>
      <c r="B72">
        <v>4</v>
      </c>
      <c r="C72">
        <v>2</v>
      </c>
    </row>
    <row r="73" spans="1:6" x14ac:dyDescent="0.25">
      <c r="A73">
        <v>4</v>
      </c>
      <c r="B73">
        <v>2</v>
      </c>
      <c r="C73">
        <v>5</v>
      </c>
      <c r="E73" t="s">
        <v>2</v>
      </c>
      <c r="F73">
        <f>F33/F63</f>
        <v>0.71738729319146477</v>
      </c>
    </row>
    <row r="74" spans="1:6" x14ac:dyDescent="0.25">
      <c r="A74">
        <v>4</v>
      </c>
      <c r="B74">
        <v>3</v>
      </c>
      <c r="C74">
        <v>5</v>
      </c>
    </row>
    <row r="75" spans="1:6" x14ac:dyDescent="0.25">
      <c r="A75">
        <v>3</v>
      </c>
      <c r="B75">
        <v>2</v>
      </c>
      <c r="C75">
        <v>4</v>
      </c>
    </row>
    <row r="76" spans="1:6" x14ac:dyDescent="0.25">
      <c r="A76">
        <v>2</v>
      </c>
      <c r="B76">
        <v>2</v>
      </c>
      <c r="C76">
        <v>3</v>
      </c>
      <c r="E76" s="2" t="s">
        <v>34</v>
      </c>
      <c r="F76" s="2"/>
    </row>
    <row r="77" spans="1:6" x14ac:dyDescent="0.25">
      <c r="A77">
        <v>2</v>
      </c>
      <c r="B77">
        <v>4</v>
      </c>
      <c r="C77">
        <v>4</v>
      </c>
    </row>
    <row r="78" spans="1:6" x14ac:dyDescent="0.25">
      <c r="A78">
        <v>1</v>
      </c>
      <c r="B78">
        <v>3</v>
      </c>
      <c r="C78">
        <v>4</v>
      </c>
      <c r="E78" s="4" t="s">
        <v>32</v>
      </c>
      <c r="F78">
        <v>0.05</v>
      </c>
    </row>
    <row r="79" spans="1:6" x14ac:dyDescent="0.25">
      <c r="A79">
        <v>2</v>
      </c>
      <c r="B79">
        <v>2</v>
      </c>
      <c r="C79">
        <v>5</v>
      </c>
      <c r="E79" t="s">
        <v>0</v>
      </c>
      <c r="F79">
        <f xml:space="preserve"> F24</f>
        <v>2</v>
      </c>
    </row>
    <row r="80" spans="1:6" x14ac:dyDescent="0.25">
      <c r="A80">
        <v>4</v>
      </c>
      <c r="B80">
        <v>3</v>
      </c>
      <c r="C80">
        <v>3</v>
      </c>
      <c r="E80" t="s">
        <v>4</v>
      </c>
      <c r="F80">
        <f xml:space="preserve"> F53</f>
        <v>288</v>
      </c>
    </row>
    <row r="81" spans="1:6" x14ac:dyDescent="0.25">
      <c r="A81">
        <v>3</v>
      </c>
      <c r="B81">
        <v>3</v>
      </c>
      <c r="C81">
        <v>5</v>
      </c>
      <c r="E81" t="s">
        <v>33</v>
      </c>
      <c r="F81">
        <f>FINV(F78, F79, F80)</f>
        <v>3.0271106434326285</v>
      </c>
    </row>
    <row r="82" spans="1:6" x14ac:dyDescent="0.25">
      <c r="A82">
        <v>4</v>
      </c>
      <c r="B82">
        <v>5</v>
      </c>
      <c r="C82">
        <v>4</v>
      </c>
      <c r="E82" t="s">
        <v>35</v>
      </c>
      <c r="F82">
        <f>_xlfn.F.DIST.RT(F73, F79, F80)</f>
        <v>0.48889563098537536</v>
      </c>
    </row>
    <row r="83" spans="1:6" x14ac:dyDescent="0.25">
      <c r="A83">
        <v>2</v>
      </c>
      <c r="B83">
        <v>3</v>
      </c>
      <c r="C83">
        <v>4</v>
      </c>
    </row>
    <row r="84" spans="1:6" x14ac:dyDescent="0.25">
      <c r="A84">
        <v>4</v>
      </c>
      <c r="B84">
        <v>5</v>
      </c>
      <c r="C84">
        <v>1</v>
      </c>
      <c r="E84" s="2" t="s">
        <v>6</v>
      </c>
      <c r="F84" s="2"/>
    </row>
    <row r="85" spans="1:6" x14ac:dyDescent="0.25">
      <c r="A85">
        <v>4</v>
      </c>
      <c r="B85">
        <v>4</v>
      </c>
      <c r="C85">
        <v>3</v>
      </c>
    </row>
    <row r="86" spans="1:6" x14ac:dyDescent="0.25">
      <c r="A86">
        <v>3</v>
      </c>
      <c r="B86">
        <v>2</v>
      </c>
      <c r="C86">
        <v>3</v>
      </c>
      <c r="E86" t="s">
        <v>36</v>
      </c>
    </row>
    <row r="87" spans="1:6" x14ac:dyDescent="0.25">
      <c r="A87">
        <v>3</v>
      </c>
      <c r="B87">
        <v>3</v>
      </c>
      <c r="C87">
        <v>4</v>
      </c>
      <c r="E87" t="s">
        <v>37</v>
      </c>
    </row>
    <row r="88" spans="1:6" x14ac:dyDescent="0.25">
      <c r="A88">
        <v>2</v>
      </c>
      <c r="B88">
        <v>3</v>
      </c>
      <c r="C88">
        <v>2</v>
      </c>
    </row>
    <row r="89" spans="1:6" x14ac:dyDescent="0.25">
      <c r="A89">
        <v>1</v>
      </c>
      <c r="B89">
        <v>2</v>
      </c>
      <c r="C89">
        <v>1</v>
      </c>
      <c r="E89" t="str">
        <f>"Si F calculado ("&amp;F73&amp;") &gt; F critico ("&amp;F81&amp;") ---&gt; Se rechaza la hipotesis nula"</f>
        <v>Si F calculado (0.717387293191465) &gt; F critico (3.02711064343263) ---&gt; Se rechaza la hipotesis nula</v>
      </c>
    </row>
    <row r="90" spans="1:6" x14ac:dyDescent="0.25">
      <c r="A90">
        <v>2</v>
      </c>
      <c r="B90">
        <v>3</v>
      </c>
      <c r="C90">
        <v>3</v>
      </c>
      <c r="E90" t="str">
        <f>"Si p-valor ("&amp;F82&amp;") &lt; α Nivel Significancia ("&amp;F78&amp;") ---&gt; Se rechaza la hipotesis nula"</f>
        <v>Si p-valor (0.488895630985375) &lt; α Nivel Significancia (0.05) ---&gt; Se rechaza la hipotesis nula</v>
      </c>
    </row>
    <row r="91" spans="1:6" x14ac:dyDescent="0.25">
      <c r="A91">
        <v>3</v>
      </c>
      <c r="B91">
        <v>3</v>
      </c>
      <c r="C91">
        <v>5</v>
      </c>
    </row>
    <row r="92" spans="1:6" x14ac:dyDescent="0.25">
      <c r="A92">
        <v>3</v>
      </c>
      <c r="B92">
        <v>4</v>
      </c>
      <c r="C92">
        <v>3</v>
      </c>
    </row>
    <row r="93" spans="1:6" x14ac:dyDescent="0.25">
      <c r="A93">
        <v>3</v>
      </c>
      <c r="B93">
        <v>4</v>
      </c>
      <c r="C93">
        <v>4</v>
      </c>
    </row>
    <row r="94" spans="1:6" x14ac:dyDescent="0.25">
      <c r="A94">
        <v>3</v>
      </c>
      <c r="B94">
        <v>5</v>
      </c>
      <c r="C94">
        <v>3</v>
      </c>
    </row>
    <row r="95" spans="1:6" x14ac:dyDescent="0.25">
      <c r="A95">
        <v>3</v>
      </c>
      <c r="B95">
        <v>1</v>
      </c>
      <c r="C95">
        <v>2</v>
      </c>
    </row>
    <row r="96" spans="1:6" x14ac:dyDescent="0.25">
      <c r="A96">
        <v>3</v>
      </c>
      <c r="B96">
        <v>3</v>
      </c>
      <c r="C96">
        <v>4</v>
      </c>
    </row>
    <row r="97" spans="1:3" x14ac:dyDescent="0.25">
      <c r="A97">
        <v>4</v>
      </c>
      <c r="B97">
        <v>5</v>
      </c>
      <c r="C97">
        <v>1</v>
      </c>
    </row>
    <row r="98" spans="1:3" x14ac:dyDescent="0.25">
      <c r="A98">
        <v>3</v>
      </c>
      <c r="B98">
        <v>4</v>
      </c>
      <c r="C98">
        <v>5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Normal="100" workbookViewId="0">
      <selection activeCell="C98" sqref="A2:C98"/>
    </sheetView>
  </sheetViews>
  <sheetFormatPr baseColWidth="10" defaultColWidth="9.140625" defaultRowHeight="15" x14ac:dyDescent="0.25"/>
  <cols>
    <col min="1" max="1" width="15.7109375" customWidth="1"/>
    <col min="2" max="3" width="15.7109375" style="1" customWidth="1"/>
    <col min="5" max="5" width="47" bestFit="1" customWidth="1"/>
    <col min="6" max="6" width="11.85546875" bestFit="1" customWidth="1"/>
    <col min="7" max="7" width="17" customWidth="1"/>
    <col min="9" max="9" width="15.7109375" customWidth="1"/>
  </cols>
  <sheetData>
    <row r="1" spans="1:6" ht="60" x14ac:dyDescent="0.25">
      <c r="A1" s="5" t="s">
        <v>38</v>
      </c>
      <c r="B1" s="5" t="s">
        <v>39</v>
      </c>
      <c r="C1" s="5" t="s">
        <v>40</v>
      </c>
    </row>
    <row r="2" spans="1:6" x14ac:dyDescent="0.25">
      <c r="A2">
        <v>2</v>
      </c>
      <c r="B2">
        <v>4</v>
      </c>
      <c r="C2">
        <v>5</v>
      </c>
      <c r="E2" s="2" t="s">
        <v>12</v>
      </c>
      <c r="F2" s="2"/>
    </row>
    <row r="3" spans="1:6" x14ac:dyDescent="0.25">
      <c r="A3">
        <v>3</v>
      </c>
      <c r="B3">
        <v>3</v>
      </c>
      <c r="C3">
        <v>4</v>
      </c>
      <c r="E3" t="s">
        <v>13</v>
      </c>
      <c r="F3">
        <f>COUNT(A:A)</f>
        <v>97</v>
      </c>
    </row>
    <row r="4" spans="1:6" x14ac:dyDescent="0.25">
      <c r="A4">
        <v>4</v>
      </c>
      <c r="B4">
        <v>1</v>
      </c>
      <c r="C4">
        <v>3</v>
      </c>
      <c r="E4" t="s">
        <v>7</v>
      </c>
      <c r="F4">
        <f>AVERAGE(A:A)</f>
        <v>2.9793814432989691</v>
      </c>
    </row>
    <row r="5" spans="1:6" x14ac:dyDescent="0.25">
      <c r="A5">
        <v>1</v>
      </c>
      <c r="B5">
        <v>3</v>
      </c>
      <c r="C5">
        <v>2</v>
      </c>
      <c r="E5" t="s">
        <v>8</v>
      </c>
      <c r="F5">
        <f>AVERAGE(B:B)</f>
        <v>3.2886597938144329</v>
      </c>
    </row>
    <row r="6" spans="1:6" x14ac:dyDescent="0.25">
      <c r="A6">
        <v>3</v>
      </c>
      <c r="B6">
        <v>3</v>
      </c>
      <c r="C6">
        <v>2</v>
      </c>
      <c r="E6" t="s">
        <v>9</v>
      </c>
      <c r="F6">
        <f>AVERAGE(C:C)</f>
        <v>3.0824742268041239</v>
      </c>
    </row>
    <row r="7" spans="1:6" x14ac:dyDescent="0.25">
      <c r="A7">
        <v>4</v>
      </c>
      <c r="B7">
        <v>5</v>
      </c>
      <c r="C7">
        <v>2</v>
      </c>
      <c r="E7" t="s">
        <v>14</v>
      </c>
      <c r="F7">
        <f>AVERAGE(F4:F6)</f>
        <v>3.1168384879725086</v>
      </c>
    </row>
    <row r="8" spans="1:6" x14ac:dyDescent="0.25">
      <c r="A8">
        <v>5</v>
      </c>
      <c r="B8">
        <v>3</v>
      </c>
      <c r="C8">
        <v>5</v>
      </c>
    </row>
    <row r="9" spans="1:6" x14ac:dyDescent="0.25">
      <c r="A9">
        <v>2</v>
      </c>
      <c r="B9">
        <v>3</v>
      </c>
      <c r="C9">
        <v>2</v>
      </c>
    </row>
    <row r="10" spans="1:6" x14ac:dyDescent="0.25">
      <c r="A10">
        <v>3</v>
      </c>
      <c r="B10">
        <v>4</v>
      </c>
      <c r="C10">
        <v>3</v>
      </c>
      <c r="E10" s="2" t="s">
        <v>11</v>
      </c>
      <c r="F10" s="2"/>
    </row>
    <row r="11" spans="1:6" x14ac:dyDescent="0.25">
      <c r="A11">
        <v>3</v>
      </c>
      <c r="B11">
        <v>4</v>
      </c>
      <c r="C11">
        <v>2</v>
      </c>
      <c r="E11" s="3" t="s">
        <v>16</v>
      </c>
    </row>
    <row r="12" spans="1:6" x14ac:dyDescent="0.25">
      <c r="A12">
        <v>3</v>
      </c>
      <c r="B12">
        <v>3</v>
      </c>
      <c r="C12">
        <v>1</v>
      </c>
      <c r="E12" s="3" t="s">
        <v>17</v>
      </c>
    </row>
    <row r="13" spans="1:6" x14ac:dyDescent="0.25">
      <c r="A13">
        <v>5</v>
      </c>
      <c r="B13">
        <v>3</v>
      </c>
      <c r="C13">
        <v>2</v>
      </c>
    </row>
    <row r="14" spans="1:6" x14ac:dyDescent="0.25">
      <c r="A14">
        <v>2</v>
      </c>
      <c r="B14">
        <v>4</v>
      </c>
      <c r="C14">
        <v>2</v>
      </c>
    </row>
    <row r="15" spans="1:6" x14ac:dyDescent="0.25">
      <c r="A15">
        <v>3</v>
      </c>
      <c r="B15">
        <v>4</v>
      </c>
      <c r="C15">
        <v>4</v>
      </c>
    </row>
    <row r="16" spans="1:6" x14ac:dyDescent="0.25">
      <c r="A16">
        <v>1</v>
      </c>
      <c r="B16">
        <v>3</v>
      </c>
      <c r="C16">
        <v>2</v>
      </c>
      <c r="E16" t="s">
        <v>10</v>
      </c>
      <c r="F16">
        <f>F3*((F4-F7)^2+(F5-F7)^2+(F6-F7)^2)</f>
        <v>4.8109965635738758</v>
      </c>
    </row>
    <row r="17" spans="1:6" x14ac:dyDescent="0.25">
      <c r="A17">
        <v>3</v>
      </c>
      <c r="B17">
        <v>2</v>
      </c>
      <c r="C17">
        <v>5</v>
      </c>
    </row>
    <row r="18" spans="1:6" x14ac:dyDescent="0.25">
      <c r="A18">
        <v>3</v>
      </c>
      <c r="B18">
        <v>5</v>
      </c>
      <c r="C18">
        <v>3</v>
      </c>
    </row>
    <row r="19" spans="1:6" x14ac:dyDescent="0.25">
      <c r="A19">
        <v>4</v>
      </c>
      <c r="B19">
        <v>2</v>
      </c>
      <c r="C19">
        <v>3</v>
      </c>
      <c r="E19" s="2" t="s">
        <v>18</v>
      </c>
      <c r="F19" s="2"/>
    </row>
    <row r="20" spans="1:6" x14ac:dyDescent="0.25">
      <c r="A20">
        <v>3</v>
      </c>
      <c r="B20">
        <v>4</v>
      </c>
      <c r="C20">
        <v>3</v>
      </c>
      <c r="E20" t="s">
        <v>19</v>
      </c>
    </row>
    <row r="21" spans="1:6" x14ac:dyDescent="0.25">
      <c r="A21">
        <v>3</v>
      </c>
      <c r="B21">
        <v>3</v>
      </c>
      <c r="C21">
        <v>2</v>
      </c>
      <c r="E21" t="s">
        <v>15</v>
      </c>
      <c r="F21" s="6">
        <v>3</v>
      </c>
    </row>
    <row r="22" spans="1:6" x14ac:dyDescent="0.25">
      <c r="A22">
        <v>2</v>
      </c>
      <c r="B22">
        <v>4</v>
      </c>
      <c r="C22">
        <v>2</v>
      </c>
    </row>
    <row r="23" spans="1:6" x14ac:dyDescent="0.25">
      <c r="A23">
        <v>2</v>
      </c>
      <c r="B23">
        <v>3</v>
      </c>
      <c r="C23">
        <v>3</v>
      </c>
    </row>
    <row r="24" spans="1:6" x14ac:dyDescent="0.25">
      <c r="A24">
        <v>2</v>
      </c>
      <c r="B24">
        <v>3</v>
      </c>
      <c r="C24">
        <v>4</v>
      </c>
      <c r="E24" t="s">
        <v>0</v>
      </c>
      <c r="F24">
        <f>F21-1</f>
        <v>2</v>
      </c>
    </row>
    <row r="25" spans="1:6" x14ac:dyDescent="0.25">
      <c r="A25">
        <v>3</v>
      </c>
      <c r="B25">
        <v>4</v>
      </c>
      <c r="C25">
        <v>2</v>
      </c>
    </row>
    <row r="26" spans="1:6" x14ac:dyDescent="0.25">
      <c r="A26">
        <v>5</v>
      </c>
      <c r="B26">
        <v>2</v>
      </c>
      <c r="C26">
        <v>3</v>
      </c>
    </row>
    <row r="27" spans="1:6" x14ac:dyDescent="0.25">
      <c r="A27">
        <v>1</v>
      </c>
      <c r="B27">
        <v>5</v>
      </c>
      <c r="C27">
        <v>1</v>
      </c>
      <c r="E27" s="2" t="s">
        <v>20</v>
      </c>
      <c r="F27" s="2"/>
    </row>
    <row r="28" spans="1:6" x14ac:dyDescent="0.25">
      <c r="A28">
        <v>3</v>
      </c>
      <c r="B28">
        <v>2</v>
      </c>
      <c r="C28">
        <v>3</v>
      </c>
      <c r="E28" t="s">
        <v>21</v>
      </c>
    </row>
    <row r="29" spans="1:6" x14ac:dyDescent="0.25">
      <c r="A29">
        <v>3</v>
      </c>
      <c r="B29">
        <v>1</v>
      </c>
      <c r="C29">
        <v>4</v>
      </c>
    </row>
    <row r="30" spans="1:6" x14ac:dyDescent="0.25">
      <c r="A30">
        <v>2</v>
      </c>
      <c r="B30">
        <v>4</v>
      </c>
      <c r="C30">
        <v>5</v>
      </c>
    </row>
    <row r="31" spans="1:6" x14ac:dyDescent="0.25">
      <c r="A31">
        <v>4</v>
      </c>
      <c r="B31">
        <v>3</v>
      </c>
      <c r="C31">
        <v>3</v>
      </c>
    </row>
    <row r="32" spans="1:6" x14ac:dyDescent="0.25">
      <c r="A32">
        <v>5</v>
      </c>
      <c r="B32">
        <v>3</v>
      </c>
      <c r="C32">
        <v>3</v>
      </c>
    </row>
    <row r="33" spans="1:6" x14ac:dyDescent="0.25">
      <c r="A33">
        <v>2</v>
      </c>
      <c r="B33">
        <v>1</v>
      </c>
      <c r="C33">
        <v>2</v>
      </c>
      <c r="E33" t="s">
        <v>1</v>
      </c>
      <c r="F33">
        <f>F16/F24</f>
        <v>2.4054982817869379</v>
      </c>
    </row>
    <row r="34" spans="1:6" x14ac:dyDescent="0.25">
      <c r="A34">
        <v>5</v>
      </c>
      <c r="B34">
        <v>3</v>
      </c>
      <c r="C34">
        <v>4</v>
      </c>
    </row>
    <row r="35" spans="1:6" x14ac:dyDescent="0.25">
      <c r="A35">
        <v>5</v>
      </c>
      <c r="B35">
        <v>3</v>
      </c>
      <c r="C35">
        <v>2</v>
      </c>
    </row>
    <row r="36" spans="1:6" x14ac:dyDescent="0.25">
      <c r="A36">
        <v>2</v>
      </c>
      <c r="B36">
        <v>5</v>
      </c>
      <c r="C36">
        <v>4</v>
      </c>
      <c r="E36" s="2" t="s">
        <v>25</v>
      </c>
      <c r="F36" s="2"/>
    </row>
    <row r="37" spans="1:6" x14ac:dyDescent="0.25">
      <c r="A37">
        <v>3</v>
      </c>
      <c r="B37">
        <v>1</v>
      </c>
      <c r="C37">
        <v>5</v>
      </c>
      <c r="E37" t="s">
        <v>22</v>
      </c>
    </row>
    <row r="38" spans="1:6" x14ac:dyDescent="0.25">
      <c r="A38">
        <v>5</v>
      </c>
      <c r="B38">
        <v>4</v>
      </c>
      <c r="C38">
        <v>4</v>
      </c>
      <c r="E38" t="s">
        <v>23</v>
      </c>
    </row>
    <row r="39" spans="1:6" x14ac:dyDescent="0.25">
      <c r="A39">
        <v>1</v>
      </c>
      <c r="B39">
        <v>4</v>
      </c>
      <c r="C39">
        <v>1</v>
      </c>
    </row>
    <row r="40" spans="1:6" x14ac:dyDescent="0.25">
      <c r="A40">
        <v>3</v>
      </c>
      <c r="B40">
        <v>3</v>
      </c>
      <c r="C40">
        <v>5</v>
      </c>
    </row>
    <row r="41" spans="1:6" x14ac:dyDescent="0.25">
      <c r="A41">
        <v>1</v>
      </c>
      <c r="B41">
        <v>2</v>
      </c>
      <c r="C41">
        <v>1</v>
      </c>
    </row>
    <row r="42" spans="1:6" x14ac:dyDescent="0.25">
      <c r="A42">
        <v>4</v>
      </c>
      <c r="B42">
        <v>5</v>
      </c>
      <c r="C42">
        <v>2</v>
      </c>
    </row>
    <row r="43" spans="1:6" x14ac:dyDescent="0.25">
      <c r="A43">
        <v>3</v>
      </c>
      <c r="B43">
        <v>3</v>
      </c>
      <c r="C43">
        <v>2</v>
      </c>
      <c r="E43" t="s">
        <v>3</v>
      </c>
      <c r="F43">
        <f>DEVSQ(A:A)+DEVSQ(B:B)+DEVSQ(C:C)</f>
        <v>395.21649484536113</v>
      </c>
    </row>
    <row r="44" spans="1:6" x14ac:dyDescent="0.25">
      <c r="A44">
        <v>3</v>
      </c>
      <c r="B44">
        <v>3</v>
      </c>
      <c r="C44">
        <v>4</v>
      </c>
    </row>
    <row r="45" spans="1:6" x14ac:dyDescent="0.25">
      <c r="A45">
        <v>3</v>
      </c>
      <c r="B45">
        <v>4</v>
      </c>
      <c r="C45">
        <v>4</v>
      </c>
    </row>
    <row r="46" spans="1:6" x14ac:dyDescent="0.25">
      <c r="A46">
        <v>5</v>
      </c>
      <c r="B46">
        <v>3</v>
      </c>
      <c r="C46">
        <v>3</v>
      </c>
      <c r="E46" s="2" t="s">
        <v>24</v>
      </c>
      <c r="F46" s="2"/>
    </row>
    <row r="47" spans="1:6" x14ac:dyDescent="0.25">
      <c r="A47">
        <v>3</v>
      </c>
      <c r="B47">
        <v>3</v>
      </c>
      <c r="C47">
        <v>2</v>
      </c>
      <c r="E47" t="s">
        <v>26</v>
      </c>
      <c r="F47">
        <f>COUNT(A:A,B:B,C:C,#REF!)</f>
        <v>291</v>
      </c>
    </row>
    <row r="48" spans="1:6" x14ac:dyDescent="0.25">
      <c r="A48">
        <v>1</v>
      </c>
      <c r="B48">
        <v>3</v>
      </c>
      <c r="C48">
        <v>3</v>
      </c>
      <c r="E48" t="s">
        <v>15</v>
      </c>
      <c r="F48">
        <f>F21</f>
        <v>3</v>
      </c>
    </row>
    <row r="49" spans="1:6" x14ac:dyDescent="0.25">
      <c r="A49">
        <v>3</v>
      </c>
      <c r="B49">
        <v>4</v>
      </c>
      <c r="C49">
        <v>4</v>
      </c>
    </row>
    <row r="50" spans="1:6" x14ac:dyDescent="0.25">
      <c r="A50">
        <v>5</v>
      </c>
      <c r="B50">
        <v>4</v>
      </c>
      <c r="C50">
        <v>4</v>
      </c>
    </row>
    <row r="51" spans="1:6" x14ac:dyDescent="0.25">
      <c r="A51">
        <v>4</v>
      </c>
      <c r="B51">
        <v>5</v>
      </c>
      <c r="C51">
        <v>2</v>
      </c>
    </row>
    <row r="52" spans="1:6" x14ac:dyDescent="0.25">
      <c r="A52">
        <v>4</v>
      </c>
      <c r="B52">
        <v>4</v>
      </c>
      <c r="C52">
        <v>2</v>
      </c>
    </row>
    <row r="53" spans="1:6" x14ac:dyDescent="0.25">
      <c r="A53">
        <v>3</v>
      </c>
      <c r="B53">
        <v>2</v>
      </c>
      <c r="C53">
        <v>3</v>
      </c>
      <c r="E53" t="s">
        <v>4</v>
      </c>
      <c r="F53">
        <f>F47-F48</f>
        <v>288</v>
      </c>
    </row>
    <row r="54" spans="1:6" x14ac:dyDescent="0.25">
      <c r="A54">
        <v>3</v>
      </c>
      <c r="B54">
        <v>3</v>
      </c>
      <c r="C54">
        <v>1</v>
      </c>
    </row>
    <row r="55" spans="1:6" x14ac:dyDescent="0.25">
      <c r="A55">
        <v>3</v>
      </c>
      <c r="B55">
        <v>4</v>
      </c>
      <c r="C55">
        <v>2</v>
      </c>
    </row>
    <row r="56" spans="1:6" x14ac:dyDescent="0.25">
      <c r="A56">
        <v>2</v>
      </c>
      <c r="B56">
        <v>3</v>
      </c>
      <c r="C56">
        <v>3</v>
      </c>
      <c r="E56" s="2" t="s">
        <v>27</v>
      </c>
      <c r="F56" s="2"/>
    </row>
    <row r="57" spans="1:6" x14ac:dyDescent="0.25">
      <c r="A57">
        <v>3</v>
      </c>
      <c r="B57">
        <v>4</v>
      </c>
      <c r="C57">
        <v>3</v>
      </c>
      <c r="E57" t="s">
        <v>28</v>
      </c>
    </row>
    <row r="58" spans="1:6" x14ac:dyDescent="0.25">
      <c r="A58">
        <v>3</v>
      </c>
      <c r="B58">
        <v>4</v>
      </c>
      <c r="C58">
        <v>5</v>
      </c>
    </row>
    <row r="59" spans="1:6" x14ac:dyDescent="0.25">
      <c r="A59">
        <v>4</v>
      </c>
      <c r="B59">
        <v>4</v>
      </c>
      <c r="C59">
        <v>4</v>
      </c>
    </row>
    <row r="60" spans="1:6" x14ac:dyDescent="0.25">
      <c r="A60">
        <v>2</v>
      </c>
      <c r="B60">
        <v>2</v>
      </c>
      <c r="C60">
        <v>4</v>
      </c>
    </row>
    <row r="61" spans="1:6" x14ac:dyDescent="0.25">
      <c r="A61">
        <v>3</v>
      </c>
      <c r="B61">
        <v>3</v>
      </c>
      <c r="C61">
        <v>5</v>
      </c>
    </row>
    <row r="62" spans="1:6" x14ac:dyDescent="0.25">
      <c r="A62">
        <v>2</v>
      </c>
      <c r="B62">
        <v>4</v>
      </c>
      <c r="C62">
        <v>1</v>
      </c>
    </row>
    <row r="63" spans="1:6" x14ac:dyDescent="0.25">
      <c r="A63">
        <v>3</v>
      </c>
      <c r="B63">
        <v>5</v>
      </c>
      <c r="C63">
        <v>3</v>
      </c>
      <c r="E63" t="s">
        <v>5</v>
      </c>
      <c r="F63">
        <f>F43/F53</f>
        <v>1.3722794959908373</v>
      </c>
    </row>
    <row r="64" spans="1:6" x14ac:dyDescent="0.25">
      <c r="A64">
        <v>3</v>
      </c>
      <c r="B64">
        <v>3</v>
      </c>
      <c r="C64">
        <v>4</v>
      </c>
    </row>
    <row r="65" spans="1:6" x14ac:dyDescent="0.25">
      <c r="A65">
        <v>3</v>
      </c>
      <c r="B65">
        <v>2</v>
      </c>
      <c r="C65">
        <v>2</v>
      </c>
    </row>
    <row r="66" spans="1:6" x14ac:dyDescent="0.25">
      <c r="A66">
        <v>3</v>
      </c>
      <c r="B66">
        <v>5</v>
      </c>
      <c r="C66">
        <v>5</v>
      </c>
      <c r="E66" s="2" t="s">
        <v>29</v>
      </c>
      <c r="F66" s="2"/>
    </row>
    <row r="67" spans="1:6" x14ac:dyDescent="0.25">
      <c r="A67">
        <v>1</v>
      </c>
      <c r="B67">
        <v>2</v>
      </c>
      <c r="C67">
        <v>2</v>
      </c>
      <c r="E67" t="s">
        <v>30</v>
      </c>
    </row>
    <row r="68" spans="1:6" x14ac:dyDescent="0.25">
      <c r="A68">
        <v>3</v>
      </c>
      <c r="B68">
        <v>4</v>
      </c>
      <c r="C68">
        <v>3</v>
      </c>
      <c r="E68" t="s">
        <v>31</v>
      </c>
    </row>
    <row r="69" spans="1:6" x14ac:dyDescent="0.25">
      <c r="A69">
        <v>1</v>
      </c>
      <c r="B69">
        <v>4</v>
      </c>
      <c r="C69">
        <v>3</v>
      </c>
    </row>
    <row r="70" spans="1:6" x14ac:dyDescent="0.25">
      <c r="A70">
        <v>1</v>
      </c>
      <c r="B70">
        <v>1</v>
      </c>
      <c r="C70">
        <v>3</v>
      </c>
    </row>
    <row r="71" spans="1:6" x14ac:dyDescent="0.25">
      <c r="A71">
        <v>2</v>
      </c>
      <c r="B71">
        <v>4</v>
      </c>
      <c r="C71">
        <v>3</v>
      </c>
    </row>
    <row r="72" spans="1:6" x14ac:dyDescent="0.25">
      <c r="A72">
        <v>5</v>
      </c>
      <c r="B72">
        <v>5</v>
      </c>
      <c r="C72">
        <v>3</v>
      </c>
    </row>
    <row r="73" spans="1:6" x14ac:dyDescent="0.25">
      <c r="A73">
        <v>4</v>
      </c>
      <c r="B73">
        <v>1</v>
      </c>
      <c r="C73">
        <v>2</v>
      </c>
      <c r="E73" t="s">
        <v>2</v>
      </c>
      <c r="F73">
        <f>F33/F63</f>
        <v>1.7529215358931511</v>
      </c>
    </row>
    <row r="74" spans="1:6" x14ac:dyDescent="0.25">
      <c r="A74">
        <v>2</v>
      </c>
      <c r="B74">
        <v>3</v>
      </c>
      <c r="C74">
        <v>5</v>
      </c>
    </row>
    <row r="75" spans="1:6" x14ac:dyDescent="0.25">
      <c r="A75">
        <v>3</v>
      </c>
      <c r="B75">
        <v>3</v>
      </c>
      <c r="C75">
        <v>2</v>
      </c>
    </row>
    <row r="76" spans="1:6" x14ac:dyDescent="0.25">
      <c r="A76">
        <v>2</v>
      </c>
      <c r="B76">
        <v>4</v>
      </c>
      <c r="C76">
        <v>2</v>
      </c>
      <c r="E76" s="2" t="s">
        <v>34</v>
      </c>
      <c r="F76" s="2"/>
    </row>
    <row r="77" spans="1:6" x14ac:dyDescent="0.25">
      <c r="A77">
        <v>5</v>
      </c>
      <c r="B77">
        <v>2</v>
      </c>
      <c r="C77">
        <v>1</v>
      </c>
    </row>
    <row r="78" spans="1:6" x14ac:dyDescent="0.25">
      <c r="A78">
        <v>3</v>
      </c>
      <c r="B78">
        <v>3</v>
      </c>
      <c r="C78">
        <v>4</v>
      </c>
      <c r="E78" s="4" t="s">
        <v>32</v>
      </c>
      <c r="F78">
        <v>0.05</v>
      </c>
    </row>
    <row r="79" spans="1:6" x14ac:dyDescent="0.25">
      <c r="A79">
        <v>3</v>
      </c>
      <c r="B79">
        <v>3</v>
      </c>
      <c r="C79">
        <v>1</v>
      </c>
      <c r="E79" t="s">
        <v>0</v>
      </c>
      <c r="F79">
        <f xml:space="preserve"> F24</f>
        <v>2</v>
      </c>
    </row>
    <row r="80" spans="1:6" x14ac:dyDescent="0.25">
      <c r="A80">
        <v>4</v>
      </c>
      <c r="B80">
        <v>4</v>
      </c>
      <c r="C80">
        <v>3</v>
      </c>
      <c r="E80" t="s">
        <v>4</v>
      </c>
      <c r="F80">
        <f xml:space="preserve"> F53</f>
        <v>288</v>
      </c>
    </row>
    <row r="81" spans="1:6" x14ac:dyDescent="0.25">
      <c r="A81">
        <v>3</v>
      </c>
      <c r="B81">
        <v>1</v>
      </c>
      <c r="C81">
        <v>4</v>
      </c>
      <c r="E81" t="s">
        <v>33</v>
      </c>
      <c r="F81">
        <f>FINV(F78, F79, F80)</f>
        <v>3.0271106434326285</v>
      </c>
    </row>
    <row r="82" spans="1:6" x14ac:dyDescent="0.25">
      <c r="A82">
        <v>3</v>
      </c>
      <c r="B82">
        <v>2</v>
      </c>
      <c r="C82">
        <v>3</v>
      </c>
      <c r="E82" t="s">
        <v>35</v>
      </c>
      <c r="F82">
        <f>_xlfn.F.DIST.RT(F73, F79, F80)</f>
        <v>0.17511049177034776</v>
      </c>
    </row>
    <row r="83" spans="1:6" x14ac:dyDescent="0.25">
      <c r="A83">
        <v>3</v>
      </c>
      <c r="B83">
        <v>3</v>
      </c>
      <c r="C83">
        <v>2</v>
      </c>
    </row>
    <row r="84" spans="1:6" x14ac:dyDescent="0.25">
      <c r="A84">
        <v>2</v>
      </c>
      <c r="B84">
        <v>2</v>
      </c>
      <c r="C84">
        <v>4</v>
      </c>
      <c r="E84" s="2" t="s">
        <v>6</v>
      </c>
      <c r="F84" s="2"/>
    </row>
    <row r="85" spans="1:6" x14ac:dyDescent="0.25">
      <c r="A85">
        <v>3</v>
      </c>
      <c r="B85">
        <v>4</v>
      </c>
      <c r="C85">
        <v>5</v>
      </c>
    </row>
    <row r="86" spans="1:6" x14ac:dyDescent="0.25">
      <c r="A86">
        <v>3</v>
      </c>
      <c r="B86">
        <v>3</v>
      </c>
      <c r="C86">
        <v>5</v>
      </c>
      <c r="E86" t="s">
        <v>36</v>
      </c>
    </row>
    <row r="87" spans="1:6" x14ac:dyDescent="0.25">
      <c r="A87">
        <v>3</v>
      </c>
      <c r="B87">
        <v>5</v>
      </c>
      <c r="C87">
        <v>4</v>
      </c>
      <c r="E87" t="s">
        <v>37</v>
      </c>
    </row>
    <row r="88" spans="1:6" x14ac:dyDescent="0.25">
      <c r="A88">
        <v>3</v>
      </c>
      <c r="B88">
        <v>1</v>
      </c>
      <c r="C88">
        <v>3</v>
      </c>
    </row>
    <row r="89" spans="1:6" x14ac:dyDescent="0.25">
      <c r="A89">
        <v>2</v>
      </c>
      <c r="B89">
        <v>4</v>
      </c>
      <c r="C89">
        <v>4</v>
      </c>
      <c r="E89" t="str">
        <f>"Si F calculado ("&amp;F73&amp;") &gt; F critico ("&amp;F81&amp;") ---&gt; Se rechaza la hipotesis nula"</f>
        <v>Si F calculado (1.75292153589315) &gt; F critico (3.02711064343263) ---&gt; Se rechaza la hipotesis nula</v>
      </c>
    </row>
    <row r="90" spans="1:6" x14ac:dyDescent="0.25">
      <c r="A90">
        <v>2</v>
      </c>
      <c r="B90">
        <v>3</v>
      </c>
      <c r="C90">
        <v>4</v>
      </c>
      <c r="E90" t="str">
        <f>"Si p-valor ("&amp;F82&amp;") &lt; α Nivel Significancia ("&amp;F78&amp;") ---&gt; Se rechaza la hipotesis nula"</f>
        <v>Si p-valor (0.175110491770348) &lt; α Nivel Significancia (0.05) ---&gt; Se rechaza la hipotesis nula</v>
      </c>
    </row>
    <row r="91" spans="1:6" x14ac:dyDescent="0.25">
      <c r="A91">
        <v>2</v>
      </c>
      <c r="B91">
        <v>5</v>
      </c>
      <c r="C91">
        <v>5</v>
      </c>
    </row>
    <row r="92" spans="1:6" x14ac:dyDescent="0.25">
      <c r="A92">
        <v>2</v>
      </c>
      <c r="B92">
        <v>5</v>
      </c>
      <c r="C92">
        <v>1</v>
      </c>
    </row>
    <row r="93" spans="1:6" x14ac:dyDescent="0.25">
      <c r="A93">
        <v>5</v>
      </c>
      <c r="B93">
        <v>4</v>
      </c>
      <c r="C93">
        <v>1</v>
      </c>
    </row>
    <row r="94" spans="1:6" x14ac:dyDescent="0.25">
      <c r="A94">
        <v>3</v>
      </c>
      <c r="B94">
        <v>5</v>
      </c>
      <c r="C94">
        <v>5</v>
      </c>
    </row>
    <row r="95" spans="1:6" x14ac:dyDescent="0.25">
      <c r="A95">
        <v>4</v>
      </c>
      <c r="B95">
        <v>4</v>
      </c>
      <c r="C95">
        <v>5</v>
      </c>
    </row>
    <row r="96" spans="1:6" x14ac:dyDescent="0.25">
      <c r="A96">
        <v>2</v>
      </c>
      <c r="B96">
        <v>5</v>
      </c>
      <c r="C96">
        <v>5</v>
      </c>
    </row>
    <row r="97" spans="1:3" x14ac:dyDescent="0.25">
      <c r="A97">
        <v>3</v>
      </c>
      <c r="B97">
        <v>1</v>
      </c>
      <c r="C97">
        <v>4</v>
      </c>
    </row>
    <row r="98" spans="1:3" x14ac:dyDescent="0.25">
      <c r="A98">
        <v>5</v>
      </c>
      <c r="B98">
        <v>4</v>
      </c>
      <c r="C98">
        <v>3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Normal="100" workbookViewId="0">
      <selection activeCell="C98" sqref="A2:C98"/>
    </sheetView>
  </sheetViews>
  <sheetFormatPr baseColWidth="10" defaultColWidth="9.140625" defaultRowHeight="15" x14ac:dyDescent="0.25"/>
  <cols>
    <col min="1" max="1" width="15.7109375" customWidth="1"/>
    <col min="2" max="3" width="15.7109375" style="1" customWidth="1"/>
    <col min="5" max="5" width="47" bestFit="1" customWidth="1"/>
    <col min="6" max="6" width="11.85546875" bestFit="1" customWidth="1"/>
    <col min="7" max="7" width="17" customWidth="1"/>
    <col min="9" max="9" width="15.7109375" customWidth="1"/>
  </cols>
  <sheetData>
    <row r="1" spans="1:6" ht="60" x14ac:dyDescent="0.25">
      <c r="A1" s="5" t="s">
        <v>38</v>
      </c>
      <c r="B1" s="5" t="s">
        <v>39</v>
      </c>
      <c r="C1" s="5" t="s">
        <v>40</v>
      </c>
    </row>
    <row r="2" spans="1:6" x14ac:dyDescent="0.25">
      <c r="A2">
        <v>2</v>
      </c>
      <c r="B2">
        <v>3</v>
      </c>
      <c r="C2">
        <v>3</v>
      </c>
      <c r="E2" s="2" t="s">
        <v>12</v>
      </c>
      <c r="F2" s="2"/>
    </row>
    <row r="3" spans="1:6" x14ac:dyDescent="0.25">
      <c r="A3">
        <v>2</v>
      </c>
      <c r="B3">
        <v>4</v>
      </c>
      <c r="C3">
        <v>3</v>
      </c>
      <c r="E3" t="s">
        <v>13</v>
      </c>
      <c r="F3">
        <f>COUNT(A:A)</f>
        <v>97</v>
      </c>
    </row>
    <row r="4" spans="1:6" x14ac:dyDescent="0.25">
      <c r="A4">
        <v>5</v>
      </c>
      <c r="B4">
        <v>2</v>
      </c>
      <c r="C4">
        <v>3</v>
      </c>
      <c r="E4" t="s">
        <v>7</v>
      </c>
      <c r="F4">
        <f>AVERAGE(A:A)</f>
        <v>3.2268041237113403</v>
      </c>
    </row>
    <row r="5" spans="1:6" x14ac:dyDescent="0.25">
      <c r="A5">
        <v>4</v>
      </c>
      <c r="B5">
        <v>2</v>
      </c>
      <c r="C5">
        <v>5</v>
      </c>
      <c r="E5" t="s">
        <v>8</v>
      </c>
      <c r="F5">
        <f>AVERAGE(B:B)</f>
        <v>3.134020618556701</v>
      </c>
    </row>
    <row r="6" spans="1:6" x14ac:dyDescent="0.25">
      <c r="A6">
        <v>5</v>
      </c>
      <c r="B6">
        <v>2</v>
      </c>
      <c r="C6">
        <v>4</v>
      </c>
      <c r="E6" t="s">
        <v>9</v>
      </c>
      <c r="F6">
        <f>AVERAGE(C:C)</f>
        <v>3.0412371134020617</v>
      </c>
    </row>
    <row r="7" spans="1:6" x14ac:dyDescent="0.25">
      <c r="A7">
        <v>5</v>
      </c>
      <c r="B7">
        <v>3</v>
      </c>
      <c r="C7">
        <v>3</v>
      </c>
      <c r="E7" t="s">
        <v>14</v>
      </c>
      <c r="F7">
        <f>AVERAGE(F4:F6)</f>
        <v>3.134020618556701</v>
      </c>
    </row>
    <row r="8" spans="1:6" x14ac:dyDescent="0.25">
      <c r="A8">
        <v>5</v>
      </c>
      <c r="B8">
        <v>3</v>
      </c>
      <c r="C8">
        <v>4</v>
      </c>
    </row>
    <row r="9" spans="1:6" x14ac:dyDescent="0.25">
      <c r="A9">
        <v>2</v>
      </c>
      <c r="B9">
        <v>4</v>
      </c>
      <c r="C9">
        <v>3</v>
      </c>
    </row>
    <row r="10" spans="1:6" x14ac:dyDescent="0.25">
      <c r="A10">
        <v>4</v>
      </c>
      <c r="B10">
        <v>2</v>
      </c>
      <c r="C10">
        <v>4</v>
      </c>
      <c r="E10" s="2" t="s">
        <v>11</v>
      </c>
      <c r="F10" s="2"/>
    </row>
    <row r="11" spans="1:6" x14ac:dyDescent="0.25">
      <c r="A11">
        <v>3</v>
      </c>
      <c r="B11">
        <v>2</v>
      </c>
      <c r="C11">
        <v>2</v>
      </c>
      <c r="E11" s="3" t="s">
        <v>16</v>
      </c>
    </row>
    <row r="12" spans="1:6" x14ac:dyDescent="0.25">
      <c r="A12">
        <v>3</v>
      </c>
      <c r="B12">
        <v>5</v>
      </c>
      <c r="C12">
        <v>1</v>
      </c>
      <c r="E12" s="3" t="s">
        <v>17</v>
      </c>
    </row>
    <row r="13" spans="1:6" x14ac:dyDescent="0.25">
      <c r="A13">
        <v>4</v>
      </c>
      <c r="B13">
        <v>5</v>
      </c>
      <c r="C13">
        <v>3</v>
      </c>
    </row>
    <row r="14" spans="1:6" x14ac:dyDescent="0.25">
      <c r="A14">
        <v>3</v>
      </c>
      <c r="B14">
        <v>1</v>
      </c>
      <c r="C14">
        <v>5</v>
      </c>
    </row>
    <row r="15" spans="1:6" x14ac:dyDescent="0.25">
      <c r="A15">
        <v>4</v>
      </c>
      <c r="B15">
        <v>5</v>
      </c>
      <c r="C15">
        <v>5</v>
      </c>
    </row>
    <row r="16" spans="1:6" x14ac:dyDescent="0.25">
      <c r="A16">
        <v>3</v>
      </c>
      <c r="B16">
        <v>3</v>
      </c>
      <c r="C16">
        <v>2</v>
      </c>
      <c r="E16" t="s">
        <v>10</v>
      </c>
      <c r="F16">
        <f>F3*((F4-F7)^2+(F5-F7)^2+(F6-F7)^2)</f>
        <v>1.6701030927835092</v>
      </c>
    </row>
    <row r="17" spans="1:6" x14ac:dyDescent="0.25">
      <c r="A17">
        <v>3</v>
      </c>
      <c r="B17">
        <v>5</v>
      </c>
      <c r="C17">
        <v>3</v>
      </c>
    </row>
    <row r="18" spans="1:6" x14ac:dyDescent="0.25">
      <c r="A18">
        <v>4</v>
      </c>
      <c r="B18">
        <v>1</v>
      </c>
      <c r="C18">
        <v>3</v>
      </c>
    </row>
    <row r="19" spans="1:6" x14ac:dyDescent="0.25">
      <c r="A19">
        <v>3</v>
      </c>
      <c r="B19">
        <v>2</v>
      </c>
      <c r="C19">
        <v>4</v>
      </c>
      <c r="E19" s="2" t="s">
        <v>18</v>
      </c>
      <c r="F19" s="2"/>
    </row>
    <row r="20" spans="1:6" x14ac:dyDescent="0.25">
      <c r="A20">
        <v>3</v>
      </c>
      <c r="B20">
        <v>3</v>
      </c>
      <c r="C20">
        <v>2</v>
      </c>
      <c r="E20" t="s">
        <v>19</v>
      </c>
    </row>
    <row r="21" spans="1:6" x14ac:dyDescent="0.25">
      <c r="A21">
        <v>3</v>
      </c>
      <c r="B21">
        <v>3</v>
      </c>
      <c r="C21">
        <v>5</v>
      </c>
      <c r="E21" t="s">
        <v>15</v>
      </c>
      <c r="F21" s="6">
        <v>3</v>
      </c>
    </row>
    <row r="22" spans="1:6" x14ac:dyDescent="0.25">
      <c r="A22">
        <v>4</v>
      </c>
      <c r="B22">
        <v>4</v>
      </c>
      <c r="C22">
        <v>1</v>
      </c>
    </row>
    <row r="23" spans="1:6" x14ac:dyDescent="0.25">
      <c r="A23">
        <v>4</v>
      </c>
      <c r="B23">
        <v>4</v>
      </c>
      <c r="C23">
        <v>4</v>
      </c>
    </row>
    <row r="24" spans="1:6" x14ac:dyDescent="0.25">
      <c r="A24">
        <v>1</v>
      </c>
      <c r="B24">
        <v>4</v>
      </c>
      <c r="C24">
        <v>5</v>
      </c>
      <c r="E24" t="s">
        <v>0</v>
      </c>
      <c r="F24">
        <f>F21-1</f>
        <v>2</v>
      </c>
    </row>
    <row r="25" spans="1:6" x14ac:dyDescent="0.25">
      <c r="A25">
        <v>5</v>
      </c>
      <c r="B25">
        <v>2</v>
      </c>
      <c r="C25">
        <v>3</v>
      </c>
    </row>
    <row r="26" spans="1:6" x14ac:dyDescent="0.25">
      <c r="A26">
        <v>5</v>
      </c>
      <c r="B26">
        <v>3</v>
      </c>
      <c r="C26">
        <v>3</v>
      </c>
    </row>
    <row r="27" spans="1:6" x14ac:dyDescent="0.25">
      <c r="A27">
        <v>4</v>
      </c>
      <c r="B27">
        <v>3</v>
      </c>
      <c r="C27">
        <v>3</v>
      </c>
      <c r="E27" s="2" t="s">
        <v>20</v>
      </c>
      <c r="F27" s="2"/>
    </row>
    <row r="28" spans="1:6" x14ac:dyDescent="0.25">
      <c r="A28">
        <v>4</v>
      </c>
      <c r="B28">
        <v>1</v>
      </c>
      <c r="C28">
        <v>3</v>
      </c>
      <c r="E28" t="s">
        <v>21</v>
      </c>
    </row>
    <row r="29" spans="1:6" x14ac:dyDescent="0.25">
      <c r="A29">
        <v>3</v>
      </c>
      <c r="B29">
        <v>3</v>
      </c>
      <c r="C29">
        <v>5</v>
      </c>
    </row>
    <row r="30" spans="1:6" x14ac:dyDescent="0.25">
      <c r="A30">
        <v>2</v>
      </c>
      <c r="B30">
        <v>5</v>
      </c>
      <c r="C30">
        <v>5</v>
      </c>
    </row>
    <row r="31" spans="1:6" x14ac:dyDescent="0.25">
      <c r="A31">
        <v>5</v>
      </c>
      <c r="B31">
        <v>1</v>
      </c>
      <c r="C31">
        <v>2</v>
      </c>
    </row>
    <row r="32" spans="1:6" x14ac:dyDescent="0.25">
      <c r="A32">
        <v>4</v>
      </c>
      <c r="B32">
        <v>5</v>
      </c>
      <c r="C32">
        <v>1</v>
      </c>
    </row>
    <row r="33" spans="1:6" x14ac:dyDescent="0.25">
      <c r="A33">
        <v>3</v>
      </c>
      <c r="B33">
        <v>3</v>
      </c>
      <c r="C33">
        <v>3</v>
      </c>
      <c r="E33" t="s">
        <v>1</v>
      </c>
      <c r="F33">
        <f>F16/F24</f>
        <v>0.83505154639175461</v>
      </c>
    </row>
    <row r="34" spans="1:6" x14ac:dyDescent="0.25">
      <c r="A34">
        <v>4</v>
      </c>
      <c r="B34">
        <v>4</v>
      </c>
      <c r="C34">
        <v>3</v>
      </c>
    </row>
    <row r="35" spans="1:6" x14ac:dyDescent="0.25">
      <c r="A35">
        <v>1</v>
      </c>
      <c r="B35">
        <v>5</v>
      </c>
      <c r="C35">
        <v>2</v>
      </c>
    </row>
    <row r="36" spans="1:6" x14ac:dyDescent="0.25">
      <c r="A36">
        <v>3</v>
      </c>
      <c r="B36">
        <v>4</v>
      </c>
      <c r="C36">
        <v>3</v>
      </c>
      <c r="E36" s="2" t="s">
        <v>25</v>
      </c>
      <c r="F36" s="2"/>
    </row>
    <row r="37" spans="1:6" x14ac:dyDescent="0.25">
      <c r="A37">
        <v>3</v>
      </c>
      <c r="B37">
        <v>2</v>
      </c>
      <c r="C37">
        <v>2</v>
      </c>
      <c r="E37" t="s">
        <v>22</v>
      </c>
    </row>
    <row r="38" spans="1:6" x14ac:dyDescent="0.25">
      <c r="A38">
        <v>5</v>
      </c>
      <c r="B38">
        <v>3</v>
      </c>
      <c r="C38">
        <v>3</v>
      </c>
      <c r="E38" t="s">
        <v>23</v>
      </c>
    </row>
    <row r="39" spans="1:6" x14ac:dyDescent="0.25">
      <c r="A39">
        <v>3</v>
      </c>
      <c r="B39">
        <v>2</v>
      </c>
      <c r="C39">
        <v>3</v>
      </c>
    </row>
    <row r="40" spans="1:6" x14ac:dyDescent="0.25">
      <c r="A40">
        <v>3</v>
      </c>
      <c r="B40">
        <v>4</v>
      </c>
      <c r="C40">
        <v>3</v>
      </c>
    </row>
    <row r="41" spans="1:6" x14ac:dyDescent="0.25">
      <c r="A41">
        <v>4</v>
      </c>
      <c r="B41">
        <v>5</v>
      </c>
      <c r="C41">
        <v>2</v>
      </c>
    </row>
    <row r="42" spans="1:6" x14ac:dyDescent="0.25">
      <c r="A42">
        <v>4</v>
      </c>
      <c r="B42">
        <v>5</v>
      </c>
      <c r="C42">
        <v>3</v>
      </c>
    </row>
    <row r="43" spans="1:6" x14ac:dyDescent="0.25">
      <c r="A43">
        <v>2</v>
      </c>
      <c r="B43">
        <v>2</v>
      </c>
      <c r="C43">
        <v>1</v>
      </c>
      <c r="E43" t="s">
        <v>3</v>
      </c>
      <c r="F43">
        <f>DEVSQ(A:A)+DEVSQ(B:B)+DEVSQ(C:C)</f>
        <v>406.10309278350508</v>
      </c>
    </row>
    <row r="44" spans="1:6" x14ac:dyDescent="0.25">
      <c r="A44">
        <v>2</v>
      </c>
      <c r="B44">
        <v>3</v>
      </c>
      <c r="C44">
        <v>4</v>
      </c>
    </row>
    <row r="45" spans="1:6" x14ac:dyDescent="0.25">
      <c r="A45">
        <v>4</v>
      </c>
      <c r="B45">
        <v>2</v>
      </c>
      <c r="C45">
        <v>3</v>
      </c>
    </row>
    <row r="46" spans="1:6" x14ac:dyDescent="0.25">
      <c r="A46">
        <v>4</v>
      </c>
      <c r="B46">
        <v>5</v>
      </c>
      <c r="C46">
        <v>3</v>
      </c>
      <c r="E46" s="2" t="s">
        <v>24</v>
      </c>
      <c r="F46" s="2"/>
    </row>
    <row r="47" spans="1:6" x14ac:dyDescent="0.25">
      <c r="A47">
        <v>1</v>
      </c>
      <c r="B47">
        <v>3</v>
      </c>
      <c r="C47">
        <v>5</v>
      </c>
      <c r="E47" t="s">
        <v>26</v>
      </c>
      <c r="F47">
        <f>COUNT(A:A,B:B,C:C,#REF!)</f>
        <v>291</v>
      </c>
    </row>
    <row r="48" spans="1:6" x14ac:dyDescent="0.25">
      <c r="A48">
        <v>4</v>
      </c>
      <c r="B48">
        <v>2</v>
      </c>
      <c r="C48">
        <v>3</v>
      </c>
      <c r="E48" t="s">
        <v>15</v>
      </c>
      <c r="F48">
        <f>F21</f>
        <v>3</v>
      </c>
    </row>
    <row r="49" spans="1:6" x14ac:dyDescent="0.25">
      <c r="A49">
        <v>4</v>
      </c>
      <c r="B49">
        <v>5</v>
      </c>
      <c r="C49">
        <v>3</v>
      </c>
    </row>
    <row r="50" spans="1:6" x14ac:dyDescent="0.25">
      <c r="A50">
        <v>4</v>
      </c>
      <c r="B50">
        <v>4</v>
      </c>
      <c r="C50">
        <v>4</v>
      </c>
    </row>
    <row r="51" spans="1:6" x14ac:dyDescent="0.25">
      <c r="A51">
        <v>2</v>
      </c>
      <c r="B51">
        <v>4</v>
      </c>
      <c r="C51">
        <v>5</v>
      </c>
    </row>
    <row r="52" spans="1:6" x14ac:dyDescent="0.25">
      <c r="A52">
        <v>4</v>
      </c>
      <c r="B52">
        <v>2</v>
      </c>
      <c r="C52">
        <v>3</v>
      </c>
    </row>
    <row r="53" spans="1:6" x14ac:dyDescent="0.25">
      <c r="A53">
        <v>2</v>
      </c>
      <c r="B53">
        <v>3</v>
      </c>
      <c r="C53">
        <v>4</v>
      </c>
      <c r="E53" t="s">
        <v>4</v>
      </c>
      <c r="F53">
        <f>F47-F48</f>
        <v>288</v>
      </c>
    </row>
    <row r="54" spans="1:6" x14ac:dyDescent="0.25">
      <c r="A54">
        <v>2</v>
      </c>
      <c r="B54">
        <v>2</v>
      </c>
      <c r="C54">
        <v>1</v>
      </c>
    </row>
    <row r="55" spans="1:6" x14ac:dyDescent="0.25">
      <c r="A55">
        <v>4</v>
      </c>
      <c r="B55">
        <v>4</v>
      </c>
      <c r="C55">
        <v>4</v>
      </c>
    </row>
    <row r="56" spans="1:6" x14ac:dyDescent="0.25">
      <c r="A56">
        <v>4</v>
      </c>
      <c r="B56">
        <v>4</v>
      </c>
      <c r="C56">
        <v>2</v>
      </c>
      <c r="E56" s="2" t="s">
        <v>27</v>
      </c>
      <c r="F56" s="2"/>
    </row>
    <row r="57" spans="1:6" x14ac:dyDescent="0.25">
      <c r="A57">
        <v>3</v>
      </c>
      <c r="B57">
        <v>1</v>
      </c>
      <c r="C57">
        <v>2</v>
      </c>
      <c r="E57" t="s">
        <v>28</v>
      </c>
    </row>
    <row r="58" spans="1:6" x14ac:dyDescent="0.25">
      <c r="A58">
        <v>3</v>
      </c>
      <c r="B58">
        <v>5</v>
      </c>
      <c r="C58">
        <v>1</v>
      </c>
    </row>
    <row r="59" spans="1:6" x14ac:dyDescent="0.25">
      <c r="A59">
        <v>4</v>
      </c>
      <c r="B59">
        <v>3</v>
      </c>
      <c r="C59">
        <v>3</v>
      </c>
    </row>
    <row r="60" spans="1:6" x14ac:dyDescent="0.25">
      <c r="A60">
        <v>5</v>
      </c>
      <c r="B60">
        <v>1</v>
      </c>
      <c r="C60">
        <v>4</v>
      </c>
    </row>
    <row r="61" spans="1:6" x14ac:dyDescent="0.25">
      <c r="A61">
        <v>5</v>
      </c>
      <c r="B61">
        <v>2</v>
      </c>
      <c r="C61">
        <v>1</v>
      </c>
    </row>
    <row r="62" spans="1:6" x14ac:dyDescent="0.25">
      <c r="A62">
        <v>3</v>
      </c>
      <c r="B62">
        <v>2</v>
      </c>
      <c r="C62">
        <v>3</v>
      </c>
    </row>
    <row r="63" spans="1:6" x14ac:dyDescent="0.25">
      <c r="A63">
        <v>1</v>
      </c>
      <c r="B63">
        <v>4</v>
      </c>
      <c r="C63">
        <v>4</v>
      </c>
      <c r="E63" t="s">
        <v>5</v>
      </c>
      <c r="F63">
        <f>F43/F53</f>
        <v>1.4100801832760592</v>
      </c>
    </row>
    <row r="64" spans="1:6" x14ac:dyDescent="0.25">
      <c r="A64">
        <v>3</v>
      </c>
      <c r="B64">
        <v>3</v>
      </c>
      <c r="C64">
        <v>5</v>
      </c>
    </row>
    <row r="65" spans="1:6" x14ac:dyDescent="0.25">
      <c r="A65">
        <v>1</v>
      </c>
      <c r="B65">
        <v>4</v>
      </c>
      <c r="C65">
        <v>5</v>
      </c>
    </row>
    <row r="66" spans="1:6" x14ac:dyDescent="0.25">
      <c r="A66">
        <v>3</v>
      </c>
      <c r="B66">
        <v>2</v>
      </c>
      <c r="C66">
        <v>2</v>
      </c>
      <c r="E66" s="2" t="s">
        <v>29</v>
      </c>
      <c r="F66" s="2"/>
    </row>
    <row r="67" spans="1:6" x14ac:dyDescent="0.25">
      <c r="A67">
        <v>3</v>
      </c>
      <c r="B67">
        <v>1</v>
      </c>
      <c r="C67">
        <v>2</v>
      </c>
      <c r="E67" t="s">
        <v>30</v>
      </c>
    </row>
    <row r="68" spans="1:6" x14ac:dyDescent="0.25">
      <c r="A68">
        <v>3</v>
      </c>
      <c r="B68">
        <v>1</v>
      </c>
      <c r="C68">
        <v>3</v>
      </c>
      <c r="E68" t="s">
        <v>31</v>
      </c>
    </row>
    <row r="69" spans="1:6" x14ac:dyDescent="0.25">
      <c r="A69">
        <v>5</v>
      </c>
      <c r="B69">
        <v>5</v>
      </c>
      <c r="C69">
        <v>5</v>
      </c>
    </row>
    <row r="70" spans="1:6" x14ac:dyDescent="0.25">
      <c r="A70">
        <v>3</v>
      </c>
      <c r="B70">
        <v>4</v>
      </c>
      <c r="C70">
        <v>3</v>
      </c>
    </row>
    <row r="71" spans="1:6" x14ac:dyDescent="0.25">
      <c r="A71">
        <v>5</v>
      </c>
      <c r="B71">
        <v>4</v>
      </c>
      <c r="C71">
        <v>3</v>
      </c>
    </row>
    <row r="72" spans="1:6" x14ac:dyDescent="0.25">
      <c r="A72">
        <v>2</v>
      </c>
      <c r="B72">
        <v>5</v>
      </c>
      <c r="C72">
        <v>4</v>
      </c>
    </row>
    <row r="73" spans="1:6" x14ac:dyDescent="0.25">
      <c r="A73">
        <v>3</v>
      </c>
      <c r="B73">
        <v>4</v>
      </c>
      <c r="C73">
        <v>5</v>
      </c>
      <c r="E73" t="s">
        <v>2</v>
      </c>
      <c r="F73">
        <f>F33/F63</f>
        <v>0.59220146222583425</v>
      </c>
    </row>
    <row r="74" spans="1:6" x14ac:dyDescent="0.25">
      <c r="A74">
        <v>1</v>
      </c>
      <c r="B74">
        <v>4</v>
      </c>
      <c r="C74">
        <v>2</v>
      </c>
    </row>
    <row r="75" spans="1:6" x14ac:dyDescent="0.25">
      <c r="A75">
        <v>1</v>
      </c>
      <c r="B75">
        <v>3</v>
      </c>
      <c r="C75">
        <v>3</v>
      </c>
    </row>
    <row r="76" spans="1:6" x14ac:dyDescent="0.25">
      <c r="A76">
        <v>3</v>
      </c>
      <c r="B76">
        <v>1</v>
      </c>
      <c r="C76">
        <v>1</v>
      </c>
      <c r="E76" s="2" t="s">
        <v>34</v>
      </c>
      <c r="F76" s="2"/>
    </row>
    <row r="77" spans="1:6" x14ac:dyDescent="0.25">
      <c r="A77">
        <v>4</v>
      </c>
      <c r="B77">
        <v>3</v>
      </c>
      <c r="C77">
        <v>3</v>
      </c>
    </row>
    <row r="78" spans="1:6" x14ac:dyDescent="0.25">
      <c r="A78">
        <v>5</v>
      </c>
      <c r="B78">
        <v>2</v>
      </c>
      <c r="C78">
        <v>3</v>
      </c>
      <c r="E78" s="4" t="s">
        <v>32</v>
      </c>
      <c r="F78">
        <v>0.05</v>
      </c>
    </row>
    <row r="79" spans="1:6" x14ac:dyDescent="0.25">
      <c r="A79">
        <v>2</v>
      </c>
      <c r="B79">
        <v>2</v>
      </c>
      <c r="C79">
        <v>3</v>
      </c>
      <c r="E79" t="s">
        <v>0</v>
      </c>
      <c r="F79">
        <f xml:space="preserve"> F24</f>
        <v>2</v>
      </c>
    </row>
    <row r="80" spans="1:6" x14ac:dyDescent="0.25">
      <c r="A80">
        <v>3</v>
      </c>
      <c r="B80">
        <v>4</v>
      </c>
      <c r="C80">
        <v>4</v>
      </c>
      <c r="E80" t="s">
        <v>4</v>
      </c>
      <c r="F80">
        <f xml:space="preserve"> F53</f>
        <v>288</v>
      </c>
    </row>
    <row r="81" spans="1:6" x14ac:dyDescent="0.25">
      <c r="A81">
        <v>3</v>
      </c>
      <c r="B81">
        <v>4</v>
      </c>
      <c r="C81">
        <v>2</v>
      </c>
      <c r="E81" t="s">
        <v>33</v>
      </c>
      <c r="F81">
        <f>FINV(F78, F79, F80)</f>
        <v>3.0271106434326285</v>
      </c>
    </row>
    <row r="82" spans="1:6" x14ac:dyDescent="0.25">
      <c r="A82">
        <v>1</v>
      </c>
      <c r="B82">
        <v>3</v>
      </c>
      <c r="C82">
        <v>1</v>
      </c>
      <c r="E82" t="s">
        <v>35</v>
      </c>
      <c r="F82">
        <f>_xlfn.F.DIST.RT(F73, F79, F80)</f>
        <v>0.55378039303787152</v>
      </c>
    </row>
    <row r="83" spans="1:6" x14ac:dyDescent="0.25">
      <c r="A83">
        <v>2</v>
      </c>
      <c r="B83">
        <v>2</v>
      </c>
      <c r="C83">
        <v>3</v>
      </c>
    </row>
    <row r="84" spans="1:6" x14ac:dyDescent="0.25">
      <c r="A84">
        <v>2</v>
      </c>
      <c r="B84">
        <v>4</v>
      </c>
      <c r="C84">
        <v>5</v>
      </c>
      <c r="E84" s="2" t="s">
        <v>6</v>
      </c>
      <c r="F84" s="2"/>
    </row>
    <row r="85" spans="1:6" x14ac:dyDescent="0.25">
      <c r="A85">
        <v>5</v>
      </c>
      <c r="B85">
        <v>3</v>
      </c>
      <c r="C85">
        <v>1</v>
      </c>
    </row>
    <row r="86" spans="1:6" x14ac:dyDescent="0.25">
      <c r="A86">
        <v>3</v>
      </c>
      <c r="B86">
        <v>3</v>
      </c>
      <c r="C86">
        <v>5</v>
      </c>
      <c r="E86" t="s">
        <v>36</v>
      </c>
    </row>
    <row r="87" spans="1:6" x14ac:dyDescent="0.25">
      <c r="A87">
        <v>4</v>
      </c>
      <c r="B87">
        <v>4</v>
      </c>
      <c r="C87">
        <v>2</v>
      </c>
      <c r="E87" t="s">
        <v>37</v>
      </c>
    </row>
    <row r="88" spans="1:6" x14ac:dyDescent="0.25">
      <c r="A88">
        <v>3</v>
      </c>
      <c r="B88">
        <v>5</v>
      </c>
      <c r="C88">
        <v>2</v>
      </c>
    </row>
    <row r="89" spans="1:6" x14ac:dyDescent="0.25">
      <c r="A89">
        <v>2</v>
      </c>
      <c r="B89">
        <v>2</v>
      </c>
      <c r="C89">
        <v>2</v>
      </c>
      <c r="E89" t="str">
        <f>"Si F calculado ("&amp;F73&amp;") &gt; F critico ("&amp;F81&amp;") ---&gt; Se rechaza la hipotesis nula"</f>
        <v>Si F calculado (0.592201462225834) &gt; F critico (3.02711064343263) ---&gt; Se rechaza la hipotesis nula</v>
      </c>
    </row>
    <row r="90" spans="1:6" x14ac:dyDescent="0.25">
      <c r="A90">
        <v>3</v>
      </c>
      <c r="B90">
        <v>3</v>
      </c>
      <c r="C90">
        <v>1</v>
      </c>
      <c r="E90" t="str">
        <f>"Si p-valor ("&amp;F82&amp;") &lt; α Nivel Significancia ("&amp;F78&amp;") ---&gt; Se rechaza la hipotesis nula"</f>
        <v>Si p-valor (0.553780393037872) &lt; α Nivel Significancia (0.05) ---&gt; Se rechaza la hipotesis nula</v>
      </c>
    </row>
    <row r="91" spans="1:6" x14ac:dyDescent="0.25">
      <c r="A91">
        <v>3</v>
      </c>
      <c r="B91">
        <v>2</v>
      </c>
      <c r="C91">
        <v>3</v>
      </c>
    </row>
    <row r="92" spans="1:6" x14ac:dyDescent="0.25">
      <c r="A92">
        <v>3</v>
      </c>
      <c r="B92">
        <v>2</v>
      </c>
      <c r="C92">
        <v>1</v>
      </c>
    </row>
    <row r="93" spans="1:6" x14ac:dyDescent="0.25">
      <c r="A93">
        <v>3</v>
      </c>
      <c r="B93">
        <v>3</v>
      </c>
      <c r="C93">
        <v>3</v>
      </c>
    </row>
    <row r="94" spans="1:6" x14ac:dyDescent="0.25">
      <c r="A94">
        <v>3</v>
      </c>
      <c r="B94">
        <v>5</v>
      </c>
      <c r="C94">
        <v>2</v>
      </c>
    </row>
    <row r="95" spans="1:6" x14ac:dyDescent="0.25">
      <c r="A95">
        <v>3</v>
      </c>
      <c r="B95">
        <v>2</v>
      </c>
      <c r="C95">
        <v>3</v>
      </c>
    </row>
    <row r="96" spans="1:6" x14ac:dyDescent="0.25">
      <c r="A96">
        <v>3</v>
      </c>
      <c r="B96">
        <v>3</v>
      </c>
      <c r="C96">
        <v>4</v>
      </c>
    </row>
    <row r="97" spans="1:3" x14ac:dyDescent="0.25">
      <c r="A97">
        <v>3</v>
      </c>
      <c r="B97">
        <v>4</v>
      </c>
      <c r="C97">
        <v>4</v>
      </c>
    </row>
    <row r="98" spans="1:3" x14ac:dyDescent="0.25">
      <c r="A98">
        <v>3</v>
      </c>
      <c r="B98">
        <v>3</v>
      </c>
      <c r="C98">
        <v>3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Normal="100" workbookViewId="0">
      <selection activeCell="C98" sqref="A2:C98"/>
    </sheetView>
  </sheetViews>
  <sheetFormatPr baseColWidth="10" defaultColWidth="9.140625" defaultRowHeight="15" x14ac:dyDescent="0.25"/>
  <cols>
    <col min="1" max="1" width="15.7109375" customWidth="1"/>
    <col min="2" max="3" width="15.7109375" style="1" customWidth="1"/>
    <col min="5" max="5" width="47" bestFit="1" customWidth="1"/>
    <col min="6" max="6" width="11.85546875" bestFit="1" customWidth="1"/>
    <col min="7" max="7" width="17" customWidth="1"/>
    <col min="9" max="9" width="15.7109375" customWidth="1"/>
  </cols>
  <sheetData>
    <row r="1" spans="1:6" ht="60" x14ac:dyDescent="0.25">
      <c r="A1" s="5" t="s">
        <v>38</v>
      </c>
      <c r="B1" s="5" t="s">
        <v>39</v>
      </c>
      <c r="C1" s="5" t="s">
        <v>40</v>
      </c>
    </row>
    <row r="2" spans="1:6" x14ac:dyDescent="0.25">
      <c r="A2">
        <v>3</v>
      </c>
      <c r="B2">
        <v>3</v>
      </c>
      <c r="C2">
        <v>3</v>
      </c>
      <c r="E2" s="2" t="s">
        <v>12</v>
      </c>
      <c r="F2" s="2"/>
    </row>
    <row r="3" spans="1:6" x14ac:dyDescent="0.25">
      <c r="A3">
        <v>4</v>
      </c>
      <c r="B3">
        <v>2</v>
      </c>
      <c r="C3">
        <v>3</v>
      </c>
      <c r="E3" t="s">
        <v>13</v>
      </c>
      <c r="F3">
        <f>COUNT(A:A)</f>
        <v>97</v>
      </c>
    </row>
    <row r="4" spans="1:6" x14ac:dyDescent="0.25">
      <c r="A4">
        <v>3</v>
      </c>
      <c r="B4">
        <v>1</v>
      </c>
      <c r="C4">
        <v>3</v>
      </c>
      <c r="E4" t="s">
        <v>7</v>
      </c>
      <c r="F4">
        <f>AVERAGE(A:A)</f>
        <v>2.9381443298969074</v>
      </c>
    </row>
    <row r="5" spans="1:6" x14ac:dyDescent="0.25">
      <c r="A5">
        <v>3</v>
      </c>
      <c r="B5">
        <v>2</v>
      </c>
      <c r="C5">
        <v>2</v>
      </c>
      <c r="E5" t="s">
        <v>8</v>
      </c>
      <c r="F5">
        <f>AVERAGE(B:B)</f>
        <v>2.7731958762886597</v>
      </c>
    </row>
    <row r="6" spans="1:6" x14ac:dyDescent="0.25">
      <c r="A6">
        <v>2</v>
      </c>
      <c r="B6">
        <v>5</v>
      </c>
      <c r="C6">
        <v>3</v>
      </c>
      <c r="E6" t="s">
        <v>9</v>
      </c>
      <c r="F6">
        <f>AVERAGE(C:C)</f>
        <v>2.8969072164948453</v>
      </c>
    </row>
    <row r="7" spans="1:6" x14ac:dyDescent="0.25">
      <c r="A7">
        <v>2</v>
      </c>
      <c r="B7">
        <v>2</v>
      </c>
      <c r="C7">
        <v>3</v>
      </c>
      <c r="E7" t="s">
        <v>14</v>
      </c>
      <c r="F7">
        <f>AVERAGE(F4:F6)</f>
        <v>2.8694158075601375</v>
      </c>
    </row>
    <row r="8" spans="1:6" x14ac:dyDescent="0.25">
      <c r="A8">
        <v>3</v>
      </c>
      <c r="B8">
        <v>4</v>
      </c>
      <c r="C8">
        <v>3</v>
      </c>
    </row>
    <row r="9" spans="1:6" x14ac:dyDescent="0.25">
      <c r="A9">
        <v>1</v>
      </c>
      <c r="B9">
        <v>4</v>
      </c>
      <c r="C9">
        <v>3</v>
      </c>
    </row>
    <row r="10" spans="1:6" x14ac:dyDescent="0.25">
      <c r="A10">
        <v>4</v>
      </c>
      <c r="B10">
        <v>2</v>
      </c>
      <c r="C10">
        <v>1</v>
      </c>
      <c r="E10" s="2" t="s">
        <v>11</v>
      </c>
      <c r="F10" s="2"/>
    </row>
    <row r="11" spans="1:6" x14ac:dyDescent="0.25">
      <c r="A11">
        <v>5</v>
      </c>
      <c r="B11">
        <v>2</v>
      </c>
      <c r="C11">
        <v>4</v>
      </c>
      <c r="E11" s="3" t="s">
        <v>16</v>
      </c>
    </row>
    <row r="12" spans="1:6" x14ac:dyDescent="0.25">
      <c r="A12">
        <v>1</v>
      </c>
      <c r="B12">
        <v>3</v>
      </c>
      <c r="C12">
        <v>1</v>
      </c>
      <c r="E12" s="3" t="s">
        <v>17</v>
      </c>
    </row>
    <row r="13" spans="1:6" x14ac:dyDescent="0.25">
      <c r="A13">
        <v>3</v>
      </c>
      <c r="B13">
        <v>5</v>
      </c>
      <c r="C13">
        <v>4</v>
      </c>
    </row>
    <row r="14" spans="1:6" x14ac:dyDescent="0.25">
      <c r="A14">
        <v>5</v>
      </c>
      <c r="B14">
        <v>3</v>
      </c>
      <c r="C14">
        <v>2</v>
      </c>
    </row>
    <row r="15" spans="1:6" x14ac:dyDescent="0.25">
      <c r="A15">
        <v>3</v>
      </c>
      <c r="B15">
        <v>1</v>
      </c>
      <c r="C15">
        <v>1</v>
      </c>
    </row>
    <row r="16" spans="1:6" x14ac:dyDescent="0.25">
      <c r="A16">
        <v>3</v>
      </c>
      <c r="B16">
        <v>1</v>
      </c>
      <c r="C16">
        <v>3</v>
      </c>
      <c r="E16" t="s">
        <v>10</v>
      </c>
      <c r="F16">
        <f>F3*((F4-F7)^2+(F5-F7)^2+(F6-F7)^2)</f>
        <v>1.4295532646048152</v>
      </c>
    </row>
    <row r="17" spans="1:6" x14ac:dyDescent="0.25">
      <c r="A17">
        <v>3</v>
      </c>
      <c r="B17">
        <v>3</v>
      </c>
      <c r="C17">
        <v>2</v>
      </c>
    </row>
    <row r="18" spans="1:6" x14ac:dyDescent="0.25">
      <c r="A18">
        <v>2</v>
      </c>
      <c r="B18">
        <v>3</v>
      </c>
      <c r="C18">
        <v>4</v>
      </c>
    </row>
    <row r="19" spans="1:6" x14ac:dyDescent="0.25">
      <c r="A19">
        <v>3</v>
      </c>
      <c r="B19">
        <v>2</v>
      </c>
      <c r="C19">
        <v>3</v>
      </c>
      <c r="E19" s="2" t="s">
        <v>18</v>
      </c>
      <c r="F19" s="2"/>
    </row>
    <row r="20" spans="1:6" x14ac:dyDescent="0.25">
      <c r="A20">
        <v>3</v>
      </c>
      <c r="B20">
        <v>4</v>
      </c>
      <c r="C20">
        <v>3</v>
      </c>
      <c r="E20" t="s">
        <v>19</v>
      </c>
    </row>
    <row r="21" spans="1:6" x14ac:dyDescent="0.25">
      <c r="A21">
        <v>4</v>
      </c>
      <c r="B21">
        <v>2</v>
      </c>
      <c r="C21">
        <v>4</v>
      </c>
      <c r="E21" t="s">
        <v>15</v>
      </c>
      <c r="F21" s="6">
        <v>3</v>
      </c>
    </row>
    <row r="22" spans="1:6" x14ac:dyDescent="0.25">
      <c r="A22">
        <v>3</v>
      </c>
      <c r="B22">
        <v>3</v>
      </c>
      <c r="C22">
        <v>3</v>
      </c>
    </row>
    <row r="23" spans="1:6" x14ac:dyDescent="0.25">
      <c r="A23">
        <v>4</v>
      </c>
      <c r="B23">
        <v>1</v>
      </c>
      <c r="C23">
        <v>2</v>
      </c>
    </row>
    <row r="24" spans="1:6" x14ac:dyDescent="0.25">
      <c r="A24">
        <v>3</v>
      </c>
      <c r="B24">
        <v>4</v>
      </c>
      <c r="C24">
        <v>5</v>
      </c>
      <c r="E24" t="s">
        <v>0</v>
      </c>
      <c r="F24">
        <f>F21-1</f>
        <v>2</v>
      </c>
    </row>
    <row r="25" spans="1:6" x14ac:dyDescent="0.25">
      <c r="A25">
        <v>3</v>
      </c>
      <c r="B25">
        <v>3</v>
      </c>
      <c r="C25">
        <v>1</v>
      </c>
    </row>
    <row r="26" spans="1:6" x14ac:dyDescent="0.25">
      <c r="A26">
        <v>4</v>
      </c>
      <c r="B26">
        <v>3</v>
      </c>
      <c r="C26">
        <v>5</v>
      </c>
    </row>
    <row r="27" spans="1:6" x14ac:dyDescent="0.25">
      <c r="A27">
        <v>2</v>
      </c>
      <c r="B27">
        <v>3</v>
      </c>
      <c r="C27">
        <v>2</v>
      </c>
      <c r="E27" s="2" t="s">
        <v>20</v>
      </c>
      <c r="F27" s="2"/>
    </row>
    <row r="28" spans="1:6" x14ac:dyDescent="0.25">
      <c r="A28">
        <v>2</v>
      </c>
      <c r="B28">
        <v>1</v>
      </c>
      <c r="C28">
        <v>5</v>
      </c>
      <c r="E28" t="s">
        <v>21</v>
      </c>
    </row>
    <row r="29" spans="1:6" x14ac:dyDescent="0.25">
      <c r="A29">
        <v>2</v>
      </c>
      <c r="B29">
        <v>2</v>
      </c>
      <c r="C29">
        <v>1</v>
      </c>
    </row>
    <row r="30" spans="1:6" x14ac:dyDescent="0.25">
      <c r="A30">
        <v>1</v>
      </c>
      <c r="B30">
        <v>3</v>
      </c>
      <c r="C30">
        <v>4</v>
      </c>
    </row>
    <row r="31" spans="1:6" x14ac:dyDescent="0.25">
      <c r="A31">
        <v>3</v>
      </c>
      <c r="B31">
        <v>1</v>
      </c>
      <c r="C31">
        <v>2</v>
      </c>
    </row>
    <row r="32" spans="1:6" x14ac:dyDescent="0.25">
      <c r="A32">
        <v>4</v>
      </c>
      <c r="B32">
        <v>1</v>
      </c>
      <c r="C32">
        <v>5</v>
      </c>
    </row>
    <row r="33" spans="1:6" x14ac:dyDescent="0.25">
      <c r="A33">
        <v>3</v>
      </c>
      <c r="B33">
        <v>3</v>
      </c>
      <c r="C33">
        <v>2</v>
      </c>
      <c r="E33" t="s">
        <v>1</v>
      </c>
      <c r="F33">
        <f>F16/F24</f>
        <v>0.71477663230240762</v>
      </c>
    </row>
    <row r="34" spans="1:6" x14ac:dyDescent="0.25">
      <c r="A34">
        <v>4</v>
      </c>
      <c r="B34">
        <v>5</v>
      </c>
      <c r="C34">
        <v>4</v>
      </c>
    </row>
    <row r="35" spans="1:6" x14ac:dyDescent="0.25">
      <c r="A35">
        <v>2</v>
      </c>
      <c r="B35">
        <v>5</v>
      </c>
      <c r="C35">
        <v>3</v>
      </c>
    </row>
    <row r="36" spans="1:6" x14ac:dyDescent="0.25">
      <c r="A36">
        <v>1</v>
      </c>
      <c r="B36">
        <v>1</v>
      </c>
      <c r="C36">
        <v>3</v>
      </c>
      <c r="E36" s="2" t="s">
        <v>25</v>
      </c>
      <c r="F36" s="2"/>
    </row>
    <row r="37" spans="1:6" x14ac:dyDescent="0.25">
      <c r="A37">
        <v>5</v>
      </c>
      <c r="B37">
        <v>3</v>
      </c>
      <c r="C37">
        <v>2</v>
      </c>
      <c r="E37" t="s">
        <v>22</v>
      </c>
    </row>
    <row r="38" spans="1:6" x14ac:dyDescent="0.25">
      <c r="A38">
        <v>2</v>
      </c>
      <c r="B38">
        <v>2</v>
      </c>
      <c r="C38">
        <v>4</v>
      </c>
      <c r="E38" t="s">
        <v>23</v>
      </c>
    </row>
    <row r="39" spans="1:6" x14ac:dyDescent="0.25">
      <c r="A39">
        <v>3</v>
      </c>
      <c r="B39">
        <v>2</v>
      </c>
      <c r="C39">
        <v>1</v>
      </c>
    </row>
    <row r="40" spans="1:6" x14ac:dyDescent="0.25">
      <c r="A40">
        <v>3</v>
      </c>
      <c r="B40">
        <v>1</v>
      </c>
      <c r="C40">
        <v>2</v>
      </c>
    </row>
    <row r="41" spans="1:6" x14ac:dyDescent="0.25">
      <c r="A41">
        <v>1</v>
      </c>
      <c r="B41">
        <v>1</v>
      </c>
      <c r="C41">
        <v>4</v>
      </c>
    </row>
    <row r="42" spans="1:6" x14ac:dyDescent="0.25">
      <c r="A42">
        <v>3</v>
      </c>
      <c r="B42">
        <v>3</v>
      </c>
      <c r="C42">
        <v>4</v>
      </c>
    </row>
    <row r="43" spans="1:6" x14ac:dyDescent="0.25">
      <c r="A43">
        <v>4</v>
      </c>
      <c r="B43">
        <v>1</v>
      </c>
      <c r="C43">
        <v>3</v>
      </c>
      <c r="E43" t="s">
        <v>3</v>
      </c>
      <c r="F43">
        <f>DEVSQ(A:A)+DEVSQ(B:B)+DEVSQ(C:C)</f>
        <v>349.60824742268039</v>
      </c>
    </row>
    <row r="44" spans="1:6" x14ac:dyDescent="0.25">
      <c r="A44">
        <v>5</v>
      </c>
      <c r="B44">
        <v>3</v>
      </c>
      <c r="C44">
        <v>1</v>
      </c>
    </row>
    <row r="45" spans="1:6" x14ac:dyDescent="0.25">
      <c r="A45">
        <v>5</v>
      </c>
      <c r="B45">
        <v>4</v>
      </c>
      <c r="C45">
        <v>2</v>
      </c>
    </row>
    <row r="46" spans="1:6" x14ac:dyDescent="0.25">
      <c r="A46">
        <v>1</v>
      </c>
      <c r="B46">
        <v>2</v>
      </c>
      <c r="C46">
        <v>3</v>
      </c>
      <c r="E46" s="2" t="s">
        <v>24</v>
      </c>
      <c r="F46" s="2"/>
    </row>
    <row r="47" spans="1:6" x14ac:dyDescent="0.25">
      <c r="A47">
        <v>2</v>
      </c>
      <c r="B47">
        <v>3</v>
      </c>
      <c r="C47">
        <v>2</v>
      </c>
      <c r="E47" t="s">
        <v>26</v>
      </c>
      <c r="F47">
        <f>COUNT(A:A,B:B,C:C,#REF!)</f>
        <v>291</v>
      </c>
    </row>
    <row r="48" spans="1:6" x14ac:dyDescent="0.25">
      <c r="A48">
        <v>3</v>
      </c>
      <c r="B48">
        <v>3</v>
      </c>
      <c r="C48">
        <v>3</v>
      </c>
      <c r="E48" t="s">
        <v>15</v>
      </c>
      <c r="F48">
        <f>F21</f>
        <v>3</v>
      </c>
    </row>
    <row r="49" spans="1:6" x14ac:dyDescent="0.25">
      <c r="A49">
        <v>4</v>
      </c>
      <c r="B49">
        <v>2</v>
      </c>
      <c r="C49">
        <v>4</v>
      </c>
    </row>
    <row r="50" spans="1:6" x14ac:dyDescent="0.25">
      <c r="A50">
        <v>3</v>
      </c>
      <c r="B50">
        <v>5</v>
      </c>
      <c r="C50">
        <v>4</v>
      </c>
    </row>
    <row r="51" spans="1:6" x14ac:dyDescent="0.25">
      <c r="A51">
        <v>4</v>
      </c>
      <c r="B51">
        <v>3</v>
      </c>
      <c r="C51">
        <v>4</v>
      </c>
    </row>
    <row r="52" spans="1:6" x14ac:dyDescent="0.25">
      <c r="A52">
        <v>4</v>
      </c>
      <c r="B52">
        <v>4</v>
      </c>
      <c r="C52">
        <v>3</v>
      </c>
    </row>
    <row r="53" spans="1:6" x14ac:dyDescent="0.25">
      <c r="A53">
        <v>5</v>
      </c>
      <c r="B53">
        <v>3</v>
      </c>
      <c r="C53">
        <v>3</v>
      </c>
      <c r="E53" t="s">
        <v>4</v>
      </c>
      <c r="F53">
        <f>F47-F48</f>
        <v>288</v>
      </c>
    </row>
    <row r="54" spans="1:6" x14ac:dyDescent="0.25">
      <c r="A54">
        <v>3</v>
      </c>
      <c r="B54">
        <v>3</v>
      </c>
      <c r="C54">
        <v>4</v>
      </c>
    </row>
    <row r="55" spans="1:6" x14ac:dyDescent="0.25">
      <c r="A55">
        <v>3</v>
      </c>
      <c r="B55">
        <v>2</v>
      </c>
      <c r="C55">
        <v>1</v>
      </c>
    </row>
    <row r="56" spans="1:6" x14ac:dyDescent="0.25">
      <c r="A56">
        <v>4</v>
      </c>
      <c r="B56">
        <v>1</v>
      </c>
      <c r="C56">
        <v>1</v>
      </c>
      <c r="E56" s="2" t="s">
        <v>27</v>
      </c>
      <c r="F56" s="2"/>
    </row>
    <row r="57" spans="1:6" x14ac:dyDescent="0.25">
      <c r="A57">
        <v>2</v>
      </c>
      <c r="B57">
        <v>3</v>
      </c>
      <c r="C57">
        <v>3</v>
      </c>
      <c r="E57" t="s">
        <v>28</v>
      </c>
    </row>
    <row r="58" spans="1:6" x14ac:dyDescent="0.25">
      <c r="A58">
        <v>3</v>
      </c>
      <c r="B58">
        <v>3</v>
      </c>
      <c r="C58">
        <v>4</v>
      </c>
    </row>
    <row r="59" spans="1:6" x14ac:dyDescent="0.25">
      <c r="A59">
        <v>2</v>
      </c>
      <c r="B59">
        <v>2</v>
      </c>
      <c r="C59">
        <v>4</v>
      </c>
    </row>
    <row r="60" spans="1:6" x14ac:dyDescent="0.25">
      <c r="A60">
        <v>2</v>
      </c>
      <c r="B60">
        <v>3</v>
      </c>
      <c r="C60">
        <v>2</v>
      </c>
    </row>
    <row r="61" spans="1:6" x14ac:dyDescent="0.25">
      <c r="A61">
        <v>3</v>
      </c>
      <c r="B61">
        <v>4</v>
      </c>
      <c r="C61">
        <v>3</v>
      </c>
    </row>
    <row r="62" spans="1:6" x14ac:dyDescent="0.25">
      <c r="A62">
        <v>2</v>
      </c>
      <c r="B62">
        <v>2</v>
      </c>
      <c r="C62">
        <v>3</v>
      </c>
    </row>
    <row r="63" spans="1:6" x14ac:dyDescent="0.25">
      <c r="A63">
        <v>3</v>
      </c>
      <c r="B63">
        <v>4</v>
      </c>
      <c r="C63">
        <v>3</v>
      </c>
      <c r="E63" t="s">
        <v>5</v>
      </c>
      <c r="F63">
        <f>F43/F53</f>
        <v>1.2139175257731958</v>
      </c>
    </row>
    <row r="64" spans="1:6" x14ac:dyDescent="0.25">
      <c r="A64">
        <v>5</v>
      </c>
      <c r="B64">
        <v>1</v>
      </c>
      <c r="C64">
        <v>2</v>
      </c>
    </row>
    <row r="65" spans="1:6" x14ac:dyDescent="0.25">
      <c r="A65">
        <v>2</v>
      </c>
      <c r="B65">
        <v>2</v>
      </c>
      <c r="C65">
        <v>2</v>
      </c>
    </row>
    <row r="66" spans="1:6" x14ac:dyDescent="0.25">
      <c r="A66">
        <v>1</v>
      </c>
      <c r="B66">
        <v>4</v>
      </c>
      <c r="C66">
        <v>4</v>
      </c>
      <c r="E66" s="2" t="s">
        <v>29</v>
      </c>
      <c r="F66" s="2"/>
    </row>
    <row r="67" spans="1:6" x14ac:dyDescent="0.25">
      <c r="A67">
        <v>2</v>
      </c>
      <c r="B67">
        <v>4</v>
      </c>
      <c r="C67">
        <v>4</v>
      </c>
      <c r="E67" t="s">
        <v>30</v>
      </c>
    </row>
    <row r="68" spans="1:6" x14ac:dyDescent="0.25">
      <c r="A68">
        <v>4</v>
      </c>
      <c r="B68">
        <v>3</v>
      </c>
      <c r="C68">
        <v>1</v>
      </c>
      <c r="E68" t="s">
        <v>31</v>
      </c>
    </row>
    <row r="69" spans="1:6" x14ac:dyDescent="0.25">
      <c r="A69">
        <v>3</v>
      </c>
      <c r="B69">
        <v>1</v>
      </c>
      <c r="C69">
        <v>4</v>
      </c>
    </row>
    <row r="70" spans="1:6" x14ac:dyDescent="0.25">
      <c r="A70">
        <v>3</v>
      </c>
      <c r="B70">
        <v>3</v>
      </c>
      <c r="C70">
        <v>2</v>
      </c>
    </row>
    <row r="71" spans="1:6" x14ac:dyDescent="0.25">
      <c r="A71">
        <v>3</v>
      </c>
      <c r="B71">
        <v>5</v>
      </c>
      <c r="C71">
        <v>3</v>
      </c>
    </row>
    <row r="72" spans="1:6" x14ac:dyDescent="0.25">
      <c r="A72">
        <v>4</v>
      </c>
      <c r="B72">
        <v>3</v>
      </c>
      <c r="C72">
        <v>3</v>
      </c>
    </row>
    <row r="73" spans="1:6" x14ac:dyDescent="0.25">
      <c r="A73">
        <v>5</v>
      </c>
      <c r="B73">
        <v>3</v>
      </c>
      <c r="C73">
        <v>4</v>
      </c>
      <c r="E73" t="s">
        <v>2</v>
      </c>
      <c r="F73">
        <f>F33/F63</f>
        <v>0.58881811748053969</v>
      </c>
    </row>
    <row r="74" spans="1:6" x14ac:dyDescent="0.25">
      <c r="A74">
        <v>3</v>
      </c>
      <c r="B74">
        <v>4</v>
      </c>
      <c r="C74">
        <v>3</v>
      </c>
    </row>
    <row r="75" spans="1:6" x14ac:dyDescent="0.25">
      <c r="A75">
        <v>3</v>
      </c>
      <c r="B75">
        <v>3</v>
      </c>
      <c r="C75">
        <v>5</v>
      </c>
    </row>
    <row r="76" spans="1:6" x14ac:dyDescent="0.25">
      <c r="A76">
        <v>3</v>
      </c>
      <c r="B76">
        <v>3</v>
      </c>
      <c r="C76">
        <v>3</v>
      </c>
      <c r="E76" s="2" t="s">
        <v>34</v>
      </c>
      <c r="F76" s="2"/>
    </row>
    <row r="77" spans="1:6" x14ac:dyDescent="0.25">
      <c r="A77">
        <v>4</v>
      </c>
      <c r="B77">
        <v>3</v>
      </c>
      <c r="C77">
        <v>2</v>
      </c>
    </row>
    <row r="78" spans="1:6" x14ac:dyDescent="0.25">
      <c r="A78">
        <v>3</v>
      </c>
      <c r="B78">
        <v>3</v>
      </c>
      <c r="C78">
        <v>3</v>
      </c>
      <c r="E78" s="4" t="s">
        <v>32</v>
      </c>
      <c r="F78">
        <v>0.05</v>
      </c>
    </row>
    <row r="79" spans="1:6" x14ac:dyDescent="0.25">
      <c r="A79">
        <v>3</v>
      </c>
      <c r="B79">
        <v>1</v>
      </c>
      <c r="C79">
        <v>2</v>
      </c>
      <c r="E79" t="s">
        <v>0</v>
      </c>
      <c r="F79">
        <f xml:space="preserve"> F24</f>
        <v>2</v>
      </c>
    </row>
    <row r="80" spans="1:6" x14ac:dyDescent="0.25">
      <c r="A80">
        <v>2</v>
      </c>
      <c r="B80">
        <v>3</v>
      </c>
      <c r="C80">
        <v>3</v>
      </c>
      <c r="E80" t="s">
        <v>4</v>
      </c>
      <c r="F80">
        <f xml:space="preserve"> F53</f>
        <v>288</v>
      </c>
    </row>
    <row r="81" spans="1:6" x14ac:dyDescent="0.25">
      <c r="A81">
        <v>2</v>
      </c>
      <c r="B81">
        <v>4</v>
      </c>
      <c r="C81">
        <v>2</v>
      </c>
      <c r="E81" t="s">
        <v>33</v>
      </c>
      <c r="F81">
        <f>FINV(F78, F79, F80)</f>
        <v>3.0271106434326285</v>
      </c>
    </row>
    <row r="82" spans="1:6" x14ac:dyDescent="0.25">
      <c r="A82">
        <v>3</v>
      </c>
      <c r="B82">
        <v>4</v>
      </c>
      <c r="C82">
        <v>3</v>
      </c>
      <c r="E82" t="s">
        <v>35</v>
      </c>
      <c r="F82">
        <f>_xlfn.F.DIST.RT(F73, F79, F80)</f>
        <v>0.55564951835386411</v>
      </c>
    </row>
    <row r="83" spans="1:6" x14ac:dyDescent="0.25">
      <c r="A83">
        <v>3</v>
      </c>
      <c r="B83">
        <v>3</v>
      </c>
      <c r="C83">
        <v>4</v>
      </c>
    </row>
    <row r="84" spans="1:6" x14ac:dyDescent="0.25">
      <c r="A84">
        <v>3</v>
      </c>
      <c r="B84">
        <v>3</v>
      </c>
      <c r="C84">
        <v>2</v>
      </c>
      <c r="E84" s="2" t="s">
        <v>6</v>
      </c>
      <c r="F84" s="2"/>
    </row>
    <row r="85" spans="1:6" x14ac:dyDescent="0.25">
      <c r="A85">
        <v>2</v>
      </c>
      <c r="B85">
        <v>1</v>
      </c>
      <c r="C85">
        <v>3</v>
      </c>
    </row>
    <row r="86" spans="1:6" x14ac:dyDescent="0.25">
      <c r="A86">
        <v>1</v>
      </c>
      <c r="B86">
        <v>5</v>
      </c>
      <c r="C86">
        <v>3</v>
      </c>
      <c r="E86" t="s">
        <v>36</v>
      </c>
    </row>
    <row r="87" spans="1:6" x14ac:dyDescent="0.25">
      <c r="A87">
        <v>5</v>
      </c>
      <c r="B87">
        <v>4</v>
      </c>
      <c r="C87">
        <v>2</v>
      </c>
      <c r="E87" t="s">
        <v>37</v>
      </c>
    </row>
    <row r="88" spans="1:6" x14ac:dyDescent="0.25">
      <c r="A88">
        <v>3</v>
      </c>
      <c r="B88">
        <v>2</v>
      </c>
      <c r="C88">
        <v>3</v>
      </c>
    </row>
    <row r="89" spans="1:6" x14ac:dyDescent="0.25">
      <c r="A89">
        <v>3</v>
      </c>
      <c r="B89">
        <v>1</v>
      </c>
      <c r="C89">
        <v>2</v>
      </c>
      <c r="E89" t="str">
        <f>"Si F calculado ("&amp;F73&amp;") &gt; F critico ("&amp;F81&amp;") ---&gt; Se rechaza la hipotesis nula"</f>
        <v>Si F calculado (0.58881811748054) &gt; F critico (3.02711064343263) ---&gt; Se rechaza la hipotesis nula</v>
      </c>
    </row>
    <row r="90" spans="1:6" x14ac:dyDescent="0.25">
      <c r="A90">
        <v>3</v>
      </c>
      <c r="B90">
        <v>3</v>
      </c>
      <c r="C90">
        <v>4</v>
      </c>
      <c r="E90" t="str">
        <f>"Si p-valor ("&amp;F82&amp;") &lt; α Nivel Significancia ("&amp;F78&amp;") ---&gt; Se rechaza la hipotesis nula"</f>
        <v>Si p-valor (0.555649518353864) &lt; α Nivel Significancia (0.05) ---&gt; Se rechaza la hipotesis nula</v>
      </c>
    </row>
    <row r="91" spans="1:6" x14ac:dyDescent="0.25">
      <c r="A91">
        <v>1</v>
      </c>
      <c r="B91">
        <v>3</v>
      </c>
      <c r="C91">
        <v>3</v>
      </c>
    </row>
    <row r="92" spans="1:6" x14ac:dyDescent="0.25">
      <c r="A92">
        <v>4</v>
      </c>
      <c r="B92">
        <v>3</v>
      </c>
      <c r="C92">
        <v>3</v>
      </c>
    </row>
    <row r="93" spans="1:6" x14ac:dyDescent="0.25">
      <c r="A93">
        <v>1</v>
      </c>
      <c r="B93">
        <v>1</v>
      </c>
      <c r="C93">
        <v>2</v>
      </c>
    </row>
    <row r="94" spans="1:6" x14ac:dyDescent="0.25">
      <c r="A94">
        <v>2</v>
      </c>
      <c r="B94">
        <v>3</v>
      </c>
      <c r="C94">
        <v>3</v>
      </c>
    </row>
    <row r="95" spans="1:6" x14ac:dyDescent="0.25">
      <c r="A95">
        <v>3</v>
      </c>
      <c r="B95">
        <v>3</v>
      </c>
      <c r="C95">
        <v>4</v>
      </c>
    </row>
    <row r="96" spans="1:6" x14ac:dyDescent="0.25">
      <c r="A96">
        <v>1</v>
      </c>
      <c r="B96">
        <v>4</v>
      </c>
      <c r="C96">
        <v>3</v>
      </c>
    </row>
    <row r="97" spans="1:3" x14ac:dyDescent="0.25">
      <c r="A97">
        <v>3</v>
      </c>
      <c r="B97">
        <v>5</v>
      </c>
      <c r="C97">
        <v>3</v>
      </c>
    </row>
    <row r="98" spans="1:3" x14ac:dyDescent="0.25">
      <c r="A98">
        <v>4</v>
      </c>
      <c r="B98">
        <v>3</v>
      </c>
      <c r="C98">
        <v>3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Normal="100" workbookViewId="0">
      <selection activeCell="C98" sqref="A2:C98"/>
    </sheetView>
  </sheetViews>
  <sheetFormatPr baseColWidth="10" defaultColWidth="9.140625" defaultRowHeight="15" x14ac:dyDescent="0.25"/>
  <cols>
    <col min="1" max="1" width="15.7109375" customWidth="1"/>
    <col min="2" max="3" width="15.7109375" style="1" customWidth="1"/>
    <col min="5" max="5" width="47" bestFit="1" customWidth="1"/>
    <col min="6" max="6" width="11.85546875" bestFit="1" customWidth="1"/>
    <col min="7" max="7" width="17" customWidth="1"/>
    <col min="9" max="9" width="15.7109375" customWidth="1"/>
  </cols>
  <sheetData>
    <row r="1" spans="1:6" ht="60" x14ac:dyDescent="0.25">
      <c r="A1" s="5" t="s">
        <v>38</v>
      </c>
      <c r="B1" s="5" t="s">
        <v>39</v>
      </c>
      <c r="C1" s="5" t="s">
        <v>40</v>
      </c>
    </row>
    <row r="2" spans="1:6" x14ac:dyDescent="0.25">
      <c r="A2">
        <v>3</v>
      </c>
      <c r="B2">
        <v>3</v>
      </c>
      <c r="C2">
        <v>5</v>
      </c>
      <c r="E2" s="2" t="s">
        <v>12</v>
      </c>
      <c r="F2" s="2"/>
    </row>
    <row r="3" spans="1:6" x14ac:dyDescent="0.25">
      <c r="A3">
        <v>3</v>
      </c>
      <c r="B3">
        <v>5</v>
      </c>
      <c r="C3">
        <v>3</v>
      </c>
      <c r="E3" t="s">
        <v>13</v>
      </c>
      <c r="F3">
        <f>COUNT(A:A)</f>
        <v>97</v>
      </c>
    </row>
    <row r="4" spans="1:6" x14ac:dyDescent="0.25">
      <c r="A4">
        <v>1</v>
      </c>
      <c r="B4">
        <v>2</v>
      </c>
      <c r="C4">
        <v>4</v>
      </c>
      <c r="E4" t="s">
        <v>7</v>
      </c>
      <c r="F4">
        <f>AVERAGE(A:A)</f>
        <v>3.134020618556701</v>
      </c>
    </row>
    <row r="5" spans="1:6" x14ac:dyDescent="0.25">
      <c r="A5">
        <v>3</v>
      </c>
      <c r="B5">
        <v>3</v>
      </c>
      <c r="C5">
        <v>3</v>
      </c>
      <c r="E5" t="s">
        <v>8</v>
      </c>
      <c r="F5">
        <f>AVERAGE(B:B)</f>
        <v>3.0618556701030926</v>
      </c>
    </row>
    <row r="6" spans="1:6" x14ac:dyDescent="0.25">
      <c r="A6">
        <v>3</v>
      </c>
      <c r="B6">
        <v>3</v>
      </c>
      <c r="C6">
        <v>4</v>
      </c>
      <c r="E6" t="s">
        <v>9</v>
      </c>
      <c r="F6">
        <f>AVERAGE(C:C)</f>
        <v>3.1237113402061856</v>
      </c>
    </row>
    <row r="7" spans="1:6" x14ac:dyDescent="0.25">
      <c r="A7">
        <v>3</v>
      </c>
      <c r="B7">
        <v>3</v>
      </c>
      <c r="C7">
        <v>2</v>
      </c>
      <c r="E7" t="s">
        <v>14</v>
      </c>
      <c r="F7">
        <f>AVERAGE(F4:F6)</f>
        <v>3.1065292096219927</v>
      </c>
    </row>
    <row r="8" spans="1:6" x14ac:dyDescent="0.25">
      <c r="A8">
        <v>3</v>
      </c>
      <c r="B8">
        <v>2</v>
      </c>
      <c r="C8">
        <v>3</v>
      </c>
    </row>
    <row r="9" spans="1:6" x14ac:dyDescent="0.25">
      <c r="A9">
        <v>4</v>
      </c>
      <c r="B9">
        <v>1</v>
      </c>
      <c r="C9">
        <v>4</v>
      </c>
    </row>
    <row r="10" spans="1:6" x14ac:dyDescent="0.25">
      <c r="A10">
        <v>3</v>
      </c>
      <c r="B10">
        <v>3</v>
      </c>
      <c r="C10">
        <v>4</v>
      </c>
      <c r="E10" s="2" t="s">
        <v>11</v>
      </c>
      <c r="F10" s="2"/>
    </row>
    <row r="11" spans="1:6" x14ac:dyDescent="0.25">
      <c r="A11">
        <v>5</v>
      </c>
      <c r="B11">
        <v>3</v>
      </c>
      <c r="C11">
        <v>4</v>
      </c>
      <c r="E11" s="3" t="s">
        <v>16</v>
      </c>
    </row>
    <row r="12" spans="1:6" x14ac:dyDescent="0.25">
      <c r="A12">
        <v>1</v>
      </c>
      <c r="B12">
        <v>3</v>
      </c>
      <c r="C12">
        <v>3</v>
      </c>
      <c r="E12" s="3" t="s">
        <v>17</v>
      </c>
    </row>
    <row r="13" spans="1:6" x14ac:dyDescent="0.25">
      <c r="A13">
        <v>2</v>
      </c>
      <c r="B13">
        <v>2</v>
      </c>
      <c r="C13">
        <v>2</v>
      </c>
    </row>
    <row r="14" spans="1:6" x14ac:dyDescent="0.25">
      <c r="A14">
        <v>5</v>
      </c>
      <c r="B14">
        <v>2</v>
      </c>
      <c r="C14">
        <v>3</v>
      </c>
    </row>
    <row r="15" spans="1:6" x14ac:dyDescent="0.25">
      <c r="A15">
        <v>2</v>
      </c>
      <c r="B15">
        <v>5</v>
      </c>
      <c r="C15">
        <v>3</v>
      </c>
    </row>
    <row r="16" spans="1:6" x14ac:dyDescent="0.25">
      <c r="A16">
        <v>3</v>
      </c>
      <c r="B16">
        <v>4</v>
      </c>
      <c r="C16">
        <v>1</v>
      </c>
      <c r="E16" t="s">
        <v>10</v>
      </c>
      <c r="F16">
        <f>F3*((F4-F7)^2+(F5-F7)^2+(F6-F7)^2)</f>
        <v>0.29553264604811169</v>
      </c>
    </row>
    <row r="17" spans="1:6" x14ac:dyDescent="0.25">
      <c r="A17">
        <v>4</v>
      </c>
      <c r="B17">
        <v>3</v>
      </c>
      <c r="C17">
        <v>3</v>
      </c>
    </row>
    <row r="18" spans="1:6" x14ac:dyDescent="0.25">
      <c r="A18">
        <v>4</v>
      </c>
      <c r="B18">
        <v>3</v>
      </c>
      <c r="C18">
        <v>5</v>
      </c>
    </row>
    <row r="19" spans="1:6" x14ac:dyDescent="0.25">
      <c r="A19">
        <v>3</v>
      </c>
      <c r="B19">
        <v>5</v>
      </c>
      <c r="C19">
        <v>4</v>
      </c>
      <c r="E19" s="2" t="s">
        <v>18</v>
      </c>
      <c r="F19" s="2"/>
    </row>
    <row r="20" spans="1:6" x14ac:dyDescent="0.25">
      <c r="A20">
        <v>2</v>
      </c>
      <c r="B20">
        <v>4</v>
      </c>
      <c r="C20">
        <v>2</v>
      </c>
      <c r="E20" t="s">
        <v>19</v>
      </c>
    </row>
    <row r="21" spans="1:6" x14ac:dyDescent="0.25">
      <c r="A21">
        <v>4</v>
      </c>
      <c r="B21">
        <v>3</v>
      </c>
      <c r="C21">
        <v>2</v>
      </c>
      <c r="E21" t="s">
        <v>15</v>
      </c>
      <c r="F21" s="6">
        <v>3</v>
      </c>
    </row>
    <row r="22" spans="1:6" x14ac:dyDescent="0.25">
      <c r="A22">
        <v>3</v>
      </c>
      <c r="B22">
        <v>1</v>
      </c>
      <c r="C22">
        <v>4</v>
      </c>
    </row>
    <row r="23" spans="1:6" x14ac:dyDescent="0.25">
      <c r="A23">
        <v>4</v>
      </c>
      <c r="B23">
        <v>2</v>
      </c>
      <c r="C23">
        <v>4</v>
      </c>
    </row>
    <row r="24" spans="1:6" x14ac:dyDescent="0.25">
      <c r="A24">
        <v>5</v>
      </c>
      <c r="B24">
        <v>5</v>
      </c>
      <c r="C24">
        <v>4</v>
      </c>
      <c r="E24" t="s">
        <v>0</v>
      </c>
      <c r="F24">
        <f>F21-1</f>
        <v>2</v>
      </c>
    </row>
    <row r="25" spans="1:6" x14ac:dyDescent="0.25">
      <c r="A25">
        <v>4</v>
      </c>
      <c r="B25">
        <v>3</v>
      </c>
      <c r="C25">
        <v>5</v>
      </c>
    </row>
    <row r="26" spans="1:6" x14ac:dyDescent="0.25">
      <c r="A26">
        <v>4</v>
      </c>
      <c r="B26">
        <v>3</v>
      </c>
      <c r="C26">
        <v>3</v>
      </c>
    </row>
    <row r="27" spans="1:6" x14ac:dyDescent="0.25">
      <c r="A27">
        <v>5</v>
      </c>
      <c r="B27">
        <v>3</v>
      </c>
      <c r="C27">
        <v>5</v>
      </c>
      <c r="E27" s="2" t="s">
        <v>20</v>
      </c>
      <c r="F27" s="2"/>
    </row>
    <row r="28" spans="1:6" x14ac:dyDescent="0.25">
      <c r="A28">
        <v>3</v>
      </c>
      <c r="B28">
        <v>1</v>
      </c>
      <c r="C28">
        <v>2</v>
      </c>
      <c r="E28" t="s">
        <v>21</v>
      </c>
    </row>
    <row r="29" spans="1:6" x14ac:dyDescent="0.25">
      <c r="A29">
        <v>3</v>
      </c>
      <c r="B29">
        <v>3</v>
      </c>
      <c r="C29">
        <v>4</v>
      </c>
    </row>
    <row r="30" spans="1:6" x14ac:dyDescent="0.25">
      <c r="A30">
        <v>2</v>
      </c>
      <c r="B30">
        <v>2</v>
      </c>
      <c r="C30">
        <v>2</v>
      </c>
    </row>
    <row r="31" spans="1:6" x14ac:dyDescent="0.25">
      <c r="A31">
        <v>2</v>
      </c>
      <c r="B31">
        <v>2</v>
      </c>
      <c r="C31">
        <v>3</v>
      </c>
    </row>
    <row r="32" spans="1:6" x14ac:dyDescent="0.25">
      <c r="A32">
        <v>5</v>
      </c>
      <c r="B32">
        <v>5</v>
      </c>
      <c r="C32">
        <v>3</v>
      </c>
    </row>
    <row r="33" spans="1:6" x14ac:dyDescent="0.25">
      <c r="A33">
        <v>3</v>
      </c>
      <c r="B33">
        <v>4</v>
      </c>
      <c r="C33">
        <v>3</v>
      </c>
      <c r="E33" t="s">
        <v>1</v>
      </c>
      <c r="F33">
        <f>F16/F24</f>
        <v>0.14776632302405585</v>
      </c>
    </row>
    <row r="34" spans="1:6" x14ac:dyDescent="0.25">
      <c r="A34">
        <v>4</v>
      </c>
      <c r="B34">
        <v>4</v>
      </c>
      <c r="C34">
        <v>4</v>
      </c>
    </row>
    <row r="35" spans="1:6" x14ac:dyDescent="0.25">
      <c r="A35">
        <v>4</v>
      </c>
      <c r="B35">
        <v>5</v>
      </c>
      <c r="C35">
        <v>5</v>
      </c>
    </row>
    <row r="36" spans="1:6" x14ac:dyDescent="0.25">
      <c r="A36">
        <v>4</v>
      </c>
      <c r="B36">
        <v>3</v>
      </c>
      <c r="C36">
        <v>3</v>
      </c>
      <c r="E36" s="2" t="s">
        <v>25</v>
      </c>
      <c r="F36" s="2"/>
    </row>
    <row r="37" spans="1:6" x14ac:dyDescent="0.25">
      <c r="A37">
        <v>2</v>
      </c>
      <c r="B37">
        <v>5</v>
      </c>
      <c r="C37">
        <v>2</v>
      </c>
      <c r="E37" t="s">
        <v>22</v>
      </c>
    </row>
    <row r="38" spans="1:6" x14ac:dyDescent="0.25">
      <c r="A38">
        <v>3</v>
      </c>
      <c r="B38">
        <v>1</v>
      </c>
      <c r="C38">
        <v>5</v>
      </c>
      <c r="E38" t="s">
        <v>23</v>
      </c>
    </row>
    <row r="39" spans="1:6" x14ac:dyDescent="0.25">
      <c r="A39">
        <v>2</v>
      </c>
      <c r="B39">
        <v>4</v>
      </c>
      <c r="C39">
        <v>5</v>
      </c>
    </row>
    <row r="40" spans="1:6" x14ac:dyDescent="0.25">
      <c r="A40">
        <v>3</v>
      </c>
      <c r="B40">
        <v>1</v>
      </c>
      <c r="C40">
        <v>2</v>
      </c>
    </row>
    <row r="41" spans="1:6" x14ac:dyDescent="0.25">
      <c r="A41">
        <v>3</v>
      </c>
      <c r="B41">
        <v>2</v>
      </c>
      <c r="C41">
        <v>2</v>
      </c>
    </row>
    <row r="42" spans="1:6" x14ac:dyDescent="0.25">
      <c r="A42">
        <v>2</v>
      </c>
      <c r="B42">
        <v>5</v>
      </c>
      <c r="C42">
        <v>1</v>
      </c>
    </row>
    <row r="43" spans="1:6" x14ac:dyDescent="0.25">
      <c r="A43">
        <v>4</v>
      </c>
      <c r="B43">
        <v>3</v>
      </c>
      <c r="C43">
        <v>3</v>
      </c>
      <c r="E43" t="s">
        <v>3</v>
      </c>
      <c r="F43">
        <f>DEVSQ(A:A)+DEVSQ(B:B)+DEVSQ(C:C)</f>
        <v>405.40206185567013</v>
      </c>
    </row>
    <row r="44" spans="1:6" x14ac:dyDescent="0.25">
      <c r="A44">
        <v>3</v>
      </c>
      <c r="B44">
        <v>2</v>
      </c>
      <c r="C44">
        <v>3</v>
      </c>
    </row>
    <row r="45" spans="1:6" x14ac:dyDescent="0.25">
      <c r="A45">
        <v>5</v>
      </c>
      <c r="B45">
        <v>5</v>
      </c>
      <c r="C45">
        <v>4</v>
      </c>
    </row>
    <row r="46" spans="1:6" x14ac:dyDescent="0.25">
      <c r="A46">
        <v>3</v>
      </c>
      <c r="B46">
        <v>4</v>
      </c>
      <c r="C46">
        <v>3</v>
      </c>
      <c r="E46" s="2" t="s">
        <v>24</v>
      </c>
      <c r="F46" s="2"/>
    </row>
    <row r="47" spans="1:6" x14ac:dyDescent="0.25">
      <c r="A47">
        <v>2</v>
      </c>
      <c r="B47">
        <v>4</v>
      </c>
      <c r="C47">
        <v>2</v>
      </c>
      <c r="E47" t="s">
        <v>26</v>
      </c>
      <c r="F47">
        <f>COUNT(A:A,B:B,C:C,#REF!)</f>
        <v>291</v>
      </c>
    </row>
    <row r="48" spans="1:6" x14ac:dyDescent="0.25">
      <c r="A48">
        <v>1</v>
      </c>
      <c r="B48">
        <v>2</v>
      </c>
      <c r="C48">
        <v>2</v>
      </c>
      <c r="E48" t="s">
        <v>15</v>
      </c>
      <c r="F48">
        <f>F21</f>
        <v>3</v>
      </c>
    </row>
    <row r="49" spans="1:6" x14ac:dyDescent="0.25">
      <c r="A49">
        <v>3</v>
      </c>
      <c r="B49">
        <v>3</v>
      </c>
      <c r="C49">
        <v>2</v>
      </c>
    </row>
    <row r="50" spans="1:6" x14ac:dyDescent="0.25">
      <c r="A50">
        <v>3</v>
      </c>
      <c r="B50">
        <v>2</v>
      </c>
      <c r="C50">
        <v>3</v>
      </c>
    </row>
    <row r="51" spans="1:6" x14ac:dyDescent="0.25">
      <c r="A51">
        <v>2</v>
      </c>
      <c r="B51">
        <v>3</v>
      </c>
      <c r="C51">
        <v>2</v>
      </c>
    </row>
    <row r="52" spans="1:6" x14ac:dyDescent="0.25">
      <c r="A52">
        <v>4</v>
      </c>
      <c r="B52">
        <v>3</v>
      </c>
      <c r="C52">
        <v>4</v>
      </c>
    </row>
    <row r="53" spans="1:6" x14ac:dyDescent="0.25">
      <c r="A53">
        <v>4</v>
      </c>
      <c r="B53">
        <v>1</v>
      </c>
      <c r="C53">
        <v>5</v>
      </c>
      <c r="E53" t="s">
        <v>4</v>
      </c>
      <c r="F53">
        <f>F47-F48</f>
        <v>288</v>
      </c>
    </row>
    <row r="54" spans="1:6" x14ac:dyDescent="0.25">
      <c r="A54">
        <v>2</v>
      </c>
      <c r="B54">
        <v>5</v>
      </c>
      <c r="C54">
        <v>3</v>
      </c>
    </row>
    <row r="55" spans="1:6" x14ac:dyDescent="0.25">
      <c r="A55">
        <v>5</v>
      </c>
      <c r="B55">
        <v>3</v>
      </c>
      <c r="C55">
        <v>3</v>
      </c>
    </row>
    <row r="56" spans="1:6" x14ac:dyDescent="0.25">
      <c r="A56">
        <v>1</v>
      </c>
      <c r="B56">
        <v>2</v>
      </c>
      <c r="C56">
        <v>3</v>
      </c>
      <c r="E56" s="2" t="s">
        <v>27</v>
      </c>
      <c r="F56" s="2"/>
    </row>
    <row r="57" spans="1:6" x14ac:dyDescent="0.25">
      <c r="A57">
        <v>1</v>
      </c>
      <c r="B57">
        <v>3</v>
      </c>
      <c r="C57">
        <v>3</v>
      </c>
      <c r="E57" t="s">
        <v>28</v>
      </c>
    </row>
    <row r="58" spans="1:6" x14ac:dyDescent="0.25">
      <c r="A58">
        <v>4</v>
      </c>
      <c r="B58">
        <v>2</v>
      </c>
      <c r="C58">
        <v>3</v>
      </c>
    </row>
    <row r="59" spans="1:6" x14ac:dyDescent="0.25">
      <c r="A59">
        <v>4</v>
      </c>
      <c r="B59">
        <v>1</v>
      </c>
      <c r="C59">
        <v>5</v>
      </c>
    </row>
    <row r="60" spans="1:6" x14ac:dyDescent="0.25">
      <c r="A60">
        <v>2</v>
      </c>
      <c r="B60">
        <v>5</v>
      </c>
      <c r="C60">
        <v>5</v>
      </c>
    </row>
    <row r="61" spans="1:6" x14ac:dyDescent="0.25">
      <c r="A61">
        <v>1</v>
      </c>
      <c r="B61">
        <v>4</v>
      </c>
      <c r="C61">
        <v>2</v>
      </c>
    </row>
    <row r="62" spans="1:6" x14ac:dyDescent="0.25">
      <c r="A62">
        <v>5</v>
      </c>
      <c r="B62">
        <v>2</v>
      </c>
      <c r="C62">
        <v>5</v>
      </c>
    </row>
    <row r="63" spans="1:6" x14ac:dyDescent="0.25">
      <c r="A63">
        <v>5</v>
      </c>
      <c r="B63">
        <v>2</v>
      </c>
      <c r="C63">
        <v>3</v>
      </c>
      <c r="E63" t="s">
        <v>5</v>
      </c>
      <c r="F63">
        <f>F43/F53</f>
        <v>1.4076460481099657</v>
      </c>
    </row>
    <row r="64" spans="1:6" x14ac:dyDescent="0.25">
      <c r="A64">
        <v>4</v>
      </c>
      <c r="B64">
        <v>2</v>
      </c>
      <c r="C64">
        <v>4</v>
      </c>
    </row>
    <row r="65" spans="1:6" x14ac:dyDescent="0.25">
      <c r="A65">
        <v>1</v>
      </c>
      <c r="B65">
        <v>2</v>
      </c>
      <c r="C65">
        <v>2</v>
      </c>
    </row>
    <row r="66" spans="1:6" x14ac:dyDescent="0.25">
      <c r="A66">
        <v>5</v>
      </c>
      <c r="B66">
        <v>3</v>
      </c>
      <c r="C66">
        <v>3</v>
      </c>
      <c r="E66" s="2" t="s">
        <v>29</v>
      </c>
      <c r="F66" s="2"/>
    </row>
    <row r="67" spans="1:6" x14ac:dyDescent="0.25">
      <c r="A67">
        <v>5</v>
      </c>
      <c r="B67">
        <v>2</v>
      </c>
      <c r="C67">
        <v>3</v>
      </c>
      <c r="E67" t="s">
        <v>30</v>
      </c>
    </row>
    <row r="68" spans="1:6" x14ac:dyDescent="0.25">
      <c r="A68">
        <v>3</v>
      </c>
      <c r="B68">
        <v>5</v>
      </c>
      <c r="C68">
        <v>4</v>
      </c>
      <c r="E68" t="s">
        <v>31</v>
      </c>
    </row>
    <row r="69" spans="1:6" x14ac:dyDescent="0.25">
      <c r="A69">
        <v>1</v>
      </c>
      <c r="B69">
        <v>3</v>
      </c>
      <c r="C69">
        <v>2</v>
      </c>
    </row>
    <row r="70" spans="1:6" x14ac:dyDescent="0.25">
      <c r="A70">
        <v>5</v>
      </c>
      <c r="B70">
        <v>2</v>
      </c>
      <c r="C70">
        <v>3</v>
      </c>
    </row>
    <row r="71" spans="1:6" x14ac:dyDescent="0.25">
      <c r="A71">
        <v>1</v>
      </c>
      <c r="B71">
        <v>3</v>
      </c>
      <c r="C71">
        <v>2</v>
      </c>
    </row>
    <row r="72" spans="1:6" x14ac:dyDescent="0.25">
      <c r="A72">
        <v>4</v>
      </c>
      <c r="B72">
        <v>1</v>
      </c>
      <c r="C72">
        <v>1</v>
      </c>
    </row>
    <row r="73" spans="1:6" x14ac:dyDescent="0.25">
      <c r="A73">
        <v>5</v>
      </c>
      <c r="B73">
        <v>3</v>
      </c>
      <c r="C73">
        <v>4</v>
      </c>
      <c r="E73" t="s">
        <v>2</v>
      </c>
      <c r="F73">
        <f>F33/F63</f>
        <v>0.10497406164174611</v>
      </c>
    </row>
    <row r="74" spans="1:6" x14ac:dyDescent="0.25">
      <c r="A74">
        <v>1</v>
      </c>
      <c r="B74">
        <v>2</v>
      </c>
      <c r="C74">
        <v>3</v>
      </c>
    </row>
    <row r="75" spans="1:6" x14ac:dyDescent="0.25">
      <c r="A75">
        <v>3</v>
      </c>
      <c r="B75">
        <v>3</v>
      </c>
      <c r="C75">
        <v>3</v>
      </c>
    </row>
    <row r="76" spans="1:6" x14ac:dyDescent="0.25">
      <c r="A76">
        <v>3</v>
      </c>
      <c r="B76">
        <v>5</v>
      </c>
      <c r="C76">
        <v>4</v>
      </c>
      <c r="E76" s="2" t="s">
        <v>34</v>
      </c>
      <c r="F76" s="2"/>
    </row>
    <row r="77" spans="1:6" x14ac:dyDescent="0.25">
      <c r="A77">
        <v>4</v>
      </c>
      <c r="B77">
        <v>3</v>
      </c>
      <c r="C77">
        <v>2</v>
      </c>
    </row>
    <row r="78" spans="1:6" x14ac:dyDescent="0.25">
      <c r="A78">
        <v>3</v>
      </c>
      <c r="B78">
        <v>3</v>
      </c>
      <c r="C78">
        <v>4</v>
      </c>
      <c r="E78" s="4" t="s">
        <v>32</v>
      </c>
      <c r="F78">
        <v>0.05</v>
      </c>
    </row>
    <row r="79" spans="1:6" x14ac:dyDescent="0.25">
      <c r="A79">
        <v>4</v>
      </c>
      <c r="B79">
        <v>3</v>
      </c>
      <c r="C79">
        <v>3</v>
      </c>
      <c r="E79" t="s">
        <v>0</v>
      </c>
      <c r="F79">
        <f xml:space="preserve"> F24</f>
        <v>2</v>
      </c>
    </row>
    <row r="80" spans="1:6" x14ac:dyDescent="0.25">
      <c r="A80">
        <v>3</v>
      </c>
      <c r="B80">
        <v>3</v>
      </c>
      <c r="C80">
        <v>3</v>
      </c>
      <c r="E80" t="s">
        <v>4</v>
      </c>
      <c r="F80">
        <f xml:space="preserve"> F53</f>
        <v>288</v>
      </c>
    </row>
    <row r="81" spans="1:6" x14ac:dyDescent="0.25">
      <c r="A81">
        <v>3</v>
      </c>
      <c r="B81">
        <v>4</v>
      </c>
      <c r="C81">
        <v>5</v>
      </c>
      <c r="E81" t="s">
        <v>33</v>
      </c>
      <c r="F81">
        <f>FINV(F78, F79, F80)</f>
        <v>3.0271106434326285</v>
      </c>
    </row>
    <row r="82" spans="1:6" x14ac:dyDescent="0.25">
      <c r="A82">
        <v>2</v>
      </c>
      <c r="B82">
        <v>3</v>
      </c>
      <c r="C82">
        <v>2</v>
      </c>
      <c r="E82" t="s">
        <v>35</v>
      </c>
      <c r="F82">
        <f>_xlfn.F.DIST.RT(F73, F79, F80)</f>
        <v>0.90038230917021345</v>
      </c>
    </row>
    <row r="83" spans="1:6" x14ac:dyDescent="0.25">
      <c r="A83">
        <v>1</v>
      </c>
      <c r="B83">
        <v>5</v>
      </c>
      <c r="C83">
        <v>2</v>
      </c>
    </row>
    <row r="84" spans="1:6" x14ac:dyDescent="0.25">
      <c r="A84">
        <v>3</v>
      </c>
      <c r="B84">
        <v>2</v>
      </c>
      <c r="C84">
        <v>1</v>
      </c>
      <c r="E84" s="2" t="s">
        <v>6</v>
      </c>
      <c r="F84" s="2"/>
    </row>
    <row r="85" spans="1:6" x14ac:dyDescent="0.25">
      <c r="A85">
        <v>3</v>
      </c>
      <c r="B85">
        <v>3</v>
      </c>
      <c r="C85">
        <v>3</v>
      </c>
    </row>
    <row r="86" spans="1:6" x14ac:dyDescent="0.25">
      <c r="A86">
        <v>3</v>
      </c>
      <c r="B86">
        <v>3</v>
      </c>
      <c r="C86">
        <v>3</v>
      </c>
      <c r="E86" t="s">
        <v>36</v>
      </c>
    </row>
    <row r="87" spans="1:6" x14ac:dyDescent="0.25">
      <c r="A87">
        <v>2</v>
      </c>
      <c r="B87">
        <v>4</v>
      </c>
      <c r="C87">
        <v>1</v>
      </c>
      <c r="E87" t="s">
        <v>37</v>
      </c>
    </row>
    <row r="88" spans="1:6" x14ac:dyDescent="0.25">
      <c r="A88">
        <v>5</v>
      </c>
      <c r="B88">
        <v>3</v>
      </c>
      <c r="C88">
        <v>2</v>
      </c>
    </row>
    <row r="89" spans="1:6" x14ac:dyDescent="0.25">
      <c r="A89">
        <v>3</v>
      </c>
      <c r="B89">
        <v>1</v>
      </c>
      <c r="C89">
        <v>4</v>
      </c>
      <c r="E89" t="str">
        <f>"Si F calculado ("&amp;F73&amp;") &gt; F critico ("&amp;F81&amp;") ---&gt; Se rechaza la hipotesis nula"</f>
        <v>Si F calculado (0.104974061641746) &gt; F critico (3.02711064343263) ---&gt; Se rechaza la hipotesis nula</v>
      </c>
    </row>
    <row r="90" spans="1:6" x14ac:dyDescent="0.25">
      <c r="A90">
        <v>5</v>
      </c>
      <c r="B90">
        <v>5</v>
      </c>
      <c r="C90">
        <v>3</v>
      </c>
      <c r="E90" t="str">
        <f>"Si p-valor ("&amp;F82&amp;") &lt; α Nivel Significancia ("&amp;F78&amp;") ---&gt; Se rechaza la hipotesis nula"</f>
        <v>Si p-valor (0.900382309170213) &lt; α Nivel Significancia (0.05) ---&gt; Se rechaza la hipotesis nula</v>
      </c>
    </row>
    <row r="91" spans="1:6" x14ac:dyDescent="0.25">
      <c r="A91">
        <v>2</v>
      </c>
      <c r="B91">
        <v>4</v>
      </c>
      <c r="C91">
        <v>4</v>
      </c>
    </row>
    <row r="92" spans="1:6" x14ac:dyDescent="0.25">
      <c r="A92">
        <v>1</v>
      </c>
      <c r="B92">
        <v>2</v>
      </c>
      <c r="C92">
        <v>3</v>
      </c>
    </row>
    <row r="93" spans="1:6" x14ac:dyDescent="0.25">
      <c r="A93">
        <v>3</v>
      </c>
      <c r="B93">
        <v>5</v>
      </c>
      <c r="C93">
        <v>2</v>
      </c>
    </row>
    <row r="94" spans="1:6" x14ac:dyDescent="0.25">
      <c r="A94">
        <v>4</v>
      </c>
      <c r="B94">
        <v>2</v>
      </c>
      <c r="C94">
        <v>3</v>
      </c>
    </row>
    <row r="95" spans="1:6" x14ac:dyDescent="0.25">
      <c r="A95">
        <v>3</v>
      </c>
      <c r="B95">
        <v>3</v>
      </c>
      <c r="C95">
        <v>5</v>
      </c>
    </row>
    <row r="96" spans="1:6" x14ac:dyDescent="0.25">
      <c r="A96">
        <v>3</v>
      </c>
      <c r="B96">
        <v>5</v>
      </c>
      <c r="C96">
        <v>2</v>
      </c>
    </row>
    <row r="97" spans="1:3" x14ac:dyDescent="0.25">
      <c r="A97">
        <v>5</v>
      </c>
      <c r="B97">
        <v>3</v>
      </c>
      <c r="C97">
        <v>1</v>
      </c>
    </row>
    <row r="98" spans="1:3" x14ac:dyDescent="0.25">
      <c r="A98">
        <v>3</v>
      </c>
      <c r="B98">
        <v>5</v>
      </c>
      <c r="C98">
        <v>4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Normal="100" workbookViewId="0">
      <selection activeCell="C98" sqref="A2:C98"/>
    </sheetView>
  </sheetViews>
  <sheetFormatPr baseColWidth="10" defaultColWidth="9.140625" defaultRowHeight="15" x14ac:dyDescent="0.25"/>
  <cols>
    <col min="1" max="1" width="15.7109375" customWidth="1"/>
    <col min="2" max="3" width="15.7109375" style="1" customWidth="1"/>
    <col min="5" max="5" width="47" bestFit="1" customWidth="1"/>
    <col min="6" max="6" width="11.85546875" bestFit="1" customWidth="1"/>
    <col min="7" max="7" width="17" customWidth="1"/>
    <col min="9" max="9" width="15.7109375" customWidth="1"/>
  </cols>
  <sheetData>
    <row r="1" spans="1:6" ht="60" x14ac:dyDescent="0.25">
      <c r="A1" s="5" t="s">
        <v>38</v>
      </c>
      <c r="B1" s="5" t="s">
        <v>39</v>
      </c>
      <c r="C1" s="5" t="s">
        <v>40</v>
      </c>
    </row>
    <row r="2" spans="1:6" x14ac:dyDescent="0.25">
      <c r="A2">
        <v>4</v>
      </c>
      <c r="B2">
        <v>4</v>
      </c>
      <c r="C2">
        <v>3</v>
      </c>
      <c r="E2" s="2" t="s">
        <v>12</v>
      </c>
      <c r="F2" s="2"/>
    </row>
    <row r="3" spans="1:6" x14ac:dyDescent="0.25">
      <c r="A3">
        <v>4</v>
      </c>
      <c r="B3">
        <v>4</v>
      </c>
      <c r="C3">
        <v>3</v>
      </c>
      <c r="E3" t="s">
        <v>13</v>
      </c>
      <c r="F3">
        <f>COUNT(A:A)</f>
        <v>97</v>
      </c>
    </row>
    <row r="4" spans="1:6" x14ac:dyDescent="0.25">
      <c r="A4">
        <v>3</v>
      </c>
      <c r="B4">
        <v>4</v>
      </c>
      <c r="C4">
        <v>5</v>
      </c>
      <c r="E4" t="s">
        <v>7</v>
      </c>
      <c r="F4">
        <f>AVERAGE(A:A)</f>
        <v>3.1546391752577319</v>
      </c>
    </row>
    <row r="5" spans="1:6" x14ac:dyDescent="0.25">
      <c r="A5">
        <v>3</v>
      </c>
      <c r="B5">
        <v>2</v>
      </c>
      <c r="C5">
        <v>3</v>
      </c>
      <c r="E5" t="s">
        <v>8</v>
      </c>
      <c r="F5">
        <f>AVERAGE(B:B)</f>
        <v>3.0927835051546393</v>
      </c>
    </row>
    <row r="6" spans="1:6" x14ac:dyDescent="0.25">
      <c r="A6">
        <v>5</v>
      </c>
      <c r="B6">
        <v>1</v>
      </c>
      <c r="C6">
        <v>4</v>
      </c>
      <c r="E6" t="s">
        <v>9</v>
      </c>
      <c r="F6">
        <f>AVERAGE(C:C)</f>
        <v>2.9587628865979383</v>
      </c>
    </row>
    <row r="7" spans="1:6" x14ac:dyDescent="0.25">
      <c r="A7">
        <v>3</v>
      </c>
      <c r="B7">
        <v>5</v>
      </c>
      <c r="C7">
        <v>2</v>
      </c>
      <c r="E7" t="s">
        <v>14</v>
      </c>
      <c r="F7">
        <f>AVERAGE(F4:F6)</f>
        <v>3.0687285223367695</v>
      </c>
    </row>
    <row r="8" spans="1:6" x14ac:dyDescent="0.25">
      <c r="A8">
        <v>4</v>
      </c>
      <c r="B8">
        <v>4</v>
      </c>
      <c r="C8">
        <v>4</v>
      </c>
    </row>
    <row r="9" spans="1:6" x14ac:dyDescent="0.25">
      <c r="A9">
        <v>3</v>
      </c>
      <c r="B9">
        <v>2</v>
      </c>
      <c r="C9">
        <v>3</v>
      </c>
    </row>
    <row r="10" spans="1:6" x14ac:dyDescent="0.25">
      <c r="A10">
        <v>5</v>
      </c>
      <c r="B10">
        <v>1</v>
      </c>
      <c r="C10">
        <v>2</v>
      </c>
      <c r="E10" s="2" t="s">
        <v>11</v>
      </c>
      <c r="F10" s="2"/>
    </row>
    <row r="11" spans="1:6" x14ac:dyDescent="0.25">
      <c r="A11">
        <v>4</v>
      </c>
      <c r="B11">
        <v>4</v>
      </c>
      <c r="C11">
        <v>4</v>
      </c>
      <c r="E11" s="3" t="s">
        <v>16</v>
      </c>
    </row>
    <row r="12" spans="1:6" x14ac:dyDescent="0.25">
      <c r="A12">
        <v>3</v>
      </c>
      <c r="B12">
        <v>2</v>
      </c>
      <c r="C12">
        <v>2</v>
      </c>
      <c r="E12" s="3" t="s">
        <v>17</v>
      </c>
    </row>
    <row r="13" spans="1:6" x14ac:dyDescent="0.25">
      <c r="A13">
        <v>3</v>
      </c>
      <c r="B13">
        <v>3</v>
      </c>
      <c r="C13">
        <v>2</v>
      </c>
    </row>
    <row r="14" spans="1:6" x14ac:dyDescent="0.25">
      <c r="A14">
        <v>3</v>
      </c>
      <c r="B14">
        <v>5</v>
      </c>
      <c r="C14">
        <v>5</v>
      </c>
    </row>
    <row r="15" spans="1:6" x14ac:dyDescent="0.25">
      <c r="A15">
        <v>1</v>
      </c>
      <c r="B15">
        <v>2</v>
      </c>
      <c r="C15">
        <v>5</v>
      </c>
    </row>
    <row r="16" spans="1:6" x14ac:dyDescent="0.25">
      <c r="A16">
        <v>3</v>
      </c>
      <c r="B16">
        <v>3</v>
      </c>
      <c r="C16">
        <v>5</v>
      </c>
      <c r="E16" t="s">
        <v>10</v>
      </c>
      <c r="F16">
        <f>F3*((F4-F7)^2+(F5-F7)^2+(F6-F7)^2)</f>
        <v>1.9450171821305799</v>
      </c>
    </row>
    <row r="17" spans="1:6" x14ac:dyDescent="0.25">
      <c r="A17">
        <v>1</v>
      </c>
      <c r="B17">
        <v>4</v>
      </c>
      <c r="C17">
        <v>5</v>
      </c>
    </row>
    <row r="18" spans="1:6" x14ac:dyDescent="0.25">
      <c r="A18">
        <v>5</v>
      </c>
      <c r="B18">
        <v>4</v>
      </c>
      <c r="C18">
        <v>3</v>
      </c>
    </row>
    <row r="19" spans="1:6" x14ac:dyDescent="0.25">
      <c r="A19">
        <v>1</v>
      </c>
      <c r="B19">
        <v>3</v>
      </c>
      <c r="C19">
        <v>1</v>
      </c>
      <c r="E19" s="2" t="s">
        <v>18</v>
      </c>
      <c r="F19" s="2"/>
    </row>
    <row r="20" spans="1:6" x14ac:dyDescent="0.25">
      <c r="A20">
        <v>4</v>
      </c>
      <c r="B20">
        <v>3</v>
      </c>
      <c r="C20">
        <v>3</v>
      </c>
      <c r="E20" t="s">
        <v>19</v>
      </c>
    </row>
    <row r="21" spans="1:6" x14ac:dyDescent="0.25">
      <c r="A21">
        <v>4</v>
      </c>
      <c r="B21">
        <v>3</v>
      </c>
      <c r="C21">
        <v>1</v>
      </c>
      <c r="E21" t="s">
        <v>15</v>
      </c>
      <c r="F21" s="6">
        <v>3</v>
      </c>
    </row>
    <row r="22" spans="1:6" x14ac:dyDescent="0.25">
      <c r="A22">
        <v>2</v>
      </c>
      <c r="B22">
        <v>2</v>
      </c>
      <c r="C22">
        <v>5</v>
      </c>
    </row>
    <row r="23" spans="1:6" x14ac:dyDescent="0.25">
      <c r="A23">
        <v>2</v>
      </c>
      <c r="B23">
        <v>5</v>
      </c>
      <c r="C23">
        <v>4</v>
      </c>
    </row>
    <row r="24" spans="1:6" x14ac:dyDescent="0.25">
      <c r="A24">
        <v>4</v>
      </c>
      <c r="B24">
        <v>3</v>
      </c>
      <c r="C24">
        <v>3</v>
      </c>
      <c r="E24" t="s">
        <v>0</v>
      </c>
      <c r="F24">
        <f>F21-1</f>
        <v>2</v>
      </c>
    </row>
    <row r="25" spans="1:6" x14ac:dyDescent="0.25">
      <c r="A25">
        <v>3</v>
      </c>
      <c r="B25">
        <v>3</v>
      </c>
      <c r="C25">
        <v>2</v>
      </c>
    </row>
    <row r="26" spans="1:6" x14ac:dyDescent="0.25">
      <c r="A26">
        <v>4</v>
      </c>
      <c r="B26">
        <v>4</v>
      </c>
      <c r="C26">
        <v>1</v>
      </c>
    </row>
    <row r="27" spans="1:6" x14ac:dyDescent="0.25">
      <c r="A27">
        <v>4</v>
      </c>
      <c r="B27">
        <v>1</v>
      </c>
      <c r="C27">
        <v>3</v>
      </c>
      <c r="E27" s="2" t="s">
        <v>20</v>
      </c>
      <c r="F27" s="2"/>
    </row>
    <row r="28" spans="1:6" x14ac:dyDescent="0.25">
      <c r="A28">
        <v>2</v>
      </c>
      <c r="B28">
        <v>5</v>
      </c>
      <c r="C28">
        <v>3</v>
      </c>
      <c r="E28" t="s">
        <v>21</v>
      </c>
    </row>
    <row r="29" spans="1:6" x14ac:dyDescent="0.25">
      <c r="A29">
        <v>2</v>
      </c>
      <c r="B29">
        <v>5</v>
      </c>
      <c r="C29">
        <v>2</v>
      </c>
    </row>
    <row r="30" spans="1:6" x14ac:dyDescent="0.25">
      <c r="A30">
        <v>3</v>
      </c>
      <c r="B30">
        <v>1</v>
      </c>
      <c r="C30">
        <v>5</v>
      </c>
    </row>
    <row r="31" spans="1:6" x14ac:dyDescent="0.25">
      <c r="A31">
        <v>3</v>
      </c>
      <c r="B31">
        <v>2</v>
      </c>
      <c r="C31">
        <v>1</v>
      </c>
    </row>
    <row r="32" spans="1:6" x14ac:dyDescent="0.25">
      <c r="A32">
        <v>5</v>
      </c>
      <c r="B32">
        <v>3</v>
      </c>
      <c r="C32">
        <v>3</v>
      </c>
    </row>
    <row r="33" spans="1:6" x14ac:dyDescent="0.25">
      <c r="A33">
        <v>3</v>
      </c>
      <c r="B33">
        <v>3</v>
      </c>
      <c r="C33">
        <v>3</v>
      </c>
      <c r="E33" t="s">
        <v>1</v>
      </c>
      <c r="F33">
        <f>F16/F24</f>
        <v>0.97250859106528997</v>
      </c>
    </row>
    <row r="34" spans="1:6" x14ac:dyDescent="0.25">
      <c r="A34">
        <v>4</v>
      </c>
      <c r="B34">
        <v>2</v>
      </c>
      <c r="C34">
        <v>5</v>
      </c>
    </row>
    <row r="35" spans="1:6" x14ac:dyDescent="0.25">
      <c r="A35">
        <v>3</v>
      </c>
      <c r="B35">
        <v>4</v>
      </c>
      <c r="C35">
        <v>3</v>
      </c>
    </row>
    <row r="36" spans="1:6" x14ac:dyDescent="0.25">
      <c r="A36">
        <v>3</v>
      </c>
      <c r="B36">
        <v>4</v>
      </c>
      <c r="C36">
        <v>4</v>
      </c>
      <c r="E36" s="2" t="s">
        <v>25</v>
      </c>
      <c r="F36" s="2"/>
    </row>
    <row r="37" spans="1:6" x14ac:dyDescent="0.25">
      <c r="A37">
        <v>4</v>
      </c>
      <c r="B37">
        <v>4</v>
      </c>
      <c r="C37">
        <v>3</v>
      </c>
      <c r="E37" t="s">
        <v>22</v>
      </c>
    </row>
    <row r="38" spans="1:6" x14ac:dyDescent="0.25">
      <c r="A38">
        <v>2</v>
      </c>
      <c r="B38">
        <v>4</v>
      </c>
      <c r="C38">
        <v>4</v>
      </c>
      <c r="E38" t="s">
        <v>23</v>
      </c>
    </row>
    <row r="39" spans="1:6" x14ac:dyDescent="0.25">
      <c r="A39">
        <v>2</v>
      </c>
      <c r="B39">
        <v>2</v>
      </c>
      <c r="C39">
        <v>2</v>
      </c>
    </row>
    <row r="40" spans="1:6" x14ac:dyDescent="0.25">
      <c r="A40">
        <v>5</v>
      </c>
      <c r="B40">
        <v>5</v>
      </c>
      <c r="C40">
        <v>4</v>
      </c>
    </row>
    <row r="41" spans="1:6" x14ac:dyDescent="0.25">
      <c r="A41">
        <v>3</v>
      </c>
      <c r="B41">
        <v>2</v>
      </c>
      <c r="C41">
        <v>5</v>
      </c>
    </row>
    <row r="42" spans="1:6" x14ac:dyDescent="0.25">
      <c r="A42">
        <v>4</v>
      </c>
      <c r="B42">
        <v>4</v>
      </c>
      <c r="C42">
        <v>1</v>
      </c>
    </row>
    <row r="43" spans="1:6" x14ac:dyDescent="0.25">
      <c r="A43">
        <v>2</v>
      </c>
      <c r="B43">
        <v>3</v>
      </c>
      <c r="C43">
        <v>3</v>
      </c>
      <c r="E43" t="s">
        <v>3</v>
      </c>
      <c r="F43">
        <f>DEVSQ(A:A)+DEVSQ(B:B)+DEVSQ(C:C)</f>
        <v>372.6804123711338</v>
      </c>
    </row>
    <row r="44" spans="1:6" x14ac:dyDescent="0.25">
      <c r="A44">
        <v>2</v>
      </c>
      <c r="B44">
        <v>2</v>
      </c>
      <c r="C44">
        <v>3</v>
      </c>
    </row>
    <row r="45" spans="1:6" x14ac:dyDescent="0.25">
      <c r="A45">
        <v>4</v>
      </c>
      <c r="B45">
        <v>1</v>
      </c>
      <c r="C45">
        <v>4</v>
      </c>
    </row>
    <row r="46" spans="1:6" x14ac:dyDescent="0.25">
      <c r="A46">
        <v>2</v>
      </c>
      <c r="B46">
        <v>4</v>
      </c>
      <c r="C46">
        <v>3</v>
      </c>
      <c r="E46" s="2" t="s">
        <v>24</v>
      </c>
      <c r="F46" s="2"/>
    </row>
    <row r="47" spans="1:6" x14ac:dyDescent="0.25">
      <c r="A47">
        <v>4</v>
      </c>
      <c r="B47">
        <v>3</v>
      </c>
      <c r="C47">
        <v>3</v>
      </c>
      <c r="E47" t="s">
        <v>26</v>
      </c>
      <c r="F47">
        <f>COUNT(A:A,B:B,C:C,#REF!)</f>
        <v>291</v>
      </c>
    </row>
    <row r="48" spans="1:6" x14ac:dyDescent="0.25">
      <c r="A48">
        <v>1</v>
      </c>
      <c r="B48">
        <v>3</v>
      </c>
      <c r="C48">
        <v>5</v>
      </c>
      <c r="E48" t="s">
        <v>15</v>
      </c>
      <c r="F48">
        <f>F21</f>
        <v>3</v>
      </c>
    </row>
    <row r="49" spans="1:6" x14ac:dyDescent="0.25">
      <c r="A49">
        <v>2</v>
      </c>
      <c r="B49">
        <v>4</v>
      </c>
      <c r="C49">
        <v>3</v>
      </c>
    </row>
    <row r="50" spans="1:6" x14ac:dyDescent="0.25">
      <c r="A50">
        <v>3</v>
      </c>
      <c r="B50">
        <v>2</v>
      </c>
      <c r="C50">
        <v>3</v>
      </c>
    </row>
    <row r="51" spans="1:6" x14ac:dyDescent="0.25">
      <c r="A51">
        <v>2</v>
      </c>
      <c r="B51">
        <v>2</v>
      </c>
      <c r="C51">
        <v>4</v>
      </c>
    </row>
    <row r="52" spans="1:6" x14ac:dyDescent="0.25">
      <c r="A52">
        <v>2</v>
      </c>
      <c r="B52">
        <v>4</v>
      </c>
      <c r="C52">
        <v>2</v>
      </c>
    </row>
    <row r="53" spans="1:6" x14ac:dyDescent="0.25">
      <c r="A53">
        <v>2</v>
      </c>
      <c r="B53">
        <v>4</v>
      </c>
      <c r="C53">
        <v>3</v>
      </c>
      <c r="E53" t="s">
        <v>4</v>
      </c>
      <c r="F53">
        <f>F47-F48</f>
        <v>288</v>
      </c>
    </row>
    <row r="54" spans="1:6" x14ac:dyDescent="0.25">
      <c r="A54">
        <v>3</v>
      </c>
      <c r="B54">
        <v>1</v>
      </c>
      <c r="C54">
        <v>2</v>
      </c>
    </row>
    <row r="55" spans="1:6" x14ac:dyDescent="0.25">
      <c r="A55">
        <v>3</v>
      </c>
      <c r="B55">
        <v>3</v>
      </c>
      <c r="C55">
        <v>3</v>
      </c>
    </row>
    <row r="56" spans="1:6" x14ac:dyDescent="0.25">
      <c r="A56">
        <v>4</v>
      </c>
      <c r="B56">
        <v>2</v>
      </c>
      <c r="C56">
        <v>3</v>
      </c>
      <c r="E56" s="2" t="s">
        <v>27</v>
      </c>
      <c r="F56" s="2"/>
    </row>
    <row r="57" spans="1:6" x14ac:dyDescent="0.25">
      <c r="A57">
        <v>2</v>
      </c>
      <c r="B57">
        <v>5</v>
      </c>
      <c r="C57">
        <v>3</v>
      </c>
      <c r="E57" t="s">
        <v>28</v>
      </c>
    </row>
    <row r="58" spans="1:6" x14ac:dyDescent="0.25">
      <c r="A58">
        <v>2</v>
      </c>
      <c r="B58">
        <v>2</v>
      </c>
      <c r="C58">
        <v>2</v>
      </c>
    </row>
    <row r="59" spans="1:6" x14ac:dyDescent="0.25">
      <c r="A59">
        <v>2</v>
      </c>
      <c r="B59">
        <v>3</v>
      </c>
      <c r="C59">
        <v>1</v>
      </c>
    </row>
    <row r="60" spans="1:6" x14ac:dyDescent="0.25">
      <c r="A60">
        <v>5</v>
      </c>
      <c r="B60">
        <v>3</v>
      </c>
      <c r="C60">
        <v>1</v>
      </c>
    </row>
    <row r="61" spans="1:6" x14ac:dyDescent="0.25">
      <c r="A61">
        <v>5</v>
      </c>
      <c r="B61">
        <v>4</v>
      </c>
      <c r="C61">
        <v>2</v>
      </c>
    </row>
    <row r="62" spans="1:6" x14ac:dyDescent="0.25">
      <c r="A62">
        <v>5</v>
      </c>
      <c r="B62">
        <v>3</v>
      </c>
      <c r="C62">
        <v>2</v>
      </c>
    </row>
    <row r="63" spans="1:6" x14ac:dyDescent="0.25">
      <c r="A63">
        <v>4</v>
      </c>
      <c r="B63">
        <v>3</v>
      </c>
      <c r="C63">
        <v>3</v>
      </c>
      <c r="E63" t="s">
        <v>5</v>
      </c>
      <c r="F63">
        <f>F43/F53</f>
        <v>1.2940292096219923</v>
      </c>
    </row>
    <row r="64" spans="1:6" x14ac:dyDescent="0.25">
      <c r="A64">
        <v>3</v>
      </c>
      <c r="B64">
        <v>2</v>
      </c>
      <c r="C64">
        <v>4</v>
      </c>
    </row>
    <row r="65" spans="1:6" x14ac:dyDescent="0.25">
      <c r="A65">
        <v>3</v>
      </c>
      <c r="B65">
        <v>4</v>
      </c>
      <c r="C65">
        <v>2</v>
      </c>
    </row>
    <row r="66" spans="1:6" x14ac:dyDescent="0.25">
      <c r="A66">
        <v>2</v>
      </c>
      <c r="B66">
        <v>2</v>
      </c>
      <c r="C66">
        <v>2</v>
      </c>
      <c r="E66" s="2" t="s">
        <v>29</v>
      </c>
      <c r="F66" s="2"/>
    </row>
    <row r="67" spans="1:6" x14ac:dyDescent="0.25">
      <c r="A67">
        <v>5</v>
      </c>
      <c r="B67">
        <v>3</v>
      </c>
      <c r="C67">
        <v>2</v>
      </c>
      <c r="E67" t="s">
        <v>30</v>
      </c>
    </row>
    <row r="68" spans="1:6" x14ac:dyDescent="0.25">
      <c r="A68">
        <v>3</v>
      </c>
      <c r="B68">
        <v>2</v>
      </c>
      <c r="C68">
        <v>4</v>
      </c>
      <c r="E68" t="s">
        <v>31</v>
      </c>
    </row>
    <row r="69" spans="1:6" x14ac:dyDescent="0.25">
      <c r="A69">
        <v>3</v>
      </c>
      <c r="B69">
        <v>4</v>
      </c>
      <c r="C69">
        <v>2</v>
      </c>
    </row>
    <row r="70" spans="1:6" x14ac:dyDescent="0.25">
      <c r="A70">
        <v>2</v>
      </c>
      <c r="B70">
        <v>4</v>
      </c>
      <c r="C70">
        <v>1</v>
      </c>
    </row>
    <row r="71" spans="1:6" x14ac:dyDescent="0.25">
      <c r="A71">
        <v>2</v>
      </c>
      <c r="B71">
        <v>5</v>
      </c>
      <c r="C71">
        <v>3</v>
      </c>
    </row>
    <row r="72" spans="1:6" x14ac:dyDescent="0.25">
      <c r="A72">
        <v>3</v>
      </c>
      <c r="B72">
        <v>2</v>
      </c>
      <c r="C72">
        <v>4</v>
      </c>
    </row>
    <row r="73" spans="1:6" x14ac:dyDescent="0.25">
      <c r="A73">
        <v>5</v>
      </c>
      <c r="B73">
        <v>4</v>
      </c>
      <c r="C73">
        <v>3</v>
      </c>
      <c r="E73" t="s">
        <v>2</v>
      </c>
      <c r="F73">
        <f>F33/F63</f>
        <v>0.75153526970954243</v>
      </c>
    </row>
    <row r="74" spans="1:6" x14ac:dyDescent="0.25">
      <c r="A74">
        <v>5</v>
      </c>
      <c r="B74">
        <v>3</v>
      </c>
      <c r="C74">
        <v>2</v>
      </c>
    </row>
    <row r="75" spans="1:6" x14ac:dyDescent="0.25">
      <c r="A75">
        <v>3</v>
      </c>
      <c r="B75">
        <v>5</v>
      </c>
      <c r="C75">
        <v>3</v>
      </c>
    </row>
    <row r="76" spans="1:6" x14ac:dyDescent="0.25">
      <c r="A76">
        <v>2</v>
      </c>
      <c r="B76">
        <v>3</v>
      </c>
      <c r="C76">
        <v>3</v>
      </c>
      <c r="E76" s="2" t="s">
        <v>34</v>
      </c>
      <c r="F76" s="2"/>
    </row>
    <row r="77" spans="1:6" x14ac:dyDescent="0.25">
      <c r="A77">
        <v>3</v>
      </c>
      <c r="B77">
        <v>4</v>
      </c>
      <c r="C77">
        <v>2</v>
      </c>
    </row>
    <row r="78" spans="1:6" x14ac:dyDescent="0.25">
      <c r="A78">
        <v>3</v>
      </c>
      <c r="B78">
        <v>3</v>
      </c>
      <c r="C78">
        <v>3</v>
      </c>
      <c r="E78" s="4" t="s">
        <v>32</v>
      </c>
      <c r="F78">
        <v>0.05</v>
      </c>
    </row>
    <row r="79" spans="1:6" x14ac:dyDescent="0.25">
      <c r="A79">
        <v>4</v>
      </c>
      <c r="B79">
        <v>5</v>
      </c>
      <c r="C79">
        <v>4</v>
      </c>
      <c r="E79" t="s">
        <v>0</v>
      </c>
      <c r="F79">
        <f xml:space="preserve"> F24</f>
        <v>2</v>
      </c>
    </row>
    <row r="80" spans="1:6" x14ac:dyDescent="0.25">
      <c r="A80">
        <v>5</v>
      </c>
      <c r="B80">
        <v>3</v>
      </c>
      <c r="C80">
        <v>4</v>
      </c>
      <c r="E80" t="s">
        <v>4</v>
      </c>
      <c r="F80">
        <f xml:space="preserve"> F53</f>
        <v>288</v>
      </c>
    </row>
    <row r="81" spans="1:6" x14ac:dyDescent="0.25">
      <c r="A81">
        <v>2</v>
      </c>
      <c r="B81">
        <v>1</v>
      </c>
      <c r="C81">
        <v>3</v>
      </c>
      <c r="E81" t="s">
        <v>33</v>
      </c>
      <c r="F81">
        <f>FINV(F78, F79, F80)</f>
        <v>3.0271106434326285</v>
      </c>
    </row>
    <row r="82" spans="1:6" x14ac:dyDescent="0.25">
      <c r="A82">
        <v>4</v>
      </c>
      <c r="B82">
        <v>2</v>
      </c>
      <c r="C82">
        <v>2</v>
      </c>
      <c r="E82" t="s">
        <v>35</v>
      </c>
      <c r="F82">
        <f>_xlfn.F.DIST.RT(F73, F79, F80)</f>
        <v>0.47256454549878246</v>
      </c>
    </row>
    <row r="83" spans="1:6" x14ac:dyDescent="0.25">
      <c r="A83">
        <v>2</v>
      </c>
      <c r="B83">
        <v>2</v>
      </c>
      <c r="C83">
        <v>5</v>
      </c>
    </row>
    <row r="84" spans="1:6" x14ac:dyDescent="0.25">
      <c r="A84">
        <v>3</v>
      </c>
      <c r="B84">
        <v>5</v>
      </c>
      <c r="C84">
        <v>3</v>
      </c>
      <c r="E84" s="2" t="s">
        <v>6</v>
      </c>
      <c r="F84" s="2"/>
    </row>
    <row r="85" spans="1:6" x14ac:dyDescent="0.25">
      <c r="A85">
        <v>1</v>
      </c>
      <c r="B85">
        <v>3</v>
      </c>
      <c r="C85">
        <v>3</v>
      </c>
    </row>
    <row r="86" spans="1:6" x14ac:dyDescent="0.25">
      <c r="A86">
        <v>1</v>
      </c>
      <c r="B86">
        <v>3</v>
      </c>
      <c r="C86">
        <v>4</v>
      </c>
      <c r="E86" t="s">
        <v>36</v>
      </c>
    </row>
    <row r="87" spans="1:6" x14ac:dyDescent="0.25">
      <c r="A87">
        <v>4</v>
      </c>
      <c r="B87">
        <v>4</v>
      </c>
      <c r="C87">
        <v>3</v>
      </c>
      <c r="E87" t="s">
        <v>37</v>
      </c>
    </row>
    <row r="88" spans="1:6" x14ac:dyDescent="0.25">
      <c r="A88">
        <v>4</v>
      </c>
      <c r="B88">
        <v>3</v>
      </c>
      <c r="C88">
        <v>1</v>
      </c>
    </row>
    <row r="89" spans="1:6" x14ac:dyDescent="0.25">
      <c r="A89">
        <v>4</v>
      </c>
      <c r="B89">
        <v>2</v>
      </c>
      <c r="C89">
        <v>3</v>
      </c>
      <c r="E89" t="str">
        <f>"Si F calculado ("&amp;F73&amp;") &gt; F critico ("&amp;F81&amp;") ---&gt; Se rechaza la hipotesis nula"</f>
        <v>Si F calculado (0.751535269709542) &gt; F critico (3.02711064343263) ---&gt; Se rechaza la hipotesis nula</v>
      </c>
    </row>
    <row r="90" spans="1:6" x14ac:dyDescent="0.25">
      <c r="A90">
        <v>3</v>
      </c>
      <c r="B90">
        <v>3</v>
      </c>
      <c r="C90">
        <v>3</v>
      </c>
      <c r="E90" t="str">
        <f>"Si p-valor ("&amp;F82&amp;") &lt; α Nivel Significancia ("&amp;F78&amp;") ---&gt; Se rechaza la hipotesis nula"</f>
        <v>Si p-valor (0.472564545498782) &lt; α Nivel Significancia (0.05) ---&gt; Se rechaza la hipotesis nula</v>
      </c>
    </row>
    <row r="91" spans="1:6" x14ac:dyDescent="0.25">
      <c r="A91">
        <v>4</v>
      </c>
      <c r="B91">
        <v>5</v>
      </c>
      <c r="C91">
        <v>1</v>
      </c>
    </row>
    <row r="92" spans="1:6" x14ac:dyDescent="0.25">
      <c r="A92">
        <v>5</v>
      </c>
      <c r="B92">
        <v>3</v>
      </c>
      <c r="C92">
        <v>3</v>
      </c>
    </row>
    <row r="93" spans="1:6" x14ac:dyDescent="0.25">
      <c r="A93">
        <v>4</v>
      </c>
      <c r="B93">
        <v>2</v>
      </c>
      <c r="C93">
        <v>2</v>
      </c>
    </row>
    <row r="94" spans="1:6" x14ac:dyDescent="0.25">
      <c r="A94">
        <v>3</v>
      </c>
      <c r="B94">
        <v>2</v>
      </c>
      <c r="C94">
        <v>3</v>
      </c>
    </row>
    <row r="95" spans="1:6" x14ac:dyDescent="0.25">
      <c r="A95">
        <v>3</v>
      </c>
      <c r="B95">
        <v>5</v>
      </c>
      <c r="C95">
        <v>2</v>
      </c>
    </row>
    <row r="96" spans="1:6" x14ac:dyDescent="0.25">
      <c r="A96">
        <v>3</v>
      </c>
      <c r="B96">
        <v>2</v>
      </c>
      <c r="C96">
        <v>4</v>
      </c>
    </row>
    <row r="97" spans="1:3" x14ac:dyDescent="0.25">
      <c r="A97">
        <v>3</v>
      </c>
      <c r="B97">
        <v>2</v>
      </c>
      <c r="C97">
        <v>2</v>
      </c>
    </row>
    <row r="98" spans="1:3" x14ac:dyDescent="0.25">
      <c r="A98">
        <v>3</v>
      </c>
      <c r="B98">
        <v>1</v>
      </c>
      <c r="C98">
        <v>3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Normal="100" workbookViewId="0">
      <selection activeCell="C98" sqref="A2:C98"/>
    </sheetView>
  </sheetViews>
  <sheetFormatPr baseColWidth="10" defaultColWidth="9.140625" defaultRowHeight="15" x14ac:dyDescent="0.25"/>
  <cols>
    <col min="1" max="1" width="15.7109375" customWidth="1"/>
    <col min="2" max="3" width="15.7109375" style="1" customWidth="1"/>
    <col min="5" max="5" width="47" bestFit="1" customWidth="1"/>
    <col min="6" max="6" width="11.85546875" bestFit="1" customWidth="1"/>
    <col min="7" max="7" width="17" customWidth="1"/>
    <col min="9" max="9" width="15.7109375" customWidth="1"/>
  </cols>
  <sheetData>
    <row r="1" spans="1:6" ht="60" x14ac:dyDescent="0.25">
      <c r="A1" s="5" t="s">
        <v>38</v>
      </c>
      <c r="B1" s="5" t="s">
        <v>39</v>
      </c>
      <c r="C1" s="5" t="s">
        <v>40</v>
      </c>
    </row>
    <row r="2" spans="1:6" x14ac:dyDescent="0.25">
      <c r="A2">
        <v>3</v>
      </c>
      <c r="B2">
        <v>3</v>
      </c>
      <c r="C2">
        <v>1</v>
      </c>
      <c r="E2" s="2" t="s">
        <v>12</v>
      </c>
      <c r="F2" s="2"/>
    </row>
    <row r="3" spans="1:6" x14ac:dyDescent="0.25">
      <c r="A3">
        <v>4</v>
      </c>
      <c r="B3">
        <v>2</v>
      </c>
      <c r="C3">
        <v>1</v>
      </c>
      <c r="E3" t="s">
        <v>13</v>
      </c>
      <c r="F3">
        <f>COUNT(A:A)</f>
        <v>97</v>
      </c>
    </row>
    <row r="4" spans="1:6" x14ac:dyDescent="0.25">
      <c r="A4">
        <v>3</v>
      </c>
      <c r="B4">
        <v>5</v>
      </c>
      <c r="C4">
        <v>3</v>
      </c>
      <c r="E4" t="s">
        <v>7</v>
      </c>
      <c r="F4">
        <f>AVERAGE(A:A)</f>
        <v>2.9793814432989691</v>
      </c>
    </row>
    <row r="5" spans="1:6" x14ac:dyDescent="0.25">
      <c r="A5">
        <v>3</v>
      </c>
      <c r="B5">
        <v>5</v>
      </c>
      <c r="C5">
        <v>3</v>
      </c>
      <c r="E5" t="s">
        <v>8</v>
      </c>
      <c r="F5">
        <f>AVERAGE(B:B)</f>
        <v>2.9587628865979383</v>
      </c>
    </row>
    <row r="6" spans="1:6" x14ac:dyDescent="0.25">
      <c r="A6">
        <v>3</v>
      </c>
      <c r="B6">
        <v>4</v>
      </c>
      <c r="C6">
        <v>1</v>
      </c>
      <c r="E6" t="s">
        <v>9</v>
      </c>
      <c r="F6">
        <f>AVERAGE(C:C)</f>
        <v>3.0206185567010309</v>
      </c>
    </row>
    <row r="7" spans="1:6" x14ac:dyDescent="0.25">
      <c r="A7">
        <v>3</v>
      </c>
      <c r="B7">
        <v>2</v>
      </c>
      <c r="C7">
        <v>3</v>
      </c>
      <c r="E7" t="s">
        <v>14</v>
      </c>
      <c r="F7">
        <f>AVERAGE(F4:F6)</f>
        <v>2.9862542955326461</v>
      </c>
    </row>
    <row r="8" spans="1:6" x14ac:dyDescent="0.25">
      <c r="A8">
        <v>3</v>
      </c>
      <c r="B8">
        <v>4</v>
      </c>
      <c r="C8">
        <v>4</v>
      </c>
    </row>
    <row r="9" spans="1:6" x14ac:dyDescent="0.25">
      <c r="A9">
        <v>3</v>
      </c>
      <c r="B9">
        <v>3</v>
      </c>
      <c r="C9">
        <v>1</v>
      </c>
    </row>
    <row r="10" spans="1:6" x14ac:dyDescent="0.25">
      <c r="A10">
        <v>4</v>
      </c>
      <c r="B10">
        <v>3</v>
      </c>
      <c r="C10">
        <v>4</v>
      </c>
      <c r="E10" s="2" t="s">
        <v>11</v>
      </c>
      <c r="F10" s="2"/>
    </row>
    <row r="11" spans="1:6" x14ac:dyDescent="0.25">
      <c r="A11">
        <v>3</v>
      </c>
      <c r="B11">
        <v>3</v>
      </c>
      <c r="C11">
        <v>4</v>
      </c>
      <c r="E11" s="3" t="s">
        <v>16</v>
      </c>
    </row>
    <row r="12" spans="1:6" x14ac:dyDescent="0.25">
      <c r="A12">
        <v>5</v>
      </c>
      <c r="B12">
        <v>5</v>
      </c>
      <c r="C12">
        <v>3</v>
      </c>
      <c r="E12" s="3" t="s">
        <v>17</v>
      </c>
    </row>
    <row r="13" spans="1:6" x14ac:dyDescent="0.25">
      <c r="A13">
        <v>3</v>
      </c>
      <c r="B13">
        <v>5</v>
      </c>
      <c r="C13">
        <v>2</v>
      </c>
    </row>
    <row r="14" spans="1:6" x14ac:dyDescent="0.25">
      <c r="A14">
        <v>1</v>
      </c>
      <c r="B14">
        <v>4</v>
      </c>
      <c r="C14">
        <v>3</v>
      </c>
    </row>
    <row r="15" spans="1:6" x14ac:dyDescent="0.25">
      <c r="A15">
        <v>2</v>
      </c>
      <c r="B15">
        <v>3</v>
      </c>
      <c r="C15">
        <v>1</v>
      </c>
    </row>
    <row r="16" spans="1:6" x14ac:dyDescent="0.25">
      <c r="A16">
        <v>2</v>
      </c>
      <c r="B16">
        <v>3</v>
      </c>
      <c r="C16">
        <v>3</v>
      </c>
      <c r="E16" t="s">
        <v>10</v>
      </c>
      <c r="F16">
        <f>F3*((F4-F7)^2+(F5-F7)^2+(F6-F7)^2)</f>
        <v>0.19243986254295395</v>
      </c>
    </row>
    <row r="17" spans="1:6" x14ac:dyDescent="0.25">
      <c r="A17">
        <v>3</v>
      </c>
      <c r="B17">
        <v>3</v>
      </c>
      <c r="C17">
        <v>5</v>
      </c>
    </row>
    <row r="18" spans="1:6" x14ac:dyDescent="0.25">
      <c r="A18">
        <v>2</v>
      </c>
      <c r="B18">
        <v>3</v>
      </c>
      <c r="C18">
        <v>3</v>
      </c>
    </row>
    <row r="19" spans="1:6" x14ac:dyDescent="0.25">
      <c r="A19">
        <v>3</v>
      </c>
      <c r="B19">
        <v>4</v>
      </c>
      <c r="C19">
        <v>3</v>
      </c>
      <c r="E19" s="2" t="s">
        <v>18</v>
      </c>
      <c r="F19" s="2"/>
    </row>
    <row r="20" spans="1:6" x14ac:dyDescent="0.25">
      <c r="A20">
        <v>4</v>
      </c>
      <c r="B20">
        <v>3</v>
      </c>
      <c r="C20">
        <v>3</v>
      </c>
      <c r="E20" t="s">
        <v>19</v>
      </c>
    </row>
    <row r="21" spans="1:6" x14ac:dyDescent="0.25">
      <c r="A21">
        <v>5</v>
      </c>
      <c r="B21">
        <v>4</v>
      </c>
      <c r="C21">
        <v>5</v>
      </c>
      <c r="E21" t="s">
        <v>15</v>
      </c>
      <c r="F21" s="6">
        <v>3</v>
      </c>
    </row>
    <row r="22" spans="1:6" x14ac:dyDescent="0.25">
      <c r="A22">
        <v>2</v>
      </c>
      <c r="B22">
        <v>2</v>
      </c>
      <c r="C22">
        <v>3</v>
      </c>
    </row>
    <row r="23" spans="1:6" x14ac:dyDescent="0.25">
      <c r="A23">
        <v>3</v>
      </c>
      <c r="B23">
        <v>5</v>
      </c>
      <c r="C23">
        <v>5</v>
      </c>
    </row>
    <row r="24" spans="1:6" x14ac:dyDescent="0.25">
      <c r="A24">
        <v>3</v>
      </c>
      <c r="B24">
        <v>4</v>
      </c>
      <c r="C24">
        <v>3</v>
      </c>
      <c r="E24" t="s">
        <v>0</v>
      </c>
      <c r="F24">
        <f>F21-1</f>
        <v>2</v>
      </c>
    </row>
    <row r="25" spans="1:6" x14ac:dyDescent="0.25">
      <c r="A25">
        <v>4</v>
      </c>
      <c r="B25">
        <v>2</v>
      </c>
      <c r="C25">
        <v>4</v>
      </c>
    </row>
    <row r="26" spans="1:6" x14ac:dyDescent="0.25">
      <c r="A26">
        <v>5</v>
      </c>
      <c r="B26">
        <v>4</v>
      </c>
      <c r="C26">
        <v>3</v>
      </c>
    </row>
    <row r="27" spans="1:6" x14ac:dyDescent="0.25">
      <c r="A27">
        <v>2</v>
      </c>
      <c r="B27">
        <v>3</v>
      </c>
      <c r="C27">
        <v>3</v>
      </c>
      <c r="E27" s="2" t="s">
        <v>20</v>
      </c>
      <c r="F27" s="2"/>
    </row>
    <row r="28" spans="1:6" x14ac:dyDescent="0.25">
      <c r="A28">
        <v>2</v>
      </c>
      <c r="B28">
        <v>3</v>
      </c>
      <c r="C28">
        <v>3</v>
      </c>
      <c r="E28" t="s">
        <v>21</v>
      </c>
    </row>
    <row r="29" spans="1:6" x14ac:dyDescent="0.25">
      <c r="A29">
        <v>2</v>
      </c>
      <c r="B29">
        <v>3</v>
      </c>
      <c r="C29">
        <v>4</v>
      </c>
    </row>
    <row r="30" spans="1:6" x14ac:dyDescent="0.25">
      <c r="A30">
        <v>2</v>
      </c>
      <c r="B30">
        <v>1</v>
      </c>
      <c r="C30">
        <v>3</v>
      </c>
    </row>
    <row r="31" spans="1:6" x14ac:dyDescent="0.25">
      <c r="A31">
        <v>4</v>
      </c>
      <c r="B31">
        <v>3</v>
      </c>
      <c r="C31">
        <v>3</v>
      </c>
    </row>
    <row r="32" spans="1:6" x14ac:dyDescent="0.25">
      <c r="A32">
        <v>3</v>
      </c>
      <c r="B32">
        <v>1</v>
      </c>
      <c r="C32">
        <v>4</v>
      </c>
    </row>
    <row r="33" spans="1:6" x14ac:dyDescent="0.25">
      <c r="A33">
        <v>4</v>
      </c>
      <c r="B33">
        <v>3</v>
      </c>
      <c r="C33">
        <v>3</v>
      </c>
      <c r="E33" t="s">
        <v>1</v>
      </c>
      <c r="F33">
        <f>F16/F24</f>
        <v>9.6219931271476974E-2</v>
      </c>
    </row>
    <row r="34" spans="1:6" x14ac:dyDescent="0.25">
      <c r="A34">
        <v>3</v>
      </c>
      <c r="B34">
        <v>3</v>
      </c>
      <c r="C34">
        <v>2</v>
      </c>
    </row>
    <row r="35" spans="1:6" x14ac:dyDescent="0.25">
      <c r="A35">
        <v>3</v>
      </c>
      <c r="B35">
        <v>3</v>
      </c>
      <c r="C35">
        <v>3</v>
      </c>
    </row>
    <row r="36" spans="1:6" x14ac:dyDescent="0.25">
      <c r="A36">
        <v>2</v>
      </c>
      <c r="B36">
        <v>3</v>
      </c>
      <c r="C36">
        <v>3</v>
      </c>
      <c r="E36" s="2" t="s">
        <v>25</v>
      </c>
      <c r="F36" s="2"/>
    </row>
    <row r="37" spans="1:6" x14ac:dyDescent="0.25">
      <c r="A37">
        <v>1</v>
      </c>
      <c r="B37">
        <v>4</v>
      </c>
      <c r="C37">
        <v>2</v>
      </c>
      <c r="E37" t="s">
        <v>22</v>
      </c>
    </row>
    <row r="38" spans="1:6" x14ac:dyDescent="0.25">
      <c r="A38">
        <v>3</v>
      </c>
      <c r="B38">
        <v>3</v>
      </c>
      <c r="C38">
        <v>5</v>
      </c>
      <c r="E38" t="s">
        <v>23</v>
      </c>
    </row>
    <row r="39" spans="1:6" x14ac:dyDescent="0.25">
      <c r="A39">
        <v>3</v>
      </c>
      <c r="B39">
        <v>2</v>
      </c>
      <c r="C39">
        <v>3</v>
      </c>
    </row>
    <row r="40" spans="1:6" x14ac:dyDescent="0.25">
      <c r="A40">
        <v>2</v>
      </c>
      <c r="B40">
        <v>2</v>
      </c>
      <c r="C40">
        <v>2</v>
      </c>
    </row>
    <row r="41" spans="1:6" x14ac:dyDescent="0.25">
      <c r="A41">
        <v>4</v>
      </c>
      <c r="B41">
        <v>3</v>
      </c>
      <c r="C41">
        <v>1</v>
      </c>
    </row>
    <row r="42" spans="1:6" x14ac:dyDescent="0.25">
      <c r="A42">
        <v>2</v>
      </c>
      <c r="B42">
        <v>5</v>
      </c>
      <c r="C42">
        <v>2</v>
      </c>
    </row>
    <row r="43" spans="1:6" x14ac:dyDescent="0.25">
      <c r="A43">
        <v>2</v>
      </c>
      <c r="B43">
        <v>1</v>
      </c>
      <c r="C43">
        <v>4</v>
      </c>
      <c r="E43" t="s">
        <v>3</v>
      </c>
      <c r="F43">
        <f>DEVSQ(A:A)+DEVSQ(B:B)+DEVSQ(C:C)</f>
        <v>331.75257731958783</v>
      </c>
    </row>
    <row r="44" spans="1:6" x14ac:dyDescent="0.25">
      <c r="A44">
        <v>2</v>
      </c>
      <c r="B44">
        <v>2</v>
      </c>
      <c r="C44">
        <v>1</v>
      </c>
    </row>
    <row r="45" spans="1:6" x14ac:dyDescent="0.25">
      <c r="A45">
        <v>5</v>
      </c>
      <c r="B45">
        <v>2</v>
      </c>
      <c r="C45">
        <v>4</v>
      </c>
    </row>
    <row r="46" spans="1:6" x14ac:dyDescent="0.25">
      <c r="A46">
        <v>3</v>
      </c>
      <c r="B46">
        <v>2</v>
      </c>
      <c r="C46">
        <v>3</v>
      </c>
      <c r="E46" s="2" t="s">
        <v>24</v>
      </c>
      <c r="F46" s="2"/>
    </row>
    <row r="47" spans="1:6" x14ac:dyDescent="0.25">
      <c r="A47">
        <v>2</v>
      </c>
      <c r="B47">
        <v>2</v>
      </c>
      <c r="C47">
        <v>5</v>
      </c>
      <c r="E47" t="s">
        <v>26</v>
      </c>
      <c r="F47">
        <f>COUNT(A:A,B:B,C:C,#REF!)</f>
        <v>291</v>
      </c>
    </row>
    <row r="48" spans="1:6" x14ac:dyDescent="0.25">
      <c r="A48">
        <v>3</v>
      </c>
      <c r="B48">
        <v>4</v>
      </c>
      <c r="C48">
        <v>3</v>
      </c>
      <c r="E48" t="s">
        <v>15</v>
      </c>
      <c r="F48">
        <f>F21</f>
        <v>3</v>
      </c>
    </row>
    <row r="49" spans="1:6" x14ac:dyDescent="0.25">
      <c r="A49">
        <v>2</v>
      </c>
      <c r="B49">
        <v>2</v>
      </c>
      <c r="C49">
        <v>4</v>
      </c>
    </row>
    <row r="50" spans="1:6" x14ac:dyDescent="0.25">
      <c r="A50">
        <v>2</v>
      </c>
      <c r="B50">
        <v>2</v>
      </c>
      <c r="C50">
        <v>2</v>
      </c>
    </row>
    <row r="51" spans="1:6" x14ac:dyDescent="0.25">
      <c r="A51">
        <v>4</v>
      </c>
      <c r="B51">
        <v>1</v>
      </c>
      <c r="C51">
        <v>4</v>
      </c>
    </row>
    <row r="52" spans="1:6" x14ac:dyDescent="0.25">
      <c r="A52">
        <v>3</v>
      </c>
      <c r="B52">
        <v>1</v>
      </c>
      <c r="C52">
        <v>1</v>
      </c>
    </row>
    <row r="53" spans="1:6" x14ac:dyDescent="0.25">
      <c r="A53">
        <v>2</v>
      </c>
      <c r="B53">
        <v>5</v>
      </c>
      <c r="C53">
        <v>3</v>
      </c>
      <c r="E53" t="s">
        <v>4</v>
      </c>
      <c r="F53">
        <f>F47-F48</f>
        <v>288</v>
      </c>
    </row>
    <row r="54" spans="1:6" x14ac:dyDescent="0.25">
      <c r="A54">
        <v>3</v>
      </c>
      <c r="B54">
        <v>3</v>
      </c>
      <c r="C54">
        <v>4</v>
      </c>
    </row>
    <row r="55" spans="1:6" x14ac:dyDescent="0.25">
      <c r="A55">
        <v>3</v>
      </c>
      <c r="B55">
        <v>2</v>
      </c>
      <c r="C55">
        <v>5</v>
      </c>
    </row>
    <row r="56" spans="1:6" x14ac:dyDescent="0.25">
      <c r="A56">
        <v>1</v>
      </c>
      <c r="B56">
        <v>3</v>
      </c>
      <c r="C56">
        <v>2</v>
      </c>
      <c r="E56" s="2" t="s">
        <v>27</v>
      </c>
      <c r="F56" s="2"/>
    </row>
    <row r="57" spans="1:6" x14ac:dyDescent="0.25">
      <c r="A57">
        <v>2</v>
      </c>
      <c r="B57">
        <v>3</v>
      </c>
      <c r="C57">
        <v>2</v>
      </c>
      <c r="E57" t="s">
        <v>28</v>
      </c>
    </row>
    <row r="58" spans="1:6" x14ac:dyDescent="0.25">
      <c r="A58">
        <v>3</v>
      </c>
      <c r="B58">
        <v>3</v>
      </c>
      <c r="C58">
        <v>3</v>
      </c>
    </row>
    <row r="59" spans="1:6" x14ac:dyDescent="0.25">
      <c r="A59">
        <v>2</v>
      </c>
      <c r="B59">
        <v>3</v>
      </c>
      <c r="C59">
        <v>3</v>
      </c>
    </row>
    <row r="60" spans="1:6" x14ac:dyDescent="0.25">
      <c r="A60">
        <v>3</v>
      </c>
      <c r="B60">
        <v>4</v>
      </c>
      <c r="C60">
        <v>3</v>
      </c>
    </row>
    <row r="61" spans="1:6" x14ac:dyDescent="0.25">
      <c r="A61">
        <v>4</v>
      </c>
      <c r="B61">
        <v>2</v>
      </c>
      <c r="C61">
        <v>2</v>
      </c>
    </row>
    <row r="62" spans="1:6" x14ac:dyDescent="0.25">
      <c r="A62">
        <v>1</v>
      </c>
      <c r="B62">
        <v>3</v>
      </c>
      <c r="C62">
        <v>4</v>
      </c>
    </row>
    <row r="63" spans="1:6" x14ac:dyDescent="0.25">
      <c r="A63">
        <v>3</v>
      </c>
      <c r="B63">
        <v>4</v>
      </c>
      <c r="C63">
        <v>3</v>
      </c>
      <c r="E63" t="s">
        <v>5</v>
      </c>
      <c r="F63">
        <f>F43/F53</f>
        <v>1.1519186712485689</v>
      </c>
    </row>
    <row r="64" spans="1:6" x14ac:dyDescent="0.25">
      <c r="A64">
        <v>2</v>
      </c>
      <c r="B64">
        <v>2</v>
      </c>
      <c r="C64">
        <v>3</v>
      </c>
    </row>
    <row r="65" spans="1:6" x14ac:dyDescent="0.25">
      <c r="A65">
        <v>1</v>
      </c>
      <c r="B65">
        <v>2</v>
      </c>
      <c r="C65">
        <v>2</v>
      </c>
    </row>
    <row r="66" spans="1:6" x14ac:dyDescent="0.25">
      <c r="A66">
        <v>2</v>
      </c>
      <c r="B66">
        <v>2</v>
      </c>
      <c r="C66">
        <v>2</v>
      </c>
      <c r="E66" s="2" t="s">
        <v>29</v>
      </c>
      <c r="F66" s="2"/>
    </row>
    <row r="67" spans="1:6" x14ac:dyDescent="0.25">
      <c r="A67">
        <v>4</v>
      </c>
      <c r="B67">
        <v>3</v>
      </c>
      <c r="C67">
        <v>2</v>
      </c>
      <c r="E67" t="s">
        <v>30</v>
      </c>
    </row>
    <row r="68" spans="1:6" x14ac:dyDescent="0.25">
      <c r="A68">
        <v>3</v>
      </c>
      <c r="B68">
        <v>1</v>
      </c>
      <c r="C68">
        <v>2</v>
      </c>
      <c r="E68" t="s">
        <v>31</v>
      </c>
    </row>
    <row r="69" spans="1:6" x14ac:dyDescent="0.25">
      <c r="A69">
        <v>2</v>
      </c>
      <c r="B69">
        <v>3</v>
      </c>
      <c r="C69">
        <v>3</v>
      </c>
    </row>
    <row r="70" spans="1:6" x14ac:dyDescent="0.25">
      <c r="A70">
        <v>3</v>
      </c>
      <c r="B70">
        <v>3</v>
      </c>
      <c r="C70">
        <v>3</v>
      </c>
    </row>
    <row r="71" spans="1:6" x14ac:dyDescent="0.25">
      <c r="A71">
        <v>2</v>
      </c>
      <c r="B71">
        <v>1</v>
      </c>
      <c r="C71">
        <v>3</v>
      </c>
    </row>
    <row r="72" spans="1:6" x14ac:dyDescent="0.25">
      <c r="A72">
        <v>5</v>
      </c>
      <c r="B72">
        <v>3</v>
      </c>
      <c r="C72">
        <v>4</v>
      </c>
    </row>
    <row r="73" spans="1:6" x14ac:dyDescent="0.25">
      <c r="A73">
        <v>5</v>
      </c>
      <c r="B73">
        <v>4</v>
      </c>
      <c r="C73">
        <v>4</v>
      </c>
      <c r="E73" t="s">
        <v>2</v>
      </c>
      <c r="F73">
        <f>F33/F63</f>
        <v>8.353014294592849E-2</v>
      </c>
    </row>
    <row r="74" spans="1:6" x14ac:dyDescent="0.25">
      <c r="A74">
        <v>1</v>
      </c>
      <c r="B74">
        <v>2</v>
      </c>
      <c r="C74">
        <v>3</v>
      </c>
    </row>
    <row r="75" spans="1:6" x14ac:dyDescent="0.25">
      <c r="A75">
        <v>2</v>
      </c>
      <c r="B75">
        <v>3</v>
      </c>
      <c r="C75">
        <v>3</v>
      </c>
    </row>
    <row r="76" spans="1:6" x14ac:dyDescent="0.25">
      <c r="A76">
        <v>3</v>
      </c>
      <c r="B76">
        <v>4</v>
      </c>
      <c r="C76">
        <v>5</v>
      </c>
      <c r="E76" s="2" t="s">
        <v>34</v>
      </c>
      <c r="F76" s="2"/>
    </row>
    <row r="77" spans="1:6" x14ac:dyDescent="0.25">
      <c r="A77">
        <v>4</v>
      </c>
      <c r="B77">
        <v>1</v>
      </c>
      <c r="C77">
        <v>3</v>
      </c>
    </row>
    <row r="78" spans="1:6" x14ac:dyDescent="0.25">
      <c r="A78">
        <v>3</v>
      </c>
      <c r="B78">
        <v>4</v>
      </c>
      <c r="C78">
        <v>4</v>
      </c>
      <c r="E78" s="4" t="s">
        <v>32</v>
      </c>
      <c r="F78">
        <v>0.05</v>
      </c>
    </row>
    <row r="79" spans="1:6" x14ac:dyDescent="0.25">
      <c r="A79">
        <v>3</v>
      </c>
      <c r="B79">
        <v>5</v>
      </c>
      <c r="C79">
        <v>3</v>
      </c>
      <c r="E79" t="s">
        <v>0</v>
      </c>
      <c r="F79">
        <f xml:space="preserve"> F24</f>
        <v>2</v>
      </c>
    </row>
    <row r="80" spans="1:6" x14ac:dyDescent="0.25">
      <c r="A80">
        <v>3</v>
      </c>
      <c r="B80">
        <v>3</v>
      </c>
      <c r="C80">
        <v>5</v>
      </c>
      <c r="E80" t="s">
        <v>4</v>
      </c>
      <c r="F80">
        <f xml:space="preserve"> F53</f>
        <v>288</v>
      </c>
    </row>
    <row r="81" spans="1:6" x14ac:dyDescent="0.25">
      <c r="A81">
        <v>2</v>
      </c>
      <c r="B81">
        <v>5</v>
      </c>
      <c r="C81">
        <v>2</v>
      </c>
      <c r="E81" t="s">
        <v>33</v>
      </c>
      <c r="F81">
        <f>FINV(F78, F79, F80)</f>
        <v>3.0271106434326285</v>
      </c>
    </row>
    <row r="82" spans="1:6" x14ac:dyDescent="0.25">
      <c r="A82">
        <v>4</v>
      </c>
      <c r="B82">
        <v>3</v>
      </c>
      <c r="C82">
        <v>5</v>
      </c>
      <c r="E82" t="s">
        <v>35</v>
      </c>
      <c r="F82">
        <f>_xlfn.F.DIST.RT(F73, F79, F80)</f>
        <v>0.91988563575557936</v>
      </c>
    </row>
    <row r="83" spans="1:6" x14ac:dyDescent="0.25">
      <c r="A83">
        <v>4</v>
      </c>
      <c r="B83">
        <v>3</v>
      </c>
      <c r="C83">
        <v>4</v>
      </c>
    </row>
    <row r="84" spans="1:6" x14ac:dyDescent="0.25">
      <c r="A84">
        <v>3</v>
      </c>
      <c r="B84">
        <v>4</v>
      </c>
      <c r="C84">
        <v>4</v>
      </c>
      <c r="E84" s="2" t="s">
        <v>6</v>
      </c>
      <c r="F84" s="2"/>
    </row>
    <row r="85" spans="1:6" x14ac:dyDescent="0.25">
      <c r="A85">
        <v>3</v>
      </c>
      <c r="B85">
        <v>3</v>
      </c>
      <c r="C85">
        <v>4</v>
      </c>
    </row>
    <row r="86" spans="1:6" x14ac:dyDescent="0.25">
      <c r="A86">
        <v>3</v>
      </c>
      <c r="B86">
        <v>3</v>
      </c>
      <c r="C86">
        <v>3</v>
      </c>
      <c r="E86" t="s">
        <v>36</v>
      </c>
    </row>
    <row r="87" spans="1:6" x14ac:dyDescent="0.25">
      <c r="A87">
        <v>5</v>
      </c>
      <c r="B87">
        <v>4</v>
      </c>
      <c r="C87">
        <v>2</v>
      </c>
      <c r="E87" t="s">
        <v>37</v>
      </c>
    </row>
    <row r="88" spans="1:6" x14ac:dyDescent="0.25">
      <c r="A88">
        <v>4</v>
      </c>
      <c r="B88">
        <v>1</v>
      </c>
      <c r="C88">
        <v>2</v>
      </c>
    </row>
    <row r="89" spans="1:6" x14ac:dyDescent="0.25">
      <c r="A89">
        <v>3</v>
      </c>
      <c r="B89">
        <v>2</v>
      </c>
      <c r="C89">
        <v>4</v>
      </c>
      <c r="E89" t="str">
        <f>"Si F calculado ("&amp;F73&amp;") &gt; F critico ("&amp;F81&amp;") ---&gt; Se rechaza la hipotesis nula"</f>
        <v>Si F calculado (0.0835301429459285) &gt; F critico (3.02711064343263) ---&gt; Se rechaza la hipotesis nula</v>
      </c>
    </row>
    <row r="90" spans="1:6" x14ac:dyDescent="0.25">
      <c r="A90">
        <v>3</v>
      </c>
      <c r="B90">
        <v>3</v>
      </c>
      <c r="C90">
        <v>4</v>
      </c>
      <c r="E90" t="str">
        <f>"Si p-valor ("&amp;F82&amp;") &lt; α Nivel Significancia ("&amp;F78&amp;") ---&gt; Se rechaza la hipotesis nula"</f>
        <v>Si p-valor (0.919885635755579) &lt; α Nivel Significancia (0.05) ---&gt; Se rechaza la hipotesis nula</v>
      </c>
    </row>
    <row r="91" spans="1:6" x14ac:dyDescent="0.25">
      <c r="A91">
        <v>5</v>
      </c>
      <c r="B91">
        <v>2</v>
      </c>
      <c r="C91">
        <v>1</v>
      </c>
    </row>
    <row r="92" spans="1:6" x14ac:dyDescent="0.25">
      <c r="A92">
        <v>4</v>
      </c>
      <c r="B92">
        <v>2</v>
      </c>
      <c r="C92">
        <v>3</v>
      </c>
    </row>
    <row r="93" spans="1:6" x14ac:dyDescent="0.25">
      <c r="A93">
        <v>5</v>
      </c>
      <c r="B93">
        <v>2</v>
      </c>
      <c r="C93">
        <v>2</v>
      </c>
    </row>
    <row r="94" spans="1:6" x14ac:dyDescent="0.25">
      <c r="A94">
        <v>4</v>
      </c>
      <c r="B94">
        <v>3</v>
      </c>
      <c r="C94">
        <v>2</v>
      </c>
    </row>
    <row r="95" spans="1:6" x14ac:dyDescent="0.25">
      <c r="A95">
        <v>3</v>
      </c>
      <c r="B95">
        <v>4</v>
      </c>
      <c r="C95">
        <v>4</v>
      </c>
    </row>
    <row r="96" spans="1:6" x14ac:dyDescent="0.25">
      <c r="A96">
        <v>2</v>
      </c>
      <c r="B96">
        <v>2</v>
      </c>
      <c r="C96">
        <v>3</v>
      </c>
    </row>
    <row r="97" spans="1:3" x14ac:dyDescent="0.25">
      <c r="A97">
        <v>5</v>
      </c>
      <c r="B97">
        <v>4</v>
      </c>
      <c r="C97">
        <v>2</v>
      </c>
    </row>
    <row r="98" spans="1:3" x14ac:dyDescent="0.25">
      <c r="A98">
        <v>3</v>
      </c>
      <c r="B98">
        <v>4</v>
      </c>
      <c r="C98">
        <v>3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zoomScaleNormal="100" workbookViewId="0">
      <selection activeCell="J20" sqref="J20"/>
    </sheetView>
  </sheetViews>
  <sheetFormatPr baseColWidth="10" defaultColWidth="9.140625" defaultRowHeight="15" x14ac:dyDescent="0.25"/>
  <cols>
    <col min="1" max="1" width="15.7109375" customWidth="1"/>
    <col min="2" max="3" width="15.7109375" style="1" customWidth="1"/>
    <col min="5" max="5" width="47" bestFit="1" customWidth="1"/>
    <col min="6" max="6" width="11.85546875" bestFit="1" customWidth="1"/>
    <col min="7" max="7" width="17" customWidth="1"/>
    <col min="9" max="9" width="15.7109375" customWidth="1"/>
  </cols>
  <sheetData>
    <row r="1" spans="1:6" ht="60" x14ac:dyDescent="0.25">
      <c r="A1" s="5" t="s">
        <v>38</v>
      </c>
      <c r="B1" s="5" t="s">
        <v>39</v>
      </c>
      <c r="C1" s="5" t="s">
        <v>40</v>
      </c>
    </row>
    <row r="2" spans="1:6" x14ac:dyDescent="0.25">
      <c r="A2">
        <v>4</v>
      </c>
      <c r="B2">
        <v>3</v>
      </c>
      <c r="C2">
        <v>3</v>
      </c>
      <c r="E2" s="2" t="s">
        <v>12</v>
      </c>
      <c r="F2" s="2"/>
    </row>
    <row r="3" spans="1:6" x14ac:dyDescent="0.25">
      <c r="A3">
        <v>4</v>
      </c>
      <c r="B3">
        <v>3</v>
      </c>
      <c r="C3">
        <v>4</v>
      </c>
      <c r="E3" t="s">
        <v>13</v>
      </c>
      <c r="F3">
        <f>COUNT(A:A)</f>
        <v>97</v>
      </c>
    </row>
    <row r="4" spans="1:6" x14ac:dyDescent="0.25">
      <c r="A4">
        <v>2</v>
      </c>
      <c r="B4">
        <v>5</v>
      </c>
      <c r="C4">
        <v>2</v>
      </c>
      <c r="E4" t="s">
        <v>7</v>
      </c>
      <c r="F4">
        <f>AVERAGE(A:A)</f>
        <v>3.0309278350515463</v>
      </c>
    </row>
    <row r="5" spans="1:6" x14ac:dyDescent="0.25">
      <c r="A5">
        <v>3</v>
      </c>
      <c r="B5">
        <v>5</v>
      </c>
      <c r="C5">
        <v>1</v>
      </c>
      <c r="E5" t="s">
        <v>8</v>
      </c>
      <c r="F5">
        <f>AVERAGE(B:B)</f>
        <v>2.9278350515463916</v>
      </c>
    </row>
    <row r="6" spans="1:6" x14ac:dyDescent="0.25">
      <c r="A6">
        <v>3</v>
      </c>
      <c r="B6">
        <v>2</v>
      </c>
      <c r="C6">
        <v>3</v>
      </c>
      <c r="E6" t="s">
        <v>9</v>
      </c>
      <c r="F6">
        <f>AVERAGE(C:C)</f>
        <v>2.9484536082474229</v>
      </c>
    </row>
    <row r="7" spans="1:6" x14ac:dyDescent="0.25">
      <c r="A7">
        <v>2</v>
      </c>
      <c r="B7">
        <v>3</v>
      </c>
      <c r="C7">
        <v>3</v>
      </c>
      <c r="E7" t="s">
        <v>14</v>
      </c>
      <c r="F7">
        <f>AVERAGE(F4:F6)</f>
        <v>2.9690721649484537</v>
      </c>
    </row>
    <row r="8" spans="1:6" x14ac:dyDescent="0.25">
      <c r="A8">
        <v>4</v>
      </c>
      <c r="B8">
        <v>3</v>
      </c>
      <c r="C8">
        <v>3</v>
      </c>
    </row>
    <row r="9" spans="1:6" x14ac:dyDescent="0.25">
      <c r="A9">
        <v>3</v>
      </c>
      <c r="B9">
        <v>1</v>
      </c>
      <c r="C9">
        <v>2</v>
      </c>
    </row>
    <row r="10" spans="1:6" x14ac:dyDescent="0.25">
      <c r="A10">
        <v>3</v>
      </c>
      <c r="B10">
        <v>2</v>
      </c>
      <c r="C10">
        <v>3</v>
      </c>
      <c r="E10" s="2" t="s">
        <v>11</v>
      </c>
      <c r="F10" s="2"/>
    </row>
    <row r="11" spans="1:6" x14ac:dyDescent="0.25">
      <c r="A11">
        <v>1</v>
      </c>
      <c r="B11">
        <v>3</v>
      </c>
      <c r="C11">
        <v>3</v>
      </c>
      <c r="E11" s="3" t="s">
        <v>16</v>
      </c>
    </row>
    <row r="12" spans="1:6" x14ac:dyDescent="0.25">
      <c r="A12">
        <v>1</v>
      </c>
      <c r="B12">
        <v>3</v>
      </c>
      <c r="C12">
        <v>2</v>
      </c>
      <c r="E12" s="3" t="s">
        <v>17</v>
      </c>
    </row>
    <row r="13" spans="1:6" x14ac:dyDescent="0.25">
      <c r="A13">
        <v>4</v>
      </c>
      <c r="B13">
        <v>5</v>
      </c>
      <c r="C13">
        <v>4</v>
      </c>
    </row>
    <row r="14" spans="1:6" x14ac:dyDescent="0.25">
      <c r="A14">
        <v>4</v>
      </c>
      <c r="B14">
        <v>4</v>
      </c>
      <c r="C14">
        <v>3</v>
      </c>
    </row>
    <row r="15" spans="1:6" x14ac:dyDescent="0.25">
      <c r="A15">
        <v>5</v>
      </c>
      <c r="B15">
        <v>3</v>
      </c>
      <c r="C15">
        <v>5</v>
      </c>
    </row>
    <row r="16" spans="1:6" x14ac:dyDescent="0.25">
      <c r="A16">
        <v>5</v>
      </c>
      <c r="B16">
        <v>4</v>
      </c>
      <c r="C16">
        <v>3</v>
      </c>
      <c r="E16" t="s">
        <v>10</v>
      </c>
      <c r="F16">
        <f>F3*((F4-F7)^2+(F5-F7)^2+(F6-F7)^2)</f>
        <v>0.57731958762886548</v>
      </c>
    </row>
    <row r="17" spans="1:6" x14ac:dyDescent="0.25">
      <c r="A17">
        <v>2</v>
      </c>
      <c r="B17">
        <v>4</v>
      </c>
      <c r="C17">
        <v>3</v>
      </c>
    </row>
    <row r="18" spans="1:6" x14ac:dyDescent="0.25">
      <c r="A18">
        <v>3</v>
      </c>
      <c r="B18">
        <v>2</v>
      </c>
      <c r="C18">
        <v>3</v>
      </c>
    </row>
    <row r="19" spans="1:6" x14ac:dyDescent="0.25">
      <c r="A19">
        <v>3</v>
      </c>
      <c r="B19">
        <v>2</v>
      </c>
      <c r="C19">
        <v>3</v>
      </c>
      <c r="E19" s="2" t="s">
        <v>18</v>
      </c>
      <c r="F19" s="2"/>
    </row>
    <row r="20" spans="1:6" x14ac:dyDescent="0.25">
      <c r="A20">
        <v>4</v>
      </c>
      <c r="B20">
        <v>3</v>
      </c>
      <c r="C20">
        <v>4</v>
      </c>
      <c r="E20" t="s">
        <v>19</v>
      </c>
    </row>
    <row r="21" spans="1:6" x14ac:dyDescent="0.25">
      <c r="A21">
        <v>3</v>
      </c>
      <c r="B21">
        <v>5</v>
      </c>
      <c r="C21">
        <v>2</v>
      </c>
      <c r="E21" t="s">
        <v>15</v>
      </c>
      <c r="F21" s="6">
        <v>3</v>
      </c>
    </row>
    <row r="22" spans="1:6" x14ac:dyDescent="0.25">
      <c r="A22">
        <v>2</v>
      </c>
      <c r="B22">
        <v>1</v>
      </c>
      <c r="C22">
        <v>2</v>
      </c>
    </row>
    <row r="23" spans="1:6" x14ac:dyDescent="0.25">
      <c r="A23">
        <v>3</v>
      </c>
      <c r="B23">
        <v>2</v>
      </c>
      <c r="C23">
        <v>3</v>
      </c>
    </row>
    <row r="24" spans="1:6" x14ac:dyDescent="0.25">
      <c r="A24">
        <v>1</v>
      </c>
      <c r="B24">
        <v>3</v>
      </c>
      <c r="C24">
        <v>4</v>
      </c>
      <c r="E24" t="s">
        <v>0</v>
      </c>
      <c r="F24">
        <f>F21-1</f>
        <v>2</v>
      </c>
    </row>
    <row r="25" spans="1:6" x14ac:dyDescent="0.25">
      <c r="A25">
        <v>3</v>
      </c>
      <c r="B25">
        <v>3</v>
      </c>
      <c r="C25">
        <v>2</v>
      </c>
    </row>
    <row r="26" spans="1:6" x14ac:dyDescent="0.25">
      <c r="A26">
        <v>3</v>
      </c>
      <c r="B26">
        <v>4</v>
      </c>
      <c r="C26">
        <v>4</v>
      </c>
    </row>
    <row r="27" spans="1:6" x14ac:dyDescent="0.25">
      <c r="A27">
        <v>4</v>
      </c>
      <c r="B27">
        <v>1</v>
      </c>
      <c r="C27">
        <v>4</v>
      </c>
      <c r="E27" s="2" t="s">
        <v>20</v>
      </c>
      <c r="F27" s="2"/>
    </row>
    <row r="28" spans="1:6" x14ac:dyDescent="0.25">
      <c r="A28">
        <v>3</v>
      </c>
      <c r="B28">
        <v>1</v>
      </c>
      <c r="C28">
        <v>1</v>
      </c>
      <c r="E28" t="s">
        <v>21</v>
      </c>
    </row>
    <row r="29" spans="1:6" x14ac:dyDescent="0.25">
      <c r="A29">
        <v>3</v>
      </c>
      <c r="B29">
        <v>4</v>
      </c>
      <c r="C29">
        <v>3</v>
      </c>
    </row>
    <row r="30" spans="1:6" x14ac:dyDescent="0.25">
      <c r="A30">
        <v>3</v>
      </c>
      <c r="B30">
        <v>1</v>
      </c>
      <c r="C30">
        <v>1</v>
      </c>
    </row>
    <row r="31" spans="1:6" x14ac:dyDescent="0.25">
      <c r="A31">
        <v>3</v>
      </c>
      <c r="B31">
        <v>1</v>
      </c>
      <c r="C31">
        <v>3</v>
      </c>
    </row>
    <row r="32" spans="1:6" x14ac:dyDescent="0.25">
      <c r="A32">
        <v>5</v>
      </c>
      <c r="B32">
        <v>4</v>
      </c>
      <c r="C32">
        <v>3</v>
      </c>
    </row>
    <row r="33" spans="1:6" x14ac:dyDescent="0.25">
      <c r="A33">
        <v>3</v>
      </c>
      <c r="B33">
        <v>2</v>
      </c>
      <c r="C33">
        <v>5</v>
      </c>
      <c r="E33" t="s">
        <v>1</v>
      </c>
      <c r="F33">
        <f>F16/F24</f>
        <v>0.28865979381443274</v>
      </c>
    </row>
    <row r="34" spans="1:6" x14ac:dyDescent="0.25">
      <c r="A34">
        <v>1</v>
      </c>
      <c r="B34">
        <v>3</v>
      </c>
      <c r="C34">
        <v>3</v>
      </c>
    </row>
    <row r="35" spans="1:6" x14ac:dyDescent="0.25">
      <c r="A35">
        <v>5</v>
      </c>
      <c r="B35">
        <v>3</v>
      </c>
      <c r="C35">
        <v>1</v>
      </c>
    </row>
    <row r="36" spans="1:6" x14ac:dyDescent="0.25">
      <c r="A36">
        <v>1</v>
      </c>
      <c r="B36">
        <v>5</v>
      </c>
      <c r="C36">
        <v>5</v>
      </c>
      <c r="E36" s="2" t="s">
        <v>25</v>
      </c>
      <c r="F36" s="2"/>
    </row>
    <row r="37" spans="1:6" x14ac:dyDescent="0.25">
      <c r="A37">
        <v>3</v>
      </c>
      <c r="B37">
        <v>2</v>
      </c>
      <c r="C37">
        <v>3</v>
      </c>
      <c r="E37" t="s">
        <v>22</v>
      </c>
    </row>
    <row r="38" spans="1:6" x14ac:dyDescent="0.25">
      <c r="A38">
        <v>2</v>
      </c>
      <c r="B38">
        <v>5</v>
      </c>
      <c r="C38">
        <v>3</v>
      </c>
      <c r="E38" t="s">
        <v>23</v>
      </c>
    </row>
    <row r="39" spans="1:6" x14ac:dyDescent="0.25">
      <c r="A39">
        <v>2</v>
      </c>
      <c r="B39">
        <v>2</v>
      </c>
      <c r="C39">
        <v>4</v>
      </c>
    </row>
    <row r="40" spans="1:6" x14ac:dyDescent="0.25">
      <c r="A40">
        <v>3</v>
      </c>
      <c r="B40">
        <v>5</v>
      </c>
      <c r="C40">
        <v>4</v>
      </c>
    </row>
    <row r="41" spans="1:6" x14ac:dyDescent="0.25">
      <c r="A41">
        <v>2</v>
      </c>
      <c r="B41">
        <v>3</v>
      </c>
      <c r="C41">
        <v>2</v>
      </c>
    </row>
    <row r="42" spans="1:6" x14ac:dyDescent="0.25">
      <c r="A42">
        <v>4</v>
      </c>
      <c r="B42">
        <v>3</v>
      </c>
      <c r="C42">
        <v>2</v>
      </c>
    </row>
    <row r="43" spans="1:6" x14ac:dyDescent="0.25">
      <c r="A43">
        <v>4</v>
      </c>
      <c r="B43">
        <v>1</v>
      </c>
      <c r="C43">
        <v>2</v>
      </c>
      <c r="E43" t="s">
        <v>3</v>
      </c>
      <c r="F43">
        <f>DEVSQ(A:A)+DEVSQ(B:B)+DEVSQ(C:C)</f>
        <v>344.14432989690698</v>
      </c>
    </row>
    <row r="44" spans="1:6" x14ac:dyDescent="0.25">
      <c r="A44">
        <v>3</v>
      </c>
      <c r="B44">
        <v>3</v>
      </c>
      <c r="C44">
        <v>5</v>
      </c>
    </row>
    <row r="45" spans="1:6" x14ac:dyDescent="0.25">
      <c r="A45">
        <v>4</v>
      </c>
      <c r="B45">
        <v>5</v>
      </c>
      <c r="C45">
        <v>4</v>
      </c>
    </row>
    <row r="46" spans="1:6" x14ac:dyDescent="0.25">
      <c r="A46">
        <v>3</v>
      </c>
      <c r="B46">
        <v>3</v>
      </c>
      <c r="C46">
        <v>4</v>
      </c>
      <c r="E46" s="2" t="s">
        <v>24</v>
      </c>
      <c r="F46" s="2"/>
    </row>
    <row r="47" spans="1:6" x14ac:dyDescent="0.25">
      <c r="A47">
        <v>1</v>
      </c>
      <c r="B47">
        <v>3</v>
      </c>
      <c r="C47">
        <v>3</v>
      </c>
      <c r="E47" t="s">
        <v>26</v>
      </c>
      <c r="F47">
        <f>COUNT(A:A,B:B,C:C,#REF!)</f>
        <v>291</v>
      </c>
    </row>
    <row r="48" spans="1:6" x14ac:dyDescent="0.25">
      <c r="A48">
        <v>2</v>
      </c>
      <c r="B48">
        <v>1</v>
      </c>
      <c r="C48">
        <v>4</v>
      </c>
      <c r="E48" t="s">
        <v>15</v>
      </c>
      <c r="F48">
        <f>F21</f>
        <v>3</v>
      </c>
    </row>
    <row r="49" spans="1:6" x14ac:dyDescent="0.25">
      <c r="A49">
        <v>3</v>
      </c>
      <c r="B49">
        <v>2</v>
      </c>
      <c r="C49">
        <v>2</v>
      </c>
    </row>
    <row r="50" spans="1:6" x14ac:dyDescent="0.25">
      <c r="A50">
        <v>5</v>
      </c>
      <c r="B50">
        <v>4</v>
      </c>
      <c r="C50">
        <v>3</v>
      </c>
    </row>
    <row r="51" spans="1:6" x14ac:dyDescent="0.25">
      <c r="A51">
        <v>3</v>
      </c>
      <c r="B51">
        <v>3</v>
      </c>
      <c r="C51">
        <v>5</v>
      </c>
    </row>
    <row r="52" spans="1:6" x14ac:dyDescent="0.25">
      <c r="A52">
        <v>1</v>
      </c>
      <c r="B52">
        <v>4</v>
      </c>
      <c r="C52">
        <v>3</v>
      </c>
    </row>
    <row r="53" spans="1:6" x14ac:dyDescent="0.25">
      <c r="A53">
        <v>5</v>
      </c>
      <c r="B53">
        <v>3</v>
      </c>
      <c r="C53">
        <v>3</v>
      </c>
      <c r="E53" t="s">
        <v>4</v>
      </c>
      <c r="F53">
        <f>F47-F48</f>
        <v>288</v>
      </c>
    </row>
    <row r="54" spans="1:6" x14ac:dyDescent="0.25">
      <c r="A54">
        <v>3</v>
      </c>
      <c r="B54">
        <v>3</v>
      </c>
      <c r="C54">
        <v>4</v>
      </c>
    </row>
    <row r="55" spans="1:6" x14ac:dyDescent="0.25">
      <c r="A55">
        <v>3</v>
      </c>
      <c r="B55">
        <v>3</v>
      </c>
      <c r="C55">
        <v>3</v>
      </c>
    </row>
    <row r="56" spans="1:6" x14ac:dyDescent="0.25">
      <c r="A56">
        <v>4</v>
      </c>
      <c r="B56">
        <v>3</v>
      </c>
      <c r="C56">
        <v>1</v>
      </c>
      <c r="E56" s="2" t="s">
        <v>27</v>
      </c>
      <c r="F56" s="2"/>
    </row>
    <row r="57" spans="1:6" x14ac:dyDescent="0.25">
      <c r="A57">
        <v>3</v>
      </c>
      <c r="B57">
        <v>3</v>
      </c>
      <c r="C57">
        <v>3</v>
      </c>
      <c r="E57" t="s">
        <v>28</v>
      </c>
    </row>
    <row r="58" spans="1:6" x14ac:dyDescent="0.25">
      <c r="A58">
        <v>4</v>
      </c>
      <c r="B58">
        <v>3</v>
      </c>
      <c r="C58">
        <v>1</v>
      </c>
    </row>
    <row r="59" spans="1:6" x14ac:dyDescent="0.25">
      <c r="A59">
        <v>4</v>
      </c>
      <c r="B59">
        <v>3</v>
      </c>
      <c r="C59">
        <v>5</v>
      </c>
    </row>
    <row r="60" spans="1:6" x14ac:dyDescent="0.25">
      <c r="A60">
        <v>3</v>
      </c>
      <c r="B60">
        <v>5</v>
      </c>
      <c r="C60">
        <v>3</v>
      </c>
    </row>
    <row r="61" spans="1:6" x14ac:dyDescent="0.25">
      <c r="A61">
        <v>2</v>
      </c>
      <c r="B61">
        <v>2</v>
      </c>
      <c r="C61">
        <v>3</v>
      </c>
    </row>
    <row r="62" spans="1:6" x14ac:dyDescent="0.25">
      <c r="A62">
        <v>5</v>
      </c>
      <c r="B62">
        <v>3</v>
      </c>
      <c r="C62">
        <v>3</v>
      </c>
    </row>
    <row r="63" spans="1:6" x14ac:dyDescent="0.25">
      <c r="A63">
        <v>2</v>
      </c>
      <c r="B63">
        <v>5</v>
      </c>
      <c r="C63">
        <v>2</v>
      </c>
      <c r="E63" t="s">
        <v>5</v>
      </c>
      <c r="F63">
        <f>F43/F53</f>
        <v>1.1949455899198158</v>
      </c>
    </row>
    <row r="64" spans="1:6" x14ac:dyDescent="0.25">
      <c r="A64">
        <v>4</v>
      </c>
      <c r="B64">
        <v>3</v>
      </c>
      <c r="C64">
        <v>3</v>
      </c>
    </row>
    <row r="65" spans="1:6" x14ac:dyDescent="0.25">
      <c r="A65">
        <v>5</v>
      </c>
      <c r="B65">
        <v>3</v>
      </c>
      <c r="C65">
        <v>5</v>
      </c>
    </row>
    <row r="66" spans="1:6" x14ac:dyDescent="0.25">
      <c r="A66">
        <v>1</v>
      </c>
      <c r="B66">
        <v>3</v>
      </c>
      <c r="C66">
        <v>2</v>
      </c>
      <c r="E66" s="2" t="s">
        <v>29</v>
      </c>
      <c r="F66" s="2"/>
    </row>
    <row r="67" spans="1:6" x14ac:dyDescent="0.25">
      <c r="A67">
        <v>3</v>
      </c>
      <c r="B67">
        <v>4</v>
      </c>
      <c r="C67">
        <v>5</v>
      </c>
      <c r="E67" t="s">
        <v>30</v>
      </c>
    </row>
    <row r="68" spans="1:6" x14ac:dyDescent="0.25">
      <c r="A68">
        <v>3</v>
      </c>
      <c r="B68">
        <v>5</v>
      </c>
      <c r="C68">
        <v>3</v>
      </c>
      <c r="E68" t="s">
        <v>31</v>
      </c>
    </row>
    <row r="69" spans="1:6" x14ac:dyDescent="0.25">
      <c r="A69">
        <v>2</v>
      </c>
      <c r="B69">
        <v>5</v>
      </c>
      <c r="C69">
        <v>3</v>
      </c>
    </row>
    <row r="70" spans="1:6" x14ac:dyDescent="0.25">
      <c r="A70">
        <v>2</v>
      </c>
      <c r="B70">
        <v>4</v>
      </c>
      <c r="C70">
        <v>2</v>
      </c>
    </row>
    <row r="71" spans="1:6" x14ac:dyDescent="0.25">
      <c r="A71">
        <v>4</v>
      </c>
      <c r="B71">
        <v>1</v>
      </c>
      <c r="C71">
        <v>3</v>
      </c>
    </row>
    <row r="72" spans="1:6" x14ac:dyDescent="0.25">
      <c r="A72">
        <v>3</v>
      </c>
      <c r="B72">
        <v>3</v>
      </c>
      <c r="C72">
        <v>2</v>
      </c>
    </row>
    <row r="73" spans="1:6" x14ac:dyDescent="0.25">
      <c r="A73">
        <v>4</v>
      </c>
      <c r="B73">
        <v>3</v>
      </c>
      <c r="C73">
        <v>2</v>
      </c>
      <c r="E73" t="s">
        <v>2</v>
      </c>
      <c r="F73">
        <f>F33/F63</f>
        <v>0.24156731172488166</v>
      </c>
    </row>
    <row r="74" spans="1:6" x14ac:dyDescent="0.25">
      <c r="A74">
        <v>4</v>
      </c>
      <c r="B74">
        <v>1</v>
      </c>
      <c r="C74">
        <v>3</v>
      </c>
    </row>
    <row r="75" spans="1:6" x14ac:dyDescent="0.25">
      <c r="A75">
        <v>1</v>
      </c>
      <c r="B75">
        <v>3</v>
      </c>
      <c r="C75">
        <v>3</v>
      </c>
    </row>
    <row r="76" spans="1:6" x14ac:dyDescent="0.25">
      <c r="A76">
        <v>2</v>
      </c>
      <c r="B76">
        <v>3</v>
      </c>
      <c r="C76">
        <v>1</v>
      </c>
      <c r="E76" s="2" t="s">
        <v>34</v>
      </c>
      <c r="F76" s="2"/>
    </row>
    <row r="77" spans="1:6" x14ac:dyDescent="0.25">
      <c r="A77">
        <v>4</v>
      </c>
      <c r="B77">
        <v>3</v>
      </c>
      <c r="C77">
        <v>2</v>
      </c>
    </row>
    <row r="78" spans="1:6" x14ac:dyDescent="0.25">
      <c r="A78">
        <v>3</v>
      </c>
      <c r="B78">
        <v>2</v>
      </c>
      <c r="C78">
        <v>3</v>
      </c>
      <c r="E78" s="4" t="s">
        <v>32</v>
      </c>
      <c r="F78">
        <v>0.05</v>
      </c>
    </row>
    <row r="79" spans="1:6" x14ac:dyDescent="0.25">
      <c r="A79">
        <v>3</v>
      </c>
      <c r="B79">
        <v>2</v>
      </c>
      <c r="C79">
        <v>2</v>
      </c>
      <c r="E79" t="s">
        <v>0</v>
      </c>
      <c r="F79">
        <f xml:space="preserve"> F24</f>
        <v>2</v>
      </c>
    </row>
    <row r="80" spans="1:6" x14ac:dyDescent="0.25">
      <c r="A80">
        <v>3</v>
      </c>
      <c r="B80">
        <v>3</v>
      </c>
      <c r="C80">
        <v>4</v>
      </c>
      <c r="E80" t="s">
        <v>4</v>
      </c>
      <c r="F80">
        <f xml:space="preserve"> F53</f>
        <v>288</v>
      </c>
    </row>
    <row r="81" spans="1:6" x14ac:dyDescent="0.25">
      <c r="A81">
        <v>3</v>
      </c>
      <c r="B81">
        <v>3</v>
      </c>
      <c r="C81">
        <v>4</v>
      </c>
      <c r="E81" t="s">
        <v>33</v>
      </c>
      <c r="F81">
        <f>FINV(F78, F79, F80)</f>
        <v>3.0271106434326285</v>
      </c>
    </row>
    <row r="82" spans="1:6" x14ac:dyDescent="0.25">
      <c r="A82">
        <v>4</v>
      </c>
      <c r="B82">
        <v>4</v>
      </c>
      <c r="C82">
        <v>3</v>
      </c>
      <c r="E82" t="s">
        <v>35</v>
      </c>
      <c r="F82">
        <f>_xlfn.F.DIST.RT(F73, F79, F80)</f>
        <v>0.78555491147789613</v>
      </c>
    </row>
    <row r="83" spans="1:6" x14ac:dyDescent="0.25">
      <c r="A83">
        <v>4</v>
      </c>
      <c r="B83">
        <v>2</v>
      </c>
      <c r="C83">
        <v>1</v>
      </c>
    </row>
    <row r="84" spans="1:6" x14ac:dyDescent="0.25">
      <c r="A84">
        <v>3</v>
      </c>
      <c r="B84">
        <v>1</v>
      </c>
      <c r="C84">
        <v>2</v>
      </c>
      <c r="E84" s="2" t="s">
        <v>6</v>
      </c>
      <c r="F84" s="2"/>
    </row>
    <row r="85" spans="1:6" x14ac:dyDescent="0.25">
      <c r="A85">
        <v>2</v>
      </c>
      <c r="B85">
        <v>2</v>
      </c>
      <c r="C85">
        <v>2</v>
      </c>
    </row>
    <row r="86" spans="1:6" x14ac:dyDescent="0.25">
      <c r="A86">
        <v>3</v>
      </c>
      <c r="B86">
        <v>1</v>
      </c>
      <c r="C86">
        <v>2</v>
      </c>
      <c r="E86" t="s">
        <v>36</v>
      </c>
    </row>
    <row r="87" spans="1:6" x14ac:dyDescent="0.25">
      <c r="A87">
        <v>3</v>
      </c>
      <c r="B87">
        <v>3</v>
      </c>
      <c r="C87">
        <v>3</v>
      </c>
      <c r="E87" t="s">
        <v>37</v>
      </c>
    </row>
    <row r="88" spans="1:6" x14ac:dyDescent="0.25">
      <c r="A88">
        <v>3</v>
      </c>
      <c r="B88">
        <v>3</v>
      </c>
      <c r="C88">
        <v>1</v>
      </c>
    </row>
    <row r="89" spans="1:6" x14ac:dyDescent="0.25">
      <c r="A89">
        <v>2</v>
      </c>
      <c r="B89">
        <v>1</v>
      </c>
      <c r="C89">
        <v>3</v>
      </c>
      <c r="E89" t="str">
        <f>"Si F calculado ("&amp;F73&amp;") &gt; F critico ("&amp;F81&amp;") ---&gt; Se rechaza la hipotesis nula"</f>
        <v>Si F calculado (0.241567311724882) &gt; F critico (3.02711064343263) ---&gt; Se rechaza la hipotesis nula</v>
      </c>
    </row>
    <row r="90" spans="1:6" x14ac:dyDescent="0.25">
      <c r="A90">
        <v>3</v>
      </c>
      <c r="B90">
        <v>3</v>
      </c>
      <c r="C90">
        <v>3</v>
      </c>
      <c r="E90" t="str">
        <f>"Si p-valor ("&amp;F82&amp;") &lt; α Nivel Significancia ("&amp;F78&amp;") ---&gt; Se rechaza la hipotesis nula"</f>
        <v>Si p-valor (0.785554911477896) &lt; α Nivel Significancia (0.05) ---&gt; Se rechaza la hipotesis nula</v>
      </c>
    </row>
    <row r="91" spans="1:6" x14ac:dyDescent="0.25">
      <c r="A91">
        <v>3</v>
      </c>
      <c r="B91">
        <v>3</v>
      </c>
      <c r="C91">
        <v>3</v>
      </c>
    </row>
    <row r="92" spans="1:6" x14ac:dyDescent="0.25">
      <c r="A92">
        <v>3</v>
      </c>
      <c r="B92">
        <v>3</v>
      </c>
      <c r="C92">
        <v>3</v>
      </c>
    </row>
    <row r="93" spans="1:6" x14ac:dyDescent="0.25">
      <c r="A93">
        <v>3</v>
      </c>
      <c r="B93">
        <v>2</v>
      </c>
      <c r="C93">
        <v>3</v>
      </c>
    </row>
    <row r="94" spans="1:6" x14ac:dyDescent="0.25">
      <c r="A94">
        <v>2</v>
      </c>
      <c r="B94">
        <v>2</v>
      </c>
      <c r="C94">
        <v>4</v>
      </c>
    </row>
    <row r="95" spans="1:6" x14ac:dyDescent="0.25">
      <c r="A95">
        <v>4</v>
      </c>
      <c r="B95">
        <v>4</v>
      </c>
      <c r="C95">
        <v>4</v>
      </c>
    </row>
    <row r="96" spans="1:6" x14ac:dyDescent="0.25">
      <c r="A96">
        <v>4</v>
      </c>
      <c r="B96">
        <v>3</v>
      </c>
      <c r="C96">
        <v>3</v>
      </c>
    </row>
    <row r="97" spans="1:3" x14ac:dyDescent="0.25">
      <c r="A97">
        <v>2</v>
      </c>
      <c r="B97">
        <v>1</v>
      </c>
      <c r="C97">
        <v>4</v>
      </c>
    </row>
    <row r="98" spans="1:3" x14ac:dyDescent="0.25">
      <c r="A98">
        <v>3</v>
      </c>
      <c r="B98">
        <v>4</v>
      </c>
      <c r="C98">
        <v>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Participación-activa</vt:lpstr>
      <vt:lpstr>Comunicación-equipo</vt:lpstr>
      <vt:lpstr>Cumplimiento-tareas</vt:lpstr>
      <vt:lpstr>Contribución-grupo</vt:lpstr>
      <vt:lpstr>Resolución-problemas</vt:lpstr>
      <vt:lpstr>Conocimientos-adquiridos</vt:lpstr>
      <vt:lpstr>Nota-final</vt:lpstr>
      <vt:lpstr>Comprensión</vt:lpstr>
      <vt:lpstr>Habilidades</vt:lpstr>
      <vt:lpstr>Resolución-autónoma</vt:lpstr>
      <vt:lpstr>Motivación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2026-03-24T02:19:28Z</dcterms:created>
  <dcterms:modified xsi:type="dcterms:W3CDTF">2026-06-24T04:18:52Z</dcterms:modified>
</cp:coreProperties>
</file>
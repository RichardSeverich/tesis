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435" tabRatio="880"/>
  </bookViews>
  <sheets>
    <sheet name="Resumen" sheetId="13" r:id="rId1"/>
    <sheet name="Participación-activa" sheetId="1" r:id="rId2"/>
    <sheet name="Comunicación-equipo" sheetId="2" r:id="rId3"/>
    <sheet name="Cumplimiento-tareas" sheetId="3" r:id="rId4"/>
    <sheet name="Contribución-grupo" sheetId="4" r:id="rId5"/>
    <sheet name="Resolución-problemas" sheetId="5" r:id="rId6"/>
    <sheet name="Conocimientos-adquiridos" sheetId="6" r:id="rId7"/>
    <sheet name="Nota-final" sheetId="7" r:id="rId8"/>
    <sheet name="Comprensión" sheetId="8" r:id="rId9"/>
    <sheet name="Habilidades" sheetId="9" r:id="rId10"/>
    <sheet name="Resolución-autónoma" sheetId="10" r:id="rId11"/>
    <sheet name="Motivación" sheetId="11" r:id="rId12"/>
  </sheets>
  <calcPr calcId="152511"/>
</workbook>
</file>

<file path=xl/calcChain.xml><?xml version="1.0" encoding="utf-8"?>
<calcChain xmlns="http://schemas.openxmlformats.org/spreadsheetml/2006/main">
  <c r="F12" i="13" l="1"/>
  <c r="F11" i="13"/>
  <c r="F10" i="13"/>
  <c r="F9" i="13"/>
  <c r="F8" i="13"/>
  <c r="F7" i="13"/>
  <c r="F6" i="13"/>
  <c r="F5" i="13"/>
  <c r="F4" i="13"/>
  <c r="F3" i="13"/>
  <c r="F2" i="13"/>
  <c r="E12" i="13"/>
  <c r="E11" i="13"/>
  <c r="E10" i="13"/>
  <c r="E9" i="13"/>
  <c r="E8" i="13"/>
  <c r="E7" i="13"/>
  <c r="E6" i="13"/>
  <c r="E5" i="13"/>
  <c r="E4" i="13"/>
  <c r="E3" i="13"/>
  <c r="E2" i="13"/>
  <c r="C95" i="11" l="1"/>
  <c r="C96" i="11"/>
  <c r="C97" i="11"/>
  <c r="C98" i="11"/>
  <c r="C95" i="10"/>
  <c r="C96" i="10"/>
  <c r="C97" i="10"/>
  <c r="C98" i="10"/>
  <c r="C95" i="9"/>
  <c r="C96" i="9"/>
  <c r="C97" i="9"/>
  <c r="C98" i="9"/>
  <c r="C95" i="8"/>
  <c r="C96" i="8"/>
  <c r="C97" i="8"/>
  <c r="C98" i="8"/>
  <c r="C95" i="7"/>
  <c r="C96" i="7"/>
  <c r="C97" i="7"/>
  <c r="C98" i="7"/>
  <c r="C95" i="6"/>
  <c r="C96" i="6"/>
  <c r="C97" i="6"/>
  <c r="C98" i="6"/>
  <c r="C95" i="5"/>
  <c r="C96" i="5"/>
  <c r="C97" i="5"/>
  <c r="C98" i="5"/>
  <c r="C95" i="4"/>
  <c r="C96" i="4"/>
  <c r="C97" i="4"/>
  <c r="C98" i="4"/>
  <c r="C95" i="3"/>
  <c r="C96" i="3"/>
  <c r="C97" i="3"/>
  <c r="C98" i="3"/>
  <c r="C95" i="2"/>
  <c r="C96" i="2"/>
  <c r="C97" i="2"/>
  <c r="C98" i="2"/>
  <c r="C98" i="1"/>
  <c r="C97" i="1"/>
  <c r="C92" i="1"/>
  <c r="C95" i="1"/>
  <c r="C96" i="1"/>
  <c r="C77" i="11" l="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G4" i="8"/>
  <c r="G18" i="8" s="1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G30" i="7"/>
  <c r="G29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0" i="6"/>
  <c r="C3" i="6"/>
  <c r="C2" i="6"/>
  <c r="C92" i="6"/>
  <c r="C91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3" i="6"/>
  <c r="C94" i="6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G30" i="11" l="1"/>
  <c r="G29" i="11"/>
  <c r="G30" i="10"/>
  <c r="G29" i="10"/>
  <c r="G30" i="9"/>
  <c r="G29" i="9"/>
  <c r="G30" i="8"/>
  <c r="G29" i="8"/>
  <c r="F48" i="7"/>
  <c r="F47" i="7"/>
  <c r="G30" i="6"/>
  <c r="G29" i="6"/>
  <c r="G30" i="5"/>
  <c r="G29" i="5"/>
  <c r="G30" i="4"/>
  <c r="G29" i="4"/>
  <c r="G30" i="3"/>
  <c r="G29" i="3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G30" i="2"/>
  <c r="G29" i="2"/>
  <c r="G4" i="1"/>
  <c r="G18" i="1" s="1"/>
  <c r="G24" i="1" s="1"/>
  <c r="D2" i="13" s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3" i="1"/>
  <c r="C94" i="1"/>
  <c r="C76" i="1"/>
  <c r="F48" i="11" l="1"/>
  <c r="F47" i="11"/>
  <c r="F47" i="10"/>
  <c r="F48" i="10"/>
  <c r="F47" i="9"/>
  <c r="F48" i="9"/>
  <c r="F47" i="8"/>
  <c r="F48" i="8"/>
  <c r="F47" i="6"/>
  <c r="F48" i="6"/>
  <c r="F47" i="5"/>
  <c r="F48" i="5"/>
  <c r="F48" i="4"/>
  <c r="F47" i="4"/>
  <c r="F47" i="3"/>
  <c r="F48" i="3"/>
  <c r="F48" i="2"/>
  <c r="F47" i="2"/>
  <c r="G23" i="1"/>
  <c r="C2" i="13" s="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G4" i="11"/>
  <c r="G18" i="11" s="1"/>
  <c r="C4" i="11"/>
  <c r="C3" i="11"/>
  <c r="C2" i="11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G4" i="10"/>
  <c r="G18" i="10" s="1"/>
  <c r="C4" i="10"/>
  <c r="C3" i="10"/>
  <c r="C2" i="10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G4" i="9"/>
  <c r="G18" i="9" s="1"/>
  <c r="C4" i="9"/>
  <c r="C3" i="9"/>
  <c r="C2" i="9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G4" i="7"/>
  <c r="G18" i="7" s="1"/>
  <c r="C4" i="7"/>
  <c r="C3" i="7"/>
  <c r="C2" i="7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G4" i="6"/>
  <c r="G18" i="6" s="1"/>
  <c r="C4" i="6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G4" i="5"/>
  <c r="G18" i="5" s="1"/>
  <c r="C4" i="5"/>
  <c r="C3" i="5"/>
  <c r="C2" i="5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G4" i="4"/>
  <c r="G18" i="4" s="1"/>
  <c r="C4" i="4"/>
  <c r="C3" i="4"/>
  <c r="C2" i="4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G4" i="3"/>
  <c r="G18" i="3" s="1"/>
  <c r="C4" i="3"/>
  <c r="C3" i="3"/>
  <c r="C2" i="3"/>
  <c r="G5" i="8" l="1"/>
  <c r="G6" i="8" s="1"/>
  <c r="G24" i="11"/>
  <c r="D12" i="13" s="1"/>
  <c r="G23" i="11"/>
  <c r="C12" i="13" s="1"/>
  <c r="G24" i="10"/>
  <c r="D11" i="13" s="1"/>
  <c r="G23" i="10"/>
  <c r="C11" i="13" s="1"/>
  <c r="G24" i="9"/>
  <c r="D10" i="13" s="1"/>
  <c r="G23" i="9"/>
  <c r="C10" i="13" s="1"/>
  <c r="G24" i="7"/>
  <c r="D8" i="13" s="1"/>
  <c r="G23" i="7"/>
  <c r="C8" i="13" s="1"/>
  <c r="G24" i="8"/>
  <c r="D9" i="13" s="1"/>
  <c r="G23" i="8"/>
  <c r="C9" i="13" s="1"/>
  <c r="G24" i="6"/>
  <c r="D7" i="13" s="1"/>
  <c r="G23" i="6"/>
  <c r="C7" i="13" s="1"/>
  <c r="G24" i="5"/>
  <c r="D6" i="13" s="1"/>
  <c r="G23" i="5"/>
  <c r="C6" i="13" s="1"/>
  <c r="G24" i="4"/>
  <c r="D5" i="13" s="1"/>
  <c r="G23" i="4"/>
  <c r="C5" i="13" s="1"/>
  <c r="G23" i="3"/>
  <c r="C4" i="13" s="1"/>
  <c r="G24" i="3"/>
  <c r="D4" i="13" s="1"/>
  <c r="G5" i="11"/>
  <c r="G6" i="11" s="1"/>
  <c r="G5" i="10"/>
  <c r="G6" i="10" s="1"/>
  <c r="G5" i="9"/>
  <c r="G6" i="9" s="1"/>
  <c r="G5" i="7"/>
  <c r="G6" i="7" s="1"/>
  <c r="G5" i="6"/>
  <c r="G6" i="6" s="1"/>
  <c r="G5" i="5"/>
  <c r="G6" i="5" s="1"/>
  <c r="G5" i="4"/>
  <c r="G6" i="4" s="1"/>
  <c r="G5" i="3"/>
  <c r="G6" i="3" s="1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G4" i="2"/>
  <c r="G18" i="2" s="1"/>
  <c r="C4" i="2"/>
  <c r="C3" i="2"/>
  <c r="C2" i="2"/>
  <c r="D97" i="11" l="1"/>
  <c r="D98" i="11"/>
  <c r="D95" i="11"/>
  <c r="D96" i="11"/>
  <c r="D97" i="10"/>
  <c r="D98" i="10"/>
  <c r="D95" i="10"/>
  <c r="D96" i="10"/>
  <c r="D97" i="9"/>
  <c r="D98" i="9"/>
  <c r="D95" i="9"/>
  <c r="D96" i="9"/>
  <c r="D97" i="8"/>
  <c r="D98" i="8"/>
  <c r="D95" i="8"/>
  <c r="D96" i="8"/>
  <c r="D95" i="7"/>
  <c r="D97" i="7"/>
  <c r="D96" i="7"/>
  <c r="D98" i="7"/>
  <c r="D96" i="6"/>
  <c r="D95" i="6"/>
  <c r="D97" i="6"/>
  <c r="D98" i="6"/>
  <c r="D97" i="5"/>
  <c r="D98" i="5"/>
  <c r="D95" i="5"/>
  <c r="D96" i="5"/>
  <c r="D97" i="4"/>
  <c r="D98" i="4"/>
  <c r="D95" i="4"/>
  <c r="D96" i="4"/>
  <c r="D97" i="3"/>
  <c r="D98" i="3"/>
  <c r="D95" i="3"/>
  <c r="D96" i="3"/>
  <c r="D45" i="11"/>
  <c r="D77" i="11"/>
  <c r="D81" i="11"/>
  <c r="D85" i="11"/>
  <c r="D89" i="11"/>
  <c r="D93" i="11"/>
  <c r="D78" i="11"/>
  <c r="D82" i="11"/>
  <c r="D86" i="11"/>
  <c r="D90" i="11"/>
  <c r="D94" i="11"/>
  <c r="D88" i="11"/>
  <c r="D87" i="11"/>
  <c r="D84" i="11"/>
  <c r="D83" i="11"/>
  <c r="D80" i="11"/>
  <c r="D79" i="11"/>
  <c r="D92" i="11"/>
  <c r="D91" i="11"/>
  <c r="D77" i="10"/>
  <c r="D81" i="10"/>
  <c r="D85" i="10"/>
  <c r="D89" i="10"/>
  <c r="D93" i="10"/>
  <c r="D78" i="10"/>
  <c r="D82" i="10"/>
  <c r="D86" i="10"/>
  <c r="D90" i="10"/>
  <c r="D94" i="10"/>
  <c r="D92" i="10"/>
  <c r="D91" i="10"/>
  <c r="D88" i="10"/>
  <c r="D87" i="10"/>
  <c r="D80" i="10"/>
  <c r="D79" i="10"/>
  <c r="D84" i="10"/>
  <c r="D83" i="10"/>
  <c r="D61" i="9"/>
  <c r="D77" i="9"/>
  <c r="D81" i="9"/>
  <c r="D85" i="9"/>
  <c r="D89" i="9"/>
  <c r="D93" i="9"/>
  <c r="D78" i="9"/>
  <c r="D82" i="9"/>
  <c r="D86" i="9"/>
  <c r="D90" i="9"/>
  <c r="D94" i="9"/>
  <c r="D88" i="9"/>
  <c r="D87" i="9"/>
  <c r="D84" i="9"/>
  <c r="D83" i="9"/>
  <c r="D80" i="9"/>
  <c r="D79" i="9"/>
  <c r="D92" i="9"/>
  <c r="D91" i="9"/>
  <c r="D61" i="5"/>
  <c r="D78" i="5"/>
  <c r="D82" i="5"/>
  <c r="D86" i="5"/>
  <c r="D90" i="5"/>
  <c r="D94" i="5"/>
  <c r="D79" i="5"/>
  <c r="D83" i="5"/>
  <c r="D87" i="5"/>
  <c r="D91" i="5"/>
  <c r="D93" i="5"/>
  <c r="D77" i="5"/>
  <c r="D80" i="5"/>
  <c r="D89" i="5"/>
  <c r="D92" i="5"/>
  <c r="D81" i="5"/>
  <c r="D84" i="5"/>
  <c r="D85" i="5"/>
  <c r="D88" i="5"/>
  <c r="D26" i="4"/>
  <c r="D77" i="4"/>
  <c r="D81" i="4"/>
  <c r="D85" i="4"/>
  <c r="D89" i="4"/>
  <c r="D93" i="4"/>
  <c r="D78" i="4"/>
  <c r="D82" i="4"/>
  <c r="D86" i="4"/>
  <c r="D90" i="4"/>
  <c r="D94" i="4"/>
  <c r="D91" i="4"/>
  <c r="D92" i="4"/>
  <c r="D87" i="4"/>
  <c r="D88" i="4"/>
  <c r="D79" i="4"/>
  <c r="D80" i="4"/>
  <c r="D83" i="4"/>
  <c r="D84" i="4"/>
  <c r="D33" i="4"/>
  <c r="D52" i="11"/>
  <c r="D79" i="8"/>
  <c r="D83" i="8"/>
  <c r="D87" i="8"/>
  <c r="D91" i="8"/>
  <c r="D81" i="8"/>
  <c r="D89" i="8"/>
  <c r="D78" i="8"/>
  <c r="D86" i="8"/>
  <c r="D90" i="8"/>
  <c r="D80" i="8"/>
  <c r="D84" i="8"/>
  <c r="D88" i="8"/>
  <c r="D92" i="8"/>
  <c r="D77" i="8"/>
  <c r="D85" i="8"/>
  <c r="D93" i="8"/>
  <c r="D82" i="8"/>
  <c r="D94" i="8"/>
  <c r="D77" i="7"/>
  <c r="D81" i="7"/>
  <c r="D85" i="7"/>
  <c r="D89" i="7"/>
  <c r="D93" i="7"/>
  <c r="D78" i="7"/>
  <c r="D82" i="7"/>
  <c r="D86" i="7"/>
  <c r="D90" i="7"/>
  <c r="D94" i="7"/>
  <c r="D79" i="7"/>
  <c r="D83" i="7"/>
  <c r="D87" i="7"/>
  <c r="D91" i="7"/>
  <c r="D80" i="7"/>
  <c r="D84" i="7"/>
  <c r="D88" i="7"/>
  <c r="D92" i="7"/>
  <c r="D77" i="6"/>
  <c r="D81" i="6"/>
  <c r="D85" i="6"/>
  <c r="D89" i="6"/>
  <c r="D93" i="6"/>
  <c r="D78" i="6"/>
  <c r="D82" i="6"/>
  <c r="D86" i="6"/>
  <c r="D90" i="6"/>
  <c r="D79" i="6"/>
  <c r="D83" i="6"/>
  <c r="D87" i="6"/>
  <c r="D91" i="6"/>
  <c r="D94" i="6"/>
  <c r="D80" i="6"/>
  <c r="D84" i="6"/>
  <c r="D88" i="6"/>
  <c r="D92" i="6"/>
  <c r="D67" i="4"/>
  <c r="D45" i="3"/>
  <c r="D80" i="3"/>
  <c r="D84" i="3"/>
  <c r="D88" i="3"/>
  <c r="D92" i="3"/>
  <c r="D77" i="3"/>
  <c r="D81" i="3"/>
  <c r="D85" i="3"/>
  <c r="D89" i="3"/>
  <c r="D93" i="3"/>
  <c r="D78" i="3"/>
  <c r="D82" i="3"/>
  <c r="D86" i="3"/>
  <c r="D90" i="3"/>
  <c r="D94" i="3"/>
  <c r="D79" i="3"/>
  <c r="D83" i="3"/>
  <c r="D87" i="3"/>
  <c r="D91" i="3"/>
  <c r="G24" i="2"/>
  <c r="D3" i="13" s="1"/>
  <c r="G23" i="2"/>
  <c r="C3" i="13" s="1"/>
  <c r="D45" i="7"/>
  <c r="D14" i="7"/>
  <c r="D39" i="7"/>
  <c r="D31" i="7"/>
  <c r="D72" i="7"/>
  <c r="D6" i="7"/>
  <c r="D68" i="7"/>
  <c r="D65" i="7"/>
  <c r="D22" i="7"/>
  <c r="D37" i="7"/>
  <c r="D30" i="7"/>
  <c r="D38" i="11"/>
  <c r="D8" i="11"/>
  <c r="D2" i="11"/>
  <c r="D75" i="11"/>
  <c r="D35" i="11"/>
  <c r="D72" i="11"/>
  <c r="D51" i="11"/>
  <c r="D20" i="11"/>
  <c r="D48" i="11"/>
  <c r="D43" i="11"/>
  <c r="D31" i="11"/>
  <c r="D61" i="11"/>
  <c r="D37" i="11"/>
  <c r="D27" i="11"/>
  <c r="D46" i="11"/>
  <c r="D21" i="11"/>
  <c r="D50" i="11"/>
  <c r="D23" i="11"/>
  <c r="D76" i="11"/>
  <c r="D16" i="11"/>
  <c r="D5" i="11"/>
  <c r="D7" i="11"/>
  <c r="D39" i="9"/>
  <c r="D25" i="7"/>
  <c r="D76" i="7"/>
  <c r="D3" i="7"/>
  <c r="D15" i="7"/>
  <c r="D43" i="7"/>
  <c r="D50" i="7"/>
  <c r="D41" i="7"/>
  <c r="D7" i="7"/>
  <c r="D52" i="7"/>
  <c r="D42" i="7"/>
  <c r="D18" i="7"/>
  <c r="D21" i="7"/>
  <c r="D57" i="7"/>
  <c r="D56" i="7"/>
  <c r="D44" i="7"/>
  <c r="D2" i="7"/>
  <c r="D9" i="7"/>
  <c r="D12" i="7"/>
  <c r="D19" i="7"/>
  <c r="D48" i="7"/>
  <c r="D5" i="7"/>
  <c r="D11" i="7"/>
  <c r="D70" i="7"/>
  <c r="D26" i="7"/>
  <c r="D62" i="7"/>
  <c r="D67" i="7"/>
  <c r="D20" i="7"/>
  <c r="D75" i="7"/>
  <c r="D74" i="7"/>
  <c r="D10" i="7"/>
  <c r="D40" i="7"/>
  <c r="D29" i="7"/>
  <c r="D27" i="7"/>
  <c r="D51" i="7"/>
  <c r="D66" i="7"/>
  <c r="D55" i="7"/>
  <c r="D32" i="7"/>
  <c r="D58" i="4"/>
  <c r="D8" i="4"/>
  <c r="D20" i="4"/>
  <c r="D55" i="4"/>
  <c r="D31" i="4"/>
  <c r="D39" i="4"/>
  <c r="D38" i="4"/>
  <c r="D35" i="4"/>
  <c r="D6" i="4"/>
  <c r="D29" i="4"/>
  <c r="D36" i="11"/>
  <c r="D4" i="11"/>
  <c r="D73" i="11"/>
  <c r="D63" i="11"/>
  <c r="D19" i="11"/>
  <c r="D54" i="11"/>
  <c r="D70" i="11"/>
  <c r="D17" i="11"/>
  <c r="D28" i="11"/>
  <c r="D34" i="11"/>
  <c r="D25" i="11"/>
  <c r="D44" i="11"/>
  <c r="D13" i="11"/>
  <c r="D14" i="11"/>
  <c r="D49" i="11"/>
  <c r="D26" i="11"/>
  <c r="D24" i="11"/>
  <c r="D22" i="11"/>
  <c r="D42" i="11"/>
  <c r="D74" i="11"/>
  <c r="D11" i="11"/>
  <c r="D71" i="11"/>
  <c r="D47" i="11"/>
  <c r="D33" i="11"/>
  <c r="D30" i="9"/>
  <c r="D49" i="9"/>
  <c r="D69" i="7"/>
  <c r="D65" i="4"/>
  <c r="D60" i="4"/>
  <c r="D19" i="4"/>
  <c r="D28" i="4"/>
  <c r="D44" i="4"/>
  <c r="D52" i="4"/>
  <c r="D59" i="4"/>
  <c r="D21" i="4"/>
  <c r="D15" i="4"/>
  <c r="D68" i="4"/>
  <c r="D46" i="4"/>
  <c r="D50" i="4"/>
  <c r="D25" i="4"/>
  <c r="D57" i="4"/>
  <c r="D62" i="4"/>
  <c r="D14" i="4"/>
  <c r="D12" i="4"/>
  <c r="D5" i="4"/>
  <c r="D64" i="4"/>
  <c r="D10" i="4"/>
  <c r="D40" i="4"/>
  <c r="D4" i="4"/>
  <c r="D61" i="4"/>
  <c r="D63" i="4"/>
  <c r="D75" i="4"/>
  <c r="D74" i="4"/>
  <c r="D9" i="4"/>
  <c r="D41" i="4"/>
  <c r="D49" i="4"/>
  <c r="D71" i="4"/>
  <c r="D22" i="4"/>
  <c r="D56" i="4"/>
  <c r="D42" i="4"/>
  <c r="D47" i="4"/>
  <c r="D32" i="4"/>
  <c r="D30" i="4"/>
  <c r="D36" i="4"/>
  <c r="D2" i="4"/>
  <c r="D37" i="4"/>
  <c r="D72" i="4"/>
  <c r="D18" i="4"/>
  <c r="D3" i="4"/>
  <c r="D30" i="11"/>
  <c r="D29" i="11"/>
  <c r="D39" i="11"/>
  <c r="D18" i="11"/>
  <c r="D12" i="11"/>
  <c r="D10" i="11"/>
  <c r="D62" i="11"/>
  <c r="D41" i="11"/>
  <c r="D68" i="11"/>
  <c r="D67" i="11"/>
  <c r="D3" i="11"/>
  <c r="D15" i="11"/>
  <c r="D66" i="11"/>
  <c r="D65" i="11"/>
  <c r="D64" i="11"/>
  <c r="D55" i="11"/>
  <c r="D40" i="11"/>
  <c r="D53" i="11"/>
  <c r="D60" i="11"/>
  <c r="D59" i="11"/>
  <c r="D6" i="11"/>
  <c r="D9" i="11"/>
  <c r="D58" i="11"/>
  <c r="D57" i="11"/>
  <c r="D56" i="11"/>
  <c r="D69" i="11"/>
  <c r="D32" i="11"/>
  <c r="D7" i="10"/>
  <c r="D20" i="10"/>
  <c r="D15" i="10"/>
  <c r="D70" i="10"/>
  <c r="D71" i="10"/>
  <c r="D64" i="10"/>
  <c r="D73" i="10"/>
  <c r="D21" i="10"/>
  <c r="D12" i="10"/>
  <c r="D52" i="10"/>
  <c r="D29" i="10"/>
  <c r="D58" i="10"/>
  <c r="D23" i="10"/>
  <c r="D9" i="10"/>
  <c r="D8" i="10"/>
  <c r="D17" i="10"/>
  <c r="D24" i="10"/>
  <c r="D72" i="10"/>
  <c r="D45" i="10"/>
  <c r="D18" i="10"/>
  <c r="D42" i="10"/>
  <c r="D25" i="10"/>
  <c r="D62" i="10"/>
  <c r="D4" i="10"/>
  <c r="D53" i="10"/>
  <c r="D14" i="10"/>
  <c r="D16" i="10"/>
  <c r="D33" i="10"/>
  <c r="D10" i="10"/>
  <c r="D11" i="10"/>
  <c r="D28" i="10"/>
  <c r="D43" i="10"/>
  <c r="D74" i="10"/>
  <c r="D76" i="10"/>
  <c r="D31" i="10"/>
  <c r="D6" i="10"/>
  <c r="D41" i="10"/>
  <c r="D26" i="10"/>
  <c r="D19" i="10"/>
  <c r="D50" i="10"/>
  <c r="D51" i="10"/>
  <c r="D22" i="10"/>
  <c r="D69" i="10"/>
  <c r="D37" i="10"/>
  <c r="D32" i="10"/>
  <c r="D35" i="10"/>
  <c r="D3" i="10"/>
  <c r="D47" i="10"/>
  <c r="D34" i="10"/>
  <c r="D49" i="10"/>
  <c r="D66" i="10"/>
  <c r="D59" i="10"/>
  <c r="D30" i="10"/>
  <c r="D46" i="10"/>
  <c r="D2" i="10"/>
  <c r="D40" i="10"/>
  <c r="D55" i="10"/>
  <c r="D48" i="10"/>
  <c r="D57" i="10"/>
  <c r="D5" i="10"/>
  <c r="D67" i="10"/>
  <c r="D38" i="10"/>
  <c r="D36" i="10"/>
  <c r="D27" i="10"/>
  <c r="D39" i="10"/>
  <c r="D54" i="10"/>
  <c r="D63" i="10"/>
  <c r="D56" i="10"/>
  <c r="D65" i="10"/>
  <c r="D13" i="10"/>
  <c r="D75" i="10"/>
  <c r="D44" i="10"/>
  <c r="D60" i="10"/>
  <c r="D68" i="10"/>
  <c r="D61" i="10"/>
  <c r="D43" i="9"/>
  <c r="D27" i="9"/>
  <c r="D29" i="9"/>
  <c r="D74" i="9"/>
  <c r="D55" i="9"/>
  <c r="D21" i="9"/>
  <c r="D50" i="9"/>
  <c r="D17" i="9"/>
  <c r="D15" i="9"/>
  <c r="D5" i="9"/>
  <c r="D54" i="9"/>
  <c r="D60" i="9"/>
  <c r="D9" i="9"/>
  <c r="D73" i="9"/>
  <c r="D40" i="9"/>
  <c r="D22" i="9"/>
  <c r="D8" i="9"/>
  <c r="D19" i="9"/>
  <c r="D45" i="9"/>
  <c r="D59" i="9"/>
  <c r="D14" i="9"/>
  <c r="D10" i="9"/>
  <c r="D72" i="9"/>
  <c r="D44" i="9"/>
  <c r="D6" i="9"/>
  <c r="D28" i="9"/>
  <c r="D41" i="9"/>
  <c r="D7" i="9"/>
  <c r="D25" i="9"/>
  <c r="D24" i="9"/>
  <c r="D56" i="9"/>
  <c r="D48" i="9"/>
  <c r="D76" i="9"/>
  <c r="D75" i="9"/>
  <c r="D13" i="9"/>
  <c r="D20" i="9"/>
  <c r="D66" i="9"/>
  <c r="D65" i="9"/>
  <c r="D71" i="9"/>
  <c r="D70" i="9"/>
  <c r="D34" i="9"/>
  <c r="D69" i="9"/>
  <c r="D68" i="9"/>
  <c r="D67" i="9"/>
  <c r="D2" i="9"/>
  <c r="D35" i="9"/>
  <c r="D58" i="9"/>
  <c r="D57" i="9"/>
  <c r="D63" i="9"/>
  <c r="D62" i="9"/>
  <c r="D26" i="9"/>
  <c r="D53" i="9"/>
  <c r="D52" i="9"/>
  <c r="D51" i="9"/>
  <c r="D3" i="9"/>
  <c r="D31" i="9"/>
  <c r="D36" i="9"/>
  <c r="D42" i="9"/>
  <c r="D47" i="9"/>
  <c r="D46" i="9"/>
  <c r="D4" i="9"/>
  <c r="D23" i="9"/>
  <c r="D38" i="9"/>
  <c r="D37" i="9"/>
  <c r="D16" i="9"/>
  <c r="D18" i="9"/>
  <c r="D12" i="9"/>
  <c r="D11" i="9"/>
  <c r="D33" i="9"/>
  <c r="D32" i="9"/>
  <c r="D64" i="9"/>
  <c r="D24" i="8"/>
  <c r="D10" i="8"/>
  <c r="D42" i="8"/>
  <c r="D13" i="8"/>
  <c r="D38" i="8"/>
  <c r="D16" i="8"/>
  <c r="D62" i="8"/>
  <c r="D72" i="8"/>
  <c r="D6" i="8"/>
  <c r="D12" i="8"/>
  <c r="D37" i="8"/>
  <c r="D60" i="8"/>
  <c r="D41" i="8"/>
  <c r="D29" i="8"/>
  <c r="D23" i="8"/>
  <c r="D14" i="8"/>
  <c r="D15" i="8"/>
  <c r="D36" i="8"/>
  <c r="D43" i="8"/>
  <c r="D68" i="8"/>
  <c r="D27" i="8"/>
  <c r="D58" i="8"/>
  <c r="D17" i="8"/>
  <c r="D31" i="8"/>
  <c r="D11" i="8"/>
  <c r="D50" i="8"/>
  <c r="D59" i="8"/>
  <c r="D76" i="8"/>
  <c r="D49" i="8"/>
  <c r="D67" i="8"/>
  <c r="D63" i="8"/>
  <c r="D20" i="8"/>
  <c r="D57" i="8"/>
  <c r="D74" i="8"/>
  <c r="D75" i="8"/>
  <c r="D44" i="8"/>
  <c r="D71" i="8"/>
  <c r="D35" i="8"/>
  <c r="D65" i="8"/>
  <c r="D5" i="8"/>
  <c r="D30" i="8"/>
  <c r="D48" i="8"/>
  <c r="D45" i="8"/>
  <c r="D4" i="8"/>
  <c r="D22" i="8"/>
  <c r="D21" i="8"/>
  <c r="D28" i="8"/>
  <c r="D19" i="8"/>
  <c r="D8" i="8"/>
  <c r="D18" i="8"/>
  <c r="D47" i="8"/>
  <c r="D70" i="8"/>
  <c r="D2" i="8"/>
  <c r="D9" i="8"/>
  <c r="D56" i="8"/>
  <c r="D33" i="8"/>
  <c r="D40" i="8"/>
  <c r="D32" i="8"/>
  <c r="D52" i="8"/>
  <c r="D51" i="8"/>
  <c r="D66" i="8"/>
  <c r="D73" i="8"/>
  <c r="D3" i="8"/>
  <c r="D39" i="8"/>
  <c r="D34" i="8"/>
  <c r="D69" i="8"/>
  <c r="D26" i="8"/>
  <c r="D25" i="8"/>
  <c r="D7" i="8"/>
  <c r="D61" i="8"/>
  <c r="D54" i="8"/>
  <c r="D64" i="8"/>
  <c r="D55" i="8"/>
  <c r="D53" i="8"/>
  <c r="D46" i="8"/>
  <c r="D71" i="7"/>
  <c r="D61" i="7"/>
  <c r="D60" i="7"/>
  <c r="D13" i="7"/>
  <c r="D8" i="7"/>
  <c r="D28" i="7"/>
  <c r="D73" i="7"/>
  <c r="D4" i="7"/>
  <c r="D17" i="7"/>
  <c r="D23" i="7"/>
  <c r="D38" i="7"/>
  <c r="D16" i="7"/>
  <c r="D35" i="7"/>
  <c r="D59" i="7"/>
  <c r="D63" i="7"/>
  <c r="D49" i="7"/>
  <c r="D33" i="7"/>
  <c r="D46" i="7"/>
  <c r="D47" i="7"/>
  <c r="D24" i="7"/>
  <c r="D53" i="7"/>
  <c r="D36" i="7"/>
  <c r="D58" i="7"/>
  <c r="D34" i="7"/>
  <c r="D64" i="7"/>
  <c r="D54" i="7"/>
  <c r="D7" i="6"/>
  <c r="D24" i="6"/>
  <c r="D15" i="6"/>
  <c r="D25" i="6"/>
  <c r="D39" i="6"/>
  <c r="D50" i="6"/>
  <c r="D29" i="6"/>
  <c r="D20" i="6"/>
  <c r="D76" i="6"/>
  <c r="D10" i="6"/>
  <c r="D38" i="6"/>
  <c r="D30" i="6"/>
  <c r="D65" i="6"/>
  <c r="D45" i="6"/>
  <c r="D67" i="6"/>
  <c r="D35" i="6"/>
  <c r="D6" i="6"/>
  <c r="D11" i="6"/>
  <c r="D43" i="6"/>
  <c r="D9" i="6"/>
  <c r="D5" i="6"/>
  <c r="D56" i="6"/>
  <c r="D59" i="6"/>
  <c r="D14" i="6"/>
  <c r="D72" i="6"/>
  <c r="D37" i="6"/>
  <c r="D27" i="6"/>
  <c r="D34" i="6"/>
  <c r="D47" i="6"/>
  <c r="D58" i="6"/>
  <c r="D46" i="6"/>
  <c r="D4" i="6"/>
  <c r="D57" i="6"/>
  <c r="D48" i="6"/>
  <c r="D3" i="6"/>
  <c r="D16" i="6"/>
  <c r="D60" i="6"/>
  <c r="D36" i="6"/>
  <c r="D17" i="6"/>
  <c r="D49" i="6"/>
  <c r="D71" i="6"/>
  <c r="D70" i="6"/>
  <c r="D69" i="6"/>
  <c r="D21" i="6"/>
  <c r="D52" i="6"/>
  <c r="D28" i="6"/>
  <c r="D74" i="6"/>
  <c r="D42" i="6"/>
  <c r="D63" i="6"/>
  <c r="D62" i="6"/>
  <c r="D61" i="6"/>
  <c r="D68" i="6"/>
  <c r="D18" i="6"/>
  <c r="D75" i="6"/>
  <c r="D13" i="6"/>
  <c r="D8" i="6"/>
  <c r="D44" i="6"/>
  <c r="D12" i="6"/>
  <c r="D66" i="6"/>
  <c r="D19" i="6"/>
  <c r="D55" i="6"/>
  <c r="D54" i="6"/>
  <c r="D53" i="6"/>
  <c r="D41" i="6"/>
  <c r="D40" i="6"/>
  <c r="D23" i="6"/>
  <c r="D51" i="6"/>
  <c r="D2" i="6"/>
  <c r="D31" i="6"/>
  <c r="D22" i="6"/>
  <c r="D26" i="6"/>
  <c r="D73" i="6"/>
  <c r="D64" i="6"/>
  <c r="D33" i="6"/>
  <c r="D32" i="6"/>
  <c r="D13" i="4"/>
  <c r="D54" i="4"/>
  <c r="D45" i="4"/>
  <c r="D51" i="4"/>
  <c r="D17" i="4"/>
  <c r="D7" i="4"/>
  <c r="D24" i="4"/>
  <c r="D53" i="4"/>
  <c r="D43" i="4"/>
  <c r="D16" i="4"/>
  <c r="D76" i="4"/>
  <c r="D66" i="4"/>
  <c r="D27" i="4"/>
  <c r="D11" i="4"/>
  <c r="D48" i="4"/>
  <c r="D73" i="4"/>
  <c r="D34" i="4"/>
  <c r="D23" i="4"/>
  <c r="D70" i="4"/>
  <c r="D69" i="4"/>
  <c r="D30" i="5"/>
  <c r="D29" i="5"/>
  <c r="D2" i="5"/>
  <c r="D26" i="5"/>
  <c r="D5" i="5"/>
  <c r="D66" i="5"/>
  <c r="D27" i="5"/>
  <c r="D62" i="5"/>
  <c r="D53" i="5"/>
  <c r="D37" i="5"/>
  <c r="D74" i="5"/>
  <c r="D21" i="5"/>
  <c r="D10" i="5"/>
  <c r="D34" i="5"/>
  <c r="D19" i="5"/>
  <c r="D54" i="5"/>
  <c r="D45" i="5"/>
  <c r="D16" i="5"/>
  <c r="D20" i="5"/>
  <c r="D35" i="5"/>
  <c r="D22" i="5"/>
  <c r="D8" i="5"/>
  <c r="D58" i="5"/>
  <c r="D76" i="5"/>
  <c r="D75" i="5"/>
  <c r="D13" i="5"/>
  <c r="D14" i="5"/>
  <c r="D63" i="5"/>
  <c r="D4" i="5"/>
  <c r="D50" i="5"/>
  <c r="D11" i="5"/>
  <c r="D46" i="5"/>
  <c r="D39" i="5"/>
  <c r="D38" i="5"/>
  <c r="D12" i="5"/>
  <c r="D70" i="5"/>
  <c r="D68" i="5"/>
  <c r="D67" i="5"/>
  <c r="D3" i="5"/>
  <c r="D18" i="5"/>
  <c r="D55" i="5"/>
  <c r="D71" i="5"/>
  <c r="D73" i="5"/>
  <c r="D72" i="5"/>
  <c r="D40" i="5"/>
  <c r="D31" i="5"/>
  <c r="D59" i="5"/>
  <c r="D23" i="5"/>
  <c r="D60" i="5"/>
  <c r="D33" i="5"/>
  <c r="D64" i="5"/>
  <c r="D52" i="5"/>
  <c r="D15" i="5"/>
  <c r="D17" i="5"/>
  <c r="D25" i="5"/>
  <c r="D57" i="5"/>
  <c r="D56" i="5"/>
  <c r="D24" i="5"/>
  <c r="D7" i="5"/>
  <c r="D42" i="5"/>
  <c r="D47" i="5"/>
  <c r="D65" i="5"/>
  <c r="D32" i="5"/>
  <c r="D51" i="5"/>
  <c r="D44" i="5"/>
  <c r="D43" i="5"/>
  <c r="D6" i="5"/>
  <c r="D28" i="5"/>
  <c r="D36" i="5"/>
  <c r="D9" i="5"/>
  <c r="D49" i="5"/>
  <c r="D48" i="5"/>
  <c r="D69" i="5"/>
  <c r="D41" i="5"/>
  <c r="D11" i="3"/>
  <c r="D17" i="3"/>
  <c r="D64" i="3"/>
  <c r="D30" i="3"/>
  <c r="D29" i="3"/>
  <c r="D48" i="3"/>
  <c r="D19" i="3"/>
  <c r="D65" i="3"/>
  <c r="D13" i="3"/>
  <c r="D34" i="3"/>
  <c r="D68" i="3"/>
  <c r="D72" i="3"/>
  <c r="D36" i="3"/>
  <c r="D10" i="3"/>
  <c r="D62" i="3"/>
  <c r="D31" i="3"/>
  <c r="D43" i="3"/>
  <c r="D70" i="3"/>
  <c r="D50" i="3"/>
  <c r="D39" i="3"/>
  <c r="D9" i="3"/>
  <c r="D75" i="3"/>
  <c r="D71" i="3"/>
  <c r="D67" i="3"/>
  <c r="D63" i="3"/>
  <c r="D59" i="3"/>
  <c r="D55" i="3"/>
  <c r="D51" i="3"/>
  <c r="D40" i="3"/>
  <c r="D28" i="3"/>
  <c r="D21" i="3"/>
  <c r="D54" i="3"/>
  <c r="D74" i="3"/>
  <c r="D42" i="3"/>
  <c r="D16" i="3"/>
  <c r="D6" i="3"/>
  <c r="D3" i="3"/>
  <c r="D32" i="3"/>
  <c r="D66" i="3"/>
  <c r="D27" i="3"/>
  <c r="D15" i="3"/>
  <c r="D8" i="3"/>
  <c r="D2" i="3"/>
  <c r="D47" i="3"/>
  <c r="D58" i="3"/>
  <c r="D46" i="3"/>
  <c r="D35" i="3"/>
  <c r="D20" i="3"/>
  <c r="D37" i="3"/>
  <c r="D57" i="3"/>
  <c r="D38" i="3"/>
  <c r="D23" i="3"/>
  <c r="D5" i="3"/>
  <c r="D26" i="3"/>
  <c r="D44" i="3"/>
  <c r="D56" i="3"/>
  <c r="D22" i="3"/>
  <c r="D33" i="3"/>
  <c r="D4" i="3"/>
  <c r="D69" i="3"/>
  <c r="D73" i="3"/>
  <c r="D18" i="3"/>
  <c r="D14" i="3"/>
  <c r="D25" i="3"/>
  <c r="D24" i="3"/>
  <c r="D49" i="3"/>
  <c r="D41" i="3"/>
  <c r="D12" i="3"/>
  <c r="D61" i="3"/>
  <c r="D53" i="3"/>
  <c r="D76" i="3"/>
  <c r="D7" i="3"/>
  <c r="D52" i="3"/>
  <c r="D60" i="3"/>
  <c r="G5" i="2"/>
  <c r="G6" i="2" s="1"/>
  <c r="C2" i="1"/>
  <c r="D97" i="2" l="1"/>
  <c r="D98" i="2"/>
  <c r="D95" i="2"/>
  <c r="D96" i="2"/>
  <c r="G7" i="8"/>
  <c r="G8" i="8" s="1"/>
  <c r="G12" i="8" s="1"/>
  <c r="B9" i="13" s="1"/>
  <c r="D77" i="2"/>
  <c r="D82" i="2"/>
  <c r="D87" i="2"/>
  <c r="D91" i="2"/>
  <c r="D80" i="2"/>
  <c r="D89" i="2"/>
  <c r="D83" i="2"/>
  <c r="D76" i="2"/>
  <c r="D84" i="2"/>
  <c r="D88" i="2"/>
  <c r="D92" i="2"/>
  <c r="D79" i="2"/>
  <c r="D85" i="2"/>
  <c r="D93" i="2"/>
  <c r="D78" i="2"/>
  <c r="D81" i="2"/>
  <c r="D86" i="2"/>
  <c r="D90" i="2"/>
  <c r="D94" i="2"/>
  <c r="G7" i="11"/>
  <c r="G8" i="11" s="1"/>
  <c r="G12" i="11" s="1"/>
  <c r="B12" i="13" s="1"/>
  <c r="G7" i="4"/>
  <c r="G8" i="4" s="1"/>
  <c r="G12" i="4" s="1"/>
  <c r="B5" i="13" s="1"/>
  <c r="G7" i="10"/>
  <c r="G8" i="10" s="1"/>
  <c r="G12" i="10" s="1"/>
  <c r="B11" i="13" s="1"/>
  <c r="G7" i="9"/>
  <c r="G8" i="9" s="1"/>
  <c r="G12" i="9" s="1"/>
  <c r="B10" i="13" s="1"/>
  <c r="G7" i="7"/>
  <c r="G8" i="7" s="1"/>
  <c r="G12" i="7" s="1"/>
  <c r="B8" i="13" s="1"/>
  <c r="G7" i="6"/>
  <c r="G8" i="6" s="1"/>
  <c r="G12" i="6" s="1"/>
  <c r="B7" i="13" s="1"/>
  <c r="G7" i="5"/>
  <c r="G8" i="5" s="1"/>
  <c r="G12" i="5" s="1"/>
  <c r="B6" i="13" s="1"/>
  <c r="G7" i="3"/>
  <c r="G8" i="3" s="1"/>
  <c r="G12" i="3" s="1"/>
  <c r="B4" i="13" s="1"/>
  <c r="D53" i="2"/>
  <c r="D26" i="2"/>
  <c r="D37" i="2"/>
  <c r="D43" i="2"/>
  <c r="D27" i="2"/>
  <c r="D22" i="2"/>
  <c r="D7" i="2"/>
  <c r="D62" i="2"/>
  <c r="D46" i="2"/>
  <c r="D72" i="2"/>
  <c r="D68" i="2"/>
  <c r="D51" i="2"/>
  <c r="D4" i="2"/>
  <c r="D35" i="2"/>
  <c r="D65" i="2"/>
  <c r="D33" i="2"/>
  <c r="D32" i="2"/>
  <c r="D2" i="2"/>
  <c r="D13" i="2"/>
  <c r="D11" i="2"/>
  <c r="D12" i="2"/>
  <c r="D14" i="2"/>
  <c r="D59" i="2"/>
  <c r="D70" i="2"/>
  <c r="D45" i="2"/>
  <c r="D50" i="2"/>
  <c r="D52" i="2"/>
  <c r="D47" i="2"/>
  <c r="D15" i="2"/>
  <c r="D10" i="2"/>
  <c r="D63" i="2"/>
  <c r="D41" i="2"/>
  <c r="D34" i="2"/>
  <c r="D23" i="2"/>
  <c r="D38" i="2"/>
  <c r="D39" i="2"/>
  <c r="D28" i="2"/>
  <c r="D8" i="2"/>
  <c r="D48" i="2"/>
  <c r="D18" i="2"/>
  <c r="D6" i="2"/>
  <c r="D66" i="2"/>
  <c r="D36" i="2"/>
  <c r="D9" i="2"/>
  <c r="D64" i="2"/>
  <c r="D73" i="2"/>
  <c r="D67" i="2"/>
  <c r="D25" i="2"/>
  <c r="D56" i="2"/>
  <c r="D5" i="2"/>
  <c r="D42" i="2"/>
  <c r="D24" i="2"/>
  <c r="D30" i="2"/>
  <c r="D31" i="2"/>
  <c r="D54" i="2"/>
  <c r="D40" i="2"/>
  <c r="D71" i="2"/>
  <c r="D29" i="2"/>
  <c r="D60" i="2"/>
  <c r="D57" i="2"/>
  <c r="D19" i="2"/>
  <c r="D3" i="2"/>
  <c r="D75" i="2"/>
  <c r="D58" i="2"/>
  <c r="D21" i="2"/>
  <c r="D55" i="2"/>
  <c r="D20" i="2"/>
  <c r="D44" i="2"/>
  <c r="D74" i="2"/>
  <c r="D49" i="2"/>
  <c r="D69" i="2"/>
  <c r="D16" i="2"/>
  <c r="D61" i="2"/>
  <c r="D17" i="2"/>
  <c r="G30" i="1"/>
  <c r="F48" i="1" l="1"/>
  <c r="F42" i="8"/>
  <c r="F41" i="8"/>
  <c r="F41" i="4"/>
  <c r="F42" i="4"/>
  <c r="F42" i="11"/>
  <c r="F41" i="11"/>
  <c r="F42" i="10"/>
  <c r="F41" i="10"/>
  <c r="F42" i="9"/>
  <c r="F41" i="9"/>
  <c r="F42" i="7"/>
  <c r="F41" i="7"/>
  <c r="F42" i="6"/>
  <c r="F41" i="6"/>
  <c r="F42" i="5"/>
  <c r="F41" i="5"/>
  <c r="F41" i="3"/>
  <c r="F42" i="3"/>
  <c r="G7" i="2"/>
  <c r="G8" i="2" s="1"/>
  <c r="G12" i="2" s="1"/>
  <c r="B3" i="13" s="1"/>
  <c r="G29" i="1"/>
  <c r="F47" i="1" l="1"/>
  <c r="F41" i="2"/>
  <c r="F4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G5" i="1" l="1"/>
  <c r="G6" i="1"/>
  <c r="D47" i="1" s="1"/>
  <c r="D50" i="1" l="1"/>
  <c r="D34" i="1"/>
  <c r="D5" i="1"/>
  <c r="D98" i="1"/>
  <c r="D95" i="1"/>
  <c r="D91" i="1"/>
  <c r="D96" i="1"/>
  <c r="D97" i="1"/>
  <c r="D30" i="1"/>
  <c r="D72" i="1"/>
  <c r="D52" i="1"/>
  <c r="D92" i="1"/>
  <c r="D6" i="1"/>
  <c r="D69" i="1"/>
  <c r="D12" i="1"/>
  <c r="D19" i="1"/>
  <c r="D78" i="1"/>
  <c r="D15" i="1"/>
  <c r="D33" i="1"/>
  <c r="D75" i="1"/>
  <c r="D55" i="1"/>
  <c r="D73" i="1"/>
  <c r="D20" i="1"/>
  <c r="D3" i="1"/>
  <c r="D37" i="1"/>
  <c r="D18" i="1"/>
  <c r="D40" i="1"/>
  <c r="D76" i="1"/>
  <c r="D86" i="1"/>
  <c r="D83" i="1"/>
  <c r="D54" i="1"/>
  <c r="D17" i="1"/>
  <c r="D43" i="1"/>
  <c r="D62" i="1"/>
  <c r="D57" i="1"/>
  <c r="D4" i="1"/>
  <c r="D42" i="1"/>
  <c r="D64" i="1"/>
  <c r="D61" i="1"/>
  <c r="D8" i="1"/>
  <c r="D88" i="1"/>
  <c r="D93" i="1"/>
  <c r="D89" i="1"/>
  <c r="D63" i="1"/>
  <c r="D22" i="1"/>
  <c r="D60" i="1"/>
  <c r="D11" i="1"/>
  <c r="D46" i="1"/>
  <c r="D25" i="1"/>
  <c r="D35" i="1"/>
  <c r="D26" i="1"/>
  <c r="D48" i="1"/>
  <c r="D13" i="1"/>
  <c r="D82" i="1"/>
  <c r="D81" i="1"/>
  <c r="D84" i="1"/>
  <c r="D71" i="1"/>
  <c r="D70" i="1"/>
  <c r="D65" i="1"/>
  <c r="D28" i="1"/>
  <c r="D27" i="1"/>
  <c r="D39" i="1"/>
  <c r="D2" i="1"/>
  <c r="D68" i="1"/>
  <c r="D67" i="1"/>
  <c r="D58" i="1"/>
  <c r="D53" i="1"/>
  <c r="D32" i="1"/>
  <c r="D29" i="1"/>
  <c r="D24" i="1"/>
  <c r="D7" i="1"/>
  <c r="D85" i="1"/>
  <c r="D94" i="1"/>
  <c r="D79" i="1"/>
  <c r="D31" i="1"/>
  <c r="D38" i="1"/>
  <c r="D49" i="1"/>
  <c r="D44" i="1"/>
  <c r="D59" i="1"/>
  <c r="D66" i="1"/>
  <c r="D23" i="1"/>
  <c r="D14" i="1"/>
  <c r="D41" i="1"/>
  <c r="D36" i="1"/>
  <c r="D51" i="1"/>
  <c r="D74" i="1"/>
  <c r="D10" i="1"/>
  <c r="D21" i="1"/>
  <c r="D16" i="1"/>
  <c r="D45" i="1"/>
  <c r="D56" i="1"/>
  <c r="D90" i="1"/>
  <c r="D87" i="1"/>
  <c r="D77" i="1"/>
  <c r="D80" i="1"/>
  <c r="D9" i="1"/>
  <c r="G7" i="1" l="1"/>
  <c r="G8" i="1" s="1"/>
  <c r="G12" i="1" s="1"/>
  <c r="B2" i="13" s="1"/>
  <c r="F42" i="1" l="1"/>
  <c r="F41" i="1"/>
</calcChain>
</file>

<file path=xl/sharedStrings.xml><?xml version="1.0" encoding="utf-8"?>
<sst xmlns="http://schemas.openxmlformats.org/spreadsheetml/2006/main" count="281" uniqueCount="60">
  <si>
    <t>Diferencia</t>
  </si>
  <si>
    <t>Media de las diferencias</t>
  </si>
  <si>
    <t>Sumatoria Diferencias</t>
  </si>
  <si>
    <t>numero de datos</t>
  </si>
  <si>
    <t>desviación estándar de las diferencias</t>
  </si>
  <si>
    <t>nivel de significancia (α)</t>
  </si>
  <si>
    <t>grados de libertad   (DF)</t>
  </si>
  <si>
    <t>Valor critico t</t>
  </si>
  <si>
    <t>t calculado (estadistico t):</t>
  </si>
  <si>
    <t>p valor</t>
  </si>
  <si>
    <r>
      <t xml:space="preserve">hipotesis nula Ho = </t>
    </r>
    <r>
      <rPr>
        <sz val="11"/>
        <color rgb="FFC00000"/>
        <rFont val="Calibri"/>
        <family val="2"/>
        <scheme val="minor"/>
      </rPr>
      <t>No hay diferencias significativa</t>
    </r>
  </si>
  <si>
    <r>
      <t xml:space="preserve">hipotesis alternativa H1 = </t>
    </r>
    <r>
      <rPr>
        <sz val="11"/>
        <color rgb="FF00B050"/>
        <rFont val="Calibri"/>
        <family val="2"/>
        <scheme val="minor"/>
      </rPr>
      <t>Si hay diferencia significativa</t>
    </r>
  </si>
  <si>
    <t>Hipotesis</t>
  </si>
  <si>
    <t>Datos</t>
  </si>
  <si>
    <r>
      <t xml:space="preserve">Si </t>
    </r>
    <r>
      <rPr>
        <sz val="11"/>
        <color rgb="FF00B050"/>
        <rFont val="Calibri"/>
        <family val="2"/>
        <scheme val="minor"/>
      </rPr>
      <t>t calculado</t>
    </r>
    <r>
      <rPr>
        <sz val="11"/>
        <color rgb="FFC00000"/>
        <rFont val="Calibri"/>
        <family val="2"/>
        <scheme val="minor"/>
      </rPr>
      <t xml:space="preserve"> &gt; t critico (Tabla)</t>
    </r>
  </si>
  <si>
    <r>
      <t xml:space="preserve">p valor con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dos colas</t>
    </r>
  </si>
  <si>
    <r>
      <t xml:space="preserve">valor crítico t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- 2 colas</t>
    </r>
  </si>
  <si>
    <r>
      <t xml:space="preserve">valor crítico t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- 1 colas</t>
    </r>
  </si>
  <si>
    <t>Sumatoria de diferencias</t>
  </si>
  <si>
    <r>
      <t xml:space="preserve">p valor con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una colas</t>
    </r>
  </si>
  <si>
    <r>
      <t xml:space="preserve">Si </t>
    </r>
    <r>
      <rPr>
        <sz val="11"/>
        <color rgb="FF00B050"/>
        <rFont val="Calibri"/>
        <family val="2"/>
        <scheme val="minor"/>
      </rPr>
      <t>p valor</t>
    </r>
    <r>
      <rPr>
        <sz val="11"/>
        <color rgb="FFC00000"/>
        <rFont val="Calibri"/>
        <family val="2"/>
        <scheme val="minor"/>
      </rPr>
      <t xml:space="preserve"> &lt; Nivel Significancia</t>
    </r>
  </si>
  <si>
    <t>Indicador</t>
  </si>
  <si>
    <t>Resolución problemas</t>
  </si>
  <si>
    <t>Motivación</t>
  </si>
  <si>
    <t>T
Calculado</t>
  </si>
  <si>
    <t>T Critico
2 Colas</t>
  </si>
  <si>
    <t>T Critico
1 Cola</t>
  </si>
  <si>
    <t>P valor
2 Colas</t>
  </si>
  <si>
    <t>P valor
1 Cola</t>
  </si>
  <si>
    <t>Participación activa</t>
  </si>
  <si>
    <t>Comunicación equipo</t>
  </si>
  <si>
    <t>Cumplimiento tareas</t>
  </si>
  <si>
    <t>Contribución grupo</t>
  </si>
  <si>
    <t>Conocimientos adquiridos</t>
  </si>
  <si>
    <t>Nota final</t>
  </si>
  <si>
    <t>Comprensión</t>
  </si>
  <si>
    <t>Habilidades</t>
  </si>
  <si>
    <t>Resolución autónoma</t>
  </si>
  <si>
    <r>
      <t>(Sin Aprendizaje Colaborativo) 
Pre-test</t>
    </r>
    <r>
      <rPr>
        <sz val="11"/>
        <color theme="1"/>
        <rFont val="Calibri"/>
        <family val="2"/>
        <scheme val="minor"/>
      </rPr>
      <t xml:space="preserve">
Participación-activa
</t>
    </r>
  </si>
  <si>
    <r>
      <t>(Sin Aprendizaje Colaborativo) 
Pre-test</t>
    </r>
    <r>
      <rPr>
        <sz val="11"/>
        <color theme="1"/>
        <rFont val="Calibri"/>
        <family val="2"/>
        <scheme val="minor"/>
      </rPr>
      <t xml:space="preserve">
Comunicación-equipo
</t>
    </r>
  </si>
  <si>
    <r>
      <t xml:space="preserve">(Sin Aprendizaje Colaborativo) 
Pre-test
</t>
    </r>
    <r>
      <rPr>
        <sz val="11"/>
        <color theme="1"/>
        <rFont val="Calibri"/>
        <family val="2"/>
        <scheme val="minor"/>
      </rPr>
      <t xml:space="preserve">Cumplimiento-tareas
</t>
    </r>
  </si>
  <si>
    <r>
      <t xml:space="preserve">(Sin Aprendizaje Colaborativo) 
Pre-test   </t>
    </r>
    <r>
      <rPr>
        <sz val="11"/>
        <color theme="1"/>
        <rFont val="Calibri"/>
        <family val="2"/>
        <scheme val="minor"/>
      </rPr>
      <t xml:space="preserve">         
Contribución-grupo
</t>
    </r>
  </si>
  <si>
    <r>
      <t xml:space="preserve">(Sin Aprendizaje Colaborativo) 
Pre-test
</t>
    </r>
    <r>
      <rPr>
        <sz val="11"/>
        <color theme="1"/>
        <rFont val="Calibri"/>
        <family val="2"/>
        <scheme val="minor"/>
      </rPr>
      <t xml:space="preserve">Resolución-problemas
</t>
    </r>
  </si>
  <si>
    <r>
      <t xml:space="preserve">(Sin Aprendizaje Colaborativo) 
Pre-test   </t>
    </r>
    <r>
      <rPr>
        <sz val="11"/>
        <color theme="1"/>
        <rFont val="Calibri"/>
        <family val="2"/>
        <scheme val="minor"/>
      </rPr>
      <t xml:space="preserve">         
Conocimientos-adquiridos
</t>
    </r>
  </si>
  <si>
    <r>
      <rPr>
        <sz val="11"/>
        <color rgb="FFC00000"/>
        <rFont val="Calibri"/>
        <family val="2"/>
        <scheme val="minor"/>
      </rPr>
      <t xml:space="preserve">(Sin Aprendizaje Colaborativo) 
Pre-test
</t>
    </r>
    <r>
      <rPr>
        <sz val="11"/>
        <color theme="1"/>
        <rFont val="Calibri"/>
        <family val="2"/>
        <scheme val="minor"/>
      </rPr>
      <t xml:space="preserve">Nota-final
</t>
    </r>
    <r>
      <rPr>
        <sz val="10"/>
        <color theme="1"/>
        <rFont val="Calibri"/>
        <family val="2"/>
        <scheme val="minor"/>
      </rPr>
      <t xml:space="preserve">
</t>
    </r>
  </si>
  <si>
    <r>
      <t xml:space="preserve">(Sin Aprendizaje Colaborativo) 
Pre-test
</t>
    </r>
    <r>
      <rPr>
        <sz val="11"/>
        <color theme="1"/>
        <rFont val="Calibri"/>
        <family val="2"/>
        <scheme val="minor"/>
      </rPr>
      <t>Comprensión</t>
    </r>
    <r>
      <rPr>
        <sz val="11"/>
        <color rgb="FFC00000"/>
        <rFont val="Calibri"/>
        <family val="2"/>
        <scheme val="minor"/>
      </rPr>
      <t xml:space="preserve">
</t>
    </r>
  </si>
  <si>
    <r>
      <t xml:space="preserve">(Sin Aprendizaje Colaborativo) 
Pre-test
</t>
    </r>
    <r>
      <rPr>
        <sz val="11"/>
        <color theme="1"/>
        <rFont val="Calibri"/>
        <family val="2"/>
        <scheme val="minor"/>
      </rPr>
      <t xml:space="preserve">Habilidades
</t>
    </r>
  </si>
  <si>
    <r>
      <t xml:space="preserve">(Sin Aprendizaje Colaborativo) 
Pre-test
</t>
    </r>
    <r>
      <rPr>
        <sz val="11"/>
        <color theme="1"/>
        <rFont val="Calibri"/>
        <family val="2"/>
        <scheme val="minor"/>
      </rPr>
      <t xml:space="preserve">Resolución-autónoma
</t>
    </r>
    <r>
      <rPr>
        <sz val="11"/>
        <color rgb="FFC00000"/>
        <rFont val="Calibri"/>
        <family val="2"/>
        <scheme val="minor"/>
      </rPr>
      <t xml:space="preserve">
</t>
    </r>
  </si>
  <si>
    <r>
      <t xml:space="preserve">(Sin Aprendizaje Colaborativo) 
Pre-test
</t>
    </r>
    <r>
      <rPr>
        <sz val="11"/>
        <color theme="1"/>
        <rFont val="Calibri"/>
        <family val="2"/>
        <scheme val="minor"/>
      </rPr>
      <t xml:space="preserve">Motivación
</t>
    </r>
    <r>
      <rPr>
        <sz val="11"/>
        <color rgb="FFC00000"/>
        <rFont val="Calibri"/>
        <family val="2"/>
        <scheme val="minor"/>
      </rPr>
      <t xml:space="preserve">
</t>
    </r>
  </si>
  <si>
    <r>
      <t>(Con Aprendizaje Colaborativo) 
Post-test</t>
    </r>
    <r>
      <rPr>
        <sz val="11"/>
        <color theme="1"/>
        <rFont val="Calibri"/>
        <family val="2"/>
        <scheme val="minor"/>
      </rPr>
      <t xml:space="preserve">
Participación-activa
</t>
    </r>
  </si>
  <si>
    <r>
      <t>(Con Aprendizaje Colaborativo) 
Post-test</t>
    </r>
    <r>
      <rPr>
        <sz val="11"/>
        <color theme="1"/>
        <rFont val="Calibri"/>
        <family val="2"/>
        <scheme val="minor"/>
      </rPr>
      <t xml:space="preserve">
Comunicación-equipo
</t>
    </r>
  </si>
  <si>
    <r>
      <t xml:space="preserve">(Con Aprendizaje Colaborativo) 
Post-test
</t>
    </r>
    <r>
      <rPr>
        <sz val="11"/>
        <color theme="1"/>
        <rFont val="Calibri"/>
        <family val="2"/>
        <scheme val="minor"/>
      </rPr>
      <t xml:space="preserve">Cumplimiento-tareas
</t>
    </r>
  </si>
  <si>
    <r>
      <t xml:space="preserve">(Con Aprendizaje Colaborativo) 
Post-test       </t>
    </r>
    <r>
      <rPr>
        <sz val="11"/>
        <color theme="1"/>
        <rFont val="Calibri"/>
        <family val="2"/>
        <scheme val="minor"/>
      </rPr>
      <t xml:space="preserve">     
Contribución-grupo
</t>
    </r>
  </si>
  <si>
    <r>
      <t xml:space="preserve">(Con Aprendizaje Colaborativo) 
Post-test
</t>
    </r>
    <r>
      <rPr>
        <sz val="11"/>
        <color theme="1"/>
        <rFont val="Calibri"/>
        <family val="2"/>
        <scheme val="minor"/>
      </rPr>
      <t xml:space="preserve">Resolución-problemas
</t>
    </r>
  </si>
  <si>
    <r>
      <t xml:space="preserve">(Con Aprendizaje Colaborativo) 
Post-test       </t>
    </r>
    <r>
      <rPr>
        <sz val="11"/>
        <color theme="1"/>
        <rFont val="Calibri"/>
        <family val="2"/>
        <scheme val="minor"/>
      </rPr>
      <t xml:space="preserve">     
Conocimientos-adquiridos
</t>
    </r>
  </si>
  <si>
    <r>
      <rPr>
        <sz val="11"/>
        <color rgb="FFC00000"/>
        <rFont val="Calibri"/>
        <family val="2"/>
        <scheme val="minor"/>
      </rPr>
      <t xml:space="preserve">(Con Aprendizaje Colaborativo) 
Post-test
</t>
    </r>
    <r>
      <rPr>
        <sz val="11"/>
        <color theme="1"/>
        <rFont val="Calibri"/>
        <family val="2"/>
        <scheme val="minor"/>
      </rPr>
      <t xml:space="preserve">Nota-final
</t>
    </r>
    <r>
      <rPr>
        <sz val="10"/>
        <color theme="1"/>
        <rFont val="Calibri"/>
        <family val="2"/>
        <scheme val="minor"/>
      </rPr>
      <t xml:space="preserve">
</t>
    </r>
  </si>
  <si>
    <r>
      <t xml:space="preserve">(Con Aprendizaje Colaborativo) 
Pre-test
</t>
    </r>
    <r>
      <rPr>
        <sz val="11"/>
        <color theme="1"/>
        <rFont val="Calibri"/>
        <family val="2"/>
        <scheme val="minor"/>
      </rPr>
      <t>Comprensión</t>
    </r>
    <r>
      <rPr>
        <sz val="11"/>
        <color rgb="FFC00000"/>
        <rFont val="Calibri"/>
        <family val="2"/>
        <scheme val="minor"/>
      </rPr>
      <t xml:space="preserve">
</t>
    </r>
  </si>
  <si>
    <r>
      <t xml:space="preserve">(Con Aprendizaje Colaborativo) 
Post-test
</t>
    </r>
    <r>
      <rPr>
        <sz val="11"/>
        <color theme="1"/>
        <rFont val="Calibri"/>
        <family val="2"/>
        <scheme val="minor"/>
      </rPr>
      <t xml:space="preserve">Habilidades
</t>
    </r>
  </si>
  <si>
    <r>
      <t xml:space="preserve">(Con Aprendizaje Colaborativo) 
Post-test
</t>
    </r>
    <r>
      <rPr>
        <sz val="11"/>
        <color theme="1"/>
        <rFont val="Calibri"/>
        <family val="2"/>
        <scheme val="minor"/>
      </rPr>
      <t xml:space="preserve">Resolución-autónoma
</t>
    </r>
  </si>
  <si>
    <r>
      <t>(Con Aprendizaje Colaborativo) 
Post-test</t>
    </r>
    <r>
      <rPr>
        <sz val="11"/>
        <color theme="1"/>
        <rFont val="Calibri"/>
        <family val="2"/>
        <scheme val="minor"/>
      </rPr>
      <t xml:space="preserve">
Motivación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</si>
</sst>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6" fillId="4" borderId="0" applyNumberFormat="0" applyBorder="0" applyAlignment="0" applyProtection="0"/>
    <xf numFmtId="0" fontId="9" fillId="0" borderId="0"/>
    <xf numFmtId="0" fontId="10" fillId="5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3" fillId="0" borderId="0" xfId="2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3" borderId="1" xfId="1" applyFont="1" applyFill="1" applyBorder="1" applyAlignment="1">
      <alignment horizontal="center" vertical="center" wrapText="1"/>
    </xf>
    <xf numFmtId="0" fontId="6" fillId="4" borderId="0" xfId="6"/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 vertical="top" wrapText="1"/>
    </xf>
    <xf numFmtId="0" fontId="10" fillId="5" borderId="0" xfId="8"/>
    <xf numFmtId="0" fontId="5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1" fillId="0" borderId="0" xfId="0" applyFont="1" applyFill="1" applyBorder="1" applyAlignment="1">
      <alignment horizontal="justify" vertical="center" wrapText="1"/>
    </xf>
  </cellXfs>
  <cellStyles count="9">
    <cellStyle name="Buena" xfId="1" builtinId="26"/>
    <cellStyle name="Incorrecto" xfId="8" builtinId="27"/>
    <cellStyle name="Neutral" xfId="6" builtinId="28"/>
    <cellStyle name="Normal" xfId="0" builtinId="0"/>
    <cellStyle name="Normal 2" xfId="3"/>
    <cellStyle name="Normal 2 2" xfId="5"/>
    <cellStyle name="Normal 3" xfId="2"/>
    <cellStyle name="Normal 3 2" xfId="4"/>
    <cellStyle name="Normal 4" xfId="7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2072309" y="1884623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311475</xdr:rowOff>
    </xdr:from>
    <xdr:to>
      <xdr:col>3</xdr:col>
      <xdr:colOff>1248426</xdr:colOff>
      <xdr:row>0</xdr:row>
      <xdr:rowOff>597224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A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4853273" y="311475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503250</xdr:rowOff>
    </xdr:from>
    <xdr:to>
      <xdr:col>2</xdr:col>
      <xdr:colOff>813290</xdr:colOff>
      <xdr:row>0</xdr:row>
      <xdr:rowOff>725500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xmlns="" id="{00000000-0008-0000-0A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4323" y="503250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1623579" y="2081255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xmlns="" id="{00000000-0008-0000-0A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1920914" y="1710999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2059837" y="1524229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026567" y="2265948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372477</xdr:colOff>
      <xdr:row>8</xdr:row>
      <xdr:rowOff>34592</xdr:rowOff>
    </xdr:from>
    <xdr:to>
      <xdr:col>5</xdr:col>
      <xdr:colOff>1410200</xdr:colOff>
      <xdr:row>10</xdr:row>
      <xdr:rowOff>68681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xmlns="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16277" y="2892092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553452</xdr:colOff>
      <xdr:row>12</xdr:row>
      <xdr:rowOff>14539</xdr:rowOff>
    </xdr:from>
    <xdr:to>
      <xdr:col>5</xdr:col>
      <xdr:colOff>1267197</xdr:colOff>
      <xdr:row>14</xdr:row>
      <xdr:rowOff>85725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xmlns="" id="{00000000-0008-0000-0A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97252" y="3634039"/>
          <a:ext cx="713745" cy="452186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xmlns="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645566" y="4722394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578327" y="107156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8283</xdr:colOff>
      <xdr:row>43</xdr:row>
      <xdr:rowOff>33130</xdr:rowOff>
    </xdr:from>
    <xdr:to>
      <xdr:col>5</xdr:col>
      <xdr:colOff>2476109</xdr:colOff>
      <xdr:row>44</xdr:row>
      <xdr:rowOff>134335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553740" y="9558130"/>
          <a:ext cx="2467826" cy="2917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521739" y="232979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314118</xdr:colOff>
      <xdr:row>0</xdr:row>
      <xdr:rowOff>241859</xdr:rowOff>
    </xdr:from>
    <xdr:to>
      <xdr:col>3</xdr:col>
      <xdr:colOff>1281271</xdr:colOff>
      <xdr:row>0</xdr:row>
      <xdr:rowOff>527608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4892687" y="241859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573523</xdr:colOff>
      <xdr:row>0</xdr:row>
      <xdr:rowOff>516959</xdr:rowOff>
    </xdr:from>
    <xdr:to>
      <xdr:col>2</xdr:col>
      <xdr:colOff>859273</xdr:colOff>
      <xdr:row>0</xdr:row>
      <xdr:rowOff>739209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5161" y="516959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073009" y="252642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370344" y="215616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509267" y="196939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5997" y="271111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25877" y="2901617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21128" y="3643564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94996" y="4596062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579518" y="107156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579518" y="84296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42</xdr:row>
      <xdr:rowOff>157369</xdr:rowOff>
    </xdr:from>
    <xdr:to>
      <xdr:col>5</xdr:col>
      <xdr:colOff>2517522</xdr:colOff>
      <xdr:row>44</xdr:row>
      <xdr:rowOff>68074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810500" y="9508434"/>
          <a:ext cx="2467826" cy="2917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268135</xdr:colOff>
      <xdr:row>0</xdr:row>
      <xdr:rowOff>276345</xdr:rowOff>
    </xdr:from>
    <xdr:to>
      <xdr:col>3</xdr:col>
      <xdr:colOff>1235288</xdr:colOff>
      <xdr:row>0</xdr:row>
      <xdr:rowOff>562094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4932101" y="276345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540678</xdr:colOff>
      <xdr:row>0</xdr:row>
      <xdr:rowOff>497253</xdr:rowOff>
    </xdr:from>
    <xdr:to>
      <xdr:col>2</xdr:col>
      <xdr:colOff>826428</xdr:colOff>
      <xdr:row>0</xdr:row>
      <xdr:rowOff>719503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7712" y="497253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8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8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985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985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42</xdr:row>
      <xdr:rowOff>157369</xdr:rowOff>
    </xdr:from>
    <xdr:to>
      <xdr:col>5</xdr:col>
      <xdr:colOff>2517522</xdr:colOff>
      <xdr:row>44</xdr:row>
      <xdr:rowOff>68074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812571" y="9510919"/>
          <a:ext cx="2467826" cy="2917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288600</xdr:colOff>
      <xdr:row>0</xdr:row>
      <xdr:rowOff>266239</xdr:rowOff>
    </xdr:from>
    <xdr:to>
      <xdr:col>3</xdr:col>
      <xdr:colOff>1255753</xdr:colOff>
      <xdr:row>0</xdr:row>
      <xdr:rowOff>551988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5021792" y="266239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512886</xdr:colOff>
      <xdr:row>0</xdr:row>
      <xdr:rowOff>496242</xdr:rowOff>
    </xdr:from>
    <xdr:to>
      <xdr:col>2</xdr:col>
      <xdr:colOff>798636</xdr:colOff>
      <xdr:row>0</xdr:row>
      <xdr:rowOff>718492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9905" y="496242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7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7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7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42</xdr:row>
      <xdr:rowOff>157369</xdr:rowOff>
    </xdr:from>
    <xdr:to>
      <xdr:col>5</xdr:col>
      <xdr:colOff>2517522</xdr:colOff>
      <xdr:row>44</xdr:row>
      <xdr:rowOff>68074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774471" y="9510919"/>
          <a:ext cx="2467826" cy="291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273946</xdr:colOff>
      <xdr:row>0</xdr:row>
      <xdr:rowOff>280893</xdr:rowOff>
    </xdr:from>
    <xdr:to>
      <xdr:col>3</xdr:col>
      <xdr:colOff>1241099</xdr:colOff>
      <xdr:row>0</xdr:row>
      <xdr:rowOff>566642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4845946" y="280893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505559</xdr:colOff>
      <xdr:row>0</xdr:row>
      <xdr:rowOff>503569</xdr:rowOff>
    </xdr:from>
    <xdr:to>
      <xdr:col>2</xdr:col>
      <xdr:colOff>791309</xdr:colOff>
      <xdr:row>0</xdr:row>
      <xdr:rowOff>725819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1386" y="503569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6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6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42</xdr:row>
      <xdr:rowOff>157369</xdr:rowOff>
    </xdr:from>
    <xdr:to>
      <xdr:col>5</xdr:col>
      <xdr:colOff>2517522</xdr:colOff>
      <xdr:row>44</xdr:row>
      <xdr:rowOff>68074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774471" y="9510919"/>
          <a:ext cx="2467826" cy="2917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295926</xdr:colOff>
      <xdr:row>0</xdr:row>
      <xdr:rowOff>236932</xdr:rowOff>
    </xdr:from>
    <xdr:to>
      <xdr:col>3</xdr:col>
      <xdr:colOff>1263079</xdr:colOff>
      <xdr:row>0</xdr:row>
      <xdr:rowOff>522681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5344176" y="236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542194</xdr:colOff>
      <xdr:row>0</xdr:row>
      <xdr:rowOff>488915</xdr:rowOff>
    </xdr:from>
    <xdr:to>
      <xdr:col>2</xdr:col>
      <xdr:colOff>827944</xdr:colOff>
      <xdr:row>0</xdr:row>
      <xdr:rowOff>711165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4271" y="488915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5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5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42</xdr:row>
      <xdr:rowOff>157369</xdr:rowOff>
    </xdr:from>
    <xdr:to>
      <xdr:col>5</xdr:col>
      <xdr:colOff>2517522</xdr:colOff>
      <xdr:row>44</xdr:row>
      <xdr:rowOff>68074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774471" y="9510919"/>
          <a:ext cx="2467826" cy="2917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317908</xdr:colOff>
      <xdr:row>0</xdr:row>
      <xdr:rowOff>346836</xdr:rowOff>
    </xdr:from>
    <xdr:to>
      <xdr:col>3</xdr:col>
      <xdr:colOff>1285061</xdr:colOff>
      <xdr:row>0</xdr:row>
      <xdr:rowOff>632585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4889908" y="346836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534867</xdr:colOff>
      <xdr:row>0</xdr:row>
      <xdr:rowOff>607611</xdr:rowOff>
    </xdr:from>
    <xdr:to>
      <xdr:col>2</xdr:col>
      <xdr:colOff>820617</xdr:colOff>
      <xdr:row>0</xdr:row>
      <xdr:rowOff>829861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0694" y="607611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4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4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4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42</xdr:row>
      <xdr:rowOff>157369</xdr:rowOff>
    </xdr:from>
    <xdr:to>
      <xdr:col>5</xdr:col>
      <xdr:colOff>2517522</xdr:colOff>
      <xdr:row>44</xdr:row>
      <xdr:rowOff>68074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774471" y="9510919"/>
          <a:ext cx="2467826" cy="2917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330968</xdr:colOff>
      <xdr:row>0</xdr:row>
      <xdr:rowOff>278345</xdr:rowOff>
    </xdr:from>
    <xdr:to>
      <xdr:col>3</xdr:col>
      <xdr:colOff>1298121</xdr:colOff>
      <xdr:row>0</xdr:row>
      <xdr:rowOff>564094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5308816" y="278345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503250</xdr:rowOff>
    </xdr:from>
    <xdr:to>
      <xdr:col>2</xdr:col>
      <xdr:colOff>813290</xdr:colOff>
      <xdr:row>0</xdr:row>
      <xdr:rowOff>725500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0170" y="503250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3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3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3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42</xdr:row>
      <xdr:rowOff>157369</xdr:rowOff>
    </xdr:from>
    <xdr:to>
      <xdr:col>5</xdr:col>
      <xdr:colOff>2517522</xdr:colOff>
      <xdr:row>44</xdr:row>
      <xdr:rowOff>68074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774471" y="9510919"/>
          <a:ext cx="2467826" cy="29170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314404</xdr:colOff>
      <xdr:row>0</xdr:row>
      <xdr:rowOff>261780</xdr:rowOff>
    </xdr:from>
    <xdr:to>
      <xdr:col>3</xdr:col>
      <xdr:colOff>1281557</xdr:colOff>
      <xdr:row>0</xdr:row>
      <xdr:rowOff>547529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5441339" y="261780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535823</xdr:colOff>
      <xdr:row>0</xdr:row>
      <xdr:rowOff>494968</xdr:rowOff>
    </xdr:from>
    <xdr:to>
      <xdr:col>2</xdr:col>
      <xdr:colOff>821573</xdr:colOff>
      <xdr:row>0</xdr:row>
      <xdr:rowOff>717218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540" y="494968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42</xdr:row>
      <xdr:rowOff>157369</xdr:rowOff>
    </xdr:from>
    <xdr:to>
      <xdr:col>5</xdr:col>
      <xdr:colOff>2517522</xdr:colOff>
      <xdr:row>44</xdr:row>
      <xdr:rowOff>68074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774471" y="9510919"/>
          <a:ext cx="2467826" cy="2917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248143</xdr:colOff>
      <xdr:row>0</xdr:row>
      <xdr:rowOff>344606</xdr:rowOff>
    </xdr:from>
    <xdr:to>
      <xdr:col>3</xdr:col>
      <xdr:colOff>1215296</xdr:colOff>
      <xdr:row>0</xdr:row>
      <xdr:rowOff>630355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5168013" y="344606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644055</xdr:rowOff>
    </xdr:from>
    <xdr:to>
      <xdr:col>2</xdr:col>
      <xdr:colOff>813290</xdr:colOff>
      <xdr:row>0</xdr:row>
      <xdr:rowOff>866305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2192" y="644055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42</xdr:row>
      <xdr:rowOff>157369</xdr:rowOff>
    </xdr:from>
    <xdr:to>
      <xdr:col>5</xdr:col>
      <xdr:colOff>2517522</xdr:colOff>
      <xdr:row>44</xdr:row>
      <xdr:rowOff>68074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774471" y="9510919"/>
          <a:ext cx="2467826" cy="29170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377736</xdr:rowOff>
    </xdr:from>
    <xdr:to>
      <xdr:col>3</xdr:col>
      <xdr:colOff>1248426</xdr:colOff>
      <xdr:row>0</xdr:row>
      <xdr:rowOff>663485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5590425" y="377736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494410</xdr:colOff>
      <xdr:row>0</xdr:row>
      <xdr:rowOff>635772</xdr:rowOff>
    </xdr:from>
    <xdr:to>
      <xdr:col>2</xdr:col>
      <xdr:colOff>780160</xdr:colOff>
      <xdr:row>0</xdr:row>
      <xdr:rowOff>858022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8345" y="635772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42</xdr:row>
      <xdr:rowOff>157369</xdr:rowOff>
    </xdr:from>
    <xdr:to>
      <xdr:col>5</xdr:col>
      <xdr:colOff>2517522</xdr:colOff>
      <xdr:row>44</xdr:row>
      <xdr:rowOff>68074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774471" y="9510919"/>
          <a:ext cx="2467826" cy="2917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zoomScale="175" zoomScaleNormal="175" workbookViewId="0">
      <selection activeCell="G5" sqref="G5"/>
    </sheetView>
  </sheetViews>
  <sheetFormatPr baseColWidth="10" defaultRowHeight="15" x14ac:dyDescent="0.25"/>
  <cols>
    <col min="1" max="1" width="23.85546875" bestFit="1" customWidth="1"/>
    <col min="2" max="2" width="9.5703125" bestFit="1" customWidth="1"/>
    <col min="3" max="4" width="8.140625" bestFit="1" customWidth="1"/>
    <col min="5" max="5" width="10.7109375" customWidth="1"/>
    <col min="6" max="6" width="10.140625" customWidth="1"/>
  </cols>
  <sheetData>
    <row r="1" spans="1:6" ht="30" x14ac:dyDescent="0.25">
      <c r="A1" s="13" t="s">
        <v>21</v>
      </c>
      <c r="B1" s="14" t="s">
        <v>24</v>
      </c>
      <c r="C1" s="14" t="s">
        <v>25</v>
      </c>
      <c r="D1" s="14" t="s">
        <v>26</v>
      </c>
      <c r="E1" s="14" t="s">
        <v>27</v>
      </c>
      <c r="F1" s="14" t="s">
        <v>28</v>
      </c>
    </row>
    <row r="2" spans="1:6" x14ac:dyDescent="0.25">
      <c r="A2" s="12" t="s">
        <v>29</v>
      </c>
      <c r="B2" s="12">
        <f>ROUND('Participación-activa'!G12, 4)</f>
        <v>6.4476000000000004</v>
      </c>
      <c r="C2" s="12">
        <f>ROUND('Participación-activa'!G23, 4)</f>
        <v>1.9850000000000001</v>
      </c>
      <c r="D2" s="12">
        <f>ROUND('Participación-activa'!G24, 4)</f>
        <v>-1.6609</v>
      </c>
      <c r="E2" s="12">
        <f>'Participación-activa'!G29</f>
        <v>4.5656367440247659E-9</v>
      </c>
      <c r="F2" s="12">
        <f>'Participación-activa'!G30</f>
        <v>2.2828183720123829E-9</v>
      </c>
    </row>
    <row r="3" spans="1:6" x14ac:dyDescent="0.25">
      <c r="A3" s="12" t="s">
        <v>30</v>
      </c>
      <c r="B3" s="12">
        <f>ROUND('Comunicación-equipo'!G12, 4)</f>
        <v>6.6860999999999997</v>
      </c>
      <c r="C3" s="12">
        <f>ROUND('Comunicación-equipo'!G23, 4)</f>
        <v>1.9850000000000001</v>
      </c>
      <c r="D3" s="12">
        <f>ROUND('Comunicación-equipo'!G24, 4)</f>
        <v>-1.6609</v>
      </c>
      <c r="E3" s="12">
        <f>'Comunicación-equipo'!G29</f>
        <v>1.5130011499528656E-9</v>
      </c>
      <c r="F3" s="12">
        <f>'Comunicación-equipo'!G30</f>
        <v>7.565005749764328E-10</v>
      </c>
    </row>
    <row r="4" spans="1:6" x14ac:dyDescent="0.25">
      <c r="A4" s="12" t="s">
        <v>31</v>
      </c>
      <c r="B4" s="12">
        <f>ROUND('Cumplimiento-tareas'!G12, 4)</f>
        <v>6.2398999999999996</v>
      </c>
      <c r="C4" s="12">
        <f>ROUND('Cumplimiento-tareas'!G23, 4)</f>
        <v>1.9850000000000001</v>
      </c>
      <c r="D4" s="12">
        <f>ROUND('Cumplimiento-tareas'!G24, 4)</f>
        <v>-1.6609</v>
      </c>
      <c r="E4" s="12">
        <f>'Cumplimiento-tareas'!G29</f>
        <v>1.1807388983947943E-8</v>
      </c>
      <c r="F4" s="12">
        <f>'Cumplimiento-tareas'!G30</f>
        <v>5.9036944919739713E-9</v>
      </c>
    </row>
    <row r="5" spans="1:6" x14ac:dyDescent="0.25">
      <c r="A5" s="12" t="s">
        <v>32</v>
      </c>
      <c r="B5" s="12">
        <f>ROUND('Contribución-grupo'!G12, 4)</f>
        <v>7.2461000000000002</v>
      </c>
      <c r="C5" s="12">
        <f>ROUND('Contribución-grupo'!G23, 4)</f>
        <v>1.9850000000000001</v>
      </c>
      <c r="D5" s="12">
        <f>ROUND('Contribución-grupo'!G24, 4)</f>
        <v>-1.6609</v>
      </c>
      <c r="E5" s="12">
        <f>'Contribución-grupo'!G29</f>
        <v>1.0788236366351045E-10</v>
      </c>
      <c r="F5" s="12">
        <f>'Contribución-grupo'!G30</f>
        <v>5.3941181831755225E-11</v>
      </c>
    </row>
    <row r="6" spans="1:6" x14ac:dyDescent="0.25">
      <c r="A6" s="12" t="s">
        <v>22</v>
      </c>
      <c r="B6" s="12">
        <f>ROUND('Resolución-problemas'!G12, 4)</f>
        <v>5.5073999999999996</v>
      </c>
      <c r="C6" s="12">
        <f>ROUND('Resolución-problemas'!G23, 4)</f>
        <v>1.9850000000000001</v>
      </c>
      <c r="D6" s="12">
        <f>ROUND('Resolución-problemas'!G24, 4)</f>
        <v>-1.6609</v>
      </c>
      <c r="E6" s="12">
        <f>'Resolución-problemas'!G29</f>
        <v>3.0399296881279776E-7</v>
      </c>
      <c r="F6" s="12">
        <f>'Resolución-problemas'!G30</f>
        <v>1.5199648440639888E-7</v>
      </c>
    </row>
    <row r="7" spans="1:6" x14ac:dyDescent="0.25">
      <c r="A7" s="12" t="s">
        <v>33</v>
      </c>
      <c r="B7" s="12">
        <f>ROUND('Conocimientos-adquiridos'!G12, 4)</f>
        <v>7.5557999999999996</v>
      </c>
      <c r="C7" s="12">
        <f>ROUND('Conocimientos-adquiridos'!G23, 4)</f>
        <v>1.9850000000000001</v>
      </c>
      <c r="D7" s="12">
        <f>ROUND('Conocimientos-adquiridos'!G24, 4)</f>
        <v>-1.6609</v>
      </c>
      <c r="E7" s="12">
        <f>'Conocimientos-adquiridos'!G29</f>
        <v>2.4454362934339329E-11</v>
      </c>
      <c r="F7" s="12">
        <f>'Conocimientos-adquiridos'!G30</f>
        <v>1.2227181467169664E-11</v>
      </c>
    </row>
    <row r="8" spans="1:6" x14ac:dyDescent="0.25">
      <c r="A8" s="12" t="s">
        <v>34</v>
      </c>
      <c r="B8" s="12">
        <f>ROUND('Nota-final'!G12, 4)</f>
        <v>8.4860000000000007</v>
      </c>
      <c r="C8" s="12">
        <f>ROUND('Nota-final'!G23, 4)</f>
        <v>1.9850000000000001</v>
      </c>
      <c r="D8" s="12">
        <f>ROUND('Nota-final'!G24, 4)</f>
        <v>-1.6609</v>
      </c>
      <c r="E8" s="12">
        <f>'Nota-final'!G29</f>
        <v>2.6338476288296338E-13</v>
      </c>
      <c r="F8" s="12">
        <f>'Nota-final'!G30</f>
        <v>1.3169238144148169E-13</v>
      </c>
    </row>
    <row r="9" spans="1:6" x14ac:dyDescent="0.25">
      <c r="A9" s="12" t="s">
        <v>35</v>
      </c>
      <c r="B9" s="12">
        <f>ROUND(Comprensión!G12, 4)</f>
        <v>6.4766000000000004</v>
      </c>
      <c r="C9" s="12">
        <f>ROUND(Comprensión!G23, 4)</f>
        <v>1.9850000000000001</v>
      </c>
      <c r="D9" s="12">
        <f>ROUND(Comprensión!G24, 4)</f>
        <v>-1.6609</v>
      </c>
      <c r="E9" s="12">
        <f>Comprensión!G29</f>
        <v>3.9953349860231288E-9</v>
      </c>
      <c r="F9" s="12">
        <f>Comprensión!G30</f>
        <v>1.9976674930115644E-9</v>
      </c>
    </row>
    <row r="10" spans="1:6" x14ac:dyDescent="0.25">
      <c r="A10" s="12" t="s">
        <v>36</v>
      </c>
      <c r="B10" s="12">
        <f>ROUND(Habilidades!G12, 4)</f>
        <v>6.4701000000000004</v>
      </c>
      <c r="C10" s="12">
        <f>ROUND(Habilidades!G23, 4)</f>
        <v>1.9850000000000001</v>
      </c>
      <c r="D10" s="12">
        <f>ROUND(Habilidades!G24, 4)</f>
        <v>-1.6609</v>
      </c>
      <c r="E10" s="12">
        <f>Habilidades!G29</f>
        <v>4.115439195563876E-9</v>
      </c>
      <c r="F10" s="12">
        <f>Habilidades!G30</f>
        <v>2.057719597781938E-9</v>
      </c>
    </row>
    <row r="11" spans="1:6" x14ac:dyDescent="0.25">
      <c r="A11" s="12" t="s">
        <v>37</v>
      </c>
      <c r="B11" s="12">
        <f>ROUND('Resolución-autónoma'!G12, 4)</f>
        <v>8.4183000000000003</v>
      </c>
      <c r="C11" s="12">
        <f>ROUND('Resolución-autónoma'!G23, 4)</f>
        <v>1.9850000000000001</v>
      </c>
      <c r="D11" s="12">
        <f>ROUND('Resolución-autónoma'!G24, 4)</f>
        <v>-1.6609</v>
      </c>
      <c r="E11" s="12">
        <f>'Resolución-autónoma'!G29</f>
        <v>3.672734737362213E-13</v>
      </c>
      <c r="F11" s="12">
        <f>'Resolución-autónoma'!G30</f>
        <v>1.8363673686811065E-13</v>
      </c>
    </row>
    <row r="12" spans="1:6" x14ac:dyDescent="0.25">
      <c r="A12" s="12" t="s">
        <v>23</v>
      </c>
      <c r="B12" s="12">
        <f>ROUND(Motivación!G12, 4)</f>
        <v>6.6909999999999998</v>
      </c>
      <c r="C12" s="12">
        <f>ROUND(Motivación!G23, 4)</f>
        <v>1.9850000000000001</v>
      </c>
      <c r="D12" s="12">
        <f>ROUND(Motivación!G24, 4)</f>
        <v>-1.6609</v>
      </c>
      <c r="E12" s="12">
        <f>Motivación!G29</f>
        <v>1.479258398730328E-9</v>
      </c>
      <c r="F12" s="12">
        <f>Motivación!G30</f>
        <v>7.3962919936516402E-10</v>
      </c>
    </row>
    <row r="14" spans="1:6" x14ac:dyDescent="0.25">
      <c r="A14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zoomScale="130" zoomScaleNormal="130" workbookViewId="0">
      <selection activeCell="B6" sqref="B5:B6"/>
    </sheetView>
  </sheetViews>
  <sheetFormatPr baseColWidth="10" defaultColWidth="9.140625" defaultRowHeight="15" x14ac:dyDescent="0.25"/>
  <cols>
    <col min="1" max="1" width="30.7109375" style="1" customWidth="1"/>
    <col min="2" max="2" width="28.42578125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75" x14ac:dyDescent="0.25">
      <c r="A1" s="7" t="s">
        <v>38</v>
      </c>
      <c r="B1" s="7" t="s">
        <v>49</v>
      </c>
      <c r="C1" s="4" t="s">
        <v>0</v>
      </c>
      <c r="D1" s="4"/>
    </row>
    <row r="2" spans="1:7" x14ac:dyDescent="0.25">
      <c r="A2">
        <v>4</v>
      </c>
      <c r="B2">
        <v>4</v>
      </c>
      <c r="C2" s="2">
        <f>B2-A2</f>
        <v>0</v>
      </c>
      <c r="D2" s="1">
        <f>(C2-$G$6)^2</f>
        <v>1</v>
      </c>
    </row>
    <row r="3" spans="1:7" x14ac:dyDescent="0.25">
      <c r="A3">
        <v>1</v>
      </c>
      <c r="B3">
        <v>5</v>
      </c>
      <c r="C3" s="2">
        <f t="shared" ref="C3:C66" si="0">B3-A3</f>
        <v>4</v>
      </c>
      <c r="D3" s="1">
        <f>(C3-$G$6)^2</f>
        <v>9</v>
      </c>
      <c r="F3" s="5" t="s">
        <v>13</v>
      </c>
      <c r="G3" s="5"/>
    </row>
    <row r="4" spans="1:7" x14ac:dyDescent="0.25">
      <c r="A4">
        <v>3</v>
      </c>
      <c r="B4">
        <v>2</v>
      </c>
      <c r="C4" s="2">
        <f t="shared" si="0"/>
        <v>-1</v>
      </c>
      <c r="D4" s="1">
        <f>(C4-$G$6)^2</f>
        <v>4</v>
      </c>
      <c r="F4" t="s">
        <v>3</v>
      </c>
      <c r="G4">
        <f>COUNT(A:A)</f>
        <v>97</v>
      </c>
    </row>
    <row r="5" spans="1:7" x14ac:dyDescent="0.25">
      <c r="A5">
        <v>2</v>
      </c>
      <c r="B5">
        <v>3</v>
      </c>
      <c r="C5" s="2">
        <f t="shared" si="0"/>
        <v>1</v>
      </c>
      <c r="D5" s="1">
        <f>(C5-$G$6)^2</f>
        <v>0</v>
      </c>
      <c r="F5" t="s">
        <v>2</v>
      </c>
      <c r="G5">
        <f>SUM(C:C)</f>
        <v>97</v>
      </c>
    </row>
    <row r="6" spans="1:7" x14ac:dyDescent="0.25">
      <c r="A6">
        <v>3</v>
      </c>
      <c r="B6">
        <v>4</v>
      </c>
      <c r="C6" s="2">
        <f t="shared" si="0"/>
        <v>1</v>
      </c>
      <c r="D6" s="1">
        <f t="shared" ref="D6:D66" si="1">(C6-$G$6)^2</f>
        <v>0</v>
      </c>
      <c r="F6" t="s">
        <v>1</v>
      </c>
      <c r="G6">
        <f>G5/G4</f>
        <v>1</v>
      </c>
    </row>
    <row r="7" spans="1:7" x14ac:dyDescent="0.25">
      <c r="A7">
        <v>5</v>
      </c>
      <c r="B7">
        <v>4</v>
      </c>
      <c r="C7" s="2">
        <f t="shared" si="0"/>
        <v>-1</v>
      </c>
      <c r="D7" s="1">
        <f>(C7-$G$6)^2</f>
        <v>4</v>
      </c>
      <c r="F7" t="s">
        <v>18</v>
      </c>
      <c r="G7">
        <f>SUM(D:D)</f>
        <v>224</v>
      </c>
    </row>
    <row r="8" spans="1:7" x14ac:dyDescent="0.25">
      <c r="A8">
        <v>3</v>
      </c>
      <c r="B8">
        <v>5</v>
      </c>
      <c r="C8" s="2">
        <f t="shared" si="0"/>
        <v>2</v>
      </c>
      <c r="D8" s="1">
        <f t="shared" si="1"/>
        <v>1</v>
      </c>
      <c r="F8" t="s">
        <v>4</v>
      </c>
      <c r="G8">
        <f>SQRT(G7/(G4-1))</f>
        <v>1.5275252316519468</v>
      </c>
    </row>
    <row r="9" spans="1:7" x14ac:dyDescent="0.25">
      <c r="A9">
        <v>5</v>
      </c>
      <c r="B9">
        <v>4</v>
      </c>
      <c r="C9" s="2">
        <f t="shared" si="0"/>
        <v>-1</v>
      </c>
      <c r="D9" s="1">
        <f>(C9-$G$6)^2</f>
        <v>4</v>
      </c>
    </row>
    <row r="10" spans="1:7" x14ac:dyDescent="0.25">
      <c r="A10">
        <v>3</v>
      </c>
      <c r="B10">
        <v>5</v>
      </c>
      <c r="C10" s="2">
        <f t="shared" si="0"/>
        <v>2</v>
      </c>
      <c r="D10" s="1">
        <f t="shared" si="1"/>
        <v>1</v>
      </c>
    </row>
    <row r="11" spans="1:7" x14ac:dyDescent="0.25">
      <c r="A11">
        <v>2</v>
      </c>
      <c r="B11">
        <v>4</v>
      </c>
      <c r="C11" s="2">
        <f t="shared" si="0"/>
        <v>2</v>
      </c>
      <c r="D11" s="1">
        <f t="shared" si="1"/>
        <v>1</v>
      </c>
    </row>
    <row r="12" spans="1:7" x14ac:dyDescent="0.25">
      <c r="A12">
        <v>4</v>
      </c>
      <c r="B12">
        <v>5</v>
      </c>
      <c r="C12" s="2">
        <f t="shared" si="0"/>
        <v>1</v>
      </c>
      <c r="D12" s="1">
        <f t="shared" si="1"/>
        <v>0</v>
      </c>
      <c r="F12" t="s">
        <v>8</v>
      </c>
      <c r="G12">
        <f>G6/(G8/SQRT(G4))</f>
        <v>6.4475909122267181</v>
      </c>
    </row>
    <row r="13" spans="1:7" x14ac:dyDescent="0.25">
      <c r="A13">
        <v>2</v>
      </c>
      <c r="B13">
        <v>5</v>
      </c>
      <c r="C13" s="2">
        <f t="shared" si="0"/>
        <v>3</v>
      </c>
      <c r="D13" s="1">
        <f t="shared" si="1"/>
        <v>4</v>
      </c>
    </row>
    <row r="14" spans="1:7" x14ac:dyDescent="0.25">
      <c r="A14">
        <v>3</v>
      </c>
      <c r="B14">
        <v>5</v>
      </c>
      <c r="C14" s="2">
        <f t="shared" si="0"/>
        <v>2</v>
      </c>
      <c r="D14" s="1">
        <f t="shared" si="1"/>
        <v>1</v>
      </c>
    </row>
    <row r="15" spans="1:7" x14ac:dyDescent="0.25">
      <c r="A15">
        <v>3</v>
      </c>
      <c r="B15">
        <v>5</v>
      </c>
      <c r="C15" s="2">
        <f t="shared" si="0"/>
        <v>2</v>
      </c>
      <c r="D15" s="1">
        <f t="shared" si="1"/>
        <v>1</v>
      </c>
    </row>
    <row r="16" spans="1:7" x14ac:dyDescent="0.25">
      <c r="A16">
        <v>4</v>
      </c>
      <c r="B16">
        <v>4</v>
      </c>
      <c r="C16" s="2">
        <f t="shared" si="0"/>
        <v>0</v>
      </c>
      <c r="D16" s="1">
        <f t="shared" si="1"/>
        <v>1</v>
      </c>
    </row>
    <row r="17" spans="1:7" x14ac:dyDescent="0.25">
      <c r="A17">
        <v>2</v>
      </c>
      <c r="B17">
        <v>5</v>
      </c>
      <c r="C17" s="2">
        <f t="shared" si="0"/>
        <v>3</v>
      </c>
      <c r="D17" s="1">
        <f t="shared" si="1"/>
        <v>4</v>
      </c>
      <c r="F17" t="s">
        <v>5</v>
      </c>
      <c r="G17">
        <v>0.05</v>
      </c>
    </row>
    <row r="18" spans="1:7" x14ac:dyDescent="0.25">
      <c r="A18">
        <v>2</v>
      </c>
      <c r="B18">
        <v>5</v>
      </c>
      <c r="C18" s="2">
        <f t="shared" si="0"/>
        <v>3</v>
      </c>
      <c r="D18" s="1">
        <f t="shared" si="1"/>
        <v>4</v>
      </c>
      <c r="F18" t="s">
        <v>6</v>
      </c>
      <c r="G18">
        <f>G4-1</f>
        <v>96</v>
      </c>
    </row>
    <row r="19" spans="1:7" x14ac:dyDescent="0.25">
      <c r="A19">
        <v>1</v>
      </c>
      <c r="B19">
        <v>4</v>
      </c>
      <c r="C19" s="2">
        <f t="shared" si="0"/>
        <v>3</v>
      </c>
      <c r="D19" s="1">
        <f t="shared" si="1"/>
        <v>4</v>
      </c>
    </row>
    <row r="20" spans="1:7" x14ac:dyDescent="0.25">
      <c r="A20">
        <v>5</v>
      </c>
      <c r="B20">
        <v>3</v>
      </c>
      <c r="C20" s="2">
        <f t="shared" si="0"/>
        <v>-2</v>
      </c>
      <c r="D20" s="1">
        <f t="shared" si="1"/>
        <v>9</v>
      </c>
    </row>
    <row r="21" spans="1:7" x14ac:dyDescent="0.25">
      <c r="A21">
        <v>4</v>
      </c>
      <c r="B21">
        <v>5</v>
      </c>
      <c r="C21" s="2">
        <f t="shared" si="0"/>
        <v>1</v>
      </c>
      <c r="D21" s="1">
        <f t="shared" si="1"/>
        <v>0</v>
      </c>
    </row>
    <row r="22" spans="1:7" x14ac:dyDescent="0.25">
      <c r="A22">
        <v>3</v>
      </c>
      <c r="B22">
        <v>5</v>
      </c>
      <c r="C22" s="2">
        <f t="shared" si="0"/>
        <v>2</v>
      </c>
      <c r="D22" s="1">
        <f t="shared" si="1"/>
        <v>1</v>
      </c>
      <c r="F22" s="5" t="s">
        <v>7</v>
      </c>
      <c r="G22" s="5"/>
    </row>
    <row r="23" spans="1:7" x14ac:dyDescent="0.25">
      <c r="A23">
        <v>2</v>
      </c>
      <c r="B23">
        <v>1</v>
      </c>
      <c r="C23" s="2">
        <f t="shared" si="0"/>
        <v>-1</v>
      </c>
      <c r="D23" s="1">
        <f t="shared" si="1"/>
        <v>4</v>
      </c>
      <c r="F23" t="s">
        <v>16</v>
      </c>
      <c r="G23">
        <f>_xlfn.T.INV.2T(G17,G18)</f>
        <v>1.9849843115224561</v>
      </c>
    </row>
    <row r="24" spans="1:7" x14ac:dyDescent="0.25">
      <c r="A24">
        <v>1</v>
      </c>
      <c r="B24">
        <v>4</v>
      </c>
      <c r="C24" s="2">
        <f t="shared" si="0"/>
        <v>3</v>
      </c>
      <c r="D24" s="1">
        <f t="shared" si="1"/>
        <v>4</v>
      </c>
      <c r="F24" t="s">
        <v>17</v>
      </c>
      <c r="G24">
        <f>_xlfn.T.INV(G17,G18)</f>
        <v>-1.6608814403248366</v>
      </c>
    </row>
    <row r="25" spans="1:7" x14ac:dyDescent="0.25">
      <c r="A25">
        <v>4</v>
      </c>
      <c r="B25">
        <v>5</v>
      </c>
      <c r="C25" s="2">
        <f t="shared" si="0"/>
        <v>1</v>
      </c>
      <c r="D25" s="1">
        <f t="shared" si="1"/>
        <v>0</v>
      </c>
    </row>
    <row r="26" spans="1:7" x14ac:dyDescent="0.25">
      <c r="A26">
        <v>3</v>
      </c>
      <c r="B26">
        <v>4</v>
      </c>
      <c r="C26" s="2">
        <f t="shared" si="0"/>
        <v>1</v>
      </c>
      <c r="D26" s="1">
        <f t="shared" si="1"/>
        <v>0</v>
      </c>
    </row>
    <row r="27" spans="1:7" x14ac:dyDescent="0.25">
      <c r="A27">
        <v>4</v>
      </c>
      <c r="B27">
        <v>4</v>
      </c>
      <c r="C27" s="2">
        <f t="shared" si="0"/>
        <v>0</v>
      </c>
      <c r="D27" s="1">
        <f t="shared" si="1"/>
        <v>1</v>
      </c>
      <c r="F27" s="5" t="s">
        <v>9</v>
      </c>
      <c r="G27" s="5"/>
    </row>
    <row r="28" spans="1:7" x14ac:dyDescent="0.25">
      <c r="A28">
        <v>5</v>
      </c>
      <c r="B28">
        <v>5</v>
      </c>
      <c r="C28" s="2">
        <f t="shared" si="0"/>
        <v>0</v>
      </c>
      <c r="D28" s="1">
        <f t="shared" si="1"/>
        <v>1</v>
      </c>
      <c r="F28" t="s">
        <v>9</v>
      </c>
    </row>
    <row r="29" spans="1:7" x14ac:dyDescent="0.25">
      <c r="A29">
        <v>2</v>
      </c>
      <c r="B29">
        <v>4</v>
      </c>
      <c r="C29" s="2">
        <f t="shared" si="0"/>
        <v>2</v>
      </c>
      <c r="D29" s="1">
        <f t="shared" si="1"/>
        <v>1</v>
      </c>
      <c r="F29" t="s">
        <v>15</v>
      </c>
      <c r="G29">
        <f>TTEST(A:A,B:B,2,1)</f>
        <v>4.5656367440247659E-9</v>
      </c>
    </row>
    <row r="30" spans="1:7" x14ac:dyDescent="0.25">
      <c r="A30">
        <v>5</v>
      </c>
      <c r="B30">
        <v>2</v>
      </c>
      <c r="C30" s="2">
        <f t="shared" si="0"/>
        <v>-3</v>
      </c>
      <c r="D30" s="1">
        <f t="shared" si="1"/>
        <v>16</v>
      </c>
      <c r="F30" t="s">
        <v>19</v>
      </c>
      <c r="G30">
        <f>TTEST(A:A,B:B,1,1)</f>
        <v>2.2828183720123829E-9</v>
      </c>
    </row>
    <row r="31" spans="1:7" x14ac:dyDescent="0.25">
      <c r="A31">
        <v>3</v>
      </c>
      <c r="B31">
        <v>5</v>
      </c>
      <c r="C31" s="2">
        <f t="shared" si="0"/>
        <v>2</v>
      </c>
      <c r="D31" s="1">
        <f t="shared" si="1"/>
        <v>1</v>
      </c>
    </row>
    <row r="32" spans="1:7" x14ac:dyDescent="0.25">
      <c r="A32">
        <v>5</v>
      </c>
      <c r="B32">
        <v>5</v>
      </c>
      <c r="C32" s="2">
        <f t="shared" si="0"/>
        <v>0</v>
      </c>
      <c r="D32" s="1">
        <f t="shared" si="1"/>
        <v>1</v>
      </c>
    </row>
    <row r="33" spans="1:7" x14ac:dyDescent="0.25">
      <c r="A33">
        <v>3</v>
      </c>
      <c r="B33">
        <v>5</v>
      </c>
      <c r="C33" s="2">
        <f t="shared" si="0"/>
        <v>2</v>
      </c>
      <c r="D33" s="1">
        <f t="shared" si="1"/>
        <v>1</v>
      </c>
      <c r="F33" s="8" t="s">
        <v>12</v>
      </c>
      <c r="G33" s="8"/>
    </row>
    <row r="34" spans="1:7" x14ac:dyDescent="0.25">
      <c r="A34">
        <v>4</v>
      </c>
      <c r="B34">
        <v>3</v>
      </c>
      <c r="C34" s="2">
        <f t="shared" si="0"/>
        <v>-1</v>
      </c>
      <c r="D34" s="1">
        <f t="shared" si="1"/>
        <v>4</v>
      </c>
    </row>
    <row r="35" spans="1:7" x14ac:dyDescent="0.25">
      <c r="A35">
        <v>2</v>
      </c>
      <c r="B35">
        <v>3</v>
      </c>
      <c r="C35" s="2">
        <f t="shared" si="0"/>
        <v>1</v>
      </c>
      <c r="D35" s="1">
        <f t="shared" si="1"/>
        <v>0</v>
      </c>
      <c r="F35" t="s">
        <v>10</v>
      </c>
    </row>
    <row r="36" spans="1:7" x14ac:dyDescent="0.25">
      <c r="A36">
        <v>2</v>
      </c>
      <c r="B36">
        <v>5</v>
      </c>
      <c r="C36" s="2">
        <f t="shared" si="0"/>
        <v>3</v>
      </c>
      <c r="D36" s="1">
        <f t="shared" si="1"/>
        <v>4</v>
      </c>
      <c r="F36" t="s">
        <v>11</v>
      </c>
    </row>
    <row r="37" spans="1:7" x14ac:dyDescent="0.25">
      <c r="A37">
        <v>2</v>
      </c>
      <c r="B37">
        <v>5</v>
      </c>
      <c r="C37" s="2">
        <f t="shared" si="0"/>
        <v>3</v>
      </c>
      <c r="D37" s="1">
        <f t="shared" si="1"/>
        <v>4</v>
      </c>
    </row>
    <row r="38" spans="1:7" x14ac:dyDescent="0.25">
      <c r="A38">
        <v>3</v>
      </c>
      <c r="B38">
        <v>5</v>
      </c>
      <c r="C38" s="2">
        <f t="shared" si="0"/>
        <v>2</v>
      </c>
      <c r="D38" s="1">
        <f t="shared" si="1"/>
        <v>1</v>
      </c>
    </row>
    <row r="39" spans="1:7" x14ac:dyDescent="0.25">
      <c r="A39">
        <v>3</v>
      </c>
      <c r="B39">
        <v>4</v>
      </c>
      <c r="C39" s="2">
        <f t="shared" si="0"/>
        <v>1</v>
      </c>
      <c r="D39" s="1">
        <f t="shared" si="1"/>
        <v>0</v>
      </c>
    </row>
    <row r="40" spans="1:7" x14ac:dyDescent="0.25">
      <c r="A40">
        <v>1</v>
      </c>
      <c r="B40">
        <v>5</v>
      </c>
      <c r="C40" s="2">
        <f t="shared" si="0"/>
        <v>4</v>
      </c>
      <c r="D40" s="1">
        <f t="shared" si="1"/>
        <v>9</v>
      </c>
      <c r="F40" t="s">
        <v>14</v>
      </c>
    </row>
    <row r="41" spans="1:7" x14ac:dyDescent="0.25">
      <c r="A41">
        <v>3</v>
      </c>
      <c r="B41">
        <v>4</v>
      </c>
      <c r="C41" s="2">
        <f t="shared" si="0"/>
        <v>1</v>
      </c>
      <c r="D41" s="1">
        <f t="shared" si="1"/>
        <v>0</v>
      </c>
      <c r="F41" t="str">
        <f>"Dos Colas: Si t calculado ("&amp;G12&amp;") &gt; a t critico  ("&amp;G23&amp;") (de tabla) ---&gt; Se rechaza la hipotesis nula"</f>
        <v>Dos Colas: Si t calculado (6.44759091222672) &gt; a t critico  (1.98498431152246) (de tabla) ---&gt; Se rechaza la hipotesis nula</v>
      </c>
    </row>
    <row r="42" spans="1:7" x14ac:dyDescent="0.25">
      <c r="A42">
        <v>3</v>
      </c>
      <c r="B42">
        <v>5</v>
      </c>
      <c r="C42" s="2">
        <f t="shared" si="0"/>
        <v>2</v>
      </c>
      <c r="D42" s="1">
        <f t="shared" si="1"/>
        <v>1</v>
      </c>
      <c r="F42" t="str">
        <f>"Una Cola: Si t calculado ("&amp;G12&amp;") &gt; a t critico  ("&amp;G24&amp;") (de tabla) ---&gt; Se rechaza la hipotesis nula"</f>
        <v>Una Cola: Si t calculado (6.44759091222672) &gt; a t critico  (-1.66088144032484) (de tabla) ---&gt; Se rechaza la hipotesis nula</v>
      </c>
    </row>
    <row r="43" spans="1:7" x14ac:dyDescent="0.25">
      <c r="A43">
        <v>3</v>
      </c>
      <c r="B43">
        <v>3</v>
      </c>
      <c r="C43" s="2">
        <f t="shared" si="0"/>
        <v>0</v>
      </c>
      <c r="D43" s="1">
        <f t="shared" si="1"/>
        <v>1</v>
      </c>
    </row>
    <row r="44" spans="1:7" x14ac:dyDescent="0.25">
      <c r="A44">
        <v>2</v>
      </c>
      <c r="B44">
        <v>5</v>
      </c>
      <c r="C44" s="2">
        <f t="shared" si="0"/>
        <v>3</v>
      </c>
      <c r="D44" s="1">
        <f t="shared" si="1"/>
        <v>4</v>
      </c>
    </row>
    <row r="45" spans="1:7" x14ac:dyDescent="0.25">
      <c r="A45">
        <v>3</v>
      </c>
      <c r="B45">
        <v>5</v>
      </c>
      <c r="C45" s="2">
        <f t="shared" si="0"/>
        <v>2</v>
      </c>
      <c r="D45" s="1">
        <f t="shared" si="1"/>
        <v>1</v>
      </c>
    </row>
    <row r="46" spans="1:7" x14ac:dyDescent="0.25">
      <c r="A46">
        <v>2</v>
      </c>
      <c r="B46">
        <v>2</v>
      </c>
      <c r="C46" s="2">
        <f t="shared" si="0"/>
        <v>0</v>
      </c>
      <c r="D46" s="1">
        <f t="shared" si="1"/>
        <v>1</v>
      </c>
      <c r="F46" t="s">
        <v>20</v>
      </c>
    </row>
    <row r="47" spans="1:7" x14ac:dyDescent="0.25">
      <c r="A47">
        <v>4</v>
      </c>
      <c r="B47">
        <v>5</v>
      </c>
      <c r="C47" s="2">
        <f t="shared" si="0"/>
        <v>1</v>
      </c>
      <c r="D47" s="1">
        <f t="shared" si="1"/>
        <v>0</v>
      </c>
      <c r="F47" t="str">
        <f>"Dos Colas: Si p valor ("&amp;G29&amp;") &lt; Nivel Significancia ("&amp;G17&amp;") ---&gt; Se rechaza la hipotesis nula"</f>
        <v>Dos Colas: Si p valor (4.56563674402477E-09) &lt; Nivel Significancia (0.05) ---&gt; Se rechaza la hipotesis nula</v>
      </c>
    </row>
    <row r="48" spans="1:7" x14ac:dyDescent="0.25">
      <c r="A48">
        <v>5</v>
      </c>
      <c r="B48">
        <v>5</v>
      </c>
      <c r="C48" s="2">
        <f t="shared" si="0"/>
        <v>0</v>
      </c>
      <c r="D48" s="1">
        <f t="shared" si="1"/>
        <v>1</v>
      </c>
      <c r="F48" t="str">
        <f>"Una Cola: Si p valor ("&amp;G30&amp;") &lt; Nivel Significancia ("&amp;G17&amp;") ---&gt; Se rechaza la hipotesis nula"</f>
        <v>Una Cola: Si p valor (2.28281837201238E-09) &lt; Nivel Significancia (0.05) ---&gt; Se rechaza la hipotesis nula</v>
      </c>
    </row>
    <row r="49" spans="1:4" x14ac:dyDescent="0.25">
      <c r="A49">
        <v>5</v>
      </c>
      <c r="B49">
        <v>3</v>
      </c>
      <c r="C49" s="2">
        <f t="shared" si="0"/>
        <v>-2</v>
      </c>
      <c r="D49" s="1">
        <f t="shared" si="1"/>
        <v>9</v>
      </c>
    </row>
    <row r="50" spans="1:4" x14ac:dyDescent="0.25">
      <c r="A50">
        <v>3</v>
      </c>
      <c r="B50">
        <v>5</v>
      </c>
      <c r="C50" s="2">
        <f t="shared" si="0"/>
        <v>2</v>
      </c>
      <c r="D50" s="1">
        <f t="shared" si="1"/>
        <v>1</v>
      </c>
    </row>
    <row r="51" spans="1:4" x14ac:dyDescent="0.25">
      <c r="A51">
        <v>2</v>
      </c>
      <c r="B51">
        <v>3</v>
      </c>
      <c r="C51" s="2">
        <f t="shared" si="0"/>
        <v>1</v>
      </c>
      <c r="D51" s="1">
        <f t="shared" si="1"/>
        <v>0</v>
      </c>
    </row>
    <row r="52" spans="1:4" x14ac:dyDescent="0.25">
      <c r="A52">
        <v>4</v>
      </c>
      <c r="B52">
        <v>5</v>
      </c>
      <c r="C52" s="2">
        <f t="shared" si="0"/>
        <v>1</v>
      </c>
      <c r="D52" s="1">
        <f t="shared" si="1"/>
        <v>0</v>
      </c>
    </row>
    <row r="53" spans="1:4" x14ac:dyDescent="0.25">
      <c r="A53">
        <v>1</v>
      </c>
      <c r="B53">
        <v>3</v>
      </c>
      <c r="C53" s="2">
        <f t="shared" si="0"/>
        <v>2</v>
      </c>
      <c r="D53" s="1">
        <f t="shared" si="1"/>
        <v>1</v>
      </c>
    </row>
    <row r="54" spans="1:4" x14ac:dyDescent="0.25">
      <c r="A54">
        <v>5</v>
      </c>
      <c r="B54">
        <v>4</v>
      </c>
      <c r="C54" s="2">
        <f t="shared" si="0"/>
        <v>-1</v>
      </c>
      <c r="D54" s="1">
        <f t="shared" si="1"/>
        <v>4</v>
      </c>
    </row>
    <row r="55" spans="1:4" x14ac:dyDescent="0.25">
      <c r="A55">
        <v>1</v>
      </c>
      <c r="B55">
        <v>5</v>
      </c>
      <c r="C55" s="2">
        <f t="shared" si="0"/>
        <v>4</v>
      </c>
      <c r="D55" s="1">
        <f t="shared" si="1"/>
        <v>9</v>
      </c>
    </row>
    <row r="56" spans="1:4" x14ac:dyDescent="0.25">
      <c r="A56">
        <v>4</v>
      </c>
      <c r="B56">
        <v>5</v>
      </c>
      <c r="C56" s="2">
        <f t="shared" si="0"/>
        <v>1</v>
      </c>
      <c r="D56" s="1">
        <f t="shared" si="1"/>
        <v>0</v>
      </c>
    </row>
    <row r="57" spans="1:4" x14ac:dyDescent="0.25">
      <c r="A57">
        <v>2</v>
      </c>
      <c r="B57">
        <v>4</v>
      </c>
      <c r="C57" s="2">
        <f t="shared" si="0"/>
        <v>2</v>
      </c>
      <c r="D57" s="1">
        <f t="shared" si="1"/>
        <v>1</v>
      </c>
    </row>
    <row r="58" spans="1:4" x14ac:dyDescent="0.25">
      <c r="A58">
        <v>2</v>
      </c>
      <c r="B58">
        <v>3</v>
      </c>
      <c r="C58" s="2">
        <f t="shared" si="0"/>
        <v>1</v>
      </c>
      <c r="D58" s="1">
        <f t="shared" si="1"/>
        <v>0</v>
      </c>
    </row>
    <row r="59" spans="1:4" x14ac:dyDescent="0.25">
      <c r="A59">
        <v>4</v>
      </c>
      <c r="B59">
        <v>4</v>
      </c>
      <c r="C59" s="2">
        <f t="shared" si="0"/>
        <v>0</v>
      </c>
      <c r="D59" s="1">
        <f t="shared" si="1"/>
        <v>1</v>
      </c>
    </row>
    <row r="60" spans="1:4" x14ac:dyDescent="0.25">
      <c r="A60">
        <v>2</v>
      </c>
      <c r="B60">
        <v>5</v>
      </c>
      <c r="C60" s="2">
        <f t="shared" si="0"/>
        <v>3</v>
      </c>
      <c r="D60" s="1">
        <f t="shared" si="1"/>
        <v>4</v>
      </c>
    </row>
    <row r="61" spans="1:4" x14ac:dyDescent="0.25">
      <c r="A61">
        <v>2</v>
      </c>
      <c r="B61">
        <v>4</v>
      </c>
      <c r="C61" s="2">
        <f t="shared" si="0"/>
        <v>2</v>
      </c>
      <c r="D61" s="1">
        <f t="shared" si="1"/>
        <v>1</v>
      </c>
    </row>
    <row r="62" spans="1:4" x14ac:dyDescent="0.25">
      <c r="A62">
        <v>2</v>
      </c>
      <c r="B62">
        <v>5</v>
      </c>
      <c r="C62" s="2">
        <f t="shared" si="0"/>
        <v>3</v>
      </c>
      <c r="D62" s="1">
        <f t="shared" si="1"/>
        <v>4</v>
      </c>
    </row>
    <row r="63" spans="1:4" x14ac:dyDescent="0.25">
      <c r="A63">
        <v>5</v>
      </c>
      <c r="B63">
        <v>4</v>
      </c>
      <c r="C63" s="2">
        <f t="shared" si="0"/>
        <v>-1</v>
      </c>
      <c r="D63" s="1">
        <f t="shared" si="1"/>
        <v>4</v>
      </c>
    </row>
    <row r="64" spans="1:4" x14ac:dyDescent="0.25">
      <c r="A64">
        <v>2</v>
      </c>
      <c r="B64">
        <v>3</v>
      </c>
      <c r="C64" s="2">
        <f t="shared" si="0"/>
        <v>1</v>
      </c>
      <c r="D64" s="1">
        <f t="shared" si="1"/>
        <v>0</v>
      </c>
    </row>
    <row r="65" spans="1:4" x14ac:dyDescent="0.25">
      <c r="A65">
        <v>4</v>
      </c>
      <c r="B65">
        <v>3</v>
      </c>
      <c r="C65" s="2">
        <f t="shared" si="0"/>
        <v>-1</v>
      </c>
      <c r="D65" s="1">
        <f t="shared" si="1"/>
        <v>4</v>
      </c>
    </row>
    <row r="66" spans="1:4" x14ac:dyDescent="0.25">
      <c r="A66">
        <v>3</v>
      </c>
      <c r="B66">
        <v>5</v>
      </c>
      <c r="C66" s="2">
        <f t="shared" si="0"/>
        <v>2</v>
      </c>
      <c r="D66" s="1">
        <f t="shared" si="1"/>
        <v>1</v>
      </c>
    </row>
    <row r="67" spans="1:4" x14ac:dyDescent="0.25">
      <c r="A67">
        <v>3</v>
      </c>
      <c r="B67">
        <v>5</v>
      </c>
      <c r="C67" s="2">
        <f t="shared" ref="C67:C75" si="2">B67-A67</f>
        <v>2</v>
      </c>
      <c r="D67" s="1">
        <f t="shared" ref="D67:D75" si="3">(C67-$G$6)^2</f>
        <v>1</v>
      </c>
    </row>
    <row r="68" spans="1:4" x14ac:dyDescent="0.25">
      <c r="A68">
        <v>3</v>
      </c>
      <c r="B68">
        <v>5</v>
      </c>
      <c r="C68" s="2">
        <f t="shared" si="2"/>
        <v>2</v>
      </c>
      <c r="D68" s="1">
        <f t="shared" si="3"/>
        <v>1</v>
      </c>
    </row>
    <row r="69" spans="1:4" x14ac:dyDescent="0.25">
      <c r="A69">
        <v>3</v>
      </c>
      <c r="B69">
        <v>4</v>
      </c>
      <c r="C69" s="2">
        <f t="shared" si="2"/>
        <v>1</v>
      </c>
      <c r="D69" s="1">
        <f t="shared" si="3"/>
        <v>0</v>
      </c>
    </row>
    <row r="70" spans="1:4" x14ac:dyDescent="0.25">
      <c r="A70">
        <v>5</v>
      </c>
      <c r="B70">
        <v>5</v>
      </c>
      <c r="C70" s="2">
        <f t="shared" si="2"/>
        <v>0</v>
      </c>
      <c r="D70" s="1">
        <f t="shared" si="3"/>
        <v>1</v>
      </c>
    </row>
    <row r="71" spans="1:4" x14ac:dyDescent="0.25">
      <c r="A71">
        <v>3</v>
      </c>
      <c r="B71">
        <v>3</v>
      </c>
      <c r="C71" s="2">
        <f t="shared" si="2"/>
        <v>0</v>
      </c>
      <c r="D71" s="1">
        <f t="shared" si="3"/>
        <v>1</v>
      </c>
    </row>
    <row r="72" spans="1:4" x14ac:dyDescent="0.25">
      <c r="A72">
        <v>3</v>
      </c>
      <c r="B72">
        <v>5</v>
      </c>
      <c r="C72" s="2">
        <f t="shared" si="2"/>
        <v>2</v>
      </c>
      <c r="D72" s="1">
        <f t="shared" si="3"/>
        <v>1</v>
      </c>
    </row>
    <row r="73" spans="1:4" x14ac:dyDescent="0.25">
      <c r="A73">
        <v>3</v>
      </c>
      <c r="B73">
        <v>4</v>
      </c>
      <c r="C73" s="2">
        <f t="shared" si="2"/>
        <v>1</v>
      </c>
      <c r="D73" s="1">
        <f t="shared" si="3"/>
        <v>0</v>
      </c>
    </row>
    <row r="74" spans="1:4" x14ac:dyDescent="0.25">
      <c r="A74">
        <v>3</v>
      </c>
      <c r="B74">
        <v>3</v>
      </c>
      <c r="C74" s="2">
        <f t="shared" si="2"/>
        <v>0</v>
      </c>
      <c r="D74" s="1">
        <f t="shared" si="3"/>
        <v>1</v>
      </c>
    </row>
    <row r="75" spans="1:4" x14ac:dyDescent="0.25">
      <c r="A75">
        <v>2</v>
      </c>
      <c r="B75">
        <v>4</v>
      </c>
      <c r="C75" s="2">
        <f t="shared" si="2"/>
        <v>2</v>
      </c>
      <c r="D75" s="1">
        <f t="shared" si="3"/>
        <v>1</v>
      </c>
    </row>
    <row r="76" spans="1:4" x14ac:dyDescent="0.25">
      <c r="A76">
        <v>5</v>
      </c>
      <c r="B76">
        <v>4</v>
      </c>
      <c r="C76" s="2">
        <f>B76-A76</f>
        <v>-1</v>
      </c>
      <c r="D76" s="1">
        <f>(C76-$G$6)^2</f>
        <v>4</v>
      </c>
    </row>
    <row r="77" spans="1:4" x14ac:dyDescent="0.25">
      <c r="A77">
        <v>2</v>
      </c>
      <c r="B77">
        <v>5</v>
      </c>
      <c r="C77" s="2">
        <f t="shared" ref="C77:C96" si="4">B77-A77</f>
        <v>3</v>
      </c>
      <c r="D77" s="1">
        <f t="shared" ref="D77:D92" si="5">(C77-$G$6)^2</f>
        <v>4</v>
      </c>
    </row>
    <row r="78" spans="1:4" x14ac:dyDescent="0.25">
      <c r="A78">
        <v>4</v>
      </c>
      <c r="B78">
        <v>3</v>
      </c>
      <c r="C78" s="2">
        <f t="shared" si="4"/>
        <v>-1</v>
      </c>
      <c r="D78" s="1">
        <f t="shared" si="5"/>
        <v>4</v>
      </c>
    </row>
    <row r="79" spans="1:4" x14ac:dyDescent="0.25">
      <c r="A79">
        <v>5</v>
      </c>
      <c r="B79">
        <v>3</v>
      </c>
      <c r="C79" s="2">
        <f t="shared" si="4"/>
        <v>-2</v>
      </c>
      <c r="D79" s="1">
        <f t="shared" si="5"/>
        <v>9</v>
      </c>
    </row>
    <row r="80" spans="1:4" x14ac:dyDescent="0.25">
      <c r="A80">
        <v>2</v>
      </c>
      <c r="B80">
        <v>3</v>
      </c>
      <c r="C80" s="2">
        <f t="shared" si="4"/>
        <v>1</v>
      </c>
      <c r="D80" s="1">
        <f t="shared" si="5"/>
        <v>0</v>
      </c>
    </row>
    <row r="81" spans="1:6" x14ac:dyDescent="0.25">
      <c r="A81">
        <v>4</v>
      </c>
      <c r="B81">
        <v>4</v>
      </c>
      <c r="C81" s="2">
        <f t="shared" si="4"/>
        <v>0</v>
      </c>
      <c r="D81" s="1">
        <f t="shared" si="5"/>
        <v>1</v>
      </c>
    </row>
    <row r="82" spans="1:6" x14ac:dyDescent="0.25">
      <c r="A82">
        <v>3</v>
      </c>
      <c r="B82">
        <v>4</v>
      </c>
      <c r="C82" s="2">
        <f t="shared" si="4"/>
        <v>1</v>
      </c>
      <c r="D82" s="1">
        <f t="shared" si="5"/>
        <v>0</v>
      </c>
    </row>
    <row r="83" spans="1:6" x14ac:dyDescent="0.25">
      <c r="A83">
        <v>3</v>
      </c>
      <c r="B83">
        <v>3</v>
      </c>
      <c r="C83" s="2">
        <f t="shared" si="4"/>
        <v>0</v>
      </c>
      <c r="D83" s="1">
        <f t="shared" si="5"/>
        <v>1</v>
      </c>
    </row>
    <row r="84" spans="1:6" x14ac:dyDescent="0.25">
      <c r="A84">
        <v>3</v>
      </c>
      <c r="B84">
        <v>4</v>
      </c>
      <c r="C84" s="2">
        <f t="shared" si="4"/>
        <v>1</v>
      </c>
      <c r="D84" s="1">
        <f>(C84-$G$6)^2</f>
        <v>0</v>
      </c>
    </row>
    <row r="85" spans="1:6" x14ac:dyDescent="0.25">
      <c r="A85">
        <v>5</v>
      </c>
      <c r="B85">
        <v>5</v>
      </c>
      <c r="C85" s="2">
        <f t="shared" si="4"/>
        <v>0</v>
      </c>
      <c r="D85" s="1">
        <f>(C85-$G$6)^2</f>
        <v>1</v>
      </c>
    </row>
    <row r="86" spans="1:6" x14ac:dyDescent="0.25">
      <c r="A86">
        <v>5</v>
      </c>
      <c r="B86">
        <v>4</v>
      </c>
      <c r="C86" s="2">
        <f t="shared" si="4"/>
        <v>-1</v>
      </c>
      <c r="D86" s="1">
        <f t="shared" si="5"/>
        <v>4</v>
      </c>
    </row>
    <row r="87" spans="1:6" x14ac:dyDescent="0.25">
      <c r="A87">
        <v>3</v>
      </c>
      <c r="B87">
        <v>4</v>
      </c>
      <c r="C87" s="2">
        <f t="shared" si="4"/>
        <v>1</v>
      </c>
      <c r="D87" s="1">
        <f>(C87-$G$6)^2</f>
        <v>0</v>
      </c>
    </row>
    <row r="88" spans="1:6" x14ac:dyDescent="0.25">
      <c r="A88">
        <v>1</v>
      </c>
      <c r="B88">
        <v>5</v>
      </c>
      <c r="C88" s="2">
        <f t="shared" si="4"/>
        <v>4</v>
      </c>
      <c r="D88" s="1">
        <f t="shared" si="5"/>
        <v>9</v>
      </c>
    </row>
    <row r="89" spans="1:6" x14ac:dyDescent="0.25">
      <c r="A89">
        <v>3</v>
      </c>
      <c r="B89">
        <v>1</v>
      </c>
      <c r="C89" s="2">
        <f t="shared" si="4"/>
        <v>-2</v>
      </c>
      <c r="D89" s="1">
        <f>(C89-$G$6)^2</f>
        <v>9</v>
      </c>
    </row>
    <row r="90" spans="1:6" x14ac:dyDescent="0.25">
      <c r="A90">
        <v>3</v>
      </c>
      <c r="B90">
        <v>5</v>
      </c>
      <c r="C90" s="2">
        <f t="shared" si="4"/>
        <v>2</v>
      </c>
      <c r="D90" s="1">
        <f t="shared" si="5"/>
        <v>1</v>
      </c>
    </row>
    <row r="91" spans="1:6" x14ac:dyDescent="0.25">
      <c r="A91">
        <v>3</v>
      </c>
      <c r="B91">
        <v>4</v>
      </c>
      <c r="C91" s="2">
        <f t="shared" si="4"/>
        <v>1</v>
      </c>
      <c r="D91" s="1">
        <f>(C91-$G$6)^2</f>
        <v>0</v>
      </c>
    </row>
    <row r="92" spans="1:6" x14ac:dyDescent="0.25">
      <c r="A92">
        <v>3</v>
      </c>
      <c r="B92">
        <v>5</v>
      </c>
      <c r="C92" s="2">
        <f>B92-A92</f>
        <v>2</v>
      </c>
      <c r="D92" s="1">
        <f t="shared" si="5"/>
        <v>1</v>
      </c>
    </row>
    <row r="93" spans="1:6" x14ac:dyDescent="0.25">
      <c r="A93">
        <v>3</v>
      </c>
      <c r="B93">
        <v>2</v>
      </c>
      <c r="C93" s="2">
        <f t="shared" si="4"/>
        <v>-1</v>
      </c>
      <c r="D93" s="1">
        <f>(C93-$G$6)^2</f>
        <v>4</v>
      </c>
      <c r="F93" s="6"/>
    </row>
    <row r="94" spans="1:6" x14ac:dyDescent="0.25">
      <c r="A94">
        <v>3</v>
      </c>
      <c r="B94">
        <v>5</v>
      </c>
      <c r="C94" s="2">
        <f t="shared" si="4"/>
        <v>2</v>
      </c>
      <c r="D94" s="1">
        <f>(C94-$G$6)^2</f>
        <v>1</v>
      </c>
    </row>
    <row r="95" spans="1:6" x14ac:dyDescent="0.25">
      <c r="A95">
        <v>5</v>
      </c>
      <c r="B95">
        <v>4</v>
      </c>
      <c r="C95" s="2">
        <f t="shared" si="4"/>
        <v>-1</v>
      </c>
      <c r="D95" s="1">
        <f t="shared" ref="D95:D96" si="6">(C95-$G$6)^2</f>
        <v>4</v>
      </c>
    </row>
    <row r="96" spans="1:6" x14ac:dyDescent="0.25">
      <c r="A96">
        <v>3</v>
      </c>
      <c r="B96">
        <v>4</v>
      </c>
      <c r="C96" s="2">
        <f t="shared" si="4"/>
        <v>1</v>
      </c>
      <c r="D96" s="1">
        <f t="shared" si="6"/>
        <v>0</v>
      </c>
    </row>
    <row r="97" spans="1:4" x14ac:dyDescent="0.25">
      <c r="A97">
        <v>3</v>
      </c>
      <c r="B97">
        <v>4</v>
      </c>
      <c r="C97" s="2">
        <f>B97-A97</f>
        <v>1</v>
      </c>
      <c r="D97" s="1">
        <f>(C97-$G$6)^2</f>
        <v>0</v>
      </c>
    </row>
    <row r="98" spans="1:4" x14ac:dyDescent="0.25">
      <c r="A98">
        <v>4</v>
      </c>
      <c r="B98">
        <v>4</v>
      </c>
      <c r="C98" s="2">
        <f>B98-A98</f>
        <v>0</v>
      </c>
      <c r="D98" s="1">
        <f>(C98-$G$6)^2</f>
        <v>1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zoomScale="115" zoomScaleNormal="115" workbookViewId="0">
      <selection activeCell="B4" sqref="B3:B4"/>
    </sheetView>
  </sheetViews>
  <sheetFormatPr baseColWidth="10" defaultColWidth="9.140625" defaultRowHeight="15" x14ac:dyDescent="0.25"/>
  <cols>
    <col min="1" max="1" width="28.7109375" style="1" customWidth="1"/>
    <col min="2" max="2" width="28.5703125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75" x14ac:dyDescent="0.25">
      <c r="A1" s="7" t="s">
        <v>39</v>
      </c>
      <c r="B1" s="7" t="s">
        <v>50</v>
      </c>
      <c r="C1" s="4" t="s">
        <v>0</v>
      </c>
      <c r="D1" s="4"/>
    </row>
    <row r="2" spans="1:7" x14ac:dyDescent="0.25">
      <c r="A2">
        <v>2</v>
      </c>
      <c r="B2">
        <v>5</v>
      </c>
      <c r="C2" s="2">
        <f>B2-A2</f>
        <v>3</v>
      </c>
      <c r="D2" s="1">
        <f>(C2-$G$6)^2</f>
        <v>3.836752045913487</v>
      </c>
    </row>
    <row r="3" spans="1:7" x14ac:dyDescent="0.25">
      <c r="A3">
        <v>5</v>
      </c>
      <c r="B3">
        <v>5</v>
      </c>
      <c r="C3" s="2">
        <f t="shared" ref="C3:C66" si="0">B3-A3</f>
        <v>0</v>
      </c>
      <c r="D3" s="1">
        <f>(C3-$G$6)^2</f>
        <v>1.0841747263258583</v>
      </c>
      <c r="F3" s="5" t="s">
        <v>13</v>
      </c>
      <c r="G3" s="5"/>
    </row>
    <row r="4" spans="1:7" x14ac:dyDescent="0.25">
      <c r="A4">
        <v>1</v>
      </c>
      <c r="B4">
        <v>5</v>
      </c>
      <c r="C4" s="2">
        <f t="shared" si="0"/>
        <v>4</v>
      </c>
      <c r="D4" s="1">
        <f>(C4-$G$6)^2</f>
        <v>8.7542778191093635</v>
      </c>
      <c r="F4" t="s">
        <v>3</v>
      </c>
      <c r="G4">
        <f>COUNT(A:A)</f>
        <v>97</v>
      </c>
    </row>
    <row r="5" spans="1:7" x14ac:dyDescent="0.25">
      <c r="A5">
        <v>4</v>
      </c>
      <c r="B5">
        <v>4</v>
      </c>
      <c r="C5" s="2">
        <f t="shared" si="0"/>
        <v>0</v>
      </c>
      <c r="D5" s="1">
        <f t="shared" ref="D5:D68" si="1">(C5-$G$6)^2</f>
        <v>1.0841747263258583</v>
      </c>
      <c r="F5" t="s">
        <v>2</v>
      </c>
      <c r="G5">
        <f>SUM(C:C)</f>
        <v>101</v>
      </c>
    </row>
    <row r="6" spans="1:7" x14ac:dyDescent="0.25">
      <c r="A6">
        <v>2</v>
      </c>
      <c r="B6">
        <v>2</v>
      </c>
      <c r="C6" s="2">
        <f t="shared" si="0"/>
        <v>0</v>
      </c>
      <c r="D6" s="1">
        <f t="shared" si="1"/>
        <v>1.0841747263258583</v>
      </c>
      <c r="F6" t="s">
        <v>1</v>
      </c>
      <c r="G6">
        <f>G5/G4</f>
        <v>1.0412371134020619</v>
      </c>
    </row>
    <row r="7" spans="1:7" x14ac:dyDescent="0.25">
      <c r="A7">
        <v>2</v>
      </c>
      <c r="B7">
        <v>5</v>
      </c>
      <c r="C7" s="2">
        <f t="shared" si="0"/>
        <v>3</v>
      </c>
      <c r="D7" s="1">
        <f t="shared" si="1"/>
        <v>3.836752045913487</v>
      </c>
      <c r="F7" t="s">
        <v>18</v>
      </c>
      <c r="G7">
        <f>SUM(D:D)</f>
        <v>225.83505154639215</v>
      </c>
    </row>
    <row r="8" spans="1:7" x14ac:dyDescent="0.25">
      <c r="A8">
        <v>3</v>
      </c>
      <c r="B8">
        <v>3</v>
      </c>
      <c r="C8" s="2">
        <f t="shared" si="0"/>
        <v>0</v>
      </c>
      <c r="D8" s="1">
        <f t="shared" si="1"/>
        <v>1.0841747263258583</v>
      </c>
      <c r="F8" t="s">
        <v>4</v>
      </c>
      <c r="G8">
        <f>SQRT(G7/(G4-1))</f>
        <v>1.5337693612822796</v>
      </c>
    </row>
    <row r="9" spans="1:7" x14ac:dyDescent="0.25">
      <c r="A9">
        <v>3</v>
      </c>
      <c r="B9">
        <v>3</v>
      </c>
      <c r="C9" s="2">
        <f t="shared" si="0"/>
        <v>0</v>
      </c>
      <c r="D9" s="1">
        <f t="shared" si="1"/>
        <v>1.0841747263258583</v>
      </c>
    </row>
    <row r="10" spans="1:7" x14ac:dyDescent="0.25">
      <c r="A10">
        <v>4</v>
      </c>
      <c r="B10">
        <v>5</v>
      </c>
      <c r="C10" s="2">
        <f t="shared" si="0"/>
        <v>1</v>
      </c>
      <c r="D10" s="1">
        <f t="shared" si="1"/>
        <v>1.7004995217345157E-3</v>
      </c>
    </row>
    <row r="11" spans="1:7" x14ac:dyDescent="0.25">
      <c r="A11">
        <v>4</v>
      </c>
      <c r="B11">
        <v>1</v>
      </c>
      <c r="C11" s="2">
        <f t="shared" si="0"/>
        <v>-3</v>
      </c>
      <c r="D11" s="1">
        <f t="shared" si="1"/>
        <v>16.331597406738229</v>
      </c>
    </row>
    <row r="12" spans="1:7" x14ac:dyDescent="0.25">
      <c r="A12">
        <v>3</v>
      </c>
      <c r="B12">
        <v>3</v>
      </c>
      <c r="C12" s="2">
        <f t="shared" si="0"/>
        <v>0</v>
      </c>
      <c r="D12" s="1">
        <f t="shared" si="1"/>
        <v>1.0841747263258583</v>
      </c>
      <c r="F12" t="s">
        <v>8</v>
      </c>
      <c r="G12">
        <f>G6/(G8/SQRT(G4))</f>
        <v>6.686139733079588</v>
      </c>
    </row>
    <row r="13" spans="1:7" x14ac:dyDescent="0.25">
      <c r="A13">
        <v>2</v>
      </c>
      <c r="B13">
        <v>5</v>
      </c>
      <c r="C13" s="2">
        <f t="shared" si="0"/>
        <v>3</v>
      </c>
      <c r="D13" s="1">
        <f t="shared" si="1"/>
        <v>3.836752045913487</v>
      </c>
    </row>
    <row r="14" spans="1:7" x14ac:dyDescent="0.25">
      <c r="A14">
        <v>3</v>
      </c>
      <c r="B14">
        <v>3</v>
      </c>
      <c r="C14" s="2">
        <f t="shared" si="0"/>
        <v>0</v>
      </c>
      <c r="D14" s="1">
        <f t="shared" si="1"/>
        <v>1.0841747263258583</v>
      </c>
    </row>
    <row r="15" spans="1:7" x14ac:dyDescent="0.25">
      <c r="A15">
        <v>3</v>
      </c>
      <c r="B15">
        <v>4</v>
      </c>
      <c r="C15" s="2">
        <f t="shared" si="0"/>
        <v>1</v>
      </c>
      <c r="D15" s="1">
        <f t="shared" si="1"/>
        <v>1.7004995217345157E-3</v>
      </c>
    </row>
    <row r="16" spans="1:7" x14ac:dyDescent="0.25">
      <c r="A16">
        <v>3</v>
      </c>
      <c r="B16">
        <v>4</v>
      </c>
      <c r="C16" s="2">
        <f t="shared" si="0"/>
        <v>1</v>
      </c>
      <c r="D16" s="1">
        <f t="shared" si="1"/>
        <v>1.7004995217345157E-3</v>
      </c>
    </row>
    <row r="17" spans="1:7" x14ac:dyDescent="0.25">
      <c r="A17">
        <v>1</v>
      </c>
      <c r="B17">
        <v>4</v>
      </c>
      <c r="C17" s="2">
        <f t="shared" si="0"/>
        <v>3</v>
      </c>
      <c r="D17" s="1">
        <f t="shared" si="1"/>
        <v>3.836752045913487</v>
      </c>
      <c r="F17" t="s">
        <v>5</v>
      </c>
      <c r="G17">
        <v>0.05</v>
      </c>
    </row>
    <row r="18" spans="1:7" x14ac:dyDescent="0.25">
      <c r="A18">
        <v>3</v>
      </c>
      <c r="B18">
        <v>5</v>
      </c>
      <c r="C18" s="2">
        <f t="shared" si="0"/>
        <v>2</v>
      </c>
      <c r="D18" s="1">
        <f t="shared" si="1"/>
        <v>0.9192262727176107</v>
      </c>
      <c r="F18" t="s">
        <v>6</v>
      </c>
      <c r="G18">
        <f>G4-1</f>
        <v>96</v>
      </c>
    </row>
    <row r="19" spans="1:7" x14ac:dyDescent="0.25">
      <c r="A19">
        <v>5</v>
      </c>
      <c r="B19">
        <v>3</v>
      </c>
      <c r="C19" s="2">
        <f t="shared" si="0"/>
        <v>-2</v>
      </c>
      <c r="D19" s="1">
        <f t="shared" si="1"/>
        <v>9.249123179934104</v>
      </c>
    </row>
    <row r="20" spans="1:7" x14ac:dyDescent="0.25">
      <c r="A20">
        <v>3</v>
      </c>
      <c r="B20">
        <v>5</v>
      </c>
      <c r="C20" s="2">
        <f t="shared" si="0"/>
        <v>2</v>
      </c>
      <c r="D20" s="1">
        <f t="shared" si="1"/>
        <v>0.9192262727176107</v>
      </c>
    </row>
    <row r="21" spans="1:7" x14ac:dyDescent="0.25">
      <c r="A21">
        <v>3</v>
      </c>
      <c r="B21">
        <v>4</v>
      </c>
      <c r="C21" s="2">
        <f t="shared" si="0"/>
        <v>1</v>
      </c>
      <c r="D21" s="1">
        <f t="shared" si="1"/>
        <v>1.7004995217345157E-3</v>
      </c>
    </row>
    <row r="22" spans="1:7" x14ac:dyDescent="0.25">
      <c r="A22">
        <v>4</v>
      </c>
      <c r="B22">
        <v>5</v>
      </c>
      <c r="C22" s="2">
        <f t="shared" si="0"/>
        <v>1</v>
      </c>
      <c r="D22" s="1">
        <f t="shared" si="1"/>
        <v>1.7004995217345157E-3</v>
      </c>
      <c r="F22" s="5" t="s">
        <v>7</v>
      </c>
      <c r="G22" s="5"/>
    </row>
    <row r="23" spans="1:7" x14ac:dyDescent="0.25">
      <c r="A23">
        <v>2</v>
      </c>
      <c r="B23">
        <v>5</v>
      </c>
      <c r="C23" s="2">
        <f t="shared" si="0"/>
        <v>3</v>
      </c>
      <c r="D23" s="1">
        <f t="shared" si="1"/>
        <v>3.836752045913487</v>
      </c>
      <c r="F23" t="s">
        <v>16</v>
      </c>
      <c r="G23">
        <f>_xlfn.T.INV.2T(G17,G18)</f>
        <v>1.9849843115224561</v>
      </c>
    </row>
    <row r="24" spans="1:7" x14ac:dyDescent="0.25">
      <c r="A24">
        <v>2</v>
      </c>
      <c r="B24">
        <v>2</v>
      </c>
      <c r="C24" s="2">
        <f t="shared" si="0"/>
        <v>0</v>
      </c>
      <c r="D24" s="1">
        <f t="shared" si="1"/>
        <v>1.0841747263258583</v>
      </c>
      <c r="F24" t="s">
        <v>17</v>
      </c>
      <c r="G24">
        <f>_xlfn.T.INV(G17,G18)</f>
        <v>-1.6608814403248366</v>
      </c>
    </row>
    <row r="25" spans="1:7" x14ac:dyDescent="0.25">
      <c r="A25">
        <v>3</v>
      </c>
      <c r="B25">
        <v>5</v>
      </c>
      <c r="C25" s="2">
        <f t="shared" si="0"/>
        <v>2</v>
      </c>
      <c r="D25" s="1">
        <f t="shared" si="1"/>
        <v>0.9192262727176107</v>
      </c>
    </row>
    <row r="26" spans="1:7" x14ac:dyDescent="0.25">
      <c r="A26">
        <v>2</v>
      </c>
      <c r="B26">
        <v>5</v>
      </c>
      <c r="C26" s="2">
        <f t="shared" si="0"/>
        <v>3</v>
      </c>
      <c r="D26" s="1">
        <f t="shared" si="1"/>
        <v>3.836752045913487</v>
      </c>
    </row>
    <row r="27" spans="1:7" x14ac:dyDescent="0.25">
      <c r="A27">
        <v>1</v>
      </c>
      <c r="B27">
        <v>4</v>
      </c>
      <c r="C27" s="2">
        <f t="shared" si="0"/>
        <v>3</v>
      </c>
      <c r="D27" s="1">
        <f t="shared" si="1"/>
        <v>3.836752045913487</v>
      </c>
      <c r="F27" s="5" t="s">
        <v>9</v>
      </c>
      <c r="G27" s="5"/>
    </row>
    <row r="28" spans="1:7" x14ac:dyDescent="0.25">
      <c r="A28">
        <v>3</v>
      </c>
      <c r="B28">
        <v>4</v>
      </c>
      <c r="C28" s="2">
        <f t="shared" si="0"/>
        <v>1</v>
      </c>
      <c r="D28" s="1">
        <f t="shared" si="1"/>
        <v>1.7004995217345157E-3</v>
      </c>
      <c r="F28" t="s">
        <v>9</v>
      </c>
    </row>
    <row r="29" spans="1:7" x14ac:dyDescent="0.25">
      <c r="A29">
        <v>2</v>
      </c>
      <c r="B29">
        <v>4</v>
      </c>
      <c r="C29" s="2">
        <f t="shared" si="0"/>
        <v>2</v>
      </c>
      <c r="D29" s="1">
        <f t="shared" si="1"/>
        <v>0.9192262727176107</v>
      </c>
      <c r="F29" t="s">
        <v>15</v>
      </c>
      <c r="G29">
        <f>TTEST(A:A,B:B,2,1)</f>
        <v>1.5130011499528656E-9</v>
      </c>
    </row>
    <row r="30" spans="1:7" x14ac:dyDescent="0.25">
      <c r="A30">
        <v>5</v>
      </c>
      <c r="B30">
        <v>5</v>
      </c>
      <c r="C30" s="2">
        <f t="shared" si="0"/>
        <v>0</v>
      </c>
      <c r="D30" s="1">
        <f t="shared" si="1"/>
        <v>1.0841747263258583</v>
      </c>
      <c r="F30" t="s">
        <v>19</v>
      </c>
      <c r="G30">
        <f>TTEST(A:A,B:B,1,1)</f>
        <v>7.565005749764328E-10</v>
      </c>
    </row>
    <row r="31" spans="1:7" x14ac:dyDescent="0.25">
      <c r="A31">
        <v>3</v>
      </c>
      <c r="B31">
        <v>3</v>
      </c>
      <c r="C31" s="2">
        <f t="shared" si="0"/>
        <v>0</v>
      </c>
      <c r="D31" s="1">
        <f t="shared" si="1"/>
        <v>1.0841747263258583</v>
      </c>
    </row>
    <row r="32" spans="1:7" x14ac:dyDescent="0.25">
      <c r="A32">
        <v>5</v>
      </c>
      <c r="B32">
        <v>5</v>
      </c>
      <c r="C32" s="2">
        <f t="shared" si="0"/>
        <v>0</v>
      </c>
      <c r="D32" s="1">
        <f t="shared" si="1"/>
        <v>1.0841747263258583</v>
      </c>
    </row>
    <row r="33" spans="1:7" x14ac:dyDescent="0.25">
      <c r="A33">
        <v>5</v>
      </c>
      <c r="B33">
        <v>5</v>
      </c>
      <c r="C33" s="2">
        <f t="shared" si="0"/>
        <v>0</v>
      </c>
      <c r="D33" s="1">
        <f t="shared" si="1"/>
        <v>1.0841747263258583</v>
      </c>
      <c r="F33" s="8" t="s">
        <v>12</v>
      </c>
      <c r="G33" s="8"/>
    </row>
    <row r="34" spans="1:7" x14ac:dyDescent="0.25">
      <c r="A34">
        <v>2</v>
      </c>
      <c r="B34">
        <v>5</v>
      </c>
      <c r="C34" s="2">
        <f t="shared" si="0"/>
        <v>3</v>
      </c>
      <c r="D34" s="1">
        <f t="shared" si="1"/>
        <v>3.836752045913487</v>
      </c>
    </row>
    <row r="35" spans="1:7" x14ac:dyDescent="0.25">
      <c r="A35">
        <v>5</v>
      </c>
      <c r="B35">
        <v>5</v>
      </c>
      <c r="C35" s="2">
        <f t="shared" si="0"/>
        <v>0</v>
      </c>
      <c r="D35" s="1">
        <f t="shared" si="1"/>
        <v>1.0841747263258583</v>
      </c>
      <c r="F35" t="s">
        <v>10</v>
      </c>
    </row>
    <row r="36" spans="1:7" x14ac:dyDescent="0.25">
      <c r="A36">
        <v>2</v>
      </c>
      <c r="B36">
        <v>3</v>
      </c>
      <c r="C36" s="2">
        <f t="shared" si="0"/>
        <v>1</v>
      </c>
      <c r="D36" s="1">
        <f t="shared" si="1"/>
        <v>1.7004995217345157E-3</v>
      </c>
      <c r="F36" t="s">
        <v>11</v>
      </c>
    </row>
    <row r="37" spans="1:7" x14ac:dyDescent="0.25">
      <c r="A37">
        <v>4</v>
      </c>
      <c r="B37">
        <v>5</v>
      </c>
      <c r="C37" s="2">
        <f t="shared" si="0"/>
        <v>1</v>
      </c>
      <c r="D37" s="1">
        <f t="shared" si="1"/>
        <v>1.7004995217345157E-3</v>
      </c>
    </row>
    <row r="38" spans="1:7" x14ac:dyDescent="0.25">
      <c r="A38">
        <v>2</v>
      </c>
      <c r="B38">
        <v>3</v>
      </c>
      <c r="C38" s="2">
        <f t="shared" si="0"/>
        <v>1</v>
      </c>
      <c r="D38" s="1">
        <f t="shared" si="1"/>
        <v>1.7004995217345157E-3</v>
      </c>
    </row>
    <row r="39" spans="1:7" x14ac:dyDescent="0.25">
      <c r="A39">
        <v>3</v>
      </c>
      <c r="B39">
        <v>4</v>
      </c>
      <c r="C39" s="2">
        <f t="shared" si="0"/>
        <v>1</v>
      </c>
      <c r="D39" s="1">
        <f t="shared" si="1"/>
        <v>1.7004995217345157E-3</v>
      </c>
    </row>
    <row r="40" spans="1:7" x14ac:dyDescent="0.25">
      <c r="A40">
        <v>3</v>
      </c>
      <c r="B40">
        <v>3</v>
      </c>
      <c r="C40" s="2">
        <f t="shared" si="0"/>
        <v>0</v>
      </c>
      <c r="D40" s="1">
        <f t="shared" si="1"/>
        <v>1.0841747263258583</v>
      </c>
      <c r="F40" t="s">
        <v>14</v>
      </c>
    </row>
    <row r="41" spans="1:7" x14ac:dyDescent="0.25">
      <c r="A41">
        <v>3</v>
      </c>
      <c r="B41">
        <v>4</v>
      </c>
      <c r="C41" s="2">
        <f t="shared" si="0"/>
        <v>1</v>
      </c>
      <c r="D41" s="1">
        <f t="shared" si="1"/>
        <v>1.7004995217345157E-3</v>
      </c>
      <c r="F41" t="str">
        <f>"Dos Colas: Si t calculado ("&amp;G12&amp;") &gt; a t critico  ("&amp;G23&amp;") (de tabla) ---&gt; Se rechaza la hipotesis nula"</f>
        <v>Dos Colas: Si t calculado (6.68613973307959) &gt; a t critico  (1.98498431152246) (de tabla) ---&gt; Se rechaza la hipotesis nula</v>
      </c>
    </row>
    <row r="42" spans="1:7" x14ac:dyDescent="0.25">
      <c r="A42">
        <v>2</v>
      </c>
      <c r="B42">
        <v>5</v>
      </c>
      <c r="C42" s="2">
        <f t="shared" si="0"/>
        <v>3</v>
      </c>
      <c r="D42" s="1">
        <f t="shared" si="1"/>
        <v>3.836752045913487</v>
      </c>
      <c r="F42" t="str">
        <f>"Una Cola: Si t calculado ("&amp;G12&amp;") &gt; a t critico  ("&amp;G24&amp;") (de tabla) ---&gt; Se rechaza la hipotesis nula"</f>
        <v>Una Cola: Si t calculado (6.68613973307959) &gt; a t critico  (-1.66088144032484) (de tabla) ---&gt; Se rechaza la hipotesis nula</v>
      </c>
    </row>
    <row r="43" spans="1:7" x14ac:dyDescent="0.25">
      <c r="A43">
        <v>4</v>
      </c>
      <c r="B43">
        <v>5</v>
      </c>
      <c r="C43" s="2">
        <f t="shared" si="0"/>
        <v>1</v>
      </c>
      <c r="D43" s="1">
        <f t="shared" si="1"/>
        <v>1.7004995217345157E-3</v>
      </c>
    </row>
    <row r="44" spans="1:7" x14ac:dyDescent="0.25">
      <c r="A44">
        <v>2</v>
      </c>
      <c r="B44">
        <v>5</v>
      </c>
      <c r="C44" s="2">
        <f t="shared" si="0"/>
        <v>3</v>
      </c>
      <c r="D44" s="1">
        <f t="shared" si="1"/>
        <v>3.836752045913487</v>
      </c>
    </row>
    <row r="45" spans="1:7" x14ac:dyDescent="0.25">
      <c r="A45">
        <v>4</v>
      </c>
      <c r="B45">
        <v>3</v>
      </c>
      <c r="C45" s="2">
        <f t="shared" si="0"/>
        <v>-1</v>
      </c>
      <c r="D45" s="1">
        <f t="shared" si="1"/>
        <v>4.1666489531299815</v>
      </c>
    </row>
    <row r="46" spans="1:7" x14ac:dyDescent="0.25">
      <c r="A46">
        <v>2</v>
      </c>
      <c r="B46">
        <v>4</v>
      </c>
      <c r="C46" s="2">
        <f t="shared" si="0"/>
        <v>2</v>
      </c>
      <c r="D46" s="1">
        <f t="shared" si="1"/>
        <v>0.9192262727176107</v>
      </c>
      <c r="F46" t="s">
        <v>20</v>
      </c>
    </row>
    <row r="47" spans="1:7" x14ac:dyDescent="0.25">
      <c r="A47">
        <v>2</v>
      </c>
      <c r="B47">
        <v>2</v>
      </c>
      <c r="C47" s="2">
        <f t="shared" si="0"/>
        <v>0</v>
      </c>
      <c r="D47" s="1">
        <f t="shared" si="1"/>
        <v>1.0841747263258583</v>
      </c>
      <c r="F47" t="str">
        <f>"Dos Colas: Si p valor ("&amp;G29&amp;") &lt; Nivel Significancia ("&amp;G17&amp;") ---&gt; Se rechaza la hipotesis nula"</f>
        <v>Dos Colas: Si p valor (1.51300114995287E-09) &lt; Nivel Significancia (0.05) ---&gt; Se rechaza la hipotesis nula</v>
      </c>
    </row>
    <row r="48" spans="1:7" x14ac:dyDescent="0.25">
      <c r="A48">
        <v>5</v>
      </c>
      <c r="B48">
        <v>4</v>
      </c>
      <c r="C48" s="2">
        <f t="shared" si="0"/>
        <v>-1</v>
      </c>
      <c r="D48" s="1">
        <f t="shared" si="1"/>
        <v>4.1666489531299815</v>
      </c>
      <c r="F48" t="str">
        <f>"Una Cola: Si p valor ("&amp;G30&amp;") &lt; Nivel Significancia ("&amp;G17&amp;") ---&gt; Se rechaza la hipotesis nula"</f>
        <v>Una Cola: Si p valor (7.56500574976433E-10) &lt; Nivel Significancia (0.05) ---&gt; Se rechaza la hipotesis nula</v>
      </c>
    </row>
    <row r="49" spans="1:4" x14ac:dyDescent="0.25">
      <c r="A49">
        <v>4</v>
      </c>
      <c r="B49">
        <v>2</v>
      </c>
      <c r="C49" s="2">
        <f t="shared" si="0"/>
        <v>-2</v>
      </c>
      <c r="D49" s="1">
        <f t="shared" si="1"/>
        <v>9.249123179934104</v>
      </c>
    </row>
    <row r="50" spans="1:4" x14ac:dyDescent="0.25">
      <c r="A50">
        <v>3</v>
      </c>
      <c r="B50">
        <v>5</v>
      </c>
      <c r="C50" s="2">
        <f t="shared" si="0"/>
        <v>2</v>
      </c>
      <c r="D50" s="1">
        <f t="shared" si="1"/>
        <v>0.9192262727176107</v>
      </c>
    </row>
    <row r="51" spans="1:4" x14ac:dyDescent="0.25">
      <c r="A51">
        <v>2</v>
      </c>
      <c r="B51">
        <v>5</v>
      </c>
      <c r="C51" s="2">
        <f t="shared" si="0"/>
        <v>3</v>
      </c>
      <c r="D51" s="1">
        <f t="shared" si="1"/>
        <v>3.836752045913487</v>
      </c>
    </row>
    <row r="52" spans="1:4" x14ac:dyDescent="0.25">
      <c r="A52">
        <v>5</v>
      </c>
      <c r="B52">
        <v>4</v>
      </c>
      <c r="C52" s="2">
        <f t="shared" si="0"/>
        <v>-1</v>
      </c>
      <c r="D52" s="1">
        <f t="shared" si="1"/>
        <v>4.1666489531299815</v>
      </c>
    </row>
    <row r="53" spans="1:4" x14ac:dyDescent="0.25">
      <c r="A53">
        <v>4</v>
      </c>
      <c r="B53">
        <v>5</v>
      </c>
      <c r="C53" s="2">
        <f t="shared" si="0"/>
        <v>1</v>
      </c>
      <c r="D53" s="1">
        <f t="shared" si="1"/>
        <v>1.7004995217345157E-3</v>
      </c>
    </row>
    <row r="54" spans="1:4" x14ac:dyDescent="0.25">
      <c r="A54">
        <v>1</v>
      </c>
      <c r="B54">
        <v>4</v>
      </c>
      <c r="C54" s="2">
        <f t="shared" si="0"/>
        <v>3</v>
      </c>
      <c r="D54" s="1">
        <f t="shared" si="1"/>
        <v>3.836752045913487</v>
      </c>
    </row>
    <row r="55" spans="1:4" x14ac:dyDescent="0.25">
      <c r="A55">
        <v>4</v>
      </c>
      <c r="B55">
        <v>5</v>
      </c>
      <c r="C55" s="2">
        <f t="shared" si="0"/>
        <v>1</v>
      </c>
      <c r="D55" s="1">
        <f t="shared" si="1"/>
        <v>1.7004995217345157E-3</v>
      </c>
    </row>
    <row r="56" spans="1:4" x14ac:dyDescent="0.25">
      <c r="A56">
        <v>1</v>
      </c>
      <c r="B56">
        <v>5</v>
      </c>
      <c r="C56" s="2">
        <f t="shared" si="0"/>
        <v>4</v>
      </c>
      <c r="D56" s="1">
        <f t="shared" si="1"/>
        <v>8.7542778191093635</v>
      </c>
    </row>
    <row r="57" spans="1:4" x14ac:dyDescent="0.25">
      <c r="A57">
        <v>1</v>
      </c>
      <c r="B57">
        <v>2</v>
      </c>
      <c r="C57" s="2">
        <f t="shared" si="0"/>
        <v>1</v>
      </c>
      <c r="D57" s="1">
        <f t="shared" si="1"/>
        <v>1.7004995217345157E-3</v>
      </c>
    </row>
    <row r="58" spans="1:4" x14ac:dyDescent="0.25">
      <c r="A58">
        <v>4</v>
      </c>
      <c r="B58">
        <v>4</v>
      </c>
      <c r="C58" s="2">
        <f t="shared" si="0"/>
        <v>0</v>
      </c>
      <c r="D58" s="1">
        <f t="shared" si="1"/>
        <v>1.0841747263258583</v>
      </c>
    </row>
    <row r="59" spans="1:4" x14ac:dyDescent="0.25">
      <c r="A59">
        <v>1</v>
      </c>
      <c r="B59">
        <v>5</v>
      </c>
      <c r="C59" s="2">
        <f t="shared" si="0"/>
        <v>4</v>
      </c>
      <c r="D59" s="1">
        <f t="shared" si="1"/>
        <v>8.7542778191093635</v>
      </c>
    </row>
    <row r="60" spans="1:4" x14ac:dyDescent="0.25">
      <c r="A60">
        <v>3</v>
      </c>
      <c r="B60">
        <v>4</v>
      </c>
      <c r="C60" s="2">
        <f t="shared" si="0"/>
        <v>1</v>
      </c>
      <c r="D60" s="1">
        <f t="shared" si="1"/>
        <v>1.7004995217345157E-3</v>
      </c>
    </row>
    <row r="61" spans="1:4" x14ac:dyDescent="0.25">
      <c r="A61">
        <v>1</v>
      </c>
      <c r="B61">
        <v>4</v>
      </c>
      <c r="C61" s="2">
        <f t="shared" si="0"/>
        <v>3</v>
      </c>
      <c r="D61" s="1">
        <f t="shared" si="1"/>
        <v>3.836752045913487</v>
      </c>
    </row>
    <row r="62" spans="1:4" x14ac:dyDescent="0.25">
      <c r="A62">
        <v>3</v>
      </c>
      <c r="B62">
        <v>3</v>
      </c>
      <c r="C62" s="2">
        <f t="shared" si="0"/>
        <v>0</v>
      </c>
      <c r="D62" s="1">
        <f t="shared" si="1"/>
        <v>1.0841747263258583</v>
      </c>
    </row>
    <row r="63" spans="1:4" x14ac:dyDescent="0.25">
      <c r="A63">
        <v>3</v>
      </c>
      <c r="B63">
        <v>3</v>
      </c>
      <c r="C63" s="2">
        <f t="shared" si="0"/>
        <v>0</v>
      </c>
      <c r="D63" s="1">
        <f t="shared" si="1"/>
        <v>1.0841747263258583</v>
      </c>
    </row>
    <row r="64" spans="1:4" x14ac:dyDescent="0.25">
      <c r="A64">
        <v>5</v>
      </c>
      <c r="B64">
        <v>5</v>
      </c>
      <c r="C64" s="2">
        <f t="shared" si="0"/>
        <v>0</v>
      </c>
      <c r="D64" s="1">
        <f t="shared" si="1"/>
        <v>1.0841747263258583</v>
      </c>
    </row>
    <row r="65" spans="1:4" x14ac:dyDescent="0.25">
      <c r="A65">
        <v>3</v>
      </c>
      <c r="B65">
        <v>5</v>
      </c>
      <c r="C65" s="2">
        <f t="shared" si="0"/>
        <v>2</v>
      </c>
      <c r="D65" s="1">
        <f t="shared" si="1"/>
        <v>0.9192262727176107</v>
      </c>
    </row>
    <row r="66" spans="1:4" x14ac:dyDescent="0.25">
      <c r="A66">
        <v>3</v>
      </c>
      <c r="B66">
        <v>3</v>
      </c>
      <c r="C66" s="2">
        <f t="shared" si="0"/>
        <v>0</v>
      </c>
      <c r="D66" s="1">
        <f t="shared" si="1"/>
        <v>1.0841747263258583</v>
      </c>
    </row>
    <row r="67" spans="1:4" x14ac:dyDescent="0.25">
      <c r="A67">
        <v>2</v>
      </c>
      <c r="B67">
        <v>3</v>
      </c>
      <c r="C67" s="2">
        <f t="shared" ref="C67:C98" si="2">B67-A67</f>
        <v>1</v>
      </c>
      <c r="D67" s="1">
        <f t="shared" si="1"/>
        <v>1.7004995217345157E-3</v>
      </c>
    </row>
    <row r="68" spans="1:4" x14ac:dyDescent="0.25">
      <c r="A68">
        <v>3</v>
      </c>
      <c r="B68">
        <v>5</v>
      </c>
      <c r="C68" s="2">
        <f t="shared" si="2"/>
        <v>2</v>
      </c>
      <c r="D68" s="1">
        <f t="shared" si="1"/>
        <v>0.9192262727176107</v>
      </c>
    </row>
    <row r="69" spans="1:4" x14ac:dyDescent="0.25">
      <c r="A69">
        <v>2</v>
      </c>
      <c r="B69">
        <v>4</v>
      </c>
      <c r="C69" s="2">
        <f t="shared" si="2"/>
        <v>2</v>
      </c>
      <c r="D69" s="1">
        <f t="shared" ref="D69:D98" si="3">(C69-$G$6)^2</f>
        <v>0.9192262727176107</v>
      </c>
    </row>
    <row r="70" spans="1:4" x14ac:dyDescent="0.25">
      <c r="A70">
        <v>4</v>
      </c>
      <c r="B70">
        <v>5</v>
      </c>
      <c r="C70" s="2">
        <f t="shared" si="2"/>
        <v>1</v>
      </c>
      <c r="D70" s="1">
        <f t="shared" si="3"/>
        <v>1.7004995217345157E-3</v>
      </c>
    </row>
    <row r="71" spans="1:4" x14ac:dyDescent="0.25">
      <c r="A71">
        <v>3</v>
      </c>
      <c r="B71">
        <v>2</v>
      </c>
      <c r="C71" s="2">
        <f t="shared" si="2"/>
        <v>-1</v>
      </c>
      <c r="D71" s="1">
        <f t="shared" si="3"/>
        <v>4.1666489531299815</v>
      </c>
    </row>
    <row r="72" spans="1:4" x14ac:dyDescent="0.25">
      <c r="A72">
        <v>5</v>
      </c>
      <c r="B72">
        <v>3</v>
      </c>
      <c r="C72" s="2">
        <f t="shared" si="2"/>
        <v>-2</v>
      </c>
      <c r="D72" s="1">
        <f t="shared" si="3"/>
        <v>9.249123179934104</v>
      </c>
    </row>
    <row r="73" spans="1:4" x14ac:dyDescent="0.25">
      <c r="A73">
        <v>5</v>
      </c>
      <c r="B73">
        <v>4</v>
      </c>
      <c r="C73" s="2">
        <f t="shared" si="2"/>
        <v>-1</v>
      </c>
      <c r="D73" s="1">
        <f t="shared" si="3"/>
        <v>4.1666489531299815</v>
      </c>
    </row>
    <row r="74" spans="1:4" x14ac:dyDescent="0.25">
      <c r="A74">
        <v>3</v>
      </c>
      <c r="B74">
        <v>5</v>
      </c>
      <c r="C74" s="2">
        <f t="shared" si="2"/>
        <v>2</v>
      </c>
      <c r="D74" s="1">
        <f t="shared" si="3"/>
        <v>0.9192262727176107</v>
      </c>
    </row>
    <row r="75" spans="1:4" x14ac:dyDescent="0.25">
      <c r="A75">
        <v>4</v>
      </c>
      <c r="B75">
        <v>4</v>
      </c>
      <c r="C75" s="2">
        <f t="shared" si="2"/>
        <v>0</v>
      </c>
      <c r="D75" s="1">
        <f t="shared" si="3"/>
        <v>1.0841747263258583</v>
      </c>
    </row>
    <row r="76" spans="1:4" x14ac:dyDescent="0.25">
      <c r="A76">
        <v>2</v>
      </c>
      <c r="B76">
        <v>4</v>
      </c>
      <c r="C76" s="2">
        <f t="shared" si="2"/>
        <v>2</v>
      </c>
      <c r="D76" s="1">
        <f>(C76-$G$6)^2</f>
        <v>0.9192262727176107</v>
      </c>
    </row>
    <row r="77" spans="1:4" x14ac:dyDescent="0.25">
      <c r="A77">
        <v>3</v>
      </c>
      <c r="B77">
        <v>5</v>
      </c>
      <c r="C77" s="2">
        <f t="shared" si="2"/>
        <v>2</v>
      </c>
      <c r="D77" s="1">
        <f>(C77-$G$6)^2</f>
        <v>0.9192262727176107</v>
      </c>
    </row>
    <row r="78" spans="1:4" x14ac:dyDescent="0.25">
      <c r="A78">
        <v>2</v>
      </c>
      <c r="B78">
        <v>5</v>
      </c>
      <c r="C78" s="2">
        <f t="shared" si="2"/>
        <v>3</v>
      </c>
      <c r="D78" s="1">
        <f>(C78-$G$6)^2</f>
        <v>3.836752045913487</v>
      </c>
    </row>
    <row r="79" spans="1:4" x14ac:dyDescent="0.25">
      <c r="A79">
        <v>4</v>
      </c>
      <c r="B79">
        <v>3</v>
      </c>
      <c r="C79" s="2">
        <f t="shared" si="2"/>
        <v>-1</v>
      </c>
      <c r="D79" s="1">
        <f>(C79-$G$6)^2</f>
        <v>4.1666489531299815</v>
      </c>
    </row>
    <row r="80" spans="1:4" x14ac:dyDescent="0.25">
      <c r="A80">
        <v>2</v>
      </c>
      <c r="B80">
        <v>5</v>
      </c>
      <c r="C80" s="2">
        <f t="shared" si="2"/>
        <v>3</v>
      </c>
      <c r="D80" s="1">
        <f t="shared" si="3"/>
        <v>3.836752045913487</v>
      </c>
    </row>
    <row r="81" spans="1:6" x14ac:dyDescent="0.25">
      <c r="A81">
        <v>4</v>
      </c>
      <c r="B81">
        <v>3</v>
      </c>
      <c r="C81" s="2">
        <f t="shared" si="2"/>
        <v>-1</v>
      </c>
      <c r="D81" s="1">
        <f t="shared" si="3"/>
        <v>4.1666489531299815</v>
      </c>
    </row>
    <row r="82" spans="1:6" x14ac:dyDescent="0.25">
      <c r="A82">
        <v>3</v>
      </c>
      <c r="B82">
        <v>4</v>
      </c>
      <c r="C82" s="2">
        <f t="shared" si="2"/>
        <v>1</v>
      </c>
      <c r="D82" s="1">
        <f t="shared" si="3"/>
        <v>1.7004995217345157E-3</v>
      </c>
    </row>
    <row r="83" spans="1:6" x14ac:dyDescent="0.25">
      <c r="A83">
        <v>3</v>
      </c>
      <c r="B83">
        <v>5</v>
      </c>
      <c r="C83" s="2">
        <f t="shared" si="2"/>
        <v>2</v>
      </c>
      <c r="D83" s="1">
        <f>(C83-$G$6)^2</f>
        <v>0.9192262727176107</v>
      </c>
    </row>
    <row r="84" spans="1:6" x14ac:dyDescent="0.25">
      <c r="A84">
        <v>4</v>
      </c>
      <c r="B84">
        <v>4</v>
      </c>
      <c r="C84" s="2">
        <f t="shared" si="2"/>
        <v>0</v>
      </c>
      <c r="D84" s="1">
        <f t="shared" si="3"/>
        <v>1.0841747263258583</v>
      </c>
    </row>
    <row r="85" spans="1:6" x14ac:dyDescent="0.25">
      <c r="A85">
        <v>3</v>
      </c>
      <c r="B85">
        <v>3</v>
      </c>
      <c r="C85" s="2">
        <f t="shared" si="2"/>
        <v>0</v>
      </c>
      <c r="D85" s="1">
        <f t="shared" si="3"/>
        <v>1.0841747263258583</v>
      </c>
    </row>
    <row r="86" spans="1:6" x14ac:dyDescent="0.25">
      <c r="A86">
        <v>5</v>
      </c>
      <c r="B86">
        <v>4</v>
      </c>
      <c r="C86" s="2">
        <f t="shared" si="2"/>
        <v>-1</v>
      </c>
      <c r="D86" s="1">
        <f t="shared" si="3"/>
        <v>4.1666489531299815</v>
      </c>
    </row>
    <row r="87" spans="1:6" x14ac:dyDescent="0.25">
      <c r="A87">
        <v>2</v>
      </c>
      <c r="B87">
        <v>4</v>
      </c>
      <c r="C87" s="2">
        <f t="shared" si="2"/>
        <v>2</v>
      </c>
      <c r="D87" s="1">
        <f t="shared" si="3"/>
        <v>0.9192262727176107</v>
      </c>
    </row>
    <row r="88" spans="1:6" x14ac:dyDescent="0.25">
      <c r="A88">
        <v>1</v>
      </c>
      <c r="B88">
        <v>5</v>
      </c>
      <c r="C88" s="2">
        <f t="shared" si="2"/>
        <v>4</v>
      </c>
      <c r="D88" s="1">
        <f t="shared" si="3"/>
        <v>8.7542778191093635</v>
      </c>
    </row>
    <row r="89" spans="1:6" x14ac:dyDescent="0.25">
      <c r="A89">
        <v>3</v>
      </c>
      <c r="B89">
        <v>5</v>
      </c>
      <c r="C89" s="2">
        <f t="shared" si="2"/>
        <v>2</v>
      </c>
      <c r="D89" s="1">
        <f t="shared" si="3"/>
        <v>0.9192262727176107</v>
      </c>
    </row>
    <row r="90" spans="1:6" x14ac:dyDescent="0.25">
      <c r="A90">
        <v>4</v>
      </c>
      <c r="B90">
        <v>4</v>
      </c>
      <c r="C90" s="2">
        <f t="shared" si="2"/>
        <v>0</v>
      </c>
      <c r="D90" s="1">
        <f t="shared" si="3"/>
        <v>1.0841747263258583</v>
      </c>
    </row>
    <row r="91" spans="1:6" x14ac:dyDescent="0.25">
      <c r="A91">
        <v>5</v>
      </c>
      <c r="B91">
        <v>4</v>
      </c>
      <c r="C91" s="2">
        <f t="shared" si="2"/>
        <v>-1</v>
      </c>
      <c r="D91" s="1">
        <f t="shared" si="3"/>
        <v>4.1666489531299815</v>
      </c>
    </row>
    <row r="92" spans="1:6" x14ac:dyDescent="0.25">
      <c r="A92">
        <v>3</v>
      </c>
      <c r="B92">
        <v>5</v>
      </c>
      <c r="C92" s="2">
        <f t="shared" si="2"/>
        <v>2</v>
      </c>
      <c r="D92" s="1">
        <f t="shared" si="3"/>
        <v>0.9192262727176107</v>
      </c>
    </row>
    <row r="93" spans="1:6" x14ac:dyDescent="0.25">
      <c r="A93">
        <v>3</v>
      </c>
      <c r="B93">
        <v>3</v>
      </c>
      <c r="C93" s="2">
        <f t="shared" si="2"/>
        <v>0</v>
      </c>
      <c r="D93" s="1">
        <f t="shared" si="3"/>
        <v>1.0841747263258583</v>
      </c>
      <c r="F93" s="6"/>
    </row>
    <row r="94" spans="1:6" x14ac:dyDescent="0.25">
      <c r="A94">
        <v>3</v>
      </c>
      <c r="B94">
        <v>5</v>
      </c>
      <c r="C94" s="2">
        <f t="shared" si="2"/>
        <v>2</v>
      </c>
      <c r="D94" s="1">
        <f t="shared" si="3"/>
        <v>0.9192262727176107</v>
      </c>
    </row>
    <row r="95" spans="1:6" x14ac:dyDescent="0.25">
      <c r="A95">
        <v>2</v>
      </c>
      <c r="B95">
        <v>4</v>
      </c>
      <c r="C95" s="2">
        <f t="shared" si="2"/>
        <v>2</v>
      </c>
      <c r="D95" s="1">
        <f t="shared" si="3"/>
        <v>0.9192262727176107</v>
      </c>
    </row>
    <row r="96" spans="1:6" x14ac:dyDescent="0.25">
      <c r="A96">
        <v>5</v>
      </c>
      <c r="B96">
        <v>4</v>
      </c>
      <c r="C96" s="2">
        <f t="shared" si="2"/>
        <v>-1</v>
      </c>
      <c r="D96" s="1">
        <f t="shared" si="3"/>
        <v>4.1666489531299815</v>
      </c>
    </row>
    <row r="97" spans="1:4" x14ac:dyDescent="0.25">
      <c r="A97">
        <v>2</v>
      </c>
      <c r="B97">
        <v>5</v>
      </c>
      <c r="C97" s="2">
        <f t="shared" si="2"/>
        <v>3</v>
      </c>
      <c r="D97" s="1">
        <f t="shared" si="3"/>
        <v>3.836752045913487</v>
      </c>
    </row>
    <row r="98" spans="1:4" x14ac:dyDescent="0.25">
      <c r="A98">
        <v>4</v>
      </c>
      <c r="B98">
        <v>5</v>
      </c>
      <c r="C98" s="2">
        <f t="shared" si="2"/>
        <v>1</v>
      </c>
      <c r="D98" s="1">
        <f t="shared" si="3"/>
        <v>1.7004995217345157E-3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zoomScale="115" zoomScaleNormal="115" workbookViewId="0">
      <selection activeCell="B4" sqref="B4"/>
    </sheetView>
  </sheetViews>
  <sheetFormatPr baseColWidth="10" defaultColWidth="9.140625" defaultRowHeight="15" x14ac:dyDescent="0.25"/>
  <cols>
    <col min="1" max="1" width="29.7109375" style="1" customWidth="1"/>
    <col min="2" max="2" width="33.140625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60" x14ac:dyDescent="0.25">
      <c r="A1" s="7" t="s">
        <v>40</v>
      </c>
      <c r="B1" s="7" t="s">
        <v>51</v>
      </c>
      <c r="C1" s="4" t="s">
        <v>0</v>
      </c>
      <c r="D1" s="4"/>
    </row>
    <row r="2" spans="1:7" x14ac:dyDescent="0.25">
      <c r="A2">
        <v>5</v>
      </c>
      <c r="B2">
        <v>4</v>
      </c>
      <c r="C2" s="2">
        <f>B2-A2</f>
        <v>-1</v>
      </c>
      <c r="D2" s="1">
        <f>(C2-$G$6)^2</f>
        <v>3.6769050908704428</v>
      </c>
    </row>
    <row r="3" spans="1:7" x14ac:dyDescent="0.25">
      <c r="A3">
        <v>3</v>
      </c>
      <c r="B3">
        <v>4</v>
      </c>
      <c r="C3" s="2">
        <f t="shared" ref="C3:C66" si="0">B3-A3</f>
        <v>1</v>
      </c>
      <c r="D3" s="1">
        <f>(C3-$G$6)^2</f>
        <v>6.8019980869380445E-3</v>
      </c>
      <c r="F3" s="5" t="s">
        <v>13</v>
      </c>
      <c r="G3" s="5"/>
    </row>
    <row r="4" spans="1:7" x14ac:dyDescent="0.25">
      <c r="A4">
        <v>5</v>
      </c>
      <c r="B4">
        <v>2</v>
      </c>
      <c r="C4" s="2">
        <f t="shared" si="0"/>
        <v>-3</v>
      </c>
      <c r="D4" s="1">
        <f>(C4-$G$6)^2</f>
        <v>15.347008183653948</v>
      </c>
      <c r="F4" t="s">
        <v>3</v>
      </c>
      <c r="G4">
        <f>COUNT(A:A)</f>
        <v>97</v>
      </c>
    </row>
    <row r="5" spans="1:7" x14ac:dyDescent="0.25">
      <c r="A5">
        <v>3</v>
      </c>
      <c r="B5">
        <v>5</v>
      </c>
      <c r="C5" s="2">
        <f t="shared" si="0"/>
        <v>2</v>
      </c>
      <c r="D5" s="1">
        <f t="shared" ref="D5:D68" si="1">(C5-$G$6)^2</f>
        <v>1.1717504516951858</v>
      </c>
      <c r="F5" t="s">
        <v>2</v>
      </c>
      <c r="G5">
        <f>SUM(C:C)</f>
        <v>89</v>
      </c>
    </row>
    <row r="6" spans="1:7" x14ac:dyDescent="0.25">
      <c r="A6">
        <v>2</v>
      </c>
      <c r="B6">
        <v>4</v>
      </c>
      <c r="C6" s="2">
        <f t="shared" si="0"/>
        <v>2</v>
      </c>
      <c r="D6" s="1">
        <f t="shared" si="1"/>
        <v>1.1717504516951858</v>
      </c>
      <c r="F6" t="s">
        <v>1</v>
      </c>
      <c r="G6">
        <f>G5/G4</f>
        <v>0.91752577319587625</v>
      </c>
    </row>
    <row r="7" spans="1:7" x14ac:dyDescent="0.25">
      <c r="A7">
        <v>4</v>
      </c>
      <c r="B7">
        <v>5</v>
      </c>
      <c r="C7" s="2">
        <f t="shared" si="0"/>
        <v>1</v>
      </c>
      <c r="D7" s="1">
        <f t="shared" si="1"/>
        <v>6.8019980869380445E-3</v>
      </c>
      <c r="F7" t="s">
        <v>18</v>
      </c>
      <c r="G7">
        <f>SUM(D:D)</f>
        <v>201.3402061855667</v>
      </c>
    </row>
    <row r="8" spans="1:7" x14ac:dyDescent="0.25">
      <c r="A8">
        <v>5</v>
      </c>
      <c r="B8">
        <v>5</v>
      </c>
      <c r="C8" s="2">
        <f t="shared" si="0"/>
        <v>0</v>
      </c>
      <c r="D8" s="1">
        <f t="shared" si="1"/>
        <v>0.84185354447869054</v>
      </c>
      <c r="F8" t="s">
        <v>4</v>
      </c>
      <c r="G8">
        <f>SQRT(G7/(G4-1))</f>
        <v>1.4482036508837375</v>
      </c>
    </row>
    <row r="9" spans="1:7" x14ac:dyDescent="0.25">
      <c r="A9">
        <v>3</v>
      </c>
      <c r="B9">
        <v>5</v>
      </c>
      <c r="C9" s="2">
        <f t="shared" si="0"/>
        <v>2</v>
      </c>
      <c r="D9" s="1">
        <f t="shared" si="1"/>
        <v>1.1717504516951858</v>
      </c>
    </row>
    <row r="10" spans="1:7" x14ac:dyDescent="0.25">
      <c r="A10">
        <v>3</v>
      </c>
      <c r="B10">
        <v>5</v>
      </c>
      <c r="C10" s="2">
        <f t="shared" si="0"/>
        <v>2</v>
      </c>
      <c r="D10" s="1">
        <f t="shared" si="1"/>
        <v>1.1717504516951858</v>
      </c>
    </row>
    <row r="11" spans="1:7" x14ac:dyDescent="0.25">
      <c r="A11">
        <v>4</v>
      </c>
      <c r="B11">
        <v>4</v>
      </c>
      <c r="C11" s="2">
        <f t="shared" si="0"/>
        <v>0</v>
      </c>
      <c r="D11" s="1">
        <f t="shared" si="1"/>
        <v>0.84185354447869054</v>
      </c>
    </row>
    <row r="12" spans="1:7" x14ac:dyDescent="0.25">
      <c r="A12">
        <v>4</v>
      </c>
      <c r="B12">
        <v>5</v>
      </c>
      <c r="C12" s="2">
        <f t="shared" si="0"/>
        <v>1</v>
      </c>
      <c r="D12" s="1">
        <f t="shared" si="1"/>
        <v>6.8019980869380445E-3</v>
      </c>
      <c r="F12" t="s">
        <v>8</v>
      </c>
      <c r="G12">
        <f>G6/(G8/SQRT(G4))</f>
        <v>6.2398550536554813</v>
      </c>
    </row>
    <row r="13" spans="1:7" x14ac:dyDescent="0.25">
      <c r="A13">
        <v>2</v>
      </c>
      <c r="B13">
        <v>3</v>
      </c>
      <c r="C13" s="2">
        <f t="shared" si="0"/>
        <v>1</v>
      </c>
      <c r="D13" s="1">
        <f t="shared" si="1"/>
        <v>6.8019980869380445E-3</v>
      </c>
    </row>
    <row r="14" spans="1:7" x14ac:dyDescent="0.25">
      <c r="A14">
        <v>2</v>
      </c>
      <c r="B14">
        <v>4</v>
      </c>
      <c r="C14" s="2">
        <f t="shared" si="0"/>
        <v>2</v>
      </c>
      <c r="D14" s="1">
        <f t="shared" si="1"/>
        <v>1.1717504516951858</v>
      </c>
    </row>
    <row r="15" spans="1:7" x14ac:dyDescent="0.25">
      <c r="A15">
        <v>4</v>
      </c>
      <c r="B15">
        <v>3</v>
      </c>
      <c r="C15" s="2">
        <f t="shared" si="0"/>
        <v>-1</v>
      </c>
      <c r="D15" s="1">
        <f t="shared" si="1"/>
        <v>3.6769050908704428</v>
      </c>
    </row>
    <row r="16" spans="1:7" x14ac:dyDescent="0.25">
      <c r="A16">
        <v>3</v>
      </c>
      <c r="B16">
        <v>4</v>
      </c>
      <c r="C16" s="2">
        <f t="shared" si="0"/>
        <v>1</v>
      </c>
      <c r="D16" s="1">
        <f t="shared" si="1"/>
        <v>6.8019980869380445E-3</v>
      </c>
    </row>
    <row r="17" spans="1:7" x14ac:dyDescent="0.25">
      <c r="A17">
        <v>3</v>
      </c>
      <c r="B17">
        <v>5</v>
      </c>
      <c r="C17" s="2">
        <f t="shared" si="0"/>
        <v>2</v>
      </c>
      <c r="D17" s="1">
        <f t="shared" si="1"/>
        <v>1.1717504516951858</v>
      </c>
      <c r="F17" t="s">
        <v>5</v>
      </c>
      <c r="G17">
        <v>0.05</v>
      </c>
    </row>
    <row r="18" spans="1:7" x14ac:dyDescent="0.25">
      <c r="A18">
        <v>3</v>
      </c>
      <c r="B18">
        <v>3</v>
      </c>
      <c r="C18" s="2">
        <f t="shared" si="0"/>
        <v>0</v>
      </c>
      <c r="D18" s="1">
        <f t="shared" si="1"/>
        <v>0.84185354447869054</v>
      </c>
      <c r="F18" t="s">
        <v>6</v>
      </c>
      <c r="G18">
        <f>G4-1</f>
        <v>96</v>
      </c>
    </row>
    <row r="19" spans="1:7" x14ac:dyDescent="0.25">
      <c r="A19">
        <v>5</v>
      </c>
      <c r="B19">
        <v>4</v>
      </c>
      <c r="C19" s="2">
        <f t="shared" si="0"/>
        <v>-1</v>
      </c>
      <c r="D19" s="1">
        <f t="shared" si="1"/>
        <v>3.6769050908704428</v>
      </c>
    </row>
    <row r="20" spans="1:7" x14ac:dyDescent="0.25">
      <c r="A20">
        <v>4</v>
      </c>
      <c r="B20">
        <v>4</v>
      </c>
      <c r="C20" s="2">
        <f t="shared" si="0"/>
        <v>0</v>
      </c>
      <c r="D20" s="1">
        <f t="shared" si="1"/>
        <v>0.84185354447869054</v>
      </c>
    </row>
    <row r="21" spans="1:7" x14ac:dyDescent="0.25">
      <c r="A21">
        <v>4</v>
      </c>
      <c r="B21">
        <v>4</v>
      </c>
      <c r="C21" s="2">
        <f t="shared" si="0"/>
        <v>0</v>
      </c>
      <c r="D21" s="1">
        <f t="shared" si="1"/>
        <v>0.84185354447869054</v>
      </c>
    </row>
    <row r="22" spans="1:7" x14ac:dyDescent="0.25">
      <c r="A22">
        <v>2</v>
      </c>
      <c r="B22">
        <v>4</v>
      </c>
      <c r="C22" s="2">
        <f t="shared" si="0"/>
        <v>2</v>
      </c>
      <c r="D22" s="1">
        <f t="shared" si="1"/>
        <v>1.1717504516951858</v>
      </c>
      <c r="F22" s="5" t="s">
        <v>7</v>
      </c>
      <c r="G22" s="5"/>
    </row>
    <row r="23" spans="1:7" x14ac:dyDescent="0.25">
      <c r="A23">
        <v>4</v>
      </c>
      <c r="B23">
        <v>3</v>
      </c>
      <c r="C23" s="2">
        <f t="shared" si="0"/>
        <v>-1</v>
      </c>
      <c r="D23" s="1">
        <f t="shared" si="1"/>
        <v>3.6769050908704428</v>
      </c>
      <c r="F23" t="s">
        <v>16</v>
      </c>
      <c r="G23">
        <f>_xlfn.T.INV.2T(G17,G18)</f>
        <v>1.9849843115224561</v>
      </c>
    </row>
    <row r="24" spans="1:7" x14ac:dyDescent="0.25">
      <c r="A24">
        <v>4</v>
      </c>
      <c r="B24">
        <v>5</v>
      </c>
      <c r="C24" s="2">
        <f t="shared" si="0"/>
        <v>1</v>
      </c>
      <c r="D24" s="1">
        <f t="shared" si="1"/>
        <v>6.8019980869380445E-3</v>
      </c>
      <c r="F24" t="s">
        <v>17</v>
      </c>
      <c r="G24">
        <f>_xlfn.T.INV(G17,G18)</f>
        <v>-1.6608814403248366</v>
      </c>
    </row>
    <row r="25" spans="1:7" x14ac:dyDescent="0.25">
      <c r="A25">
        <v>3</v>
      </c>
      <c r="B25">
        <v>5</v>
      </c>
      <c r="C25" s="2">
        <f t="shared" si="0"/>
        <v>2</v>
      </c>
      <c r="D25" s="1">
        <f t="shared" si="1"/>
        <v>1.1717504516951858</v>
      </c>
    </row>
    <row r="26" spans="1:7" x14ac:dyDescent="0.25">
      <c r="A26">
        <v>3</v>
      </c>
      <c r="B26">
        <v>2</v>
      </c>
      <c r="C26" s="2">
        <f t="shared" si="0"/>
        <v>-1</v>
      </c>
      <c r="D26" s="1">
        <f t="shared" si="1"/>
        <v>3.6769050908704428</v>
      </c>
    </row>
    <row r="27" spans="1:7" x14ac:dyDescent="0.25">
      <c r="A27">
        <v>2</v>
      </c>
      <c r="B27">
        <v>3</v>
      </c>
      <c r="C27" s="2">
        <f t="shared" si="0"/>
        <v>1</v>
      </c>
      <c r="D27" s="1">
        <f t="shared" si="1"/>
        <v>6.8019980869380445E-3</v>
      </c>
      <c r="F27" s="5" t="s">
        <v>9</v>
      </c>
      <c r="G27" s="5"/>
    </row>
    <row r="28" spans="1:7" x14ac:dyDescent="0.25">
      <c r="A28">
        <v>4</v>
      </c>
      <c r="B28">
        <v>3</v>
      </c>
      <c r="C28" s="2">
        <f t="shared" si="0"/>
        <v>-1</v>
      </c>
      <c r="D28" s="1">
        <f t="shared" si="1"/>
        <v>3.6769050908704428</v>
      </c>
      <c r="F28" t="s">
        <v>9</v>
      </c>
    </row>
    <row r="29" spans="1:7" x14ac:dyDescent="0.25">
      <c r="A29">
        <v>4</v>
      </c>
      <c r="B29">
        <v>4</v>
      </c>
      <c r="C29" s="2">
        <f t="shared" si="0"/>
        <v>0</v>
      </c>
      <c r="D29" s="1">
        <f t="shared" si="1"/>
        <v>0.84185354447869054</v>
      </c>
      <c r="F29" t="s">
        <v>15</v>
      </c>
      <c r="G29">
        <f>TTEST(A:A,B:B,2,1)</f>
        <v>1.1807388983947943E-8</v>
      </c>
    </row>
    <row r="30" spans="1:7" x14ac:dyDescent="0.25">
      <c r="A30">
        <v>3</v>
      </c>
      <c r="B30">
        <v>5</v>
      </c>
      <c r="C30" s="2">
        <f t="shared" si="0"/>
        <v>2</v>
      </c>
      <c r="D30" s="1">
        <f t="shared" si="1"/>
        <v>1.1717504516951858</v>
      </c>
      <c r="F30" t="s">
        <v>19</v>
      </c>
      <c r="G30">
        <f>TTEST(A:A,B:B,1,1)</f>
        <v>5.9036944919739713E-9</v>
      </c>
    </row>
    <row r="31" spans="1:7" x14ac:dyDescent="0.25">
      <c r="A31">
        <v>5</v>
      </c>
      <c r="B31">
        <v>2</v>
      </c>
      <c r="C31" s="2">
        <f t="shared" si="0"/>
        <v>-3</v>
      </c>
      <c r="D31" s="1">
        <f t="shared" si="1"/>
        <v>15.347008183653948</v>
      </c>
    </row>
    <row r="32" spans="1:7" x14ac:dyDescent="0.25">
      <c r="A32">
        <v>4</v>
      </c>
      <c r="B32">
        <v>5</v>
      </c>
      <c r="C32" s="2">
        <f t="shared" si="0"/>
        <v>1</v>
      </c>
      <c r="D32" s="1">
        <f t="shared" si="1"/>
        <v>6.8019980869380445E-3</v>
      </c>
    </row>
    <row r="33" spans="1:7" x14ac:dyDescent="0.25">
      <c r="A33">
        <v>2</v>
      </c>
      <c r="B33">
        <v>5</v>
      </c>
      <c r="C33" s="2">
        <f t="shared" si="0"/>
        <v>3</v>
      </c>
      <c r="D33" s="1">
        <f t="shared" si="1"/>
        <v>4.3366989053034333</v>
      </c>
      <c r="F33" s="8" t="s">
        <v>12</v>
      </c>
      <c r="G33" s="8"/>
    </row>
    <row r="34" spans="1:7" x14ac:dyDescent="0.25">
      <c r="A34">
        <v>4</v>
      </c>
      <c r="B34">
        <v>5</v>
      </c>
      <c r="C34" s="2">
        <f t="shared" si="0"/>
        <v>1</v>
      </c>
      <c r="D34" s="1">
        <f t="shared" si="1"/>
        <v>6.8019980869380445E-3</v>
      </c>
    </row>
    <row r="35" spans="1:7" x14ac:dyDescent="0.25">
      <c r="A35">
        <v>3</v>
      </c>
      <c r="B35">
        <v>2</v>
      </c>
      <c r="C35" s="2">
        <f t="shared" si="0"/>
        <v>-1</v>
      </c>
      <c r="D35" s="1">
        <f t="shared" si="1"/>
        <v>3.6769050908704428</v>
      </c>
      <c r="F35" t="s">
        <v>10</v>
      </c>
    </row>
    <row r="36" spans="1:7" x14ac:dyDescent="0.25">
      <c r="A36">
        <v>1</v>
      </c>
      <c r="B36">
        <v>4</v>
      </c>
      <c r="C36" s="2">
        <f t="shared" si="0"/>
        <v>3</v>
      </c>
      <c r="D36" s="1">
        <f t="shared" si="1"/>
        <v>4.3366989053034333</v>
      </c>
      <c r="F36" t="s">
        <v>11</v>
      </c>
    </row>
    <row r="37" spans="1:7" x14ac:dyDescent="0.25">
      <c r="A37">
        <v>3</v>
      </c>
      <c r="B37">
        <v>5</v>
      </c>
      <c r="C37" s="2">
        <f t="shared" si="0"/>
        <v>2</v>
      </c>
      <c r="D37" s="1">
        <f t="shared" si="1"/>
        <v>1.1717504516951858</v>
      </c>
    </row>
    <row r="38" spans="1:7" x14ac:dyDescent="0.25">
      <c r="A38">
        <v>1</v>
      </c>
      <c r="B38">
        <v>5</v>
      </c>
      <c r="C38" s="2">
        <f t="shared" si="0"/>
        <v>4</v>
      </c>
      <c r="D38" s="1">
        <f t="shared" si="1"/>
        <v>9.501647358911681</v>
      </c>
    </row>
    <row r="39" spans="1:7" x14ac:dyDescent="0.25">
      <c r="A39">
        <v>3</v>
      </c>
      <c r="B39">
        <v>5</v>
      </c>
      <c r="C39" s="2">
        <f t="shared" si="0"/>
        <v>2</v>
      </c>
      <c r="D39" s="1">
        <f t="shared" si="1"/>
        <v>1.1717504516951858</v>
      </c>
    </row>
    <row r="40" spans="1:7" x14ac:dyDescent="0.25">
      <c r="A40">
        <v>2</v>
      </c>
      <c r="B40">
        <v>4</v>
      </c>
      <c r="C40" s="2">
        <f t="shared" si="0"/>
        <v>2</v>
      </c>
      <c r="D40" s="1">
        <f t="shared" si="1"/>
        <v>1.1717504516951858</v>
      </c>
      <c r="F40" t="s">
        <v>14</v>
      </c>
    </row>
    <row r="41" spans="1:7" x14ac:dyDescent="0.25">
      <c r="A41">
        <v>3</v>
      </c>
      <c r="B41">
        <v>5</v>
      </c>
      <c r="C41" s="2">
        <f t="shared" si="0"/>
        <v>2</v>
      </c>
      <c r="D41" s="1">
        <f t="shared" si="1"/>
        <v>1.1717504516951858</v>
      </c>
      <c r="F41" t="str">
        <f>"Dos Colas: Si t calculado ("&amp;G12&amp;") &gt; a t critico  ("&amp;G23&amp;") (de tabla) ---&gt; Se rechaza la hipotesis nula"</f>
        <v>Dos Colas: Si t calculado (6.23985505365548) &gt; a t critico  (1.98498431152246) (de tabla) ---&gt; Se rechaza la hipotesis nula</v>
      </c>
    </row>
    <row r="42" spans="1:7" x14ac:dyDescent="0.25">
      <c r="A42">
        <v>4</v>
      </c>
      <c r="B42">
        <v>2</v>
      </c>
      <c r="C42" s="2">
        <f t="shared" si="0"/>
        <v>-2</v>
      </c>
      <c r="D42" s="1">
        <f t="shared" si="1"/>
        <v>8.5119566372621946</v>
      </c>
      <c r="F42" t="str">
        <f>"Una Cola: Si t calculado ("&amp;G12&amp;") &gt; a t critico  ("&amp;G24&amp;") (de tabla) ---&gt; Se rechaza la hipotesis nula"</f>
        <v>Una Cola: Si t calculado (6.23985505365548) &gt; a t critico  (-1.66088144032484) (de tabla) ---&gt; Se rechaza la hipotesis nula</v>
      </c>
    </row>
    <row r="43" spans="1:7" x14ac:dyDescent="0.25">
      <c r="A43">
        <v>3</v>
      </c>
      <c r="B43">
        <v>5</v>
      </c>
      <c r="C43" s="2">
        <f t="shared" si="0"/>
        <v>2</v>
      </c>
      <c r="D43" s="1">
        <f t="shared" si="1"/>
        <v>1.1717504516951858</v>
      </c>
    </row>
    <row r="44" spans="1:7" x14ac:dyDescent="0.25">
      <c r="A44">
        <v>5</v>
      </c>
      <c r="B44">
        <v>5</v>
      </c>
      <c r="C44" s="2">
        <f t="shared" si="0"/>
        <v>0</v>
      </c>
      <c r="D44" s="1">
        <f t="shared" si="1"/>
        <v>0.84185354447869054</v>
      </c>
    </row>
    <row r="45" spans="1:7" x14ac:dyDescent="0.25">
      <c r="A45">
        <v>2</v>
      </c>
      <c r="B45">
        <v>3</v>
      </c>
      <c r="C45" s="2">
        <f t="shared" si="0"/>
        <v>1</v>
      </c>
      <c r="D45" s="1">
        <f t="shared" si="1"/>
        <v>6.8019980869380445E-3</v>
      </c>
    </row>
    <row r="46" spans="1:7" x14ac:dyDescent="0.25">
      <c r="A46">
        <v>4</v>
      </c>
      <c r="B46">
        <v>3</v>
      </c>
      <c r="C46" s="2">
        <f t="shared" si="0"/>
        <v>-1</v>
      </c>
      <c r="D46" s="1">
        <f t="shared" si="1"/>
        <v>3.6769050908704428</v>
      </c>
      <c r="F46" t="s">
        <v>20</v>
      </c>
    </row>
    <row r="47" spans="1:7" x14ac:dyDescent="0.25">
      <c r="A47">
        <v>3</v>
      </c>
      <c r="B47">
        <v>2</v>
      </c>
      <c r="C47" s="2">
        <f t="shared" si="0"/>
        <v>-1</v>
      </c>
      <c r="D47" s="1">
        <f t="shared" si="1"/>
        <v>3.6769050908704428</v>
      </c>
      <c r="F47" t="str">
        <f>"Dos Colas: Si p valor ("&amp;G29&amp;") &lt; Nivel Significancia ("&amp;G17&amp;") ---&gt; Se rechaza la hipotesis nula"</f>
        <v>Dos Colas: Si p valor (1.18073889839479E-08) &lt; Nivel Significancia (0.05) ---&gt; Se rechaza la hipotesis nula</v>
      </c>
    </row>
    <row r="48" spans="1:7" x14ac:dyDescent="0.25">
      <c r="A48">
        <v>2</v>
      </c>
      <c r="B48">
        <v>5</v>
      </c>
      <c r="C48" s="2">
        <f t="shared" si="0"/>
        <v>3</v>
      </c>
      <c r="D48" s="1">
        <f t="shared" si="1"/>
        <v>4.3366989053034333</v>
      </c>
      <c r="F48" t="str">
        <f>"Una Cola: Si p valor ("&amp;G30&amp;") &lt; Nivel Significancia ("&amp;G17&amp;") ---&gt; Se rechaza la hipotesis nula"</f>
        <v>Una Cola: Si p valor (5.90369449197397E-09) &lt; Nivel Significancia (0.05) ---&gt; Se rechaza la hipotesis nula</v>
      </c>
    </row>
    <row r="49" spans="1:4" x14ac:dyDescent="0.25">
      <c r="A49">
        <v>3</v>
      </c>
      <c r="B49">
        <v>5</v>
      </c>
      <c r="C49" s="2">
        <f t="shared" si="0"/>
        <v>2</v>
      </c>
      <c r="D49" s="1">
        <f t="shared" si="1"/>
        <v>1.1717504516951858</v>
      </c>
    </row>
    <row r="50" spans="1:4" x14ac:dyDescent="0.25">
      <c r="A50">
        <v>2</v>
      </c>
      <c r="B50">
        <v>3</v>
      </c>
      <c r="C50" s="2">
        <f t="shared" si="0"/>
        <v>1</v>
      </c>
      <c r="D50" s="1">
        <f t="shared" si="1"/>
        <v>6.8019980869380445E-3</v>
      </c>
    </row>
    <row r="51" spans="1:4" x14ac:dyDescent="0.25">
      <c r="A51">
        <v>3</v>
      </c>
      <c r="B51">
        <v>5</v>
      </c>
      <c r="C51" s="2">
        <f t="shared" si="0"/>
        <v>2</v>
      </c>
      <c r="D51" s="1">
        <f t="shared" si="1"/>
        <v>1.1717504516951858</v>
      </c>
    </row>
    <row r="52" spans="1:4" x14ac:dyDescent="0.25">
      <c r="A52">
        <v>5</v>
      </c>
      <c r="B52">
        <v>4</v>
      </c>
      <c r="C52" s="2">
        <f t="shared" si="0"/>
        <v>-1</v>
      </c>
      <c r="D52" s="1">
        <f t="shared" si="1"/>
        <v>3.6769050908704428</v>
      </c>
    </row>
    <row r="53" spans="1:4" x14ac:dyDescent="0.25">
      <c r="A53">
        <v>2</v>
      </c>
      <c r="B53">
        <v>4</v>
      </c>
      <c r="C53" s="2">
        <f t="shared" si="0"/>
        <v>2</v>
      </c>
      <c r="D53" s="1">
        <f t="shared" si="1"/>
        <v>1.1717504516951858</v>
      </c>
    </row>
    <row r="54" spans="1:4" x14ac:dyDescent="0.25">
      <c r="A54">
        <v>3</v>
      </c>
      <c r="B54">
        <v>4</v>
      </c>
      <c r="C54" s="2">
        <f t="shared" si="0"/>
        <v>1</v>
      </c>
      <c r="D54" s="1">
        <f t="shared" si="1"/>
        <v>6.8019980869380445E-3</v>
      </c>
    </row>
    <row r="55" spans="1:4" x14ac:dyDescent="0.25">
      <c r="A55">
        <v>4</v>
      </c>
      <c r="B55">
        <v>4</v>
      </c>
      <c r="C55" s="2">
        <f t="shared" si="0"/>
        <v>0</v>
      </c>
      <c r="D55" s="1">
        <f t="shared" si="1"/>
        <v>0.84185354447869054</v>
      </c>
    </row>
    <row r="56" spans="1:4" x14ac:dyDescent="0.25">
      <c r="A56">
        <v>2</v>
      </c>
      <c r="B56">
        <v>4</v>
      </c>
      <c r="C56" s="2">
        <f t="shared" si="0"/>
        <v>2</v>
      </c>
      <c r="D56" s="1">
        <f t="shared" si="1"/>
        <v>1.1717504516951858</v>
      </c>
    </row>
    <row r="57" spans="1:4" x14ac:dyDescent="0.25">
      <c r="A57">
        <v>3</v>
      </c>
      <c r="B57">
        <v>3</v>
      </c>
      <c r="C57" s="2">
        <f t="shared" si="0"/>
        <v>0</v>
      </c>
      <c r="D57" s="1">
        <f t="shared" si="1"/>
        <v>0.84185354447869054</v>
      </c>
    </row>
    <row r="58" spans="1:4" x14ac:dyDescent="0.25">
      <c r="A58">
        <v>4</v>
      </c>
      <c r="B58">
        <v>5</v>
      </c>
      <c r="C58" s="2">
        <f t="shared" si="0"/>
        <v>1</v>
      </c>
      <c r="D58" s="1">
        <f t="shared" si="1"/>
        <v>6.8019980869380445E-3</v>
      </c>
    </row>
    <row r="59" spans="1:4" x14ac:dyDescent="0.25">
      <c r="A59">
        <v>5</v>
      </c>
      <c r="B59">
        <v>5</v>
      </c>
      <c r="C59" s="2">
        <f t="shared" si="0"/>
        <v>0</v>
      </c>
      <c r="D59" s="1">
        <f t="shared" si="1"/>
        <v>0.84185354447869054</v>
      </c>
    </row>
    <row r="60" spans="1:4" x14ac:dyDescent="0.25">
      <c r="A60">
        <v>2</v>
      </c>
      <c r="B60">
        <v>3</v>
      </c>
      <c r="C60" s="2">
        <f t="shared" si="0"/>
        <v>1</v>
      </c>
      <c r="D60" s="1">
        <f t="shared" si="1"/>
        <v>6.8019980869380445E-3</v>
      </c>
    </row>
    <row r="61" spans="1:4" x14ac:dyDescent="0.25">
      <c r="A61">
        <v>2</v>
      </c>
      <c r="B61">
        <v>5</v>
      </c>
      <c r="C61" s="2">
        <f t="shared" si="0"/>
        <v>3</v>
      </c>
      <c r="D61" s="1">
        <f t="shared" si="1"/>
        <v>4.3366989053034333</v>
      </c>
    </row>
    <row r="62" spans="1:4" x14ac:dyDescent="0.25">
      <c r="A62">
        <v>3</v>
      </c>
      <c r="B62">
        <v>5</v>
      </c>
      <c r="C62" s="2">
        <f t="shared" si="0"/>
        <v>2</v>
      </c>
      <c r="D62" s="1">
        <f t="shared" si="1"/>
        <v>1.1717504516951858</v>
      </c>
    </row>
    <row r="63" spans="1:4" x14ac:dyDescent="0.25">
      <c r="A63">
        <v>3</v>
      </c>
      <c r="B63">
        <v>4</v>
      </c>
      <c r="C63" s="2">
        <f t="shared" si="0"/>
        <v>1</v>
      </c>
      <c r="D63" s="1">
        <f t="shared" si="1"/>
        <v>6.8019980869380445E-3</v>
      </c>
    </row>
    <row r="64" spans="1:4" x14ac:dyDescent="0.25">
      <c r="A64">
        <v>2</v>
      </c>
      <c r="B64">
        <v>5</v>
      </c>
      <c r="C64" s="2">
        <f t="shared" si="0"/>
        <v>3</v>
      </c>
      <c r="D64" s="1">
        <f t="shared" si="1"/>
        <v>4.3366989053034333</v>
      </c>
    </row>
    <row r="65" spans="1:6" x14ac:dyDescent="0.25">
      <c r="A65">
        <v>1</v>
      </c>
      <c r="B65">
        <v>4</v>
      </c>
      <c r="C65" s="2">
        <f t="shared" si="0"/>
        <v>3</v>
      </c>
      <c r="D65" s="1">
        <f t="shared" si="1"/>
        <v>4.3366989053034333</v>
      </c>
    </row>
    <row r="66" spans="1:6" x14ac:dyDescent="0.25">
      <c r="A66">
        <v>3</v>
      </c>
      <c r="B66">
        <v>5</v>
      </c>
      <c r="C66" s="2">
        <f t="shared" si="0"/>
        <v>2</v>
      </c>
      <c r="D66" s="1">
        <f t="shared" si="1"/>
        <v>1.1717504516951858</v>
      </c>
    </row>
    <row r="67" spans="1:6" x14ac:dyDescent="0.25">
      <c r="A67">
        <v>4</v>
      </c>
      <c r="B67">
        <v>5</v>
      </c>
      <c r="C67" s="2">
        <f t="shared" ref="C67:C98" si="2">B67-A67</f>
        <v>1</v>
      </c>
      <c r="D67" s="1">
        <f t="shared" si="1"/>
        <v>6.8019980869380445E-3</v>
      </c>
    </row>
    <row r="68" spans="1:6" x14ac:dyDescent="0.25">
      <c r="A68">
        <v>3</v>
      </c>
      <c r="B68">
        <v>5</v>
      </c>
      <c r="C68" s="2">
        <f t="shared" si="2"/>
        <v>2</v>
      </c>
      <c r="D68" s="1">
        <f t="shared" si="1"/>
        <v>1.1717504516951858</v>
      </c>
    </row>
    <row r="69" spans="1:6" x14ac:dyDescent="0.25">
      <c r="A69">
        <v>3</v>
      </c>
      <c r="B69">
        <v>5</v>
      </c>
      <c r="C69" s="2">
        <f t="shared" si="2"/>
        <v>2</v>
      </c>
      <c r="D69" s="1">
        <f t="shared" ref="D69:D98" si="3">(C69-$G$6)^2</f>
        <v>1.1717504516951858</v>
      </c>
    </row>
    <row r="70" spans="1:6" x14ac:dyDescent="0.25">
      <c r="A70">
        <v>3</v>
      </c>
      <c r="B70">
        <v>3</v>
      </c>
      <c r="C70" s="2">
        <f t="shared" si="2"/>
        <v>0</v>
      </c>
      <c r="D70" s="1">
        <f t="shared" si="3"/>
        <v>0.84185354447869054</v>
      </c>
    </row>
    <row r="71" spans="1:6" x14ac:dyDescent="0.25">
      <c r="A71">
        <v>4</v>
      </c>
      <c r="B71">
        <v>5</v>
      </c>
      <c r="C71" s="2">
        <f t="shared" si="2"/>
        <v>1</v>
      </c>
      <c r="D71" s="1">
        <f t="shared" si="3"/>
        <v>6.8019980869380445E-3</v>
      </c>
    </row>
    <row r="72" spans="1:6" x14ac:dyDescent="0.25">
      <c r="A72">
        <v>2</v>
      </c>
      <c r="B72">
        <v>5</v>
      </c>
      <c r="C72" s="2">
        <f t="shared" si="2"/>
        <v>3</v>
      </c>
      <c r="D72" s="1">
        <f t="shared" si="3"/>
        <v>4.3366989053034333</v>
      </c>
    </row>
    <row r="73" spans="1:6" x14ac:dyDescent="0.25">
      <c r="A73">
        <v>1</v>
      </c>
      <c r="B73">
        <v>4</v>
      </c>
      <c r="C73" s="2">
        <f t="shared" si="2"/>
        <v>3</v>
      </c>
      <c r="D73" s="1">
        <f t="shared" si="3"/>
        <v>4.3366989053034333</v>
      </c>
    </row>
    <row r="74" spans="1:6" x14ac:dyDescent="0.25">
      <c r="A74">
        <v>3</v>
      </c>
      <c r="B74">
        <v>4</v>
      </c>
      <c r="C74" s="2">
        <f t="shared" si="2"/>
        <v>1</v>
      </c>
      <c r="D74" s="1">
        <f t="shared" si="3"/>
        <v>6.8019980869380445E-3</v>
      </c>
    </row>
    <row r="75" spans="1:6" x14ac:dyDescent="0.25">
      <c r="A75">
        <v>4</v>
      </c>
      <c r="B75">
        <v>5</v>
      </c>
      <c r="C75" s="2">
        <f t="shared" si="2"/>
        <v>1</v>
      </c>
      <c r="D75" s="1">
        <f t="shared" si="3"/>
        <v>6.8019980869380445E-3</v>
      </c>
    </row>
    <row r="76" spans="1:6" x14ac:dyDescent="0.25">
      <c r="A76">
        <v>5</v>
      </c>
      <c r="B76">
        <v>4</v>
      </c>
      <c r="C76" s="2">
        <f t="shared" si="2"/>
        <v>-1</v>
      </c>
      <c r="D76" s="1">
        <f t="shared" si="3"/>
        <v>3.6769050908704428</v>
      </c>
    </row>
    <row r="77" spans="1:6" x14ac:dyDescent="0.25">
      <c r="A77">
        <v>3</v>
      </c>
      <c r="B77">
        <v>4</v>
      </c>
      <c r="C77" s="2">
        <f t="shared" si="2"/>
        <v>1</v>
      </c>
      <c r="D77" s="1">
        <f t="shared" si="3"/>
        <v>6.8019980869380445E-3</v>
      </c>
    </row>
    <row r="78" spans="1:6" x14ac:dyDescent="0.25">
      <c r="A78">
        <v>4</v>
      </c>
      <c r="B78">
        <v>5</v>
      </c>
      <c r="C78" s="2">
        <f t="shared" si="2"/>
        <v>1</v>
      </c>
      <c r="D78" s="1">
        <f t="shared" si="3"/>
        <v>6.8019980869380445E-3</v>
      </c>
    </row>
    <row r="79" spans="1:6" x14ac:dyDescent="0.25">
      <c r="A79">
        <v>3</v>
      </c>
      <c r="B79">
        <v>4</v>
      </c>
      <c r="C79" s="2">
        <f t="shared" si="2"/>
        <v>1</v>
      </c>
      <c r="D79" s="1">
        <f t="shared" si="3"/>
        <v>6.8019980869380445E-3</v>
      </c>
      <c r="F79" s="6"/>
    </row>
    <row r="80" spans="1:6" x14ac:dyDescent="0.25">
      <c r="A80">
        <v>4</v>
      </c>
      <c r="B80">
        <v>4</v>
      </c>
      <c r="C80" s="2">
        <f t="shared" si="2"/>
        <v>0</v>
      </c>
      <c r="D80" s="1">
        <f t="shared" si="3"/>
        <v>0.84185354447869054</v>
      </c>
    </row>
    <row r="81" spans="1:6" x14ac:dyDescent="0.25">
      <c r="A81">
        <v>5</v>
      </c>
      <c r="B81">
        <v>4</v>
      </c>
      <c r="C81" s="2">
        <f t="shared" si="2"/>
        <v>-1</v>
      </c>
      <c r="D81" s="1">
        <f t="shared" si="3"/>
        <v>3.6769050908704428</v>
      </c>
    </row>
    <row r="82" spans="1:6" x14ac:dyDescent="0.25">
      <c r="A82">
        <v>4</v>
      </c>
      <c r="B82">
        <v>2</v>
      </c>
      <c r="C82" s="2">
        <f t="shared" si="2"/>
        <v>-2</v>
      </c>
      <c r="D82" s="1">
        <f t="shared" si="3"/>
        <v>8.5119566372621946</v>
      </c>
    </row>
    <row r="83" spans="1:6" x14ac:dyDescent="0.25">
      <c r="A83">
        <v>3</v>
      </c>
      <c r="B83">
        <v>3</v>
      </c>
      <c r="C83" s="2">
        <f t="shared" si="2"/>
        <v>0</v>
      </c>
      <c r="D83" s="1">
        <f t="shared" si="3"/>
        <v>0.84185354447869054</v>
      </c>
    </row>
    <row r="84" spans="1:6" x14ac:dyDescent="0.25">
      <c r="A84">
        <v>2</v>
      </c>
      <c r="B84">
        <v>3</v>
      </c>
      <c r="C84" s="2">
        <f t="shared" si="2"/>
        <v>1</v>
      </c>
      <c r="D84" s="1">
        <f t="shared" si="3"/>
        <v>6.8019980869380445E-3</v>
      </c>
    </row>
    <row r="85" spans="1:6" x14ac:dyDescent="0.25">
      <c r="A85">
        <v>1</v>
      </c>
      <c r="B85">
        <v>5</v>
      </c>
      <c r="C85" s="2">
        <f t="shared" si="2"/>
        <v>4</v>
      </c>
      <c r="D85" s="1">
        <f t="shared" si="3"/>
        <v>9.501647358911681</v>
      </c>
    </row>
    <row r="86" spans="1:6" x14ac:dyDescent="0.25">
      <c r="A86">
        <v>3</v>
      </c>
      <c r="B86">
        <v>4</v>
      </c>
      <c r="C86" s="2">
        <f t="shared" si="2"/>
        <v>1</v>
      </c>
      <c r="D86" s="1">
        <f t="shared" si="3"/>
        <v>6.8019980869380445E-3</v>
      </c>
    </row>
    <row r="87" spans="1:6" x14ac:dyDescent="0.25">
      <c r="A87">
        <v>2</v>
      </c>
      <c r="B87">
        <v>4</v>
      </c>
      <c r="C87" s="2">
        <f t="shared" si="2"/>
        <v>2</v>
      </c>
      <c r="D87" s="1">
        <f t="shared" si="3"/>
        <v>1.1717504516951858</v>
      </c>
    </row>
    <row r="88" spans="1:6" x14ac:dyDescent="0.25">
      <c r="A88">
        <v>3</v>
      </c>
      <c r="B88">
        <v>4</v>
      </c>
      <c r="C88" s="2">
        <f t="shared" si="2"/>
        <v>1</v>
      </c>
      <c r="D88" s="1">
        <f t="shared" si="3"/>
        <v>6.8019980869380445E-3</v>
      </c>
    </row>
    <row r="89" spans="1:6" x14ac:dyDescent="0.25">
      <c r="A89">
        <v>3</v>
      </c>
      <c r="B89">
        <v>4</v>
      </c>
      <c r="C89" s="2">
        <f t="shared" si="2"/>
        <v>1</v>
      </c>
      <c r="D89" s="1">
        <f t="shared" si="3"/>
        <v>6.8019980869380445E-3</v>
      </c>
    </row>
    <row r="90" spans="1:6" x14ac:dyDescent="0.25">
      <c r="A90">
        <v>4</v>
      </c>
      <c r="B90">
        <v>5</v>
      </c>
      <c r="C90" s="2">
        <f t="shared" si="2"/>
        <v>1</v>
      </c>
      <c r="D90" s="1">
        <f t="shared" si="3"/>
        <v>6.8019980869380445E-3</v>
      </c>
    </row>
    <row r="91" spans="1:6" x14ac:dyDescent="0.25">
      <c r="A91">
        <v>3</v>
      </c>
      <c r="B91">
        <v>3</v>
      </c>
      <c r="C91" s="2">
        <f t="shared" si="2"/>
        <v>0</v>
      </c>
      <c r="D91" s="1">
        <f t="shared" si="3"/>
        <v>0.84185354447869054</v>
      </c>
    </row>
    <row r="92" spans="1:6" x14ac:dyDescent="0.25">
      <c r="A92">
        <v>3</v>
      </c>
      <c r="B92">
        <v>2</v>
      </c>
      <c r="C92" s="2">
        <f t="shared" si="2"/>
        <v>-1</v>
      </c>
      <c r="D92" s="1">
        <f t="shared" si="3"/>
        <v>3.6769050908704428</v>
      </c>
    </row>
    <row r="93" spans="1:6" x14ac:dyDescent="0.25">
      <c r="A93">
        <v>5</v>
      </c>
      <c r="B93">
        <v>5</v>
      </c>
      <c r="C93" s="2">
        <f t="shared" si="2"/>
        <v>0</v>
      </c>
      <c r="D93" s="1">
        <f t="shared" si="3"/>
        <v>0.84185354447869054</v>
      </c>
      <c r="F93" s="6"/>
    </row>
    <row r="94" spans="1:6" x14ac:dyDescent="0.25">
      <c r="A94">
        <v>4</v>
      </c>
      <c r="B94">
        <v>5</v>
      </c>
      <c r="C94" s="2">
        <f t="shared" si="2"/>
        <v>1</v>
      </c>
      <c r="D94" s="1">
        <f t="shared" si="3"/>
        <v>6.8019980869380445E-3</v>
      </c>
    </row>
    <row r="95" spans="1:6" x14ac:dyDescent="0.25">
      <c r="A95">
        <v>5</v>
      </c>
      <c r="B95">
        <v>4</v>
      </c>
      <c r="C95" s="2">
        <f t="shared" si="2"/>
        <v>-1</v>
      </c>
      <c r="D95" s="1">
        <f t="shared" si="3"/>
        <v>3.6769050908704428</v>
      </c>
    </row>
    <row r="96" spans="1:6" x14ac:dyDescent="0.25">
      <c r="A96">
        <v>2</v>
      </c>
      <c r="B96">
        <v>3</v>
      </c>
      <c r="C96" s="2">
        <f t="shared" si="2"/>
        <v>1</v>
      </c>
      <c r="D96" s="1">
        <f t="shared" si="3"/>
        <v>6.8019980869380445E-3</v>
      </c>
    </row>
    <row r="97" spans="1:4" x14ac:dyDescent="0.25">
      <c r="A97">
        <v>2</v>
      </c>
      <c r="B97">
        <v>5</v>
      </c>
      <c r="C97" s="2">
        <f t="shared" si="2"/>
        <v>3</v>
      </c>
      <c r="D97" s="1">
        <f t="shared" si="3"/>
        <v>4.3366989053034333</v>
      </c>
    </row>
    <row r="98" spans="1:4" x14ac:dyDescent="0.25">
      <c r="A98">
        <v>2</v>
      </c>
      <c r="B98">
        <v>5</v>
      </c>
      <c r="C98" s="2">
        <f t="shared" si="2"/>
        <v>3</v>
      </c>
      <c r="D98" s="1">
        <f t="shared" si="3"/>
        <v>4.3366989053034333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zoomScale="130" zoomScaleNormal="130" workbookViewId="0">
      <selection activeCell="B6" sqref="B6"/>
    </sheetView>
  </sheetViews>
  <sheetFormatPr baseColWidth="10" defaultColWidth="9.140625" defaultRowHeight="15" x14ac:dyDescent="0.25"/>
  <cols>
    <col min="1" max="1" width="30.7109375" style="1" customWidth="1"/>
    <col min="2" max="2" width="32.28515625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60" x14ac:dyDescent="0.25">
      <c r="A1" s="7" t="s">
        <v>41</v>
      </c>
      <c r="B1" s="9" t="s">
        <v>52</v>
      </c>
      <c r="C1" s="4" t="s">
        <v>0</v>
      </c>
      <c r="D1" s="4"/>
    </row>
    <row r="2" spans="1:7" x14ac:dyDescent="0.25">
      <c r="A2">
        <v>3</v>
      </c>
      <c r="B2">
        <v>5</v>
      </c>
      <c r="C2" s="2">
        <f>B2-A2</f>
        <v>2</v>
      </c>
      <c r="D2" s="1">
        <f>(C2-$G$6)^2</f>
        <v>0.61388032734615805</v>
      </c>
    </row>
    <row r="3" spans="1:7" x14ac:dyDescent="0.25">
      <c r="A3">
        <v>3</v>
      </c>
      <c r="B3">
        <v>5</v>
      </c>
      <c r="C3" s="2">
        <f t="shared" ref="C3:C66" si="0">B3-A3</f>
        <v>2</v>
      </c>
      <c r="D3" s="1">
        <f>(C3-$G$6)^2</f>
        <v>0.61388032734615805</v>
      </c>
      <c r="F3" s="5" t="s">
        <v>13</v>
      </c>
      <c r="G3" s="5"/>
    </row>
    <row r="4" spans="1:7" x14ac:dyDescent="0.25">
      <c r="A4">
        <v>3</v>
      </c>
      <c r="B4">
        <v>5</v>
      </c>
      <c r="C4" s="2">
        <f t="shared" si="0"/>
        <v>2</v>
      </c>
      <c r="D4" s="1">
        <f>(C4-$G$6)^2</f>
        <v>0.61388032734615805</v>
      </c>
      <c r="F4" t="s">
        <v>3</v>
      </c>
      <c r="G4">
        <f>COUNT(A:A)</f>
        <v>97</v>
      </c>
    </row>
    <row r="5" spans="1:7" x14ac:dyDescent="0.25">
      <c r="A5">
        <v>3</v>
      </c>
      <c r="B5">
        <v>4</v>
      </c>
      <c r="C5" s="2">
        <f t="shared" si="0"/>
        <v>1</v>
      </c>
      <c r="D5" s="1">
        <f t="shared" ref="D5:D68" si="1">(C5-$G$6)^2</f>
        <v>4.6870018067807377E-2</v>
      </c>
      <c r="F5" t="s">
        <v>2</v>
      </c>
      <c r="G5">
        <f>SUM(C:C)</f>
        <v>118</v>
      </c>
    </row>
    <row r="6" spans="1:7" x14ac:dyDescent="0.25">
      <c r="A6">
        <v>4</v>
      </c>
      <c r="B6">
        <v>5</v>
      </c>
      <c r="C6" s="2">
        <f t="shared" si="0"/>
        <v>1</v>
      </c>
      <c r="D6" s="1">
        <f t="shared" si="1"/>
        <v>4.6870018067807377E-2</v>
      </c>
      <c r="F6" t="s">
        <v>1</v>
      </c>
      <c r="G6">
        <f>G5/G4</f>
        <v>1.2164948453608246</v>
      </c>
    </row>
    <row r="7" spans="1:7" x14ac:dyDescent="0.25">
      <c r="A7">
        <v>3</v>
      </c>
      <c r="B7">
        <v>4</v>
      </c>
      <c r="C7" s="2">
        <f t="shared" si="0"/>
        <v>1</v>
      </c>
      <c r="D7" s="1">
        <f t="shared" si="1"/>
        <v>4.6870018067807377E-2</v>
      </c>
      <c r="F7" t="s">
        <v>18</v>
      </c>
      <c r="G7">
        <f>SUM(D:D)</f>
        <v>262.45360824742266</v>
      </c>
    </row>
    <row r="8" spans="1:7" x14ac:dyDescent="0.25">
      <c r="A8">
        <v>3</v>
      </c>
      <c r="B8">
        <v>5</v>
      </c>
      <c r="C8" s="2">
        <f t="shared" si="0"/>
        <v>2</v>
      </c>
      <c r="D8" s="1">
        <f t="shared" si="1"/>
        <v>0.61388032734615805</v>
      </c>
      <c r="F8" t="s">
        <v>4</v>
      </c>
      <c r="G8">
        <f>SQRT(G7/(G4-1))</f>
        <v>1.6534484426728639</v>
      </c>
    </row>
    <row r="9" spans="1:7" x14ac:dyDescent="0.25">
      <c r="A9">
        <v>4</v>
      </c>
      <c r="B9">
        <v>5</v>
      </c>
      <c r="C9" s="2">
        <f t="shared" si="0"/>
        <v>1</v>
      </c>
      <c r="D9" s="1">
        <f t="shared" si="1"/>
        <v>4.6870018067807377E-2</v>
      </c>
    </row>
    <row r="10" spans="1:7" x14ac:dyDescent="0.25">
      <c r="A10">
        <v>1</v>
      </c>
      <c r="B10">
        <v>5</v>
      </c>
      <c r="C10" s="2">
        <f t="shared" si="0"/>
        <v>4</v>
      </c>
      <c r="D10" s="1">
        <f t="shared" si="1"/>
        <v>7.7479009459028587</v>
      </c>
    </row>
    <row r="11" spans="1:7" x14ac:dyDescent="0.25">
      <c r="A11">
        <v>3</v>
      </c>
      <c r="B11">
        <v>5</v>
      </c>
      <c r="C11" s="2">
        <f t="shared" si="0"/>
        <v>2</v>
      </c>
      <c r="D11" s="1">
        <f t="shared" si="1"/>
        <v>0.61388032734615805</v>
      </c>
    </row>
    <row r="12" spans="1:7" x14ac:dyDescent="0.25">
      <c r="A12">
        <v>3</v>
      </c>
      <c r="B12">
        <v>3</v>
      </c>
      <c r="C12" s="2">
        <f t="shared" si="0"/>
        <v>0</v>
      </c>
      <c r="D12" s="1">
        <f t="shared" si="1"/>
        <v>1.4798597087894567</v>
      </c>
      <c r="F12" t="s">
        <v>8</v>
      </c>
      <c r="G12">
        <f>G6/(G8/SQRT(G4))</f>
        <v>7.2461193463092277</v>
      </c>
    </row>
    <row r="13" spans="1:7" x14ac:dyDescent="0.25">
      <c r="A13">
        <v>2</v>
      </c>
      <c r="B13">
        <v>5</v>
      </c>
      <c r="C13" s="2">
        <f t="shared" si="0"/>
        <v>3</v>
      </c>
      <c r="D13" s="1">
        <f t="shared" si="1"/>
        <v>3.1808906366245089</v>
      </c>
    </row>
    <row r="14" spans="1:7" x14ac:dyDescent="0.25">
      <c r="A14">
        <v>4</v>
      </c>
      <c r="B14">
        <v>3</v>
      </c>
      <c r="C14" s="2">
        <f t="shared" si="0"/>
        <v>-1</v>
      </c>
      <c r="D14" s="1">
        <f t="shared" si="1"/>
        <v>4.9128493995111073</v>
      </c>
    </row>
    <row r="15" spans="1:7" x14ac:dyDescent="0.25">
      <c r="A15">
        <v>4</v>
      </c>
      <c r="B15">
        <v>2</v>
      </c>
      <c r="C15" s="2">
        <f t="shared" si="0"/>
        <v>-2</v>
      </c>
      <c r="D15" s="1">
        <f t="shared" si="1"/>
        <v>10.345839090232756</v>
      </c>
    </row>
    <row r="16" spans="1:7" x14ac:dyDescent="0.25">
      <c r="A16">
        <v>2</v>
      </c>
      <c r="B16">
        <v>4</v>
      </c>
      <c r="C16" s="2">
        <f t="shared" si="0"/>
        <v>2</v>
      </c>
      <c r="D16" s="1">
        <f t="shared" si="1"/>
        <v>0.61388032734615805</v>
      </c>
    </row>
    <row r="17" spans="1:7" x14ac:dyDescent="0.25">
      <c r="A17">
        <v>1</v>
      </c>
      <c r="B17">
        <v>5</v>
      </c>
      <c r="C17" s="2">
        <f t="shared" si="0"/>
        <v>4</v>
      </c>
      <c r="D17" s="1">
        <f t="shared" si="1"/>
        <v>7.7479009459028587</v>
      </c>
      <c r="F17" t="s">
        <v>5</v>
      </c>
      <c r="G17">
        <v>0.05</v>
      </c>
    </row>
    <row r="18" spans="1:7" x14ac:dyDescent="0.25">
      <c r="A18">
        <v>3</v>
      </c>
      <c r="B18">
        <v>5</v>
      </c>
      <c r="C18" s="2">
        <f t="shared" si="0"/>
        <v>2</v>
      </c>
      <c r="D18" s="1">
        <f t="shared" si="1"/>
        <v>0.61388032734615805</v>
      </c>
      <c r="F18" t="s">
        <v>6</v>
      </c>
      <c r="G18">
        <f>G4-1</f>
        <v>96</v>
      </c>
    </row>
    <row r="19" spans="1:7" x14ac:dyDescent="0.25">
      <c r="A19">
        <v>2</v>
      </c>
      <c r="B19">
        <v>5</v>
      </c>
      <c r="C19" s="2">
        <f t="shared" si="0"/>
        <v>3</v>
      </c>
      <c r="D19" s="1">
        <f t="shared" si="1"/>
        <v>3.1808906366245089</v>
      </c>
    </row>
    <row r="20" spans="1:7" x14ac:dyDescent="0.25">
      <c r="A20">
        <v>2</v>
      </c>
      <c r="B20">
        <v>5</v>
      </c>
      <c r="C20" s="2">
        <f t="shared" si="0"/>
        <v>3</v>
      </c>
      <c r="D20" s="1">
        <f t="shared" si="1"/>
        <v>3.1808906366245089</v>
      </c>
    </row>
    <row r="21" spans="1:7" x14ac:dyDescent="0.25">
      <c r="A21">
        <v>4</v>
      </c>
      <c r="B21">
        <v>5</v>
      </c>
      <c r="C21" s="2">
        <f t="shared" si="0"/>
        <v>1</v>
      </c>
      <c r="D21" s="1">
        <f t="shared" si="1"/>
        <v>4.6870018067807377E-2</v>
      </c>
    </row>
    <row r="22" spans="1:7" x14ac:dyDescent="0.25">
      <c r="A22">
        <v>3</v>
      </c>
      <c r="B22">
        <v>3</v>
      </c>
      <c r="C22" s="2">
        <f t="shared" si="0"/>
        <v>0</v>
      </c>
      <c r="D22" s="1">
        <f t="shared" si="1"/>
        <v>1.4798597087894567</v>
      </c>
      <c r="F22" s="5" t="s">
        <v>7</v>
      </c>
      <c r="G22" s="5"/>
    </row>
    <row r="23" spans="1:7" x14ac:dyDescent="0.25">
      <c r="A23">
        <v>3</v>
      </c>
      <c r="B23">
        <v>5</v>
      </c>
      <c r="C23" s="2">
        <f t="shared" si="0"/>
        <v>2</v>
      </c>
      <c r="D23" s="1">
        <f t="shared" si="1"/>
        <v>0.61388032734615805</v>
      </c>
      <c r="F23" t="s">
        <v>16</v>
      </c>
      <c r="G23">
        <f>_xlfn.T.INV.2T(G17,G18)</f>
        <v>1.9849843115224561</v>
      </c>
    </row>
    <row r="24" spans="1:7" x14ac:dyDescent="0.25">
      <c r="A24">
        <v>3</v>
      </c>
      <c r="B24">
        <v>5</v>
      </c>
      <c r="C24" s="2">
        <f t="shared" si="0"/>
        <v>2</v>
      </c>
      <c r="D24" s="1">
        <f t="shared" si="1"/>
        <v>0.61388032734615805</v>
      </c>
      <c r="F24" t="s">
        <v>17</v>
      </c>
      <c r="G24">
        <f>_xlfn.T.INV(G17,G18)</f>
        <v>-1.6608814403248366</v>
      </c>
    </row>
    <row r="25" spans="1:7" x14ac:dyDescent="0.25">
      <c r="A25">
        <v>4</v>
      </c>
      <c r="B25">
        <v>5</v>
      </c>
      <c r="C25" s="2">
        <f t="shared" si="0"/>
        <v>1</v>
      </c>
      <c r="D25" s="1">
        <f t="shared" si="1"/>
        <v>4.6870018067807377E-2</v>
      </c>
    </row>
    <row r="26" spans="1:7" x14ac:dyDescent="0.25">
      <c r="A26">
        <v>2</v>
      </c>
      <c r="B26">
        <v>5</v>
      </c>
      <c r="C26" s="2">
        <f t="shared" si="0"/>
        <v>3</v>
      </c>
      <c r="D26" s="1">
        <f t="shared" si="1"/>
        <v>3.1808906366245089</v>
      </c>
    </row>
    <row r="27" spans="1:7" x14ac:dyDescent="0.25">
      <c r="A27">
        <v>3</v>
      </c>
      <c r="B27">
        <v>4</v>
      </c>
      <c r="C27" s="2">
        <f t="shared" si="0"/>
        <v>1</v>
      </c>
      <c r="D27" s="1">
        <f t="shared" si="1"/>
        <v>4.6870018067807377E-2</v>
      </c>
      <c r="F27" s="5" t="s">
        <v>9</v>
      </c>
      <c r="G27" s="5"/>
    </row>
    <row r="28" spans="1:7" x14ac:dyDescent="0.25">
      <c r="A28">
        <v>5</v>
      </c>
      <c r="B28">
        <v>3</v>
      </c>
      <c r="C28" s="2">
        <f t="shared" si="0"/>
        <v>-2</v>
      </c>
      <c r="D28" s="1">
        <f t="shared" si="1"/>
        <v>10.345839090232756</v>
      </c>
      <c r="F28" t="s">
        <v>9</v>
      </c>
    </row>
    <row r="29" spans="1:7" x14ac:dyDescent="0.25">
      <c r="A29">
        <v>3</v>
      </c>
      <c r="B29">
        <v>4</v>
      </c>
      <c r="C29" s="2">
        <f t="shared" si="0"/>
        <v>1</v>
      </c>
      <c r="D29" s="1">
        <f t="shared" si="1"/>
        <v>4.6870018067807377E-2</v>
      </c>
      <c r="F29" t="s">
        <v>15</v>
      </c>
      <c r="G29">
        <f>TTEST(A:A,B:B,2,1)</f>
        <v>1.0788236366351045E-10</v>
      </c>
    </row>
    <row r="30" spans="1:7" x14ac:dyDescent="0.25">
      <c r="A30">
        <v>3</v>
      </c>
      <c r="B30">
        <v>5</v>
      </c>
      <c r="C30" s="2">
        <f t="shared" si="0"/>
        <v>2</v>
      </c>
      <c r="D30" s="1">
        <f t="shared" si="1"/>
        <v>0.61388032734615805</v>
      </c>
      <c r="F30" t="s">
        <v>19</v>
      </c>
      <c r="G30">
        <f>TTEST(A:A,B:B,1,1)</f>
        <v>5.3941181831755225E-11</v>
      </c>
    </row>
    <row r="31" spans="1:7" x14ac:dyDescent="0.25">
      <c r="A31">
        <v>3</v>
      </c>
      <c r="B31">
        <v>5</v>
      </c>
      <c r="C31" s="2">
        <f t="shared" si="0"/>
        <v>2</v>
      </c>
      <c r="D31" s="1">
        <f t="shared" si="1"/>
        <v>0.61388032734615805</v>
      </c>
    </row>
    <row r="32" spans="1:7" x14ac:dyDescent="0.25">
      <c r="A32">
        <v>4</v>
      </c>
      <c r="B32">
        <v>5</v>
      </c>
      <c r="C32" s="2">
        <f t="shared" si="0"/>
        <v>1</v>
      </c>
      <c r="D32" s="1">
        <f t="shared" si="1"/>
        <v>4.6870018067807377E-2</v>
      </c>
    </row>
    <row r="33" spans="1:7" x14ac:dyDescent="0.25">
      <c r="A33">
        <v>3</v>
      </c>
      <c r="B33">
        <v>5</v>
      </c>
      <c r="C33" s="2">
        <f t="shared" si="0"/>
        <v>2</v>
      </c>
      <c r="D33" s="1">
        <f t="shared" si="1"/>
        <v>0.61388032734615805</v>
      </c>
      <c r="F33" s="8" t="s">
        <v>12</v>
      </c>
      <c r="G33" s="8"/>
    </row>
    <row r="34" spans="1:7" x14ac:dyDescent="0.25">
      <c r="A34">
        <v>3</v>
      </c>
      <c r="B34">
        <v>4</v>
      </c>
      <c r="C34" s="2">
        <f t="shared" si="0"/>
        <v>1</v>
      </c>
      <c r="D34" s="1">
        <f t="shared" si="1"/>
        <v>4.6870018067807377E-2</v>
      </c>
    </row>
    <row r="35" spans="1:7" x14ac:dyDescent="0.25">
      <c r="A35">
        <v>1</v>
      </c>
      <c r="B35">
        <v>5</v>
      </c>
      <c r="C35" s="2">
        <f t="shared" si="0"/>
        <v>4</v>
      </c>
      <c r="D35" s="1">
        <f t="shared" si="1"/>
        <v>7.7479009459028587</v>
      </c>
      <c r="F35" t="s">
        <v>10</v>
      </c>
    </row>
    <row r="36" spans="1:7" x14ac:dyDescent="0.25">
      <c r="A36">
        <v>3</v>
      </c>
      <c r="B36">
        <v>3</v>
      </c>
      <c r="C36" s="2">
        <f t="shared" si="0"/>
        <v>0</v>
      </c>
      <c r="D36" s="1">
        <f t="shared" si="1"/>
        <v>1.4798597087894567</v>
      </c>
      <c r="F36" t="s">
        <v>11</v>
      </c>
    </row>
    <row r="37" spans="1:7" x14ac:dyDescent="0.25">
      <c r="A37">
        <v>2</v>
      </c>
      <c r="B37">
        <v>4</v>
      </c>
      <c r="C37" s="2">
        <f t="shared" si="0"/>
        <v>2</v>
      </c>
      <c r="D37" s="1">
        <f t="shared" si="1"/>
        <v>0.61388032734615805</v>
      </c>
    </row>
    <row r="38" spans="1:7" x14ac:dyDescent="0.25">
      <c r="A38">
        <v>1</v>
      </c>
      <c r="B38">
        <v>5</v>
      </c>
      <c r="C38" s="2">
        <f t="shared" si="0"/>
        <v>4</v>
      </c>
      <c r="D38" s="1">
        <f t="shared" si="1"/>
        <v>7.7479009459028587</v>
      </c>
    </row>
    <row r="39" spans="1:7" x14ac:dyDescent="0.25">
      <c r="A39">
        <v>1</v>
      </c>
      <c r="B39">
        <v>5</v>
      </c>
      <c r="C39" s="2">
        <f t="shared" si="0"/>
        <v>4</v>
      </c>
      <c r="D39" s="1">
        <f t="shared" si="1"/>
        <v>7.7479009459028587</v>
      </c>
    </row>
    <row r="40" spans="1:7" x14ac:dyDescent="0.25">
      <c r="A40">
        <v>5</v>
      </c>
      <c r="B40">
        <v>5</v>
      </c>
      <c r="C40" s="2">
        <f t="shared" si="0"/>
        <v>0</v>
      </c>
      <c r="D40" s="1">
        <f t="shared" si="1"/>
        <v>1.4798597087894567</v>
      </c>
      <c r="F40" t="s">
        <v>14</v>
      </c>
    </row>
    <row r="41" spans="1:7" x14ac:dyDescent="0.25">
      <c r="A41">
        <v>4</v>
      </c>
      <c r="B41">
        <v>3</v>
      </c>
      <c r="C41" s="2">
        <f t="shared" si="0"/>
        <v>-1</v>
      </c>
      <c r="D41" s="1">
        <f t="shared" si="1"/>
        <v>4.9128493995111073</v>
      </c>
      <c r="F41" t="str">
        <f>"Dos Colas: Si t calculado ("&amp;G12&amp;") &gt; a t critico  ("&amp;G23&amp;") (de tabla) ---&gt; Se rechaza la hipotesis nula"</f>
        <v>Dos Colas: Si t calculado (7.24611934630923) &gt; a t critico  (1.98498431152246) (de tabla) ---&gt; Se rechaza la hipotesis nula</v>
      </c>
    </row>
    <row r="42" spans="1:7" x14ac:dyDescent="0.25">
      <c r="A42">
        <v>5</v>
      </c>
      <c r="B42">
        <v>5</v>
      </c>
      <c r="C42" s="2">
        <f t="shared" si="0"/>
        <v>0</v>
      </c>
      <c r="D42" s="1">
        <f t="shared" si="1"/>
        <v>1.4798597087894567</v>
      </c>
      <c r="F42" t="str">
        <f>"Una Cola: Si t calculado ("&amp;G12&amp;") &gt; a t critico  ("&amp;G24&amp;") (de tabla) ---&gt; Se rechaza la hipotesis nula"</f>
        <v>Una Cola: Si t calculado (7.24611934630923) &gt; a t critico  (-1.66088144032484) (de tabla) ---&gt; Se rechaza la hipotesis nula</v>
      </c>
    </row>
    <row r="43" spans="1:7" x14ac:dyDescent="0.25">
      <c r="A43">
        <v>3</v>
      </c>
      <c r="B43">
        <v>4</v>
      </c>
      <c r="C43" s="2">
        <f t="shared" si="0"/>
        <v>1</v>
      </c>
      <c r="D43" s="1">
        <f t="shared" si="1"/>
        <v>4.6870018067807377E-2</v>
      </c>
    </row>
    <row r="44" spans="1:7" x14ac:dyDescent="0.25">
      <c r="A44">
        <v>1</v>
      </c>
      <c r="B44">
        <v>5</v>
      </c>
      <c r="C44" s="2">
        <f t="shared" si="0"/>
        <v>4</v>
      </c>
      <c r="D44" s="1">
        <f t="shared" si="1"/>
        <v>7.7479009459028587</v>
      </c>
    </row>
    <row r="45" spans="1:7" x14ac:dyDescent="0.25">
      <c r="A45">
        <v>1</v>
      </c>
      <c r="B45">
        <v>5</v>
      </c>
      <c r="C45" s="2">
        <f t="shared" si="0"/>
        <v>4</v>
      </c>
      <c r="D45" s="1">
        <f t="shared" si="1"/>
        <v>7.7479009459028587</v>
      </c>
    </row>
    <row r="46" spans="1:7" x14ac:dyDescent="0.25">
      <c r="A46">
        <v>3</v>
      </c>
      <c r="B46">
        <v>1</v>
      </c>
      <c r="C46" s="2">
        <f t="shared" si="0"/>
        <v>-2</v>
      </c>
      <c r="D46" s="1">
        <f t="shared" si="1"/>
        <v>10.345839090232756</v>
      </c>
      <c r="F46" t="s">
        <v>20</v>
      </c>
    </row>
    <row r="47" spans="1:7" x14ac:dyDescent="0.25">
      <c r="A47">
        <v>3</v>
      </c>
      <c r="B47">
        <v>5</v>
      </c>
      <c r="C47" s="2">
        <f t="shared" si="0"/>
        <v>2</v>
      </c>
      <c r="D47" s="1">
        <f t="shared" si="1"/>
        <v>0.61388032734615805</v>
      </c>
      <c r="F47" t="str">
        <f>"Dos Colas: Si p valor ("&amp;G29&amp;") &lt; Nivel Significancia ("&amp;G17&amp;") ---&gt; Se rechaza la hipotesis nula"</f>
        <v>Dos Colas: Si p valor (1.0788236366351E-10) &lt; Nivel Significancia (0.05) ---&gt; Se rechaza la hipotesis nula</v>
      </c>
    </row>
    <row r="48" spans="1:7" x14ac:dyDescent="0.25">
      <c r="A48">
        <v>4</v>
      </c>
      <c r="B48">
        <v>5</v>
      </c>
      <c r="C48" s="2">
        <f t="shared" si="0"/>
        <v>1</v>
      </c>
      <c r="D48" s="1">
        <f t="shared" si="1"/>
        <v>4.6870018067807377E-2</v>
      </c>
      <c r="F48" t="str">
        <f>"Una Cola: Si p valor ("&amp;G30&amp;") &lt; Nivel Significancia ("&amp;G17&amp;") ---&gt; Se rechaza la hipotesis nula"</f>
        <v>Una Cola: Si p valor (5.39411818317552E-11) &lt; Nivel Significancia (0.05) ---&gt; Se rechaza la hipotesis nula</v>
      </c>
    </row>
    <row r="49" spans="1:4" x14ac:dyDescent="0.25">
      <c r="A49">
        <v>4</v>
      </c>
      <c r="B49">
        <v>4</v>
      </c>
      <c r="C49" s="2">
        <f t="shared" si="0"/>
        <v>0</v>
      </c>
      <c r="D49" s="1">
        <f t="shared" si="1"/>
        <v>1.4798597087894567</v>
      </c>
    </row>
    <row r="50" spans="1:4" x14ac:dyDescent="0.25">
      <c r="A50">
        <v>2</v>
      </c>
      <c r="B50">
        <v>2</v>
      </c>
      <c r="C50" s="2">
        <f t="shared" si="0"/>
        <v>0</v>
      </c>
      <c r="D50" s="1">
        <f t="shared" si="1"/>
        <v>1.4798597087894567</v>
      </c>
    </row>
    <row r="51" spans="1:4" x14ac:dyDescent="0.25">
      <c r="A51">
        <v>3</v>
      </c>
      <c r="B51">
        <v>3</v>
      </c>
      <c r="C51" s="2">
        <f t="shared" si="0"/>
        <v>0</v>
      </c>
      <c r="D51" s="1">
        <f t="shared" si="1"/>
        <v>1.4798597087894567</v>
      </c>
    </row>
    <row r="52" spans="1:4" x14ac:dyDescent="0.25">
      <c r="A52">
        <v>3</v>
      </c>
      <c r="B52">
        <v>4</v>
      </c>
      <c r="C52" s="2">
        <f t="shared" si="0"/>
        <v>1</v>
      </c>
      <c r="D52" s="1">
        <f t="shared" si="1"/>
        <v>4.6870018067807377E-2</v>
      </c>
    </row>
    <row r="53" spans="1:4" x14ac:dyDescent="0.25">
      <c r="A53">
        <v>1</v>
      </c>
      <c r="B53">
        <v>5</v>
      </c>
      <c r="C53" s="2">
        <f t="shared" si="0"/>
        <v>4</v>
      </c>
      <c r="D53" s="1">
        <f t="shared" si="1"/>
        <v>7.7479009459028587</v>
      </c>
    </row>
    <row r="54" spans="1:4" x14ac:dyDescent="0.25">
      <c r="A54">
        <v>2</v>
      </c>
      <c r="B54">
        <v>4</v>
      </c>
      <c r="C54" s="2">
        <f t="shared" si="0"/>
        <v>2</v>
      </c>
      <c r="D54" s="1">
        <f t="shared" si="1"/>
        <v>0.61388032734615805</v>
      </c>
    </row>
    <row r="55" spans="1:4" x14ac:dyDescent="0.25">
      <c r="A55">
        <v>4</v>
      </c>
      <c r="B55">
        <v>5</v>
      </c>
      <c r="C55" s="2">
        <f t="shared" si="0"/>
        <v>1</v>
      </c>
      <c r="D55" s="1">
        <f t="shared" si="1"/>
        <v>4.6870018067807377E-2</v>
      </c>
    </row>
    <row r="56" spans="1:4" x14ac:dyDescent="0.25">
      <c r="A56">
        <v>3</v>
      </c>
      <c r="B56">
        <v>3</v>
      </c>
      <c r="C56" s="2">
        <f t="shared" si="0"/>
        <v>0</v>
      </c>
      <c r="D56" s="1">
        <f t="shared" si="1"/>
        <v>1.4798597087894567</v>
      </c>
    </row>
    <row r="57" spans="1:4" x14ac:dyDescent="0.25">
      <c r="A57">
        <v>2</v>
      </c>
      <c r="B57">
        <v>4</v>
      </c>
      <c r="C57" s="2">
        <f t="shared" si="0"/>
        <v>2</v>
      </c>
      <c r="D57" s="1">
        <f t="shared" si="1"/>
        <v>0.61388032734615805</v>
      </c>
    </row>
    <row r="58" spans="1:4" x14ac:dyDescent="0.25">
      <c r="A58">
        <v>1</v>
      </c>
      <c r="B58">
        <v>5</v>
      </c>
      <c r="C58" s="2">
        <f t="shared" si="0"/>
        <v>4</v>
      </c>
      <c r="D58" s="1">
        <f t="shared" si="1"/>
        <v>7.7479009459028587</v>
      </c>
    </row>
    <row r="59" spans="1:4" x14ac:dyDescent="0.25">
      <c r="A59">
        <v>2</v>
      </c>
      <c r="B59">
        <v>4</v>
      </c>
      <c r="C59" s="2">
        <f t="shared" si="0"/>
        <v>2</v>
      </c>
      <c r="D59" s="1">
        <f t="shared" si="1"/>
        <v>0.61388032734615805</v>
      </c>
    </row>
    <row r="60" spans="1:4" x14ac:dyDescent="0.25">
      <c r="A60">
        <v>4</v>
      </c>
      <c r="B60">
        <v>5</v>
      </c>
      <c r="C60" s="2">
        <f t="shared" si="0"/>
        <v>1</v>
      </c>
      <c r="D60" s="1">
        <f t="shared" si="1"/>
        <v>4.6870018067807377E-2</v>
      </c>
    </row>
    <row r="61" spans="1:4" x14ac:dyDescent="0.25">
      <c r="A61">
        <v>2</v>
      </c>
      <c r="B61">
        <v>4</v>
      </c>
      <c r="C61" s="2">
        <f t="shared" si="0"/>
        <v>2</v>
      </c>
      <c r="D61" s="1">
        <f t="shared" si="1"/>
        <v>0.61388032734615805</v>
      </c>
    </row>
    <row r="62" spans="1:4" x14ac:dyDescent="0.25">
      <c r="A62">
        <v>2</v>
      </c>
      <c r="B62">
        <v>4</v>
      </c>
      <c r="C62" s="2">
        <f t="shared" si="0"/>
        <v>2</v>
      </c>
      <c r="D62" s="1">
        <f t="shared" si="1"/>
        <v>0.61388032734615805</v>
      </c>
    </row>
    <row r="63" spans="1:4" x14ac:dyDescent="0.25">
      <c r="A63">
        <v>4</v>
      </c>
      <c r="B63">
        <v>4</v>
      </c>
      <c r="C63" s="2">
        <f t="shared" si="0"/>
        <v>0</v>
      </c>
      <c r="D63" s="1">
        <f t="shared" si="1"/>
        <v>1.4798597087894567</v>
      </c>
    </row>
    <row r="64" spans="1:4" x14ac:dyDescent="0.25">
      <c r="A64">
        <v>1</v>
      </c>
      <c r="B64">
        <v>4</v>
      </c>
      <c r="C64" s="2">
        <f t="shared" si="0"/>
        <v>3</v>
      </c>
      <c r="D64" s="1">
        <f t="shared" si="1"/>
        <v>3.1808906366245089</v>
      </c>
    </row>
    <row r="65" spans="1:4" x14ac:dyDescent="0.25">
      <c r="A65">
        <v>4</v>
      </c>
      <c r="B65">
        <v>5</v>
      </c>
      <c r="C65" s="2">
        <f t="shared" si="0"/>
        <v>1</v>
      </c>
      <c r="D65" s="1">
        <f t="shared" si="1"/>
        <v>4.6870018067807377E-2</v>
      </c>
    </row>
    <row r="66" spans="1:4" x14ac:dyDescent="0.25">
      <c r="A66">
        <v>3</v>
      </c>
      <c r="B66">
        <v>4</v>
      </c>
      <c r="C66" s="2">
        <f t="shared" si="0"/>
        <v>1</v>
      </c>
      <c r="D66" s="1">
        <f t="shared" si="1"/>
        <v>4.6870018067807377E-2</v>
      </c>
    </row>
    <row r="67" spans="1:4" x14ac:dyDescent="0.25">
      <c r="A67">
        <v>1</v>
      </c>
      <c r="B67">
        <v>4</v>
      </c>
      <c r="C67" s="2">
        <f t="shared" ref="C67:C98" si="2">B67-A67</f>
        <v>3</v>
      </c>
      <c r="D67" s="1">
        <f t="shared" si="1"/>
        <v>3.1808906366245089</v>
      </c>
    </row>
    <row r="68" spans="1:4" x14ac:dyDescent="0.25">
      <c r="A68">
        <v>4</v>
      </c>
      <c r="B68">
        <v>5</v>
      </c>
      <c r="C68" s="2">
        <f t="shared" si="2"/>
        <v>1</v>
      </c>
      <c r="D68" s="1">
        <f t="shared" si="1"/>
        <v>4.6870018067807377E-2</v>
      </c>
    </row>
    <row r="69" spans="1:4" x14ac:dyDescent="0.25">
      <c r="A69">
        <v>5</v>
      </c>
      <c r="B69">
        <v>4</v>
      </c>
      <c r="C69" s="2">
        <f t="shared" si="2"/>
        <v>-1</v>
      </c>
      <c r="D69" s="1">
        <f t="shared" ref="D69:D98" si="3">(C69-$G$6)^2</f>
        <v>4.9128493995111073</v>
      </c>
    </row>
    <row r="70" spans="1:4" x14ac:dyDescent="0.25">
      <c r="A70">
        <v>3</v>
      </c>
      <c r="B70">
        <v>3</v>
      </c>
      <c r="C70" s="2">
        <f t="shared" si="2"/>
        <v>0</v>
      </c>
      <c r="D70" s="1">
        <f t="shared" si="3"/>
        <v>1.4798597087894567</v>
      </c>
    </row>
    <row r="71" spans="1:4" x14ac:dyDescent="0.25">
      <c r="A71">
        <v>4</v>
      </c>
      <c r="B71">
        <v>3</v>
      </c>
      <c r="C71" s="2">
        <f t="shared" si="2"/>
        <v>-1</v>
      </c>
      <c r="D71" s="1">
        <f t="shared" si="3"/>
        <v>4.9128493995111073</v>
      </c>
    </row>
    <row r="72" spans="1:4" x14ac:dyDescent="0.25">
      <c r="A72">
        <v>2</v>
      </c>
      <c r="B72">
        <v>4</v>
      </c>
      <c r="C72" s="2">
        <f t="shared" si="2"/>
        <v>2</v>
      </c>
      <c r="D72" s="1">
        <f t="shared" si="3"/>
        <v>0.61388032734615805</v>
      </c>
    </row>
    <row r="73" spans="1:4" x14ac:dyDescent="0.25">
      <c r="A73">
        <v>5</v>
      </c>
      <c r="B73">
        <v>5</v>
      </c>
      <c r="C73" s="2">
        <f t="shared" si="2"/>
        <v>0</v>
      </c>
      <c r="D73" s="1">
        <f t="shared" si="3"/>
        <v>1.4798597087894567</v>
      </c>
    </row>
    <row r="74" spans="1:4" x14ac:dyDescent="0.25">
      <c r="A74">
        <v>5</v>
      </c>
      <c r="B74">
        <v>4</v>
      </c>
      <c r="C74" s="2">
        <f t="shared" si="2"/>
        <v>-1</v>
      </c>
      <c r="D74" s="1">
        <f t="shared" si="3"/>
        <v>4.9128493995111073</v>
      </c>
    </row>
    <row r="75" spans="1:4" x14ac:dyDescent="0.25">
      <c r="A75">
        <v>4</v>
      </c>
      <c r="B75">
        <v>4</v>
      </c>
      <c r="C75" s="2">
        <f t="shared" si="2"/>
        <v>0</v>
      </c>
      <c r="D75" s="1">
        <f t="shared" si="3"/>
        <v>1.4798597087894567</v>
      </c>
    </row>
    <row r="76" spans="1:4" x14ac:dyDescent="0.25">
      <c r="A76">
        <v>3</v>
      </c>
      <c r="B76">
        <v>5</v>
      </c>
      <c r="C76" s="2">
        <f t="shared" si="2"/>
        <v>2</v>
      </c>
      <c r="D76" s="1">
        <f t="shared" si="3"/>
        <v>0.61388032734615805</v>
      </c>
    </row>
    <row r="77" spans="1:4" x14ac:dyDescent="0.25">
      <c r="A77">
        <v>4</v>
      </c>
      <c r="B77">
        <v>5</v>
      </c>
      <c r="C77" s="2">
        <f t="shared" si="2"/>
        <v>1</v>
      </c>
      <c r="D77" s="1">
        <f t="shared" si="3"/>
        <v>4.6870018067807377E-2</v>
      </c>
    </row>
    <row r="78" spans="1:4" x14ac:dyDescent="0.25">
      <c r="A78">
        <v>4</v>
      </c>
      <c r="B78">
        <v>3</v>
      </c>
      <c r="C78" s="2">
        <f t="shared" si="2"/>
        <v>-1</v>
      </c>
      <c r="D78" s="1">
        <f t="shared" si="3"/>
        <v>4.9128493995111073</v>
      </c>
    </row>
    <row r="79" spans="1:4" x14ac:dyDescent="0.25">
      <c r="A79">
        <v>5</v>
      </c>
      <c r="B79">
        <v>3</v>
      </c>
      <c r="C79" s="2">
        <f t="shared" si="2"/>
        <v>-2</v>
      </c>
      <c r="D79" s="1">
        <f t="shared" si="3"/>
        <v>10.345839090232756</v>
      </c>
    </row>
    <row r="80" spans="1:4" x14ac:dyDescent="0.25">
      <c r="A80">
        <v>3</v>
      </c>
      <c r="B80">
        <v>4</v>
      </c>
      <c r="C80" s="2">
        <f t="shared" si="2"/>
        <v>1</v>
      </c>
      <c r="D80" s="1">
        <f t="shared" si="3"/>
        <v>4.6870018067807377E-2</v>
      </c>
    </row>
    <row r="81" spans="1:6" x14ac:dyDescent="0.25">
      <c r="A81">
        <v>5</v>
      </c>
      <c r="B81">
        <v>2</v>
      </c>
      <c r="C81" s="2">
        <f t="shared" si="2"/>
        <v>-3</v>
      </c>
      <c r="D81" s="1">
        <f t="shared" si="3"/>
        <v>17.778828780954406</v>
      </c>
    </row>
    <row r="82" spans="1:6" x14ac:dyDescent="0.25">
      <c r="A82">
        <v>4</v>
      </c>
      <c r="B82">
        <v>3</v>
      </c>
      <c r="C82" s="2">
        <f t="shared" si="2"/>
        <v>-1</v>
      </c>
      <c r="D82" s="1">
        <f t="shared" si="3"/>
        <v>4.9128493995111073</v>
      </c>
    </row>
    <row r="83" spans="1:6" x14ac:dyDescent="0.25">
      <c r="A83">
        <v>4</v>
      </c>
      <c r="B83">
        <v>5</v>
      </c>
      <c r="C83" s="2">
        <f t="shared" si="2"/>
        <v>1</v>
      </c>
      <c r="D83" s="1">
        <f t="shared" si="3"/>
        <v>4.6870018067807377E-2</v>
      </c>
    </row>
    <row r="84" spans="1:6" x14ac:dyDescent="0.25">
      <c r="A84">
        <v>1</v>
      </c>
      <c r="B84">
        <v>3</v>
      </c>
      <c r="C84" s="2">
        <f t="shared" si="2"/>
        <v>2</v>
      </c>
      <c r="D84" s="1">
        <f t="shared" si="3"/>
        <v>0.61388032734615805</v>
      </c>
    </row>
    <row r="85" spans="1:6" x14ac:dyDescent="0.25">
      <c r="A85">
        <v>3</v>
      </c>
      <c r="B85">
        <v>4</v>
      </c>
      <c r="C85" s="2">
        <f t="shared" si="2"/>
        <v>1</v>
      </c>
      <c r="D85" s="1">
        <f t="shared" si="3"/>
        <v>4.6870018067807377E-2</v>
      </c>
    </row>
    <row r="86" spans="1:6" x14ac:dyDescent="0.25">
      <c r="A86">
        <v>3</v>
      </c>
      <c r="B86">
        <v>5</v>
      </c>
      <c r="C86" s="2">
        <f t="shared" si="2"/>
        <v>2</v>
      </c>
      <c r="D86" s="1">
        <f t="shared" si="3"/>
        <v>0.61388032734615805</v>
      </c>
    </row>
    <row r="87" spans="1:6" x14ac:dyDescent="0.25">
      <c r="A87">
        <v>4</v>
      </c>
      <c r="B87">
        <v>3</v>
      </c>
      <c r="C87" s="2">
        <f t="shared" si="2"/>
        <v>-1</v>
      </c>
      <c r="D87" s="1">
        <f t="shared" si="3"/>
        <v>4.9128493995111073</v>
      </c>
    </row>
    <row r="88" spans="1:6" x14ac:dyDescent="0.25">
      <c r="A88">
        <v>2</v>
      </c>
      <c r="B88">
        <v>5</v>
      </c>
      <c r="C88" s="2">
        <f t="shared" si="2"/>
        <v>3</v>
      </c>
      <c r="D88" s="1">
        <f t="shared" si="3"/>
        <v>3.1808906366245089</v>
      </c>
    </row>
    <row r="89" spans="1:6" x14ac:dyDescent="0.25">
      <c r="A89">
        <v>1</v>
      </c>
      <c r="B89">
        <v>5</v>
      </c>
      <c r="C89" s="2">
        <f t="shared" si="2"/>
        <v>4</v>
      </c>
      <c r="D89" s="1">
        <f t="shared" si="3"/>
        <v>7.7479009459028587</v>
      </c>
    </row>
    <row r="90" spans="1:6" x14ac:dyDescent="0.25">
      <c r="A90">
        <v>3</v>
      </c>
      <c r="B90">
        <v>3</v>
      </c>
      <c r="C90" s="2">
        <f t="shared" si="2"/>
        <v>0</v>
      </c>
      <c r="D90" s="1">
        <f t="shared" si="3"/>
        <v>1.4798597087894567</v>
      </c>
    </row>
    <row r="91" spans="1:6" x14ac:dyDescent="0.25">
      <c r="A91">
        <v>5</v>
      </c>
      <c r="B91">
        <v>3</v>
      </c>
      <c r="C91" s="2">
        <f t="shared" si="2"/>
        <v>-2</v>
      </c>
      <c r="D91" s="1">
        <f t="shared" si="3"/>
        <v>10.345839090232756</v>
      </c>
    </row>
    <row r="92" spans="1:6" x14ac:dyDescent="0.25">
      <c r="A92">
        <v>3</v>
      </c>
      <c r="B92">
        <v>5</v>
      </c>
      <c r="C92" s="2">
        <f t="shared" si="2"/>
        <v>2</v>
      </c>
      <c r="D92" s="1">
        <f t="shared" si="3"/>
        <v>0.61388032734615805</v>
      </c>
    </row>
    <row r="93" spans="1:6" x14ac:dyDescent="0.25">
      <c r="A93">
        <v>4</v>
      </c>
      <c r="B93">
        <v>5</v>
      </c>
      <c r="C93" s="2">
        <f t="shared" si="2"/>
        <v>1</v>
      </c>
      <c r="D93" s="1">
        <f t="shared" si="3"/>
        <v>4.6870018067807377E-2</v>
      </c>
      <c r="F93" s="6"/>
    </row>
    <row r="94" spans="1:6" x14ac:dyDescent="0.25">
      <c r="A94">
        <v>3</v>
      </c>
      <c r="B94">
        <v>4</v>
      </c>
      <c r="C94" s="2">
        <f t="shared" si="2"/>
        <v>1</v>
      </c>
      <c r="D94" s="1">
        <f t="shared" si="3"/>
        <v>4.6870018067807377E-2</v>
      </c>
    </row>
    <row r="95" spans="1:6" x14ac:dyDescent="0.25">
      <c r="A95">
        <v>2</v>
      </c>
      <c r="B95">
        <v>5</v>
      </c>
      <c r="C95" s="2">
        <f t="shared" si="2"/>
        <v>3</v>
      </c>
      <c r="D95" s="1">
        <f t="shared" si="3"/>
        <v>3.1808906366245089</v>
      </c>
    </row>
    <row r="96" spans="1:6" x14ac:dyDescent="0.25">
      <c r="A96">
        <v>4</v>
      </c>
      <c r="B96">
        <v>4</v>
      </c>
      <c r="C96" s="2">
        <f t="shared" si="2"/>
        <v>0</v>
      </c>
      <c r="D96" s="1">
        <f t="shared" si="3"/>
        <v>1.4798597087894567</v>
      </c>
    </row>
    <row r="97" spans="1:4" x14ac:dyDescent="0.25">
      <c r="A97">
        <v>1</v>
      </c>
      <c r="B97">
        <v>5</v>
      </c>
      <c r="C97" s="2">
        <f t="shared" si="2"/>
        <v>4</v>
      </c>
      <c r="D97" s="1">
        <f t="shared" si="3"/>
        <v>7.7479009459028587</v>
      </c>
    </row>
    <row r="98" spans="1:4" x14ac:dyDescent="0.25">
      <c r="A98">
        <v>5</v>
      </c>
      <c r="B98">
        <v>4</v>
      </c>
      <c r="C98" s="2">
        <f t="shared" si="2"/>
        <v>-1</v>
      </c>
      <c r="D98" s="1">
        <f t="shared" si="3"/>
        <v>4.9128493995111073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zoomScale="115" zoomScaleNormal="115" workbookViewId="0">
      <selection activeCell="B8" sqref="B8"/>
    </sheetView>
  </sheetViews>
  <sheetFormatPr baseColWidth="10" defaultColWidth="9.140625" defaultRowHeight="15" x14ac:dyDescent="0.25"/>
  <cols>
    <col min="1" max="1" width="32.28515625" style="1" customWidth="1"/>
    <col min="2" max="2" width="33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60" x14ac:dyDescent="0.25">
      <c r="A1" s="7" t="s">
        <v>42</v>
      </c>
      <c r="B1" s="7" t="s">
        <v>53</v>
      </c>
      <c r="C1" s="4" t="s">
        <v>0</v>
      </c>
      <c r="D1" s="4"/>
    </row>
    <row r="2" spans="1:7" x14ac:dyDescent="0.25">
      <c r="A2">
        <v>5</v>
      </c>
      <c r="B2">
        <v>2</v>
      </c>
      <c r="C2" s="2">
        <f>B2-A2</f>
        <v>-3</v>
      </c>
      <c r="D2" s="1">
        <f>(C2-$G$6)^2</f>
        <v>15.185885853969603</v>
      </c>
    </row>
    <row r="3" spans="1:7" x14ac:dyDescent="0.25">
      <c r="A3">
        <v>4</v>
      </c>
      <c r="B3">
        <v>3</v>
      </c>
      <c r="C3" s="2">
        <f t="shared" ref="C3:C66" si="0">B3-A3</f>
        <v>-1</v>
      </c>
      <c r="D3" s="1">
        <f>(C3-$G$6)^2</f>
        <v>3.5982569879902218</v>
      </c>
      <c r="F3" s="5" t="s">
        <v>13</v>
      </c>
      <c r="G3" s="5"/>
    </row>
    <row r="4" spans="1:7" x14ac:dyDescent="0.25">
      <c r="A4">
        <v>3</v>
      </c>
      <c r="B4">
        <v>4</v>
      </c>
      <c r="C4" s="2">
        <f t="shared" si="0"/>
        <v>1</v>
      </c>
      <c r="D4" s="1">
        <f>(C4-$G$6)^2</f>
        <v>1.0628122010840678E-2</v>
      </c>
      <c r="F4" t="s">
        <v>3</v>
      </c>
      <c r="G4">
        <f>COUNT(A:A)</f>
        <v>97</v>
      </c>
    </row>
    <row r="5" spans="1:7" x14ac:dyDescent="0.25">
      <c r="A5">
        <v>2</v>
      </c>
      <c r="B5">
        <v>1</v>
      </c>
      <c r="C5" s="2">
        <f t="shared" si="0"/>
        <v>-1</v>
      </c>
      <c r="D5" s="1">
        <f t="shared" ref="D5:D68" si="1">(C5-$G$6)^2</f>
        <v>3.5982569879902218</v>
      </c>
      <c r="F5" t="s">
        <v>2</v>
      </c>
      <c r="G5">
        <f>SUM(C:C)</f>
        <v>87</v>
      </c>
    </row>
    <row r="6" spans="1:7" x14ac:dyDescent="0.25">
      <c r="A6">
        <v>2</v>
      </c>
      <c r="B6">
        <v>4</v>
      </c>
      <c r="C6" s="2">
        <f t="shared" si="0"/>
        <v>2</v>
      </c>
      <c r="D6" s="1">
        <f t="shared" si="1"/>
        <v>1.2168136890211501</v>
      </c>
      <c r="F6" t="s">
        <v>1</v>
      </c>
      <c r="G6">
        <f>G5/G4</f>
        <v>0.89690721649484539</v>
      </c>
    </row>
    <row r="7" spans="1:7" x14ac:dyDescent="0.25">
      <c r="A7">
        <v>2</v>
      </c>
      <c r="B7">
        <v>4</v>
      </c>
      <c r="C7" s="2">
        <f t="shared" si="0"/>
        <v>2</v>
      </c>
      <c r="D7" s="1">
        <f t="shared" si="1"/>
        <v>1.2168136890211501</v>
      </c>
      <c r="F7" t="s">
        <v>18</v>
      </c>
      <c r="G7">
        <f>SUM(D:D)</f>
        <v>246.96907216494819</v>
      </c>
    </row>
    <row r="8" spans="1:7" x14ac:dyDescent="0.25">
      <c r="A8">
        <v>5</v>
      </c>
      <c r="B8">
        <v>4</v>
      </c>
      <c r="C8" s="2">
        <f t="shared" si="0"/>
        <v>-1</v>
      </c>
      <c r="D8" s="1">
        <f t="shared" si="1"/>
        <v>3.5982569879902218</v>
      </c>
      <c r="F8" t="s">
        <v>4</v>
      </c>
      <c r="G8">
        <f>SQRT(G7/(G4-1))</f>
        <v>1.6039309529148098</v>
      </c>
    </row>
    <row r="9" spans="1:7" x14ac:dyDescent="0.25">
      <c r="A9">
        <v>2</v>
      </c>
      <c r="B9">
        <v>4</v>
      </c>
      <c r="C9" s="2">
        <f t="shared" si="0"/>
        <v>2</v>
      </c>
      <c r="D9" s="1">
        <f t="shared" si="1"/>
        <v>1.2168136890211501</v>
      </c>
    </row>
    <row r="10" spans="1:7" x14ac:dyDescent="0.25">
      <c r="A10">
        <v>3</v>
      </c>
      <c r="B10">
        <v>5</v>
      </c>
      <c r="C10" s="2">
        <f t="shared" si="0"/>
        <v>2</v>
      </c>
      <c r="D10" s="1">
        <f t="shared" si="1"/>
        <v>1.2168136890211501</v>
      </c>
    </row>
    <row r="11" spans="1:7" x14ac:dyDescent="0.25">
      <c r="A11">
        <v>2</v>
      </c>
      <c r="B11">
        <v>4</v>
      </c>
      <c r="C11" s="2">
        <f t="shared" si="0"/>
        <v>2</v>
      </c>
      <c r="D11" s="1">
        <f t="shared" si="1"/>
        <v>1.2168136890211501</v>
      </c>
    </row>
    <row r="12" spans="1:7" x14ac:dyDescent="0.25">
      <c r="A12">
        <v>1</v>
      </c>
      <c r="B12">
        <v>5</v>
      </c>
      <c r="C12" s="2">
        <f t="shared" si="0"/>
        <v>4</v>
      </c>
      <c r="D12" s="1">
        <f t="shared" si="1"/>
        <v>9.6291848230417685</v>
      </c>
      <c r="F12" t="s">
        <v>8</v>
      </c>
      <c r="G12">
        <f>G6/(G8/SQRT(G4))</f>
        <v>5.5074139074437216</v>
      </c>
    </row>
    <row r="13" spans="1:7" x14ac:dyDescent="0.25">
      <c r="A13">
        <v>2</v>
      </c>
      <c r="B13">
        <v>3</v>
      </c>
      <c r="C13" s="2">
        <f t="shared" si="0"/>
        <v>1</v>
      </c>
      <c r="D13" s="1">
        <f t="shared" si="1"/>
        <v>1.0628122010840678E-2</v>
      </c>
    </row>
    <row r="14" spans="1:7" x14ac:dyDescent="0.25">
      <c r="A14">
        <v>2</v>
      </c>
      <c r="B14">
        <v>5</v>
      </c>
      <c r="C14" s="2">
        <f t="shared" si="0"/>
        <v>3</v>
      </c>
      <c r="D14" s="1">
        <f t="shared" si="1"/>
        <v>4.4229992560314599</v>
      </c>
    </row>
    <row r="15" spans="1:7" x14ac:dyDescent="0.25">
      <c r="A15">
        <v>4</v>
      </c>
      <c r="B15">
        <v>3</v>
      </c>
      <c r="C15" s="2">
        <f t="shared" si="0"/>
        <v>-1</v>
      </c>
      <c r="D15" s="1">
        <f t="shared" si="1"/>
        <v>3.5982569879902218</v>
      </c>
    </row>
    <row r="16" spans="1:7" x14ac:dyDescent="0.25">
      <c r="A16">
        <v>2</v>
      </c>
      <c r="B16">
        <v>4</v>
      </c>
      <c r="C16" s="2">
        <f t="shared" si="0"/>
        <v>2</v>
      </c>
      <c r="D16" s="1">
        <f t="shared" si="1"/>
        <v>1.2168136890211501</v>
      </c>
    </row>
    <row r="17" spans="1:7" x14ac:dyDescent="0.25">
      <c r="A17">
        <v>5</v>
      </c>
      <c r="B17">
        <v>1</v>
      </c>
      <c r="C17" s="2">
        <f t="shared" si="0"/>
        <v>-4</v>
      </c>
      <c r="D17" s="1">
        <f t="shared" si="1"/>
        <v>23.979700286959297</v>
      </c>
      <c r="F17" t="s">
        <v>5</v>
      </c>
      <c r="G17">
        <v>0.05</v>
      </c>
    </row>
    <row r="18" spans="1:7" x14ac:dyDescent="0.25">
      <c r="A18">
        <v>3</v>
      </c>
      <c r="B18">
        <v>4</v>
      </c>
      <c r="C18" s="2">
        <f t="shared" si="0"/>
        <v>1</v>
      </c>
      <c r="D18" s="1">
        <f t="shared" si="1"/>
        <v>1.0628122010840678E-2</v>
      </c>
      <c r="F18" t="s">
        <v>6</v>
      </c>
      <c r="G18">
        <f>G4-1</f>
        <v>96</v>
      </c>
    </row>
    <row r="19" spans="1:7" x14ac:dyDescent="0.25">
      <c r="A19">
        <v>3</v>
      </c>
      <c r="B19">
        <v>3</v>
      </c>
      <c r="C19" s="2">
        <f t="shared" si="0"/>
        <v>0</v>
      </c>
      <c r="D19" s="1">
        <f t="shared" si="1"/>
        <v>0.80444255500053141</v>
      </c>
    </row>
    <row r="20" spans="1:7" x14ac:dyDescent="0.25">
      <c r="A20">
        <v>3</v>
      </c>
      <c r="B20">
        <v>4</v>
      </c>
      <c r="C20" s="2">
        <f t="shared" si="0"/>
        <v>1</v>
      </c>
      <c r="D20" s="1">
        <f t="shared" si="1"/>
        <v>1.0628122010840678E-2</v>
      </c>
    </row>
    <row r="21" spans="1:7" x14ac:dyDescent="0.25">
      <c r="A21">
        <v>2</v>
      </c>
      <c r="B21">
        <v>5</v>
      </c>
      <c r="C21" s="2">
        <f t="shared" si="0"/>
        <v>3</v>
      </c>
      <c r="D21" s="1">
        <f t="shared" si="1"/>
        <v>4.4229992560314599</v>
      </c>
    </row>
    <row r="22" spans="1:7" x14ac:dyDescent="0.25">
      <c r="A22">
        <v>2</v>
      </c>
      <c r="B22">
        <v>5</v>
      </c>
      <c r="C22" s="2">
        <f t="shared" si="0"/>
        <v>3</v>
      </c>
      <c r="D22" s="1">
        <f t="shared" si="1"/>
        <v>4.4229992560314599</v>
      </c>
      <c r="F22" s="5" t="s">
        <v>7</v>
      </c>
      <c r="G22" s="5"/>
    </row>
    <row r="23" spans="1:7" x14ac:dyDescent="0.25">
      <c r="A23">
        <v>3</v>
      </c>
      <c r="B23">
        <v>5</v>
      </c>
      <c r="C23" s="2">
        <f t="shared" si="0"/>
        <v>2</v>
      </c>
      <c r="D23" s="1">
        <f t="shared" si="1"/>
        <v>1.2168136890211501</v>
      </c>
      <c r="F23" t="s">
        <v>16</v>
      </c>
      <c r="G23">
        <f>_xlfn.T.INV.2T(G17,G18)</f>
        <v>1.9849843115224561</v>
      </c>
    </row>
    <row r="24" spans="1:7" x14ac:dyDescent="0.25">
      <c r="A24">
        <v>4</v>
      </c>
      <c r="B24">
        <v>4</v>
      </c>
      <c r="C24" s="2">
        <f t="shared" si="0"/>
        <v>0</v>
      </c>
      <c r="D24" s="1">
        <f t="shared" si="1"/>
        <v>0.80444255500053141</v>
      </c>
      <c r="F24" t="s">
        <v>17</v>
      </c>
      <c r="G24">
        <f>_xlfn.T.INV(G17,G18)</f>
        <v>-1.6608814403248366</v>
      </c>
    </row>
    <row r="25" spans="1:7" x14ac:dyDescent="0.25">
      <c r="A25">
        <v>2</v>
      </c>
      <c r="B25">
        <v>4</v>
      </c>
      <c r="C25" s="2">
        <f t="shared" si="0"/>
        <v>2</v>
      </c>
      <c r="D25" s="1">
        <f t="shared" si="1"/>
        <v>1.2168136890211501</v>
      </c>
    </row>
    <row r="26" spans="1:7" x14ac:dyDescent="0.25">
      <c r="A26">
        <v>3</v>
      </c>
      <c r="B26">
        <v>3</v>
      </c>
      <c r="C26" s="2">
        <f t="shared" si="0"/>
        <v>0</v>
      </c>
      <c r="D26" s="1">
        <f t="shared" si="1"/>
        <v>0.80444255500053141</v>
      </c>
    </row>
    <row r="27" spans="1:7" x14ac:dyDescent="0.25">
      <c r="A27">
        <v>1</v>
      </c>
      <c r="B27">
        <v>4</v>
      </c>
      <c r="C27" s="2">
        <f t="shared" si="0"/>
        <v>3</v>
      </c>
      <c r="D27" s="1">
        <f t="shared" si="1"/>
        <v>4.4229992560314599</v>
      </c>
      <c r="F27" s="5" t="s">
        <v>9</v>
      </c>
      <c r="G27" s="5"/>
    </row>
    <row r="28" spans="1:7" x14ac:dyDescent="0.25">
      <c r="A28">
        <v>3</v>
      </c>
      <c r="B28">
        <v>3</v>
      </c>
      <c r="C28" s="2">
        <f t="shared" si="0"/>
        <v>0</v>
      </c>
      <c r="D28" s="1">
        <f t="shared" si="1"/>
        <v>0.80444255500053141</v>
      </c>
      <c r="F28" t="s">
        <v>9</v>
      </c>
    </row>
    <row r="29" spans="1:7" x14ac:dyDescent="0.25">
      <c r="A29">
        <v>4</v>
      </c>
      <c r="B29">
        <v>4</v>
      </c>
      <c r="C29" s="2">
        <f t="shared" si="0"/>
        <v>0</v>
      </c>
      <c r="D29" s="1">
        <f t="shared" si="1"/>
        <v>0.80444255500053141</v>
      </c>
      <c r="F29" t="s">
        <v>15</v>
      </c>
      <c r="G29">
        <f>TTEST(A:A,B:B,2,1)</f>
        <v>3.0399296881279776E-7</v>
      </c>
    </row>
    <row r="30" spans="1:7" x14ac:dyDescent="0.25">
      <c r="A30">
        <v>5</v>
      </c>
      <c r="B30">
        <v>5</v>
      </c>
      <c r="C30" s="2">
        <f t="shared" si="0"/>
        <v>0</v>
      </c>
      <c r="D30" s="1">
        <f t="shared" si="1"/>
        <v>0.80444255500053141</v>
      </c>
      <c r="F30" t="s">
        <v>19</v>
      </c>
      <c r="G30">
        <f>TTEST(A:A,B:B,1,1)</f>
        <v>1.5199648440639888E-7</v>
      </c>
    </row>
    <row r="31" spans="1:7" x14ac:dyDescent="0.25">
      <c r="A31">
        <v>3</v>
      </c>
      <c r="B31">
        <v>4</v>
      </c>
      <c r="C31" s="2">
        <f t="shared" si="0"/>
        <v>1</v>
      </c>
      <c r="D31" s="1">
        <f t="shared" si="1"/>
        <v>1.0628122010840678E-2</v>
      </c>
    </row>
    <row r="32" spans="1:7" x14ac:dyDescent="0.25">
      <c r="A32">
        <v>3</v>
      </c>
      <c r="B32">
        <v>4</v>
      </c>
      <c r="C32" s="2">
        <f t="shared" si="0"/>
        <v>1</v>
      </c>
      <c r="D32" s="1">
        <f t="shared" si="1"/>
        <v>1.0628122010840678E-2</v>
      </c>
    </row>
    <row r="33" spans="1:7" x14ac:dyDescent="0.25">
      <c r="A33">
        <v>2</v>
      </c>
      <c r="B33">
        <v>3</v>
      </c>
      <c r="C33" s="2">
        <f t="shared" si="0"/>
        <v>1</v>
      </c>
      <c r="D33" s="1">
        <f t="shared" si="1"/>
        <v>1.0628122010840678E-2</v>
      </c>
      <c r="F33" s="8" t="s">
        <v>12</v>
      </c>
      <c r="G33" s="8"/>
    </row>
    <row r="34" spans="1:7" x14ac:dyDescent="0.25">
      <c r="A34">
        <v>4</v>
      </c>
      <c r="B34">
        <v>4</v>
      </c>
      <c r="C34" s="2">
        <f t="shared" si="0"/>
        <v>0</v>
      </c>
      <c r="D34" s="1">
        <f t="shared" si="1"/>
        <v>0.80444255500053141</v>
      </c>
    </row>
    <row r="35" spans="1:7" x14ac:dyDescent="0.25">
      <c r="A35">
        <v>2</v>
      </c>
      <c r="B35">
        <v>5</v>
      </c>
      <c r="C35" s="2">
        <f t="shared" si="0"/>
        <v>3</v>
      </c>
      <c r="D35" s="1">
        <f t="shared" si="1"/>
        <v>4.4229992560314599</v>
      </c>
      <c r="F35" t="s">
        <v>10</v>
      </c>
    </row>
    <row r="36" spans="1:7" x14ac:dyDescent="0.25">
      <c r="A36">
        <v>4</v>
      </c>
      <c r="B36">
        <v>4</v>
      </c>
      <c r="C36" s="2">
        <f t="shared" si="0"/>
        <v>0</v>
      </c>
      <c r="D36" s="1">
        <f t="shared" si="1"/>
        <v>0.80444255500053141</v>
      </c>
      <c r="F36" t="s">
        <v>11</v>
      </c>
    </row>
    <row r="37" spans="1:7" x14ac:dyDescent="0.25">
      <c r="A37">
        <v>5</v>
      </c>
      <c r="B37">
        <v>3</v>
      </c>
      <c r="C37" s="2">
        <f t="shared" si="0"/>
        <v>-2</v>
      </c>
      <c r="D37" s="1">
        <f t="shared" si="1"/>
        <v>8.3920714209799119</v>
      </c>
    </row>
    <row r="38" spans="1:7" x14ac:dyDescent="0.25">
      <c r="A38">
        <v>4</v>
      </c>
      <c r="B38">
        <v>5</v>
      </c>
      <c r="C38" s="2">
        <f t="shared" si="0"/>
        <v>1</v>
      </c>
      <c r="D38" s="1">
        <f t="shared" si="1"/>
        <v>1.0628122010840678E-2</v>
      </c>
    </row>
    <row r="39" spans="1:7" x14ac:dyDescent="0.25">
      <c r="A39">
        <v>1</v>
      </c>
      <c r="B39">
        <v>5</v>
      </c>
      <c r="C39" s="2">
        <f t="shared" si="0"/>
        <v>4</v>
      </c>
      <c r="D39" s="1">
        <f t="shared" si="1"/>
        <v>9.6291848230417685</v>
      </c>
    </row>
    <row r="40" spans="1:7" x14ac:dyDescent="0.25">
      <c r="A40">
        <v>5</v>
      </c>
      <c r="B40">
        <v>5</v>
      </c>
      <c r="C40" s="2">
        <f t="shared" si="0"/>
        <v>0</v>
      </c>
      <c r="D40" s="1">
        <f t="shared" si="1"/>
        <v>0.80444255500053141</v>
      </c>
      <c r="F40" t="s">
        <v>14</v>
      </c>
    </row>
    <row r="41" spans="1:7" x14ac:dyDescent="0.25">
      <c r="A41">
        <v>1</v>
      </c>
      <c r="B41">
        <v>5</v>
      </c>
      <c r="C41" s="2">
        <f t="shared" si="0"/>
        <v>4</v>
      </c>
      <c r="D41" s="1">
        <f t="shared" si="1"/>
        <v>9.6291848230417685</v>
      </c>
      <c r="F41" t="str">
        <f>"Dos Colas: Si t calculado ("&amp;G12&amp;") &gt; a t critico  ("&amp;G23&amp;") (de tabla) ---&gt; Se rechaza la hipotesis nula"</f>
        <v>Dos Colas: Si t calculado (5.50741390744372) &gt; a t critico  (1.98498431152246) (de tabla) ---&gt; Se rechaza la hipotesis nula</v>
      </c>
    </row>
    <row r="42" spans="1:7" x14ac:dyDescent="0.25">
      <c r="A42">
        <v>2</v>
      </c>
      <c r="B42">
        <v>3</v>
      </c>
      <c r="C42" s="2">
        <f t="shared" si="0"/>
        <v>1</v>
      </c>
      <c r="D42" s="1">
        <f t="shared" si="1"/>
        <v>1.0628122010840678E-2</v>
      </c>
      <c r="F42" t="str">
        <f>"Una Cola: Si t calculado ("&amp;G12&amp;") &gt; a t critico  ("&amp;G24&amp;") (de tabla) ---&gt; Se rechaza la hipotesis nula"</f>
        <v>Una Cola: Si t calculado (5.50741390744372) &gt; a t critico  (-1.66088144032484) (de tabla) ---&gt; Se rechaza la hipotesis nula</v>
      </c>
    </row>
    <row r="43" spans="1:7" x14ac:dyDescent="0.25">
      <c r="A43">
        <v>2</v>
      </c>
      <c r="B43">
        <v>4</v>
      </c>
      <c r="C43" s="2">
        <f t="shared" si="0"/>
        <v>2</v>
      </c>
      <c r="D43" s="1">
        <f t="shared" si="1"/>
        <v>1.2168136890211501</v>
      </c>
    </row>
    <row r="44" spans="1:7" x14ac:dyDescent="0.25">
      <c r="A44">
        <v>4</v>
      </c>
      <c r="B44">
        <v>4</v>
      </c>
      <c r="C44" s="2">
        <f t="shared" si="0"/>
        <v>0</v>
      </c>
      <c r="D44" s="1">
        <f t="shared" si="1"/>
        <v>0.80444255500053141</v>
      </c>
    </row>
    <row r="45" spans="1:7" x14ac:dyDescent="0.25">
      <c r="A45">
        <v>4</v>
      </c>
      <c r="B45">
        <v>2</v>
      </c>
      <c r="C45" s="2">
        <f t="shared" si="0"/>
        <v>-2</v>
      </c>
      <c r="D45" s="1">
        <f t="shared" si="1"/>
        <v>8.3920714209799119</v>
      </c>
    </row>
    <row r="46" spans="1:7" x14ac:dyDescent="0.25">
      <c r="A46">
        <v>3</v>
      </c>
      <c r="B46">
        <v>5</v>
      </c>
      <c r="C46" s="2">
        <f t="shared" si="0"/>
        <v>2</v>
      </c>
      <c r="D46" s="1">
        <f t="shared" si="1"/>
        <v>1.2168136890211501</v>
      </c>
      <c r="F46" t="s">
        <v>20</v>
      </c>
    </row>
    <row r="47" spans="1:7" x14ac:dyDescent="0.25">
      <c r="A47">
        <v>2</v>
      </c>
      <c r="B47">
        <v>5</v>
      </c>
      <c r="C47" s="2">
        <f t="shared" si="0"/>
        <v>3</v>
      </c>
      <c r="D47" s="1">
        <f t="shared" si="1"/>
        <v>4.4229992560314599</v>
      </c>
      <c r="F47" t="str">
        <f>"Dos Colas: Si p valor ("&amp;G29&amp;") &lt; Nivel Significancia ("&amp;G17&amp;") ---&gt; Se rechaza la hipotesis nula"</f>
        <v>Dos Colas: Si p valor (3.03992968812798E-07) &lt; Nivel Significancia (0.05) ---&gt; Se rechaza la hipotesis nula</v>
      </c>
    </row>
    <row r="48" spans="1:7" x14ac:dyDescent="0.25">
      <c r="A48">
        <v>3</v>
      </c>
      <c r="B48">
        <v>5</v>
      </c>
      <c r="C48" s="2">
        <f t="shared" si="0"/>
        <v>2</v>
      </c>
      <c r="D48" s="1">
        <f t="shared" si="1"/>
        <v>1.2168136890211501</v>
      </c>
      <c r="F48" t="str">
        <f>"Una Cola: Si p valor ("&amp;G30&amp;") &lt; Nivel Significancia ("&amp;G17&amp;") ---&gt; Se rechaza la hipotesis nula"</f>
        <v>Una Cola: Si p valor (1.51996484406399E-07) &lt; Nivel Significancia (0.05) ---&gt; Se rechaza la hipotesis nula</v>
      </c>
    </row>
    <row r="49" spans="1:4" x14ac:dyDescent="0.25">
      <c r="A49">
        <v>4</v>
      </c>
      <c r="B49">
        <v>5</v>
      </c>
      <c r="C49" s="2">
        <f t="shared" si="0"/>
        <v>1</v>
      </c>
      <c r="D49" s="1">
        <f t="shared" si="1"/>
        <v>1.0628122010840678E-2</v>
      </c>
    </row>
    <row r="50" spans="1:4" x14ac:dyDescent="0.25">
      <c r="A50">
        <v>4</v>
      </c>
      <c r="B50">
        <v>2</v>
      </c>
      <c r="C50" s="2">
        <f t="shared" si="0"/>
        <v>-2</v>
      </c>
      <c r="D50" s="1">
        <f t="shared" si="1"/>
        <v>8.3920714209799119</v>
      </c>
    </row>
    <row r="51" spans="1:4" x14ac:dyDescent="0.25">
      <c r="A51">
        <v>2</v>
      </c>
      <c r="B51">
        <v>5</v>
      </c>
      <c r="C51" s="2">
        <f t="shared" si="0"/>
        <v>3</v>
      </c>
      <c r="D51" s="1">
        <f t="shared" si="1"/>
        <v>4.4229992560314599</v>
      </c>
    </row>
    <row r="52" spans="1:4" x14ac:dyDescent="0.25">
      <c r="A52">
        <v>2</v>
      </c>
      <c r="B52">
        <v>5</v>
      </c>
      <c r="C52" s="2">
        <f t="shared" si="0"/>
        <v>3</v>
      </c>
      <c r="D52" s="1">
        <f t="shared" si="1"/>
        <v>4.4229992560314599</v>
      </c>
    </row>
    <row r="53" spans="1:4" x14ac:dyDescent="0.25">
      <c r="A53">
        <v>3</v>
      </c>
      <c r="B53">
        <v>5</v>
      </c>
      <c r="C53" s="2">
        <f t="shared" si="0"/>
        <v>2</v>
      </c>
      <c r="D53" s="1">
        <f t="shared" si="1"/>
        <v>1.2168136890211501</v>
      </c>
    </row>
    <row r="54" spans="1:4" x14ac:dyDescent="0.25">
      <c r="A54">
        <v>1</v>
      </c>
      <c r="B54">
        <v>3</v>
      </c>
      <c r="C54" s="2">
        <f t="shared" si="0"/>
        <v>2</v>
      </c>
      <c r="D54" s="1">
        <f t="shared" si="1"/>
        <v>1.2168136890211501</v>
      </c>
    </row>
    <row r="55" spans="1:4" x14ac:dyDescent="0.25">
      <c r="A55">
        <v>2</v>
      </c>
      <c r="B55">
        <v>3</v>
      </c>
      <c r="C55" s="2">
        <f t="shared" si="0"/>
        <v>1</v>
      </c>
      <c r="D55" s="1">
        <f t="shared" si="1"/>
        <v>1.0628122010840678E-2</v>
      </c>
    </row>
    <row r="56" spans="1:4" x14ac:dyDescent="0.25">
      <c r="A56">
        <v>3</v>
      </c>
      <c r="B56">
        <v>5</v>
      </c>
      <c r="C56" s="2">
        <f t="shared" si="0"/>
        <v>2</v>
      </c>
      <c r="D56" s="1">
        <f t="shared" si="1"/>
        <v>1.2168136890211501</v>
      </c>
    </row>
    <row r="57" spans="1:4" x14ac:dyDescent="0.25">
      <c r="A57">
        <v>3</v>
      </c>
      <c r="B57">
        <v>4</v>
      </c>
      <c r="C57" s="2">
        <f t="shared" si="0"/>
        <v>1</v>
      </c>
      <c r="D57" s="1">
        <f t="shared" si="1"/>
        <v>1.0628122010840678E-2</v>
      </c>
    </row>
    <row r="58" spans="1:4" x14ac:dyDescent="0.25">
      <c r="A58">
        <v>5</v>
      </c>
      <c r="B58">
        <v>4</v>
      </c>
      <c r="C58" s="2">
        <f t="shared" si="0"/>
        <v>-1</v>
      </c>
      <c r="D58" s="1">
        <f t="shared" si="1"/>
        <v>3.5982569879902218</v>
      </c>
    </row>
    <row r="59" spans="1:4" x14ac:dyDescent="0.25">
      <c r="A59">
        <v>4</v>
      </c>
      <c r="B59">
        <v>5</v>
      </c>
      <c r="C59" s="2">
        <f t="shared" si="0"/>
        <v>1</v>
      </c>
      <c r="D59" s="1">
        <f t="shared" si="1"/>
        <v>1.0628122010840678E-2</v>
      </c>
    </row>
    <row r="60" spans="1:4" x14ac:dyDescent="0.25">
      <c r="A60">
        <v>4</v>
      </c>
      <c r="B60">
        <v>4</v>
      </c>
      <c r="C60" s="2">
        <f t="shared" si="0"/>
        <v>0</v>
      </c>
      <c r="D60" s="1">
        <f t="shared" si="1"/>
        <v>0.80444255500053141</v>
      </c>
    </row>
    <row r="61" spans="1:4" x14ac:dyDescent="0.25">
      <c r="A61">
        <v>5</v>
      </c>
      <c r="B61">
        <v>5</v>
      </c>
      <c r="C61" s="2">
        <f t="shared" si="0"/>
        <v>0</v>
      </c>
      <c r="D61" s="1">
        <f t="shared" si="1"/>
        <v>0.80444255500053141</v>
      </c>
    </row>
    <row r="62" spans="1:4" x14ac:dyDescent="0.25">
      <c r="A62">
        <v>1</v>
      </c>
      <c r="B62">
        <v>4</v>
      </c>
      <c r="C62" s="2">
        <f t="shared" si="0"/>
        <v>3</v>
      </c>
      <c r="D62" s="1">
        <f t="shared" si="1"/>
        <v>4.4229992560314599</v>
      </c>
    </row>
    <row r="63" spans="1:4" x14ac:dyDescent="0.25">
      <c r="A63">
        <v>3</v>
      </c>
      <c r="B63">
        <v>5</v>
      </c>
      <c r="C63" s="2">
        <f t="shared" si="0"/>
        <v>2</v>
      </c>
      <c r="D63" s="1">
        <f t="shared" si="1"/>
        <v>1.2168136890211501</v>
      </c>
    </row>
    <row r="64" spans="1:4" x14ac:dyDescent="0.25">
      <c r="A64">
        <v>4</v>
      </c>
      <c r="B64">
        <v>4</v>
      </c>
      <c r="C64" s="2">
        <f t="shared" si="0"/>
        <v>0</v>
      </c>
      <c r="D64" s="1">
        <f t="shared" si="1"/>
        <v>0.80444255500053141</v>
      </c>
    </row>
    <row r="65" spans="1:4" x14ac:dyDescent="0.25">
      <c r="A65">
        <v>2</v>
      </c>
      <c r="B65">
        <v>4</v>
      </c>
      <c r="C65" s="2">
        <f t="shared" si="0"/>
        <v>2</v>
      </c>
      <c r="D65" s="1">
        <f t="shared" si="1"/>
        <v>1.2168136890211501</v>
      </c>
    </row>
    <row r="66" spans="1:4" x14ac:dyDescent="0.25">
      <c r="A66">
        <v>5</v>
      </c>
      <c r="B66">
        <v>5</v>
      </c>
      <c r="C66" s="2">
        <f t="shared" si="0"/>
        <v>0</v>
      </c>
      <c r="D66" s="1">
        <f t="shared" si="1"/>
        <v>0.80444255500053141</v>
      </c>
    </row>
    <row r="67" spans="1:4" x14ac:dyDescent="0.25">
      <c r="A67">
        <v>2</v>
      </c>
      <c r="B67">
        <v>4</v>
      </c>
      <c r="C67" s="2">
        <f t="shared" ref="C67:C98" si="2">B67-A67</f>
        <v>2</v>
      </c>
      <c r="D67" s="1">
        <f t="shared" si="1"/>
        <v>1.2168136890211501</v>
      </c>
    </row>
    <row r="68" spans="1:4" x14ac:dyDescent="0.25">
      <c r="A68">
        <v>3</v>
      </c>
      <c r="B68">
        <v>5</v>
      </c>
      <c r="C68" s="2">
        <f t="shared" si="2"/>
        <v>2</v>
      </c>
      <c r="D68" s="1">
        <f t="shared" si="1"/>
        <v>1.2168136890211501</v>
      </c>
    </row>
    <row r="69" spans="1:4" x14ac:dyDescent="0.25">
      <c r="A69">
        <v>3</v>
      </c>
      <c r="B69">
        <v>5</v>
      </c>
      <c r="C69" s="2">
        <f t="shared" si="2"/>
        <v>2</v>
      </c>
      <c r="D69" s="1">
        <f t="shared" ref="D69:D98" si="3">(C69-$G$6)^2</f>
        <v>1.2168136890211501</v>
      </c>
    </row>
    <row r="70" spans="1:4" x14ac:dyDescent="0.25">
      <c r="A70">
        <v>3</v>
      </c>
      <c r="B70">
        <v>5</v>
      </c>
      <c r="C70" s="2">
        <f t="shared" si="2"/>
        <v>2</v>
      </c>
      <c r="D70" s="1">
        <f t="shared" si="3"/>
        <v>1.2168136890211501</v>
      </c>
    </row>
    <row r="71" spans="1:4" x14ac:dyDescent="0.25">
      <c r="A71">
        <v>3</v>
      </c>
      <c r="B71">
        <v>4</v>
      </c>
      <c r="C71" s="2">
        <f t="shared" si="2"/>
        <v>1</v>
      </c>
      <c r="D71" s="1">
        <f t="shared" si="3"/>
        <v>1.0628122010840678E-2</v>
      </c>
    </row>
    <row r="72" spans="1:4" x14ac:dyDescent="0.25">
      <c r="A72">
        <v>3</v>
      </c>
      <c r="B72">
        <v>2</v>
      </c>
      <c r="C72" s="2">
        <f t="shared" si="2"/>
        <v>-1</v>
      </c>
      <c r="D72" s="1">
        <f t="shared" si="3"/>
        <v>3.5982569879902218</v>
      </c>
    </row>
    <row r="73" spans="1:4" x14ac:dyDescent="0.25">
      <c r="A73">
        <v>2</v>
      </c>
      <c r="B73">
        <v>4</v>
      </c>
      <c r="C73" s="2">
        <f t="shared" si="2"/>
        <v>2</v>
      </c>
      <c r="D73" s="1">
        <f t="shared" si="3"/>
        <v>1.2168136890211501</v>
      </c>
    </row>
    <row r="74" spans="1:4" x14ac:dyDescent="0.25">
      <c r="A74">
        <v>5</v>
      </c>
      <c r="B74">
        <v>3</v>
      </c>
      <c r="C74" s="2">
        <f t="shared" si="2"/>
        <v>-2</v>
      </c>
      <c r="D74" s="1">
        <f t="shared" si="3"/>
        <v>8.3920714209799119</v>
      </c>
    </row>
    <row r="75" spans="1:4" x14ac:dyDescent="0.25">
      <c r="A75">
        <v>2</v>
      </c>
      <c r="B75">
        <v>4</v>
      </c>
      <c r="C75" s="2">
        <f t="shared" si="2"/>
        <v>2</v>
      </c>
      <c r="D75" s="1">
        <f t="shared" si="3"/>
        <v>1.2168136890211501</v>
      </c>
    </row>
    <row r="76" spans="1:4" x14ac:dyDescent="0.25">
      <c r="A76">
        <v>2</v>
      </c>
      <c r="B76">
        <v>3</v>
      </c>
      <c r="C76" s="2">
        <f t="shared" si="2"/>
        <v>1</v>
      </c>
      <c r="D76" s="1">
        <f t="shared" si="3"/>
        <v>1.0628122010840678E-2</v>
      </c>
    </row>
    <row r="77" spans="1:4" x14ac:dyDescent="0.25">
      <c r="A77">
        <v>1</v>
      </c>
      <c r="B77">
        <v>3</v>
      </c>
      <c r="C77" s="2">
        <f t="shared" si="2"/>
        <v>2</v>
      </c>
      <c r="D77" s="1">
        <f t="shared" si="3"/>
        <v>1.2168136890211501</v>
      </c>
    </row>
    <row r="78" spans="1:4" x14ac:dyDescent="0.25">
      <c r="A78">
        <v>4</v>
      </c>
      <c r="B78">
        <v>4</v>
      </c>
      <c r="C78" s="2">
        <f t="shared" si="2"/>
        <v>0</v>
      </c>
      <c r="D78" s="1">
        <f t="shared" si="3"/>
        <v>0.80444255500053141</v>
      </c>
    </row>
    <row r="79" spans="1:4" x14ac:dyDescent="0.25">
      <c r="A79">
        <v>1</v>
      </c>
      <c r="B79">
        <v>2</v>
      </c>
      <c r="C79" s="2">
        <f t="shared" si="2"/>
        <v>1</v>
      </c>
      <c r="D79" s="1">
        <f t="shared" si="3"/>
        <v>1.0628122010840678E-2</v>
      </c>
    </row>
    <row r="80" spans="1:4" x14ac:dyDescent="0.25">
      <c r="A80">
        <v>3</v>
      </c>
      <c r="B80">
        <v>4</v>
      </c>
      <c r="C80" s="2">
        <f t="shared" si="2"/>
        <v>1</v>
      </c>
      <c r="D80" s="1">
        <f t="shared" si="3"/>
        <v>1.0628122010840678E-2</v>
      </c>
    </row>
    <row r="81" spans="1:6" x14ac:dyDescent="0.25">
      <c r="A81">
        <v>4</v>
      </c>
      <c r="B81">
        <v>5</v>
      </c>
      <c r="C81" s="2">
        <f t="shared" si="2"/>
        <v>1</v>
      </c>
      <c r="D81" s="1">
        <f t="shared" si="3"/>
        <v>1.0628122010840678E-2</v>
      </c>
    </row>
    <row r="82" spans="1:6" x14ac:dyDescent="0.25">
      <c r="A82">
        <v>3</v>
      </c>
      <c r="B82">
        <v>4</v>
      </c>
      <c r="C82" s="2">
        <f t="shared" si="2"/>
        <v>1</v>
      </c>
      <c r="D82" s="1">
        <f t="shared" si="3"/>
        <v>1.0628122010840678E-2</v>
      </c>
    </row>
    <row r="83" spans="1:6" x14ac:dyDescent="0.25">
      <c r="A83">
        <v>2</v>
      </c>
      <c r="B83">
        <v>2</v>
      </c>
      <c r="C83" s="2">
        <f t="shared" si="2"/>
        <v>0</v>
      </c>
      <c r="D83" s="1">
        <f t="shared" si="3"/>
        <v>0.80444255500053141</v>
      </c>
    </row>
    <row r="84" spans="1:6" x14ac:dyDescent="0.25">
      <c r="A84">
        <v>4</v>
      </c>
      <c r="B84">
        <v>4</v>
      </c>
      <c r="C84" s="2">
        <f t="shared" si="2"/>
        <v>0</v>
      </c>
      <c r="D84" s="1">
        <f t="shared" si="3"/>
        <v>0.80444255500053141</v>
      </c>
    </row>
    <row r="85" spans="1:6" x14ac:dyDescent="0.25">
      <c r="A85">
        <v>5</v>
      </c>
      <c r="B85">
        <v>5</v>
      </c>
      <c r="C85" s="2">
        <f t="shared" si="2"/>
        <v>0</v>
      </c>
      <c r="D85" s="1">
        <f t="shared" si="3"/>
        <v>0.80444255500053141</v>
      </c>
    </row>
    <row r="86" spans="1:6" x14ac:dyDescent="0.25">
      <c r="A86">
        <v>5</v>
      </c>
      <c r="B86">
        <v>5</v>
      </c>
      <c r="C86" s="2">
        <f t="shared" si="2"/>
        <v>0</v>
      </c>
      <c r="D86" s="1">
        <f t="shared" si="3"/>
        <v>0.80444255500053141</v>
      </c>
    </row>
    <row r="87" spans="1:6" x14ac:dyDescent="0.25">
      <c r="A87">
        <v>4</v>
      </c>
      <c r="B87">
        <v>5</v>
      </c>
      <c r="C87" s="2">
        <f t="shared" si="2"/>
        <v>1</v>
      </c>
      <c r="D87" s="1">
        <f t="shared" si="3"/>
        <v>1.0628122010840678E-2</v>
      </c>
    </row>
    <row r="88" spans="1:6" x14ac:dyDescent="0.25">
      <c r="A88">
        <v>3</v>
      </c>
      <c r="B88">
        <v>3</v>
      </c>
      <c r="C88" s="2">
        <f t="shared" si="2"/>
        <v>0</v>
      </c>
      <c r="D88" s="1">
        <f t="shared" si="3"/>
        <v>0.80444255500053141</v>
      </c>
    </row>
    <row r="89" spans="1:6" x14ac:dyDescent="0.25">
      <c r="A89">
        <v>4</v>
      </c>
      <c r="B89">
        <v>5</v>
      </c>
      <c r="C89" s="2">
        <f t="shared" si="2"/>
        <v>1</v>
      </c>
      <c r="D89" s="1">
        <f t="shared" si="3"/>
        <v>1.0628122010840678E-2</v>
      </c>
    </row>
    <row r="90" spans="1:6" x14ac:dyDescent="0.25">
      <c r="A90">
        <v>4</v>
      </c>
      <c r="B90">
        <v>2</v>
      </c>
      <c r="C90" s="2">
        <f t="shared" si="2"/>
        <v>-2</v>
      </c>
      <c r="D90" s="1">
        <f t="shared" si="3"/>
        <v>8.3920714209799119</v>
      </c>
    </row>
    <row r="91" spans="1:6" x14ac:dyDescent="0.25">
      <c r="A91">
        <v>5</v>
      </c>
      <c r="B91">
        <v>4</v>
      </c>
      <c r="C91" s="2">
        <f t="shared" si="2"/>
        <v>-1</v>
      </c>
      <c r="D91" s="1">
        <f t="shared" si="3"/>
        <v>3.5982569879902218</v>
      </c>
    </row>
    <row r="92" spans="1:6" x14ac:dyDescent="0.25">
      <c r="A92">
        <v>1</v>
      </c>
      <c r="B92">
        <v>5</v>
      </c>
      <c r="C92" s="2">
        <f t="shared" si="2"/>
        <v>4</v>
      </c>
      <c r="D92" s="1">
        <f t="shared" si="3"/>
        <v>9.6291848230417685</v>
      </c>
    </row>
    <row r="93" spans="1:6" x14ac:dyDescent="0.25">
      <c r="A93">
        <v>1</v>
      </c>
      <c r="B93">
        <v>4</v>
      </c>
      <c r="C93" s="2">
        <f t="shared" si="2"/>
        <v>3</v>
      </c>
      <c r="D93" s="1">
        <f t="shared" si="3"/>
        <v>4.4229992560314599</v>
      </c>
      <c r="F93" s="6"/>
    </row>
    <row r="94" spans="1:6" x14ac:dyDescent="0.25">
      <c r="A94">
        <v>5</v>
      </c>
      <c r="B94">
        <v>4</v>
      </c>
      <c r="C94" s="2">
        <f t="shared" si="2"/>
        <v>-1</v>
      </c>
      <c r="D94" s="1">
        <f t="shared" si="3"/>
        <v>3.5982569879902218</v>
      </c>
    </row>
    <row r="95" spans="1:6" x14ac:dyDescent="0.25">
      <c r="A95">
        <v>5</v>
      </c>
      <c r="B95">
        <v>3</v>
      </c>
      <c r="C95" s="2">
        <f t="shared" si="2"/>
        <v>-2</v>
      </c>
      <c r="D95" s="1">
        <f t="shared" si="3"/>
        <v>8.3920714209799119</v>
      </c>
    </row>
    <row r="96" spans="1:6" x14ac:dyDescent="0.25">
      <c r="A96">
        <v>5</v>
      </c>
      <c r="B96">
        <v>5</v>
      </c>
      <c r="C96" s="2">
        <f t="shared" si="2"/>
        <v>0</v>
      </c>
      <c r="D96" s="1">
        <f t="shared" si="3"/>
        <v>0.80444255500053141</v>
      </c>
    </row>
    <row r="97" spans="1:4" x14ac:dyDescent="0.25">
      <c r="A97">
        <v>4</v>
      </c>
      <c r="B97">
        <v>4</v>
      </c>
      <c r="C97" s="2">
        <f t="shared" si="2"/>
        <v>0</v>
      </c>
      <c r="D97" s="1">
        <f t="shared" si="3"/>
        <v>0.80444255500053141</v>
      </c>
    </row>
    <row r="98" spans="1:4" x14ac:dyDescent="0.25">
      <c r="A98">
        <v>3</v>
      </c>
      <c r="B98">
        <v>4</v>
      </c>
      <c r="C98" s="2">
        <f t="shared" si="2"/>
        <v>1</v>
      </c>
      <c r="D98" s="1">
        <f t="shared" si="3"/>
        <v>1.0628122010840678E-2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zoomScaleNormal="100" workbookViewId="0">
      <selection activeCell="B6" sqref="B6"/>
    </sheetView>
  </sheetViews>
  <sheetFormatPr baseColWidth="10" defaultColWidth="9.140625" defaultRowHeight="15" x14ac:dyDescent="0.25"/>
  <cols>
    <col min="1" max="1" width="36.7109375" style="1" customWidth="1"/>
    <col min="2" max="2" width="34.7109375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60" x14ac:dyDescent="0.25">
      <c r="A1" s="7" t="s">
        <v>43</v>
      </c>
      <c r="B1" s="9" t="s">
        <v>54</v>
      </c>
      <c r="C1" s="4" t="s">
        <v>0</v>
      </c>
      <c r="D1" s="4"/>
    </row>
    <row r="2" spans="1:7" x14ac:dyDescent="0.25">
      <c r="A2">
        <v>3</v>
      </c>
      <c r="B2">
        <v>4</v>
      </c>
      <c r="C2" s="2">
        <f>B2-A2</f>
        <v>1</v>
      </c>
      <c r="D2" s="1">
        <f>(C2-$G$6)^2</f>
        <v>2.7207992347752178E-2</v>
      </c>
    </row>
    <row r="3" spans="1:7" x14ac:dyDescent="0.25">
      <c r="A3">
        <v>3</v>
      </c>
      <c r="B3">
        <v>5</v>
      </c>
      <c r="C3" s="2">
        <f>B3-A3</f>
        <v>2</v>
      </c>
      <c r="D3" s="1">
        <f>(C3-$G$6)^2</f>
        <v>0.69731108513125717</v>
      </c>
      <c r="F3" s="5" t="s">
        <v>13</v>
      </c>
      <c r="G3" s="5"/>
    </row>
    <row r="4" spans="1:7" x14ac:dyDescent="0.25">
      <c r="A4">
        <v>3</v>
      </c>
      <c r="B4">
        <v>5</v>
      </c>
      <c r="C4" s="2">
        <f t="shared" ref="C4:C66" si="0">B4-A4</f>
        <v>2</v>
      </c>
      <c r="D4" s="1">
        <f>(C4-$G$6)^2</f>
        <v>0.69731108513125717</v>
      </c>
      <c r="F4" t="s">
        <v>3</v>
      </c>
      <c r="G4">
        <f>COUNT(A:A)</f>
        <v>97</v>
      </c>
    </row>
    <row r="5" spans="1:7" x14ac:dyDescent="0.25">
      <c r="A5">
        <v>5</v>
      </c>
      <c r="B5">
        <v>5</v>
      </c>
      <c r="C5" s="2">
        <f t="shared" si="0"/>
        <v>0</v>
      </c>
      <c r="D5" s="1">
        <f t="shared" ref="D5:D68" si="1">(C5-$G$6)^2</f>
        <v>1.3571048995642472</v>
      </c>
      <c r="F5" t="s">
        <v>2</v>
      </c>
      <c r="G5">
        <f>SUM(C:C)</f>
        <v>113</v>
      </c>
    </row>
    <row r="6" spans="1:7" x14ac:dyDescent="0.25">
      <c r="A6">
        <v>4</v>
      </c>
      <c r="B6">
        <v>3</v>
      </c>
      <c r="C6" s="2">
        <f t="shared" si="0"/>
        <v>-1</v>
      </c>
      <c r="D6" s="1">
        <f t="shared" si="1"/>
        <v>4.6870018067807431</v>
      </c>
      <c r="F6" t="s">
        <v>1</v>
      </c>
      <c r="G6">
        <f>G5/G4</f>
        <v>1.1649484536082475</v>
      </c>
    </row>
    <row r="7" spans="1:7" x14ac:dyDescent="0.25">
      <c r="A7">
        <v>3</v>
      </c>
      <c r="B7">
        <v>3</v>
      </c>
      <c r="C7" s="2">
        <f t="shared" si="0"/>
        <v>0</v>
      </c>
      <c r="D7" s="1">
        <f t="shared" si="1"/>
        <v>1.3571048995642472</v>
      </c>
      <c r="F7" t="s">
        <v>18</v>
      </c>
      <c r="G7">
        <f>SUM(D:D)</f>
        <v>221.36082474226791</v>
      </c>
    </row>
    <row r="8" spans="1:7" x14ac:dyDescent="0.25">
      <c r="A8">
        <v>4</v>
      </c>
      <c r="B8">
        <v>4</v>
      </c>
      <c r="C8" s="2">
        <f t="shared" si="0"/>
        <v>0</v>
      </c>
      <c r="D8" s="1">
        <f t="shared" si="1"/>
        <v>1.3571048995642472</v>
      </c>
      <c r="F8" t="s">
        <v>4</v>
      </c>
      <c r="G8">
        <f>SQRT(G7/(G4-1))</f>
        <v>1.5184998927884796</v>
      </c>
    </row>
    <row r="9" spans="1:7" x14ac:dyDescent="0.25">
      <c r="A9">
        <v>3</v>
      </c>
      <c r="B9">
        <v>5</v>
      </c>
      <c r="C9" s="2">
        <f t="shared" si="0"/>
        <v>2</v>
      </c>
      <c r="D9" s="1">
        <f t="shared" si="1"/>
        <v>0.69731108513125717</v>
      </c>
    </row>
    <row r="10" spans="1:7" x14ac:dyDescent="0.25">
      <c r="A10">
        <v>4</v>
      </c>
      <c r="B10">
        <v>5</v>
      </c>
      <c r="C10" s="2">
        <f t="shared" si="0"/>
        <v>1</v>
      </c>
      <c r="D10" s="1">
        <f t="shared" si="1"/>
        <v>2.7207992347752178E-2</v>
      </c>
    </row>
    <row r="11" spans="1:7" x14ac:dyDescent="0.25">
      <c r="A11">
        <v>2</v>
      </c>
      <c r="B11">
        <v>4</v>
      </c>
      <c r="C11" s="2">
        <f t="shared" si="0"/>
        <v>2</v>
      </c>
      <c r="D11" s="1">
        <f t="shared" si="1"/>
        <v>0.69731108513125717</v>
      </c>
    </row>
    <row r="12" spans="1:7" x14ac:dyDescent="0.25">
      <c r="A12">
        <v>1</v>
      </c>
      <c r="B12">
        <v>5</v>
      </c>
      <c r="C12" s="2">
        <f t="shared" si="0"/>
        <v>4</v>
      </c>
      <c r="D12" s="1">
        <f t="shared" si="1"/>
        <v>8.0375172706982667</v>
      </c>
      <c r="F12" t="s">
        <v>8</v>
      </c>
      <c r="G12">
        <f>G6/(G8/SQRT(G4))</f>
        <v>7.5557540178292859</v>
      </c>
    </row>
    <row r="13" spans="1:7" x14ac:dyDescent="0.25">
      <c r="A13">
        <v>3</v>
      </c>
      <c r="B13">
        <v>5</v>
      </c>
      <c r="C13" s="2">
        <f t="shared" si="0"/>
        <v>2</v>
      </c>
      <c r="D13" s="1">
        <f t="shared" si="1"/>
        <v>0.69731108513125717</v>
      </c>
    </row>
    <row r="14" spans="1:7" x14ac:dyDescent="0.25">
      <c r="A14">
        <v>5</v>
      </c>
      <c r="B14">
        <v>4</v>
      </c>
      <c r="C14" s="2">
        <f t="shared" si="0"/>
        <v>-1</v>
      </c>
      <c r="D14" s="1">
        <f t="shared" si="1"/>
        <v>4.6870018067807431</v>
      </c>
    </row>
    <row r="15" spans="1:7" x14ac:dyDescent="0.25">
      <c r="A15">
        <v>5</v>
      </c>
      <c r="B15">
        <v>5</v>
      </c>
      <c r="C15" s="2">
        <f t="shared" si="0"/>
        <v>0</v>
      </c>
      <c r="D15" s="1">
        <f t="shared" si="1"/>
        <v>1.3571048995642472</v>
      </c>
    </row>
    <row r="16" spans="1:7" x14ac:dyDescent="0.25">
      <c r="A16">
        <v>2</v>
      </c>
      <c r="B16">
        <v>5</v>
      </c>
      <c r="C16" s="2">
        <f t="shared" si="0"/>
        <v>3</v>
      </c>
      <c r="D16" s="1">
        <f t="shared" si="1"/>
        <v>3.3674141779147622</v>
      </c>
    </row>
    <row r="17" spans="1:7" x14ac:dyDescent="0.25">
      <c r="A17">
        <v>3</v>
      </c>
      <c r="B17">
        <v>4</v>
      </c>
      <c r="C17" s="2">
        <f t="shared" si="0"/>
        <v>1</v>
      </c>
      <c r="D17" s="1">
        <f t="shared" si="1"/>
        <v>2.7207992347752178E-2</v>
      </c>
      <c r="F17" t="s">
        <v>5</v>
      </c>
      <c r="G17">
        <v>0.05</v>
      </c>
    </row>
    <row r="18" spans="1:7" x14ac:dyDescent="0.25">
      <c r="A18">
        <v>3</v>
      </c>
      <c r="B18">
        <v>5</v>
      </c>
      <c r="C18" s="2">
        <f t="shared" si="0"/>
        <v>2</v>
      </c>
      <c r="D18" s="1">
        <f t="shared" si="1"/>
        <v>0.69731108513125717</v>
      </c>
      <c r="F18" t="s">
        <v>6</v>
      </c>
      <c r="G18">
        <f>G4-1</f>
        <v>96</v>
      </c>
    </row>
    <row r="19" spans="1:7" x14ac:dyDescent="0.25">
      <c r="A19">
        <v>4</v>
      </c>
      <c r="B19">
        <v>4</v>
      </c>
      <c r="C19" s="2">
        <f t="shared" si="0"/>
        <v>0</v>
      </c>
      <c r="D19" s="1">
        <f t="shared" si="1"/>
        <v>1.3571048995642472</v>
      </c>
    </row>
    <row r="20" spans="1:7" x14ac:dyDescent="0.25">
      <c r="A20">
        <v>2</v>
      </c>
      <c r="B20">
        <v>3</v>
      </c>
      <c r="C20" s="2">
        <f t="shared" si="0"/>
        <v>1</v>
      </c>
      <c r="D20" s="1">
        <f t="shared" si="1"/>
        <v>2.7207992347752178E-2</v>
      </c>
    </row>
    <row r="21" spans="1:7" x14ac:dyDescent="0.25">
      <c r="A21">
        <v>5</v>
      </c>
      <c r="B21">
        <v>4</v>
      </c>
      <c r="C21" s="2">
        <f t="shared" si="0"/>
        <v>-1</v>
      </c>
      <c r="D21" s="1">
        <f t="shared" si="1"/>
        <v>4.6870018067807431</v>
      </c>
    </row>
    <row r="22" spans="1:7" x14ac:dyDescent="0.25">
      <c r="A22">
        <v>1</v>
      </c>
      <c r="B22">
        <v>4</v>
      </c>
      <c r="C22" s="2">
        <f t="shared" si="0"/>
        <v>3</v>
      </c>
      <c r="D22" s="1">
        <f t="shared" si="1"/>
        <v>3.3674141779147622</v>
      </c>
      <c r="F22" s="5" t="s">
        <v>7</v>
      </c>
      <c r="G22" s="5"/>
    </row>
    <row r="23" spans="1:7" x14ac:dyDescent="0.25">
      <c r="A23">
        <v>4</v>
      </c>
      <c r="B23">
        <v>3</v>
      </c>
      <c r="C23" s="2">
        <f t="shared" si="0"/>
        <v>-1</v>
      </c>
      <c r="D23" s="1">
        <f t="shared" si="1"/>
        <v>4.6870018067807431</v>
      </c>
      <c r="F23" t="s">
        <v>16</v>
      </c>
      <c r="G23">
        <f>_xlfn.T.INV.2T(G17,G18)</f>
        <v>1.9849843115224561</v>
      </c>
    </row>
    <row r="24" spans="1:7" x14ac:dyDescent="0.25">
      <c r="A24">
        <v>5</v>
      </c>
      <c r="B24">
        <v>4</v>
      </c>
      <c r="C24" s="2">
        <f t="shared" si="0"/>
        <v>-1</v>
      </c>
      <c r="D24" s="1">
        <f t="shared" si="1"/>
        <v>4.6870018067807431</v>
      </c>
      <c r="F24" t="s">
        <v>17</v>
      </c>
      <c r="G24">
        <f>_xlfn.T.INV(G17,G18)</f>
        <v>-1.6608814403248366</v>
      </c>
    </row>
    <row r="25" spans="1:7" x14ac:dyDescent="0.25">
      <c r="A25">
        <v>3</v>
      </c>
      <c r="B25">
        <v>5</v>
      </c>
      <c r="C25" s="2">
        <f t="shared" si="0"/>
        <v>2</v>
      </c>
      <c r="D25" s="1">
        <f t="shared" si="1"/>
        <v>0.69731108513125717</v>
      </c>
    </row>
    <row r="26" spans="1:7" x14ac:dyDescent="0.25">
      <c r="A26">
        <v>3</v>
      </c>
      <c r="B26">
        <v>4</v>
      </c>
      <c r="C26" s="2">
        <f t="shared" si="0"/>
        <v>1</v>
      </c>
      <c r="D26" s="1">
        <f t="shared" si="1"/>
        <v>2.7207992347752178E-2</v>
      </c>
    </row>
    <row r="27" spans="1:7" x14ac:dyDescent="0.25">
      <c r="A27">
        <v>3</v>
      </c>
      <c r="B27">
        <v>4</v>
      </c>
      <c r="C27" s="2">
        <f t="shared" si="0"/>
        <v>1</v>
      </c>
      <c r="D27" s="1">
        <f t="shared" si="1"/>
        <v>2.7207992347752178E-2</v>
      </c>
      <c r="F27" s="5" t="s">
        <v>9</v>
      </c>
      <c r="G27" s="5"/>
    </row>
    <row r="28" spans="1:7" x14ac:dyDescent="0.25">
      <c r="A28">
        <v>3</v>
      </c>
      <c r="B28">
        <v>5</v>
      </c>
      <c r="C28" s="2">
        <f t="shared" si="0"/>
        <v>2</v>
      </c>
      <c r="D28" s="1">
        <f t="shared" si="1"/>
        <v>0.69731108513125717</v>
      </c>
      <c r="F28" t="s">
        <v>9</v>
      </c>
    </row>
    <row r="29" spans="1:7" x14ac:dyDescent="0.25">
      <c r="A29">
        <v>5</v>
      </c>
      <c r="B29">
        <v>5</v>
      </c>
      <c r="C29" s="2">
        <f t="shared" si="0"/>
        <v>0</v>
      </c>
      <c r="D29" s="1">
        <f t="shared" si="1"/>
        <v>1.3571048995642472</v>
      </c>
      <c r="F29" t="s">
        <v>15</v>
      </c>
      <c r="G29">
        <f>TTEST(A:A,B:B,2,1)</f>
        <v>2.4454362934339329E-11</v>
      </c>
    </row>
    <row r="30" spans="1:7" x14ac:dyDescent="0.25">
      <c r="A30">
        <v>5</v>
      </c>
      <c r="B30">
        <v>4</v>
      </c>
      <c r="C30" s="2">
        <f t="shared" si="0"/>
        <v>-1</v>
      </c>
      <c r="D30" s="1">
        <f t="shared" si="1"/>
        <v>4.6870018067807431</v>
      </c>
      <c r="F30" t="s">
        <v>19</v>
      </c>
      <c r="G30">
        <f>TTEST(A:A,B:B,1,1)</f>
        <v>1.2227181467169664E-11</v>
      </c>
    </row>
    <row r="31" spans="1:7" x14ac:dyDescent="0.25">
      <c r="A31">
        <v>2</v>
      </c>
      <c r="B31">
        <v>5</v>
      </c>
      <c r="C31" s="2">
        <f t="shared" si="0"/>
        <v>3</v>
      </c>
      <c r="D31" s="1">
        <f t="shared" si="1"/>
        <v>3.3674141779147622</v>
      </c>
    </row>
    <row r="32" spans="1:7" x14ac:dyDescent="0.25">
      <c r="A32">
        <v>1</v>
      </c>
      <c r="B32">
        <v>4</v>
      </c>
      <c r="C32" s="2">
        <f t="shared" si="0"/>
        <v>3</v>
      </c>
      <c r="D32" s="1">
        <f t="shared" si="1"/>
        <v>3.3674141779147622</v>
      </c>
    </row>
    <row r="33" spans="1:7" x14ac:dyDescent="0.25">
      <c r="A33">
        <v>3</v>
      </c>
      <c r="B33">
        <v>4</v>
      </c>
      <c r="C33" s="2">
        <f t="shared" si="0"/>
        <v>1</v>
      </c>
      <c r="D33" s="1">
        <f t="shared" si="1"/>
        <v>2.7207992347752178E-2</v>
      </c>
      <c r="F33" s="8" t="s">
        <v>12</v>
      </c>
      <c r="G33" s="8"/>
    </row>
    <row r="34" spans="1:7" x14ac:dyDescent="0.25">
      <c r="A34">
        <v>3</v>
      </c>
      <c r="B34">
        <v>3</v>
      </c>
      <c r="C34" s="2">
        <f t="shared" si="0"/>
        <v>0</v>
      </c>
      <c r="D34" s="1">
        <f t="shared" si="1"/>
        <v>1.3571048995642472</v>
      </c>
    </row>
    <row r="35" spans="1:7" x14ac:dyDescent="0.25">
      <c r="A35">
        <v>2</v>
      </c>
      <c r="B35">
        <v>5</v>
      </c>
      <c r="C35" s="2">
        <f t="shared" si="0"/>
        <v>3</v>
      </c>
      <c r="D35" s="1">
        <f t="shared" si="1"/>
        <v>3.3674141779147622</v>
      </c>
      <c r="F35" t="s">
        <v>10</v>
      </c>
    </row>
    <row r="36" spans="1:7" x14ac:dyDescent="0.25">
      <c r="A36">
        <v>3</v>
      </c>
      <c r="B36">
        <v>5</v>
      </c>
      <c r="C36" s="2">
        <f t="shared" si="0"/>
        <v>2</v>
      </c>
      <c r="D36" s="1">
        <f t="shared" si="1"/>
        <v>0.69731108513125717</v>
      </c>
      <c r="F36" t="s">
        <v>11</v>
      </c>
    </row>
    <row r="37" spans="1:7" x14ac:dyDescent="0.25">
      <c r="A37">
        <v>2</v>
      </c>
      <c r="B37">
        <v>4</v>
      </c>
      <c r="C37" s="2">
        <f t="shared" si="0"/>
        <v>2</v>
      </c>
      <c r="D37" s="1">
        <f t="shared" si="1"/>
        <v>0.69731108513125717</v>
      </c>
    </row>
    <row r="38" spans="1:7" x14ac:dyDescent="0.25">
      <c r="A38">
        <v>3</v>
      </c>
      <c r="B38">
        <v>4</v>
      </c>
      <c r="C38" s="2">
        <f t="shared" si="0"/>
        <v>1</v>
      </c>
      <c r="D38" s="1">
        <f t="shared" si="1"/>
        <v>2.7207992347752178E-2</v>
      </c>
    </row>
    <row r="39" spans="1:7" x14ac:dyDescent="0.25">
      <c r="A39">
        <v>3</v>
      </c>
      <c r="B39">
        <v>2</v>
      </c>
      <c r="C39" s="2">
        <f t="shared" si="0"/>
        <v>-1</v>
      </c>
      <c r="D39" s="1">
        <f t="shared" si="1"/>
        <v>4.6870018067807431</v>
      </c>
    </row>
    <row r="40" spans="1:7" x14ac:dyDescent="0.25">
      <c r="A40">
        <v>3</v>
      </c>
      <c r="B40">
        <v>4</v>
      </c>
      <c r="C40" s="2">
        <f t="shared" si="0"/>
        <v>1</v>
      </c>
      <c r="D40" s="1">
        <f t="shared" si="1"/>
        <v>2.7207992347752178E-2</v>
      </c>
      <c r="F40" t="s">
        <v>14</v>
      </c>
    </row>
    <row r="41" spans="1:7" x14ac:dyDescent="0.25">
      <c r="A41">
        <v>2</v>
      </c>
      <c r="B41">
        <v>5</v>
      </c>
      <c r="C41" s="2">
        <f t="shared" si="0"/>
        <v>3</v>
      </c>
      <c r="D41" s="1">
        <f t="shared" si="1"/>
        <v>3.3674141779147622</v>
      </c>
      <c r="F41" t="str">
        <f>"Dos Colas: Si t calculado ("&amp;G12&amp;") &gt; a t critico  ("&amp;G23&amp;") (de tabla) ---&gt; Se rechaza la hipotesis nula"</f>
        <v>Dos Colas: Si t calculado (7.55575401782929) &gt; a t critico  (1.98498431152246) (de tabla) ---&gt; Se rechaza la hipotesis nula</v>
      </c>
    </row>
    <row r="42" spans="1:7" x14ac:dyDescent="0.25">
      <c r="A42">
        <v>3</v>
      </c>
      <c r="B42">
        <v>3</v>
      </c>
      <c r="C42" s="2">
        <f t="shared" si="0"/>
        <v>0</v>
      </c>
      <c r="D42" s="1">
        <f t="shared" si="1"/>
        <v>1.3571048995642472</v>
      </c>
      <c r="F42" t="str">
        <f>"Una Cola: Si t calculado ("&amp;G12&amp;") &gt; a t critico  ("&amp;G24&amp;") (de tabla) ---&gt; Se rechaza la hipotesis nula"</f>
        <v>Una Cola: Si t calculado (7.55575401782929) &gt; a t critico  (-1.66088144032484) (de tabla) ---&gt; Se rechaza la hipotesis nula</v>
      </c>
    </row>
    <row r="43" spans="1:7" x14ac:dyDescent="0.25">
      <c r="A43">
        <v>1</v>
      </c>
      <c r="B43">
        <v>4</v>
      </c>
      <c r="C43" s="2">
        <f t="shared" si="0"/>
        <v>3</v>
      </c>
      <c r="D43" s="1">
        <f t="shared" si="1"/>
        <v>3.3674141779147622</v>
      </c>
    </row>
    <row r="44" spans="1:7" x14ac:dyDescent="0.25">
      <c r="A44">
        <v>4</v>
      </c>
      <c r="B44">
        <v>5</v>
      </c>
      <c r="C44" s="2">
        <f t="shared" si="0"/>
        <v>1</v>
      </c>
      <c r="D44" s="1">
        <f t="shared" si="1"/>
        <v>2.7207992347752178E-2</v>
      </c>
    </row>
    <row r="45" spans="1:7" x14ac:dyDescent="0.25">
      <c r="A45">
        <v>3</v>
      </c>
      <c r="B45">
        <v>3</v>
      </c>
      <c r="C45" s="2">
        <f t="shared" si="0"/>
        <v>0</v>
      </c>
      <c r="D45" s="1">
        <f t="shared" si="1"/>
        <v>1.3571048995642472</v>
      </c>
    </row>
    <row r="46" spans="1:7" x14ac:dyDescent="0.25">
      <c r="A46">
        <v>3</v>
      </c>
      <c r="B46">
        <v>4</v>
      </c>
      <c r="C46" s="2">
        <f t="shared" si="0"/>
        <v>1</v>
      </c>
      <c r="D46" s="1">
        <f t="shared" si="1"/>
        <v>2.7207992347752178E-2</v>
      </c>
      <c r="F46" t="s">
        <v>20</v>
      </c>
    </row>
    <row r="47" spans="1:7" x14ac:dyDescent="0.25">
      <c r="A47">
        <v>5</v>
      </c>
      <c r="B47">
        <v>5</v>
      </c>
      <c r="C47" s="2">
        <f t="shared" si="0"/>
        <v>0</v>
      </c>
      <c r="D47" s="1">
        <f t="shared" si="1"/>
        <v>1.3571048995642472</v>
      </c>
      <c r="F47" t="str">
        <f>"Dos Colas: Si p valor ("&amp;G29&amp;") &lt; Nivel Significancia ("&amp;G17&amp;") ---&gt; Se rechaza la hipotesis nula"</f>
        <v>Dos Colas: Si p valor (2.44543629343393E-11) &lt; Nivel Significancia (0.05) ---&gt; Se rechaza la hipotesis nula</v>
      </c>
    </row>
    <row r="48" spans="1:7" x14ac:dyDescent="0.25">
      <c r="A48">
        <v>3</v>
      </c>
      <c r="B48">
        <v>5</v>
      </c>
      <c r="C48" s="2">
        <f t="shared" si="0"/>
        <v>2</v>
      </c>
      <c r="D48" s="1">
        <f t="shared" si="1"/>
        <v>0.69731108513125717</v>
      </c>
      <c r="F48" t="str">
        <f>"Una Cola: Si p valor ("&amp;G30&amp;") &lt; Nivel Significancia ("&amp;G17&amp;") ---&gt; Se rechaza la hipotesis nula"</f>
        <v>Una Cola: Si p valor (1.22271814671697E-11) &lt; Nivel Significancia (0.05) ---&gt; Se rechaza la hipotesis nula</v>
      </c>
    </row>
    <row r="49" spans="1:4" x14ac:dyDescent="0.25">
      <c r="A49">
        <v>3</v>
      </c>
      <c r="B49">
        <v>4</v>
      </c>
      <c r="C49" s="2">
        <f t="shared" si="0"/>
        <v>1</v>
      </c>
      <c r="D49" s="1">
        <f t="shared" si="1"/>
        <v>2.7207992347752178E-2</v>
      </c>
    </row>
    <row r="50" spans="1:4" x14ac:dyDescent="0.25">
      <c r="A50">
        <v>4</v>
      </c>
      <c r="B50">
        <v>5</v>
      </c>
      <c r="C50" s="2">
        <f t="shared" si="0"/>
        <v>1</v>
      </c>
      <c r="D50" s="1">
        <f t="shared" si="1"/>
        <v>2.7207992347752178E-2</v>
      </c>
    </row>
    <row r="51" spans="1:4" x14ac:dyDescent="0.25">
      <c r="A51">
        <v>5</v>
      </c>
      <c r="B51">
        <v>5</v>
      </c>
      <c r="C51" s="2">
        <f t="shared" si="0"/>
        <v>0</v>
      </c>
      <c r="D51" s="1">
        <f t="shared" si="1"/>
        <v>1.3571048995642472</v>
      </c>
    </row>
    <row r="52" spans="1:4" x14ac:dyDescent="0.25">
      <c r="A52">
        <v>3</v>
      </c>
      <c r="B52">
        <v>4</v>
      </c>
      <c r="C52" s="2">
        <f t="shared" si="0"/>
        <v>1</v>
      </c>
      <c r="D52" s="1">
        <f t="shared" si="1"/>
        <v>2.7207992347752178E-2</v>
      </c>
    </row>
    <row r="53" spans="1:4" x14ac:dyDescent="0.25">
      <c r="A53">
        <v>4</v>
      </c>
      <c r="B53">
        <v>4</v>
      </c>
      <c r="C53" s="2">
        <f t="shared" si="0"/>
        <v>0</v>
      </c>
      <c r="D53" s="1">
        <f t="shared" si="1"/>
        <v>1.3571048995642472</v>
      </c>
    </row>
    <row r="54" spans="1:4" x14ac:dyDescent="0.25">
      <c r="A54">
        <v>1</v>
      </c>
      <c r="B54">
        <v>4</v>
      </c>
      <c r="C54" s="2">
        <f t="shared" si="0"/>
        <v>3</v>
      </c>
      <c r="D54" s="1">
        <f t="shared" si="1"/>
        <v>3.3674141779147622</v>
      </c>
    </row>
    <row r="55" spans="1:4" x14ac:dyDescent="0.25">
      <c r="A55">
        <v>4</v>
      </c>
      <c r="B55">
        <v>2</v>
      </c>
      <c r="C55" s="2">
        <f t="shared" si="0"/>
        <v>-2</v>
      </c>
      <c r="D55" s="1">
        <f t="shared" si="1"/>
        <v>10.016898713997239</v>
      </c>
    </row>
    <row r="56" spans="1:4" x14ac:dyDescent="0.25">
      <c r="A56">
        <v>2</v>
      </c>
      <c r="B56">
        <v>5</v>
      </c>
      <c r="C56" s="2">
        <f t="shared" si="0"/>
        <v>3</v>
      </c>
      <c r="D56" s="1">
        <f t="shared" si="1"/>
        <v>3.3674141779147622</v>
      </c>
    </row>
    <row r="57" spans="1:4" x14ac:dyDescent="0.25">
      <c r="A57">
        <v>2</v>
      </c>
      <c r="B57">
        <v>5</v>
      </c>
      <c r="C57" s="2">
        <f t="shared" si="0"/>
        <v>3</v>
      </c>
      <c r="D57" s="1">
        <f t="shared" si="1"/>
        <v>3.3674141779147622</v>
      </c>
    </row>
    <row r="58" spans="1:4" x14ac:dyDescent="0.25">
      <c r="A58">
        <v>1</v>
      </c>
      <c r="B58">
        <v>5</v>
      </c>
      <c r="C58" s="2">
        <f t="shared" si="0"/>
        <v>4</v>
      </c>
      <c r="D58" s="1">
        <f t="shared" si="1"/>
        <v>8.0375172706982667</v>
      </c>
    </row>
    <row r="59" spans="1:4" x14ac:dyDescent="0.25">
      <c r="A59">
        <v>3</v>
      </c>
      <c r="B59">
        <v>5</v>
      </c>
      <c r="C59" s="2">
        <f t="shared" si="0"/>
        <v>2</v>
      </c>
      <c r="D59" s="1">
        <f t="shared" si="1"/>
        <v>0.69731108513125717</v>
      </c>
    </row>
    <row r="60" spans="1:4" x14ac:dyDescent="0.25">
      <c r="A60">
        <v>4</v>
      </c>
      <c r="B60">
        <v>4</v>
      </c>
      <c r="C60" s="2">
        <f t="shared" si="0"/>
        <v>0</v>
      </c>
      <c r="D60" s="1">
        <f t="shared" si="1"/>
        <v>1.3571048995642472</v>
      </c>
    </row>
    <row r="61" spans="1:4" x14ac:dyDescent="0.25">
      <c r="A61">
        <v>1</v>
      </c>
      <c r="B61">
        <v>4</v>
      </c>
      <c r="C61" s="2">
        <f t="shared" si="0"/>
        <v>3</v>
      </c>
      <c r="D61" s="1">
        <f t="shared" si="1"/>
        <v>3.3674141779147622</v>
      </c>
    </row>
    <row r="62" spans="1:4" x14ac:dyDescent="0.25">
      <c r="A62">
        <v>3</v>
      </c>
      <c r="B62">
        <v>5</v>
      </c>
      <c r="C62" s="2">
        <f t="shared" si="0"/>
        <v>2</v>
      </c>
      <c r="D62" s="1">
        <f t="shared" si="1"/>
        <v>0.69731108513125717</v>
      </c>
    </row>
    <row r="63" spans="1:4" x14ac:dyDescent="0.25">
      <c r="A63">
        <v>4</v>
      </c>
      <c r="B63">
        <v>5</v>
      </c>
      <c r="C63" s="2">
        <f t="shared" si="0"/>
        <v>1</v>
      </c>
      <c r="D63" s="1">
        <f t="shared" si="1"/>
        <v>2.7207992347752178E-2</v>
      </c>
    </row>
    <row r="64" spans="1:4" x14ac:dyDescent="0.25">
      <c r="A64">
        <v>5</v>
      </c>
      <c r="B64">
        <v>4</v>
      </c>
      <c r="C64" s="2">
        <f t="shared" si="0"/>
        <v>-1</v>
      </c>
      <c r="D64" s="1">
        <f t="shared" si="1"/>
        <v>4.6870018067807431</v>
      </c>
    </row>
    <row r="65" spans="1:4" x14ac:dyDescent="0.25">
      <c r="A65">
        <v>5</v>
      </c>
      <c r="B65">
        <v>3</v>
      </c>
      <c r="C65" s="2">
        <f t="shared" si="0"/>
        <v>-2</v>
      </c>
      <c r="D65" s="1">
        <f t="shared" si="1"/>
        <v>10.016898713997239</v>
      </c>
    </row>
    <row r="66" spans="1:4" x14ac:dyDescent="0.25">
      <c r="A66">
        <v>2</v>
      </c>
      <c r="B66">
        <v>5</v>
      </c>
      <c r="C66" s="2">
        <f t="shared" si="0"/>
        <v>3</v>
      </c>
      <c r="D66" s="1">
        <f t="shared" si="1"/>
        <v>3.3674141779147622</v>
      </c>
    </row>
    <row r="67" spans="1:4" x14ac:dyDescent="0.25">
      <c r="A67">
        <v>2</v>
      </c>
      <c r="B67">
        <v>3</v>
      </c>
      <c r="C67" s="2">
        <f t="shared" ref="C67:C98" si="2">B67-A67</f>
        <v>1</v>
      </c>
      <c r="D67" s="1">
        <f t="shared" si="1"/>
        <v>2.7207992347752178E-2</v>
      </c>
    </row>
    <row r="68" spans="1:4" x14ac:dyDescent="0.25">
      <c r="A68">
        <v>3</v>
      </c>
      <c r="B68">
        <v>5</v>
      </c>
      <c r="C68" s="2">
        <f t="shared" si="2"/>
        <v>2</v>
      </c>
      <c r="D68" s="1">
        <f t="shared" si="1"/>
        <v>0.69731108513125717</v>
      </c>
    </row>
    <row r="69" spans="1:4" x14ac:dyDescent="0.25">
      <c r="A69">
        <v>5</v>
      </c>
      <c r="B69">
        <v>2</v>
      </c>
      <c r="C69" s="2">
        <f t="shared" si="2"/>
        <v>-3</v>
      </c>
      <c r="D69" s="1">
        <f t="shared" ref="D69:D93" si="3">(C69-$G$6)^2</f>
        <v>17.346795621213733</v>
      </c>
    </row>
    <row r="70" spans="1:4" x14ac:dyDescent="0.25">
      <c r="A70">
        <v>3</v>
      </c>
      <c r="B70">
        <v>5</v>
      </c>
      <c r="C70" s="2">
        <f t="shared" si="2"/>
        <v>2</v>
      </c>
      <c r="D70" s="1">
        <f t="shared" si="3"/>
        <v>0.69731108513125717</v>
      </c>
    </row>
    <row r="71" spans="1:4" x14ac:dyDescent="0.25">
      <c r="A71">
        <v>3</v>
      </c>
      <c r="B71">
        <v>4</v>
      </c>
      <c r="C71" s="2">
        <f t="shared" si="2"/>
        <v>1</v>
      </c>
      <c r="D71" s="1">
        <f t="shared" si="3"/>
        <v>2.7207992347752178E-2</v>
      </c>
    </row>
    <row r="72" spans="1:4" x14ac:dyDescent="0.25">
      <c r="A72">
        <v>4</v>
      </c>
      <c r="B72">
        <v>3</v>
      </c>
      <c r="C72" s="2">
        <f t="shared" si="2"/>
        <v>-1</v>
      </c>
      <c r="D72" s="1">
        <f t="shared" si="3"/>
        <v>4.6870018067807431</v>
      </c>
    </row>
    <row r="73" spans="1:4" x14ac:dyDescent="0.25">
      <c r="A73">
        <v>5</v>
      </c>
      <c r="B73">
        <v>4</v>
      </c>
      <c r="C73" s="2">
        <f t="shared" si="2"/>
        <v>-1</v>
      </c>
      <c r="D73" s="1">
        <f t="shared" si="3"/>
        <v>4.6870018067807431</v>
      </c>
    </row>
    <row r="74" spans="1:4" x14ac:dyDescent="0.25">
      <c r="A74">
        <v>2</v>
      </c>
      <c r="B74">
        <v>4</v>
      </c>
      <c r="C74" s="2">
        <f t="shared" si="2"/>
        <v>2</v>
      </c>
      <c r="D74" s="1">
        <f t="shared" si="3"/>
        <v>0.69731108513125717</v>
      </c>
    </row>
    <row r="75" spans="1:4" x14ac:dyDescent="0.25">
      <c r="A75">
        <v>3</v>
      </c>
      <c r="B75">
        <v>4</v>
      </c>
      <c r="C75" s="2">
        <f t="shared" si="2"/>
        <v>1</v>
      </c>
      <c r="D75" s="1">
        <f t="shared" si="3"/>
        <v>2.7207992347752178E-2</v>
      </c>
    </row>
    <row r="76" spans="1:4" x14ac:dyDescent="0.25">
      <c r="A76">
        <v>1</v>
      </c>
      <c r="B76">
        <v>2</v>
      </c>
      <c r="C76" s="2">
        <f t="shared" si="2"/>
        <v>1</v>
      </c>
      <c r="D76" s="1">
        <f t="shared" si="3"/>
        <v>2.7207992347752178E-2</v>
      </c>
    </row>
    <row r="77" spans="1:4" x14ac:dyDescent="0.25">
      <c r="A77">
        <v>3</v>
      </c>
      <c r="B77">
        <v>4</v>
      </c>
      <c r="C77" s="2">
        <f t="shared" si="2"/>
        <v>1</v>
      </c>
      <c r="D77" s="1">
        <f t="shared" si="3"/>
        <v>2.7207992347752178E-2</v>
      </c>
    </row>
    <row r="78" spans="1:4" x14ac:dyDescent="0.25">
      <c r="A78">
        <v>3</v>
      </c>
      <c r="B78">
        <v>5</v>
      </c>
      <c r="C78" s="2">
        <f t="shared" si="2"/>
        <v>2</v>
      </c>
      <c r="D78" s="1">
        <f t="shared" si="3"/>
        <v>0.69731108513125717</v>
      </c>
    </row>
    <row r="79" spans="1:4" x14ac:dyDescent="0.25">
      <c r="A79">
        <v>3</v>
      </c>
      <c r="B79">
        <v>4</v>
      </c>
      <c r="C79" s="2">
        <f t="shared" si="2"/>
        <v>1</v>
      </c>
      <c r="D79" s="1">
        <f t="shared" si="3"/>
        <v>2.7207992347752178E-2</v>
      </c>
    </row>
    <row r="80" spans="1:4" x14ac:dyDescent="0.25">
      <c r="A80">
        <v>4</v>
      </c>
      <c r="B80">
        <v>4</v>
      </c>
      <c r="C80" s="2">
        <f t="shared" si="2"/>
        <v>0</v>
      </c>
      <c r="D80" s="1">
        <f t="shared" si="3"/>
        <v>1.3571048995642472</v>
      </c>
    </row>
    <row r="81" spans="1:6" x14ac:dyDescent="0.25">
      <c r="A81">
        <v>2</v>
      </c>
      <c r="B81">
        <v>5</v>
      </c>
      <c r="C81" s="2">
        <f t="shared" si="2"/>
        <v>3</v>
      </c>
      <c r="D81" s="1">
        <f t="shared" si="3"/>
        <v>3.3674141779147622</v>
      </c>
    </row>
    <row r="82" spans="1:6" x14ac:dyDescent="0.25">
      <c r="A82">
        <v>1</v>
      </c>
      <c r="B82">
        <v>4</v>
      </c>
      <c r="C82" s="2">
        <f t="shared" si="2"/>
        <v>3</v>
      </c>
      <c r="D82" s="1">
        <f t="shared" si="3"/>
        <v>3.3674141779147622</v>
      </c>
    </row>
    <row r="83" spans="1:6" x14ac:dyDescent="0.25">
      <c r="A83">
        <v>3</v>
      </c>
      <c r="B83">
        <v>1</v>
      </c>
      <c r="C83" s="2">
        <f t="shared" si="2"/>
        <v>-2</v>
      </c>
      <c r="D83" s="1">
        <f t="shared" si="3"/>
        <v>10.016898713997239</v>
      </c>
    </row>
    <row r="84" spans="1:6" x14ac:dyDescent="0.25">
      <c r="A84">
        <v>5</v>
      </c>
      <c r="B84">
        <v>5</v>
      </c>
      <c r="C84" s="2">
        <f t="shared" si="2"/>
        <v>0</v>
      </c>
      <c r="D84" s="1">
        <f t="shared" si="3"/>
        <v>1.3571048995642472</v>
      </c>
    </row>
    <row r="85" spans="1:6" x14ac:dyDescent="0.25">
      <c r="A85">
        <v>1</v>
      </c>
      <c r="B85">
        <v>4</v>
      </c>
      <c r="C85" s="2">
        <f t="shared" si="2"/>
        <v>3</v>
      </c>
      <c r="D85" s="1">
        <f t="shared" si="3"/>
        <v>3.3674141779147622</v>
      </c>
    </row>
    <row r="86" spans="1:6" x14ac:dyDescent="0.25">
      <c r="A86">
        <v>5</v>
      </c>
      <c r="B86">
        <v>5</v>
      </c>
      <c r="C86" s="2">
        <f t="shared" si="2"/>
        <v>0</v>
      </c>
      <c r="D86" s="1">
        <f t="shared" si="3"/>
        <v>1.3571048995642472</v>
      </c>
    </row>
    <row r="87" spans="1:6" x14ac:dyDescent="0.25">
      <c r="A87">
        <v>2</v>
      </c>
      <c r="B87">
        <v>5</v>
      </c>
      <c r="C87" s="2">
        <f t="shared" si="2"/>
        <v>3</v>
      </c>
      <c r="D87" s="1">
        <f t="shared" si="3"/>
        <v>3.3674141779147622</v>
      </c>
    </row>
    <row r="88" spans="1:6" x14ac:dyDescent="0.25">
      <c r="A88">
        <v>2</v>
      </c>
      <c r="B88">
        <v>5</v>
      </c>
      <c r="C88" s="2">
        <f t="shared" si="2"/>
        <v>3</v>
      </c>
      <c r="D88" s="1">
        <f t="shared" si="3"/>
        <v>3.3674141779147622</v>
      </c>
    </row>
    <row r="89" spans="1:6" x14ac:dyDescent="0.25">
      <c r="A89">
        <v>2</v>
      </c>
      <c r="B89">
        <v>5</v>
      </c>
      <c r="C89" s="2">
        <f t="shared" si="2"/>
        <v>3</v>
      </c>
      <c r="D89" s="1">
        <f t="shared" si="3"/>
        <v>3.3674141779147622</v>
      </c>
    </row>
    <row r="90" spans="1:6" x14ac:dyDescent="0.25">
      <c r="A90">
        <v>1</v>
      </c>
      <c r="B90">
        <v>4</v>
      </c>
      <c r="C90" s="2">
        <f>B90-A90</f>
        <v>3</v>
      </c>
      <c r="D90" s="1">
        <f t="shared" si="3"/>
        <v>3.3674141779147622</v>
      </c>
    </row>
    <row r="91" spans="1:6" x14ac:dyDescent="0.25">
      <c r="A91">
        <v>3</v>
      </c>
      <c r="B91">
        <v>5</v>
      </c>
      <c r="C91" s="2">
        <f>B91-A91</f>
        <v>2</v>
      </c>
      <c r="D91" s="1">
        <f t="shared" si="3"/>
        <v>0.69731108513125717</v>
      </c>
    </row>
    <row r="92" spans="1:6" x14ac:dyDescent="0.25">
      <c r="A92">
        <v>1</v>
      </c>
      <c r="B92">
        <v>4</v>
      </c>
      <c r="C92" s="2">
        <f>B92-A92</f>
        <v>3</v>
      </c>
      <c r="D92" s="1">
        <f t="shared" si="3"/>
        <v>3.3674141779147622</v>
      </c>
    </row>
    <row r="93" spans="1:6" x14ac:dyDescent="0.25">
      <c r="A93">
        <v>3</v>
      </c>
      <c r="B93">
        <v>2</v>
      </c>
      <c r="C93" s="2">
        <f t="shared" si="2"/>
        <v>-1</v>
      </c>
      <c r="D93" s="1">
        <f t="shared" si="3"/>
        <v>4.6870018067807431</v>
      </c>
      <c r="F93" s="6"/>
    </row>
    <row r="94" spans="1:6" x14ac:dyDescent="0.25">
      <c r="A94">
        <v>2</v>
      </c>
      <c r="B94">
        <v>5</v>
      </c>
      <c r="C94" s="2">
        <f t="shared" si="2"/>
        <v>3</v>
      </c>
      <c r="D94" s="1">
        <f>(C94-$G$6)^2</f>
        <v>3.3674141779147622</v>
      </c>
    </row>
    <row r="95" spans="1:6" x14ac:dyDescent="0.25">
      <c r="A95">
        <v>3</v>
      </c>
      <c r="B95">
        <v>5</v>
      </c>
      <c r="C95" s="2">
        <f t="shared" si="2"/>
        <v>2</v>
      </c>
      <c r="D95" s="1">
        <f t="shared" ref="D95:D98" si="4">(C95-$G$6)^2</f>
        <v>0.69731108513125717</v>
      </c>
    </row>
    <row r="96" spans="1:6" x14ac:dyDescent="0.25">
      <c r="A96">
        <v>4</v>
      </c>
      <c r="B96">
        <v>5</v>
      </c>
      <c r="C96" s="2">
        <f t="shared" si="2"/>
        <v>1</v>
      </c>
      <c r="D96" s="1">
        <f t="shared" si="4"/>
        <v>2.7207992347752178E-2</v>
      </c>
    </row>
    <row r="97" spans="1:4" x14ac:dyDescent="0.25">
      <c r="A97">
        <v>4</v>
      </c>
      <c r="B97">
        <v>5</v>
      </c>
      <c r="C97" s="2">
        <f t="shared" si="2"/>
        <v>1</v>
      </c>
      <c r="D97" s="1">
        <f t="shared" si="4"/>
        <v>2.7207992347752178E-2</v>
      </c>
    </row>
    <row r="98" spans="1:4" x14ac:dyDescent="0.25">
      <c r="A98">
        <v>3</v>
      </c>
      <c r="B98">
        <v>4</v>
      </c>
      <c r="C98" s="2">
        <f t="shared" si="2"/>
        <v>1</v>
      </c>
      <c r="D98" s="1">
        <f t="shared" si="4"/>
        <v>2.7207992347752178E-2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zoomScaleNormal="100" workbookViewId="0">
      <selection activeCell="B4" sqref="B4"/>
    </sheetView>
  </sheetViews>
  <sheetFormatPr baseColWidth="10" defaultColWidth="9.140625" defaultRowHeight="15" x14ac:dyDescent="0.25"/>
  <cols>
    <col min="1" max="1" width="32.140625" style="1" customWidth="1"/>
    <col min="2" max="2" width="33.28515625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70.5" x14ac:dyDescent="0.25">
      <c r="A1" s="3" t="s">
        <v>44</v>
      </c>
      <c r="B1" s="3" t="s">
        <v>55</v>
      </c>
      <c r="C1" s="4" t="s">
        <v>0</v>
      </c>
      <c r="D1" s="4"/>
    </row>
    <row r="2" spans="1:7" x14ac:dyDescent="0.25">
      <c r="A2">
        <v>3</v>
      </c>
      <c r="B2">
        <v>4</v>
      </c>
      <c r="C2" s="2">
        <f>B2-A2</f>
        <v>1</v>
      </c>
      <c r="D2" s="1">
        <f>(C2-$G$6)^2</f>
        <v>6.642576256775426E-2</v>
      </c>
    </row>
    <row r="3" spans="1:7" x14ac:dyDescent="0.25">
      <c r="A3">
        <v>3</v>
      </c>
      <c r="B3">
        <v>3</v>
      </c>
      <c r="C3" s="2">
        <f t="shared" ref="C3:C66" si="0">B3-A3</f>
        <v>0</v>
      </c>
      <c r="D3" s="1">
        <f>(C3-$G$6)^2</f>
        <v>1.5818896800935274</v>
      </c>
      <c r="F3" s="5" t="s">
        <v>13</v>
      </c>
      <c r="G3" s="5"/>
    </row>
    <row r="4" spans="1:7" x14ac:dyDescent="0.25">
      <c r="A4">
        <v>3</v>
      </c>
      <c r="B4">
        <v>5</v>
      </c>
      <c r="C4" s="2">
        <f t="shared" si="0"/>
        <v>2</v>
      </c>
      <c r="D4" s="1">
        <f>(C4-$G$6)^2</f>
        <v>0.55096184504198109</v>
      </c>
      <c r="F4" t="s">
        <v>3</v>
      </c>
      <c r="G4">
        <f>COUNT(A:A)</f>
        <v>97</v>
      </c>
    </row>
    <row r="5" spans="1:7" x14ac:dyDescent="0.25">
      <c r="A5">
        <v>2</v>
      </c>
      <c r="B5">
        <v>3</v>
      </c>
      <c r="C5" s="2">
        <f t="shared" si="0"/>
        <v>1</v>
      </c>
      <c r="D5" s="1">
        <f t="shared" ref="D5:D68" si="1">(C5-$G$6)^2</f>
        <v>6.642576256775426E-2</v>
      </c>
      <c r="F5" t="s">
        <v>2</v>
      </c>
      <c r="G5">
        <f>SUM(C:C)</f>
        <v>122</v>
      </c>
    </row>
    <row r="6" spans="1:7" x14ac:dyDescent="0.25">
      <c r="A6">
        <v>3</v>
      </c>
      <c r="B6">
        <v>5</v>
      </c>
      <c r="C6" s="2">
        <f t="shared" si="0"/>
        <v>2</v>
      </c>
      <c r="D6" s="1">
        <f t="shared" si="1"/>
        <v>0.55096184504198109</v>
      </c>
      <c r="F6" t="s">
        <v>1</v>
      </c>
      <c r="G6">
        <f>G5/G4</f>
        <v>1.2577319587628866</v>
      </c>
    </row>
    <row r="7" spans="1:7" x14ac:dyDescent="0.25">
      <c r="A7">
        <v>3</v>
      </c>
      <c r="B7">
        <v>4</v>
      </c>
      <c r="C7" s="2">
        <f t="shared" si="0"/>
        <v>1</v>
      </c>
      <c r="D7" s="1">
        <f t="shared" si="1"/>
        <v>6.642576256775426E-2</v>
      </c>
      <c r="F7" t="s">
        <v>18</v>
      </c>
      <c r="G7">
        <f>SUM(D:D)</f>
        <v>204.55670103092774</v>
      </c>
    </row>
    <row r="8" spans="1:7" x14ac:dyDescent="0.25">
      <c r="A8">
        <v>3</v>
      </c>
      <c r="B8">
        <v>2</v>
      </c>
      <c r="C8" s="2">
        <f t="shared" si="0"/>
        <v>-1</v>
      </c>
      <c r="D8" s="1">
        <f t="shared" si="1"/>
        <v>5.0973535976193007</v>
      </c>
      <c r="F8" t="s">
        <v>4</v>
      </c>
      <c r="G8">
        <f>SQRT(G7/(G4-1))</f>
        <v>1.4597256485628263</v>
      </c>
    </row>
    <row r="9" spans="1:7" x14ac:dyDescent="0.25">
      <c r="A9">
        <v>3</v>
      </c>
      <c r="B9">
        <v>4</v>
      </c>
      <c r="C9" s="2">
        <f t="shared" si="0"/>
        <v>1</v>
      </c>
      <c r="D9" s="1">
        <f t="shared" si="1"/>
        <v>6.642576256775426E-2</v>
      </c>
    </row>
    <row r="10" spans="1:7" x14ac:dyDescent="0.25">
      <c r="A10">
        <v>1</v>
      </c>
      <c r="B10">
        <v>5</v>
      </c>
      <c r="C10" s="2">
        <f t="shared" si="0"/>
        <v>4</v>
      </c>
      <c r="D10" s="1">
        <f t="shared" si="1"/>
        <v>7.520034009990435</v>
      </c>
    </row>
    <row r="11" spans="1:7" x14ac:dyDescent="0.25">
      <c r="A11">
        <v>4</v>
      </c>
      <c r="B11">
        <v>3</v>
      </c>
      <c r="C11" s="2">
        <f t="shared" si="0"/>
        <v>-1</v>
      </c>
      <c r="D11" s="1">
        <f t="shared" si="1"/>
        <v>5.0973535976193007</v>
      </c>
    </row>
    <row r="12" spans="1:7" x14ac:dyDescent="0.25">
      <c r="A12">
        <v>1</v>
      </c>
      <c r="B12">
        <v>4</v>
      </c>
      <c r="C12" s="2">
        <f t="shared" si="0"/>
        <v>3</v>
      </c>
      <c r="D12" s="1">
        <f t="shared" si="1"/>
        <v>3.0354979275162082</v>
      </c>
      <c r="F12" t="s">
        <v>8</v>
      </c>
      <c r="G12">
        <f>G6/(G8/SQRT(G4))</f>
        <v>8.4859940817139154</v>
      </c>
    </row>
    <row r="13" spans="1:7" x14ac:dyDescent="0.25">
      <c r="A13">
        <v>4</v>
      </c>
      <c r="B13">
        <v>5</v>
      </c>
      <c r="C13" s="2">
        <f t="shared" si="0"/>
        <v>1</v>
      </c>
      <c r="D13" s="1">
        <f t="shared" si="1"/>
        <v>6.642576256775426E-2</v>
      </c>
    </row>
    <row r="14" spans="1:7" x14ac:dyDescent="0.25">
      <c r="A14">
        <v>2</v>
      </c>
      <c r="B14">
        <v>5</v>
      </c>
      <c r="C14" s="2">
        <f t="shared" si="0"/>
        <v>3</v>
      </c>
      <c r="D14" s="1">
        <f t="shared" si="1"/>
        <v>3.0354979275162082</v>
      </c>
    </row>
    <row r="15" spans="1:7" x14ac:dyDescent="0.25">
      <c r="A15">
        <v>1</v>
      </c>
      <c r="B15">
        <v>5</v>
      </c>
      <c r="C15" s="2">
        <f t="shared" si="0"/>
        <v>4</v>
      </c>
      <c r="D15" s="1">
        <f t="shared" si="1"/>
        <v>7.520034009990435</v>
      </c>
    </row>
    <row r="16" spans="1:7" x14ac:dyDescent="0.25">
      <c r="A16">
        <v>3</v>
      </c>
      <c r="B16">
        <v>2</v>
      </c>
      <c r="C16" s="2">
        <f t="shared" si="0"/>
        <v>-1</v>
      </c>
      <c r="D16" s="1">
        <f t="shared" si="1"/>
        <v>5.0973535976193007</v>
      </c>
    </row>
    <row r="17" spans="1:7" x14ac:dyDescent="0.25">
      <c r="A17">
        <v>2</v>
      </c>
      <c r="B17">
        <v>5</v>
      </c>
      <c r="C17" s="2">
        <f t="shared" si="0"/>
        <v>3</v>
      </c>
      <c r="D17" s="1">
        <f t="shared" si="1"/>
        <v>3.0354979275162082</v>
      </c>
      <c r="F17" t="s">
        <v>5</v>
      </c>
      <c r="G17">
        <v>0.05</v>
      </c>
    </row>
    <row r="18" spans="1:7" x14ac:dyDescent="0.25">
      <c r="A18">
        <v>4</v>
      </c>
      <c r="B18">
        <v>4</v>
      </c>
      <c r="C18" s="2">
        <f t="shared" si="0"/>
        <v>0</v>
      </c>
      <c r="D18" s="1">
        <f t="shared" si="1"/>
        <v>1.5818896800935274</v>
      </c>
      <c r="F18" t="s">
        <v>6</v>
      </c>
      <c r="G18">
        <f>G4-1</f>
        <v>96</v>
      </c>
    </row>
    <row r="19" spans="1:7" x14ac:dyDescent="0.25">
      <c r="A19">
        <v>3</v>
      </c>
      <c r="B19">
        <v>5</v>
      </c>
      <c r="C19" s="2">
        <f t="shared" si="0"/>
        <v>2</v>
      </c>
      <c r="D19" s="1">
        <f t="shared" si="1"/>
        <v>0.55096184504198109</v>
      </c>
    </row>
    <row r="20" spans="1:7" x14ac:dyDescent="0.25">
      <c r="A20">
        <v>3</v>
      </c>
      <c r="B20">
        <v>5</v>
      </c>
      <c r="C20" s="2">
        <f t="shared" si="0"/>
        <v>2</v>
      </c>
      <c r="D20" s="1">
        <f t="shared" si="1"/>
        <v>0.55096184504198109</v>
      </c>
    </row>
    <row r="21" spans="1:7" x14ac:dyDescent="0.25">
      <c r="A21">
        <v>4</v>
      </c>
      <c r="B21">
        <v>4</v>
      </c>
      <c r="C21" s="2">
        <f t="shared" si="0"/>
        <v>0</v>
      </c>
      <c r="D21" s="1">
        <f t="shared" si="1"/>
        <v>1.5818896800935274</v>
      </c>
    </row>
    <row r="22" spans="1:7" x14ac:dyDescent="0.25">
      <c r="A22">
        <v>3</v>
      </c>
      <c r="B22">
        <v>4</v>
      </c>
      <c r="C22" s="2">
        <f t="shared" si="0"/>
        <v>1</v>
      </c>
      <c r="D22" s="1">
        <f t="shared" si="1"/>
        <v>6.642576256775426E-2</v>
      </c>
      <c r="F22" s="5" t="s">
        <v>7</v>
      </c>
      <c r="G22" s="5"/>
    </row>
    <row r="23" spans="1:7" x14ac:dyDescent="0.25">
      <c r="A23">
        <v>2</v>
      </c>
      <c r="B23">
        <v>5</v>
      </c>
      <c r="C23" s="2">
        <f t="shared" si="0"/>
        <v>3</v>
      </c>
      <c r="D23" s="1">
        <f t="shared" si="1"/>
        <v>3.0354979275162082</v>
      </c>
      <c r="F23" t="s">
        <v>16</v>
      </c>
      <c r="G23">
        <f>_xlfn.T.INV.2T(G17,G18)</f>
        <v>1.9849843115224561</v>
      </c>
    </row>
    <row r="24" spans="1:7" x14ac:dyDescent="0.25">
      <c r="A24">
        <v>5</v>
      </c>
      <c r="B24">
        <v>5</v>
      </c>
      <c r="C24" s="2">
        <f t="shared" si="0"/>
        <v>0</v>
      </c>
      <c r="D24" s="1">
        <f t="shared" si="1"/>
        <v>1.5818896800935274</v>
      </c>
      <c r="F24" t="s">
        <v>17</v>
      </c>
      <c r="G24">
        <f>_xlfn.T.INV(G17,G18)</f>
        <v>-1.6608814403248366</v>
      </c>
    </row>
    <row r="25" spans="1:7" x14ac:dyDescent="0.25">
      <c r="A25">
        <v>1</v>
      </c>
      <c r="B25">
        <v>5</v>
      </c>
      <c r="C25" s="2">
        <f t="shared" si="0"/>
        <v>4</v>
      </c>
      <c r="D25" s="1">
        <f t="shared" si="1"/>
        <v>7.520034009990435</v>
      </c>
    </row>
    <row r="26" spans="1:7" x14ac:dyDescent="0.25">
      <c r="A26">
        <v>5</v>
      </c>
      <c r="B26">
        <v>4</v>
      </c>
      <c r="C26" s="2">
        <f t="shared" si="0"/>
        <v>-1</v>
      </c>
      <c r="D26" s="1">
        <f t="shared" si="1"/>
        <v>5.0973535976193007</v>
      </c>
    </row>
    <row r="27" spans="1:7" x14ac:dyDescent="0.25">
      <c r="A27">
        <v>2</v>
      </c>
      <c r="B27">
        <v>5</v>
      </c>
      <c r="C27" s="2">
        <f t="shared" si="0"/>
        <v>3</v>
      </c>
      <c r="D27" s="1">
        <f t="shared" si="1"/>
        <v>3.0354979275162082</v>
      </c>
      <c r="F27" s="5" t="s">
        <v>9</v>
      </c>
      <c r="G27" s="5"/>
    </row>
    <row r="28" spans="1:7" x14ac:dyDescent="0.25">
      <c r="A28">
        <v>5</v>
      </c>
      <c r="B28">
        <v>4</v>
      </c>
      <c r="C28" s="2">
        <f t="shared" si="0"/>
        <v>-1</v>
      </c>
      <c r="D28" s="1">
        <f t="shared" si="1"/>
        <v>5.0973535976193007</v>
      </c>
      <c r="F28" t="s">
        <v>9</v>
      </c>
    </row>
    <row r="29" spans="1:7" x14ac:dyDescent="0.25">
      <c r="A29">
        <v>1</v>
      </c>
      <c r="B29">
        <v>3</v>
      </c>
      <c r="C29" s="2">
        <f t="shared" si="0"/>
        <v>2</v>
      </c>
      <c r="D29" s="1">
        <f t="shared" si="1"/>
        <v>0.55096184504198109</v>
      </c>
      <c r="F29" t="s">
        <v>15</v>
      </c>
      <c r="G29">
        <f>TTEST(A:A,B:B,2,1)</f>
        <v>2.6338476288296338E-13</v>
      </c>
    </row>
    <row r="30" spans="1:7" x14ac:dyDescent="0.25">
      <c r="A30">
        <v>4</v>
      </c>
      <c r="B30">
        <v>5</v>
      </c>
      <c r="C30" s="2">
        <f t="shared" si="0"/>
        <v>1</v>
      </c>
      <c r="D30" s="1">
        <f t="shared" si="1"/>
        <v>6.642576256775426E-2</v>
      </c>
      <c r="F30" t="s">
        <v>19</v>
      </c>
      <c r="G30">
        <f>TTEST(A:A,B:B,1,1)</f>
        <v>1.3169238144148169E-13</v>
      </c>
    </row>
    <row r="31" spans="1:7" x14ac:dyDescent="0.25">
      <c r="A31">
        <v>2</v>
      </c>
      <c r="B31">
        <v>4</v>
      </c>
      <c r="C31" s="2">
        <f t="shared" si="0"/>
        <v>2</v>
      </c>
      <c r="D31" s="1">
        <f t="shared" si="1"/>
        <v>0.55096184504198109</v>
      </c>
    </row>
    <row r="32" spans="1:7" x14ac:dyDescent="0.25">
      <c r="A32">
        <v>5</v>
      </c>
      <c r="B32">
        <v>4</v>
      </c>
      <c r="C32" s="2">
        <f t="shared" si="0"/>
        <v>-1</v>
      </c>
      <c r="D32" s="1">
        <f t="shared" si="1"/>
        <v>5.0973535976193007</v>
      </c>
    </row>
    <row r="33" spans="1:7" x14ac:dyDescent="0.25">
      <c r="A33">
        <v>2</v>
      </c>
      <c r="B33">
        <v>3</v>
      </c>
      <c r="C33" s="2">
        <f t="shared" si="0"/>
        <v>1</v>
      </c>
      <c r="D33" s="1">
        <f t="shared" si="1"/>
        <v>6.642576256775426E-2</v>
      </c>
      <c r="F33" s="8" t="s">
        <v>12</v>
      </c>
      <c r="G33" s="8"/>
    </row>
    <row r="34" spans="1:7" x14ac:dyDescent="0.25">
      <c r="A34">
        <v>4</v>
      </c>
      <c r="B34">
        <v>5</v>
      </c>
      <c r="C34" s="2">
        <f t="shared" si="0"/>
        <v>1</v>
      </c>
      <c r="D34" s="1">
        <f t="shared" si="1"/>
        <v>6.642576256775426E-2</v>
      </c>
    </row>
    <row r="35" spans="1:7" x14ac:dyDescent="0.25">
      <c r="A35">
        <v>3</v>
      </c>
      <c r="B35">
        <v>5</v>
      </c>
      <c r="C35" s="2">
        <f t="shared" si="0"/>
        <v>2</v>
      </c>
      <c r="D35" s="1">
        <f t="shared" si="1"/>
        <v>0.55096184504198109</v>
      </c>
      <c r="F35" t="s">
        <v>10</v>
      </c>
    </row>
    <row r="36" spans="1:7" x14ac:dyDescent="0.25">
      <c r="A36">
        <v>3</v>
      </c>
      <c r="B36">
        <v>5</v>
      </c>
      <c r="C36" s="2">
        <f t="shared" si="0"/>
        <v>2</v>
      </c>
      <c r="D36" s="1">
        <f t="shared" si="1"/>
        <v>0.55096184504198109</v>
      </c>
      <c r="F36" t="s">
        <v>11</v>
      </c>
    </row>
    <row r="37" spans="1:7" x14ac:dyDescent="0.25">
      <c r="A37">
        <v>2</v>
      </c>
      <c r="B37">
        <v>4</v>
      </c>
      <c r="C37" s="2">
        <f t="shared" si="0"/>
        <v>2</v>
      </c>
      <c r="D37" s="1">
        <f t="shared" si="1"/>
        <v>0.55096184504198109</v>
      </c>
    </row>
    <row r="38" spans="1:7" x14ac:dyDescent="0.25">
      <c r="A38">
        <v>4</v>
      </c>
      <c r="B38">
        <v>4</v>
      </c>
      <c r="C38" s="2">
        <f t="shared" si="0"/>
        <v>0</v>
      </c>
      <c r="D38" s="1">
        <f t="shared" si="1"/>
        <v>1.5818896800935274</v>
      </c>
    </row>
    <row r="39" spans="1:7" x14ac:dyDescent="0.25">
      <c r="A39">
        <v>1</v>
      </c>
      <c r="B39">
        <v>5</v>
      </c>
      <c r="C39" s="2">
        <f t="shared" si="0"/>
        <v>4</v>
      </c>
      <c r="D39" s="1">
        <f t="shared" si="1"/>
        <v>7.520034009990435</v>
      </c>
    </row>
    <row r="40" spans="1:7" x14ac:dyDescent="0.25">
      <c r="A40">
        <v>2</v>
      </c>
      <c r="B40">
        <v>4</v>
      </c>
      <c r="C40" s="2">
        <f t="shared" si="0"/>
        <v>2</v>
      </c>
      <c r="D40" s="1">
        <f t="shared" si="1"/>
        <v>0.55096184504198109</v>
      </c>
      <c r="F40" t="s">
        <v>14</v>
      </c>
    </row>
    <row r="41" spans="1:7" x14ac:dyDescent="0.25">
      <c r="A41">
        <v>4</v>
      </c>
      <c r="B41">
        <v>5</v>
      </c>
      <c r="C41" s="2">
        <f t="shared" si="0"/>
        <v>1</v>
      </c>
      <c r="D41" s="1">
        <f t="shared" si="1"/>
        <v>6.642576256775426E-2</v>
      </c>
      <c r="F41" t="str">
        <f>"Dos Colas: Si t calculado ("&amp;G12&amp;") &gt; a t critico  ("&amp;G23&amp;") (de tabla) ---&gt; Se rechaza la hipotesis nula"</f>
        <v>Dos Colas: Si t calculado (8.48599408171392) &gt; a t critico  (1.98498431152246) (de tabla) ---&gt; Se rechaza la hipotesis nula</v>
      </c>
    </row>
    <row r="42" spans="1:7" x14ac:dyDescent="0.25">
      <c r="A42">
        <v>4</v>
      </c>
      <c r="B42">
        <v>4</v>
      </c>
      <c r="C42" s="2">
        <f t="shared" si="0"/>
        <v>0</v>
      </c>
      <c r="D42" s="1">
        <f t="shared" si="1"/>
        <v>1.5818896800935274</v>
      </c>
      <c r="F42" t="str">
        <f>"Una Cola: Si t calculado ("&amp;G12&amp;") &gt; a t critico  ("&amp;G24&amp;") (de tabla) ---&gt; Se rechaza la hipotesis nula"</f>
        <v>Una Cola: Si t calculado (8.48599408171392) &gt; a t critico  (-1.66088144032484) (de tabla) ---&gt; Se rechaza la hipotesis nula</v>
      </c>
    </row>
    <row r="43" spans="1:7" x14ac:dyDescent="0.25">
      <c r="A43">
        <v>3</v>
      </c>
      <c r="B43">
        <v>5</v>
      </c>
      <c r="C43" s="2">
        <f t="shared" si="0"/>
        <v>2</v>
      </c>
      <c r="D43" s="1">
        <f t="shared" si="1"/>
        <v>0.55096184504198109</v>
      </c>
    </row>
    <row r="44" spans="1:7" x14ac:dyDescent="0.25">
      <c r="A44">
        <v>1</v>
      </c>
      <c r="B44">
        <v>5</v>
      </c>
      <c r="C44" s="2">
        <f t="shared" si="0"/>
        <v>4</v>
      </c>
      <c r="D44" s="1">
        <f t="shared" si="1"/>
        <v>7.520034009990435</v>
      </c>
    </row>
    <row r="45" spans="1:7" x14ac:dyDescent="0.25">
      <c r="A45">
        <v>2</v>
      </c>
      <c r="B45">
        <v>5</v>
      </c>
      <c r="C45" s="2">
        <f t="shared" si="0"/>
        <v>3</v>
      </c>
      <c r="D45" s="1">
        <f t="shared" si="1"/>
        <v>3.0354979275162082</v>
      </c>
    </row>
    <row r="46" spans="1:7" x14ac:dyDescent="0.25">
      <c r="A46">
        <v>3</v>
      </c>
      <c r="B46">
        <v>4</v>
      </c>
      <c r="C46" s="2">
        <f t="shared" si="0"/>
        <v>1</v>
      </c>
      <c r="D46" s="1">
        <f t="shared" si="1"/>
        <v>6.642576256775426E-2</v>
      </c>
      <c r="F46" t="s">
        <v>20</v>
      </c>
    </row>
    <row r="47" spans="1:7" x14ac:dyDescent="0.25">
      <c r="A47">
        <v>2</v>
      </c>
      <c r="B47">
        <v>5</v>
      </c>
      <c r="C47" s="2">
        <f t="shared" si="0"/>
        <v>3</v>
      </c>
      <c r="D47" s="1">
        <f t="shared" si="1"/>
        <v>3.0354979275162082</v>
      </c>
      <c r="F47" t="str">
        <f>"Dos Colas: Si p valor ("&amp;G29&amp;") &lt; Nivel Significancia ("&amp;G17&amp;") ---&gt; Se rechaza la hipotesis nula"</f>
        <v>Dos Colas: Si p valor (2.63384762882963E-13) &lt; Nivel Significancia (0.05) ---&gt; Se rechaza la hipotesis nula</v>
      </c>
    </row>
    <row r="48" spans="1:7" x14ac:dyDescent="0.25">
      <c r="A48">
        <v>3</v>
      </c>
      <c r="B48">
        <v>4</v>
      </c>
      <c r="C48" s="2">
        <f t="shared" si="0"/>
        <v>1</v>
      </c>
      <c r="D48" s="1">
        <f t="shared" si="1"/>
        <v>6.642576256775426E-2</v>
      </c>
      <c r="F48" t="str">
        <f>"Una Cola: Si p valor ("&amp;G30&amp;") &lt; Nivel Significancia ("&amp;G17&amp;") ---&gt; Se rechaza la hipotesis nula"</f>
        <v>Una Cola: Si p valor (1.31692381441482E-13) &lt; Nivel Significancia (0.05) ---&gt; Se rechaza la hipotesis nula</v>
      </c>
    </row>
    <row r="49" spans="1:4" x14ac:dyDescent="0.25">
      <c r="A49">
        <v>4</v>
      </c>
      <c r="B49">
        <v>4</v>
      </c>
      <c r="C49" s="2">
        <f t="shared" si="0"/>
        <v>0</v>
      </c>
      <c r="D49" s="1">
        <f t="shared" si="1"/>
        <v>1.5818896800935274</v>
      </c>
    </row>
    <row r="50" spans="1:4" x14ac:dyDescent="0.25">
      <c r="A50">
        <v>4</v>
      </c>
      <c r="B50">
        <v>3</v>
      </c>
      <c r="C50" s="2">
        <f t="shared" si="0"/>
        <v>-1</v>
      </c>
      <c r="D50" s="1">
        <f t="shared" si="1"/>
        <v>5.0973535976193007</v>
      </c>
    </row>
    <row r="51" spans="1:4" x14ac:dyDescent="0.25">
      <c r="A51">
        <v>4</v>
      </c>
      <c r="B51">
        <v>5</v>
      </c>
      <c r="C51" s="2">
        <f t="shared" si="0"/>
        <v>1</v>
      </c>
      <c r="D51" s="1">
        <f t="shared" si="1"/>
        <v>6.642576256775426E-2</v>
      </c>
    </row>
    <row r="52" spans="1:4" x14ac:dyDescent="0.25">
      <c r="A52">
        <v>3</v>
      </c>
      <c r="B52">
        <v>3</v>
      </c>
      <c r="C52" s="2">
        <f t="shared" si="0"/>
        <v>0</v>
      </c>
      <c r="D52" s="1">
        <f t="shared" si="1"/>
        <v>1.5818896800935274</v>
      </c>
    </row>
    <row r="53" spans="1:4" x14ac:dyDescent="0.25">
      <c r="A53">
        <v>3</v>
      </c>
      <c r="B53">
        <v>2</v>
      </c>
      <c r="C53" s="2">
        <f t="shared" si="0"/>
        <v>-1</v>
      </c>
      <c r="D53" s="1">
        <f t="shared" si="1"/>
        <v>5.0973535976193007</v>
      </c>
    </row>
    <row r="54" spans="1:4" x14ac:dyDescent="0.25">
      <c r="A54">
        <v>4</v>
      </c>
      <c r="B54">
        <v>3</v>
      </c>
      <c r="C54" s="2">
        <f t="shared" si="0"/>
        <v>-1</v>
      </c>
      <c r="D54" s="1">
        <f t="shared" si="1"/>
        <v>5.0973535976193007</v>
      </c>
    </row>
    <row r="55" spans="1:4" x14ac:dyDescent="0.25">
      <c r="A55">
        <v>1</v>
      </c>
      <c r="B55">
        <v>5</v>
      </c>
      <c r="C55" s="2">
        <f t="shared" si="0"/>
        <v>4</v>
      </c>
      <c r="D55" s="1">
        <f t="shared" si="1"/>
        <v>7.520034009990435</v>
      </c>
    </row>
    <row r="56" spans="1:4" x14ac:dyDescent="0.25">
      <c r="A56">
        <v>1</v>
      </c>
      <c r="B56">
        <v>2</v>
      </c>
      <c r="C56" s="2">
        <f t="shared" si="0"/>
        <v>1</v>
      </c>
      <c r="D56" s="1">
        <f t="shared" si="1"/>
        <v>6.642576256775426E-2</v>
      </c>
    </row>
    <row r="57" spans="1:4" x14ac:dyDescent="0.25">
      <c r="A57">
        <v>3</v>
      </c>
      <c r="B57">
        <v>5</v>
      </c>
      <c r="C57" s="2">
        <f t="shared" si="0"/>
        <v>2</v>
      </c>
      <c r="D57" s="1">
        <f t="shared" si="1"/>
        <v>0.55096184504198109</v>
      </c>
    </row>
    <row r="58" spans="1:4" x14ac:dyDescent="0.25">
      <c r="A58">
        <v>4</v>
      </c>
      <c r="B58">
        <v>3</v>
      </c>
      <c r="C58" s="2">
        <f t="shared" si="0"/>
        <v>-1</v>
      </c>
      <c r="D58" s="1">
        <f t="shared" si="1"/>
        <v>5.0973535976193007</v>
      </c>
    </row>
    <row r="59" spans="1:4" x14ac:dyDescent="0.25">
      <c r="A59">
        <v>4</v>
      </c>
      <c r="B59">
        <v>4</v>
      </c>
      <c r="C59" s="2">
        <f t="shared" si="0"/>
        <v>0</v>
      </c>
      <c r="D59" s="1">
        <f t="shared" si="1"/>
        <v>1.5818896800935274</v>
      </c>
    </row>
    <row r="60" spans="1:4" x14ac:dyDescent="0.25">
      <c r="A60">
        <v>2</v>
      </c>
      <c r="B60">
        <v>5</v>
      </c>
      <c r="C60" s="2">
        <f t="shared" si="0"/>
        <v>3</v>
      </c>
      <c r="D60" s="1">
        <f t="shared" si="1"/>
        <v>3.0354979275162082</v>
      </c>
    </row>
    <row r="61" spans="1:4" x14ac:dyDescent="0.25">
      <c r="A61">
        <v>3</v>
      </c>
      <c r="B61">
        <v>4</v>
      </c>
      <c r="C61" s="2">
        <f t="shared" si="0"/>
        <v>1</v>
      </c>
      <c r="D61" s="1">
        <f t="shared" si="1"/>
        <v>6.642576256775426E-2</v>
      </c>
    </row>
    <row r="62" spans="1:4" x14ac:dyDescent="0.25">
      <c r="A62">
        <v>3</v>
      </c>
      <c r="B62">
        <v>4</v>
      </c>
      <c r="C62" s="2">
        <f t="shared" si="0"/>
        <v>1</v>
      </c>
      <c r="D62" s="1">
        <f t="shared" si="1"/>
        <v>6.642576256775426E-2</v>
      </c>
    </row>
    <row r="63" spans="1:4" x14ac:dyDescent="0.25">
      <c r="A63">
        <v>3</v>
      </c>
      <c r="B63">
        <v>5</v>
      </c>
      <c r="C63" s="2">
        <f t="shared" si="0"/>
        <v>2</v>
      </c>
      <c r="D63" s="1">
        <f t="shared" si="1"/>
        <v>0.55096184504198109</v>
      </c>
    </row>
    <row r="64" spans="1:4" x14ac:dyDescent="0.25">
      <c r="A64">
        <v>2</v>
      </c>
      <c r="B64">
        <v>5</v>
      </c>
      <c r="C64" s="2">
        <f t="shared" si="0"/>
        <v>3</v>
      </c>
      <c r="D64" s="1">
        <f t="shared" si="1"/>
        <v>3.0354979275162082</v>
      </c>
    </row>
    <row r="65" spans="1:4" x14ac:dyDescent="0.25">
      <c r="A65">
        <v>2</v>
      </c>
      <c r="B65">
        <v>5</v>
      </c>
      <c r="C65" s="2">
        <f t="shared" si="0"/>
        <v>3</v>
      </c>
      <c r="D65" s="1">
        <f t="shared" si="1"/>
        <v>3.0354979275162082</v>
      </c>
    </row>
    <row r="66" spans="1:4" x14ac:dyDescent="0.25">
      <c r="A66">
        <v>4</v>
      </c>
      <c r="B66">
        <v>4</v>
      </c>
      <c r="C66" s="2">
        <f t="shared" si="0"/>
        <v>0</v>
      </c>
      <c r="D66" s="1">
        <f t="shared" si="1"/>
        <v>1.5818896800935274</v>
      </c>
    </row>
    <row r="67" spans="1:4" x14ac:dyDescent="0.25">
      <c r="A67">
        <v>4</v>
      </c>
      <c r="B67">
        <v>4</v>
      </c>
      <c r="C67" s="2">
        <f t="shared" ref="C67:C98" si="2">B67-A67</f>
        <v>0</v>
      </c>
      <c r="D67" s="1">
        <f t="shared" si="1"/>
        <v>1.5818896800935274</v>
      </c>
    </row>
    <row r="68" spans="1:4" x14ac:dyDescent="0.25">
      <c r="A68">
        <v>1</v>
      </c>
      <c r="B68">
        <v>5</v>
      </c>
      <c r="C68" s="2">
        <f t="shared" si="2"/>
        <v>4</v>
      </c>
      <c r="D68" s="1">
        <f t="shared" si="1"/>
        <v>7.520034009990435</v>
      </c>
    </row>
    <row r="69" spans="1:4" x14ac:dyDescent="0.25">
      <c r="A69">
        <v>4</v>
      </c>
      <c r="B69">
        <v>3</v>
      </c>
      <c r="C69" s="2">
        <f t="shared" si="2"/>
        <v>-1</v>
      </c>
      <c r="D69" s="1">
        <f t="shared" ref="D69:D98" si="3">(C69-$G$6)^2</f>
        <v>5.0973535976193007</v>
      </c>
    </row>
    <row r="70" spans="1:4" x14ac:dyDescent="0.25">
      <c r="A70">
        <v>2</v>
      </c>
      <c r="B70">
        <v>4</v>
      </c>
      <c r="C70" s="2">
        <f t="shared" si="2"/>
        <v>2</v>
      </c>
      <c r="D70" s="1">
        <f t="shared" si="3"/>
        <v>0.55096184504198109</v>
      </c>
    </row>
    <row r="71" spans="1:4" x14ac:dyDescent="0.25">
      <c r="A71">
        <v>3</v>
      </c>
      <c r="B71">
        <v>5</v>
      </c>
      <c r="C71" s="2">
        <f t="shared" si="2"/>
        <v>2</v>
      </c>
      <c r="D71" s="1">
        <f t="shared" si="3"/>
        <v>0.55096184504198109</v>
      </c>
    </row>
    <row r="72" spans="1:4" x14ac:dyDescent="0.25">
      <c r="A72">
        <v>3</v>
      </c>
      <c r="B72">
        <v>4</v>
      </c>
      <c r="C72" s="2">
        <f t="shared" si="2"/>
        <v>1</v>
      </c>
      <c r="D72" s="1">
        <f t="shared" si="3"/>
        <v>6.642576256775426E-2</v>
      </c>
    </row>
    <row r="73" spans="1:4" x14ac:dyDescent="0.25">
      <c r="A73">
        <v>4</v>
      </c>
      <c r="B73">
        <v>4</v>
      </c>
      <c r="C73" s="2">
        <f t="shared" si="2"/>
        <v>0</v>
      </c>
      <c r="D73" s="1">
        <f t="shared" si="3"/>
        <v>1.5818896800935274</v>
      </c>
    </row>
    <row r="74" spans="1:4" x14ac:dyDescent="0.25">
      <c r="A74">
        <v>3</v>
      </c>
      <c r="B74">
        <v>4</v>
      </c>
      <c r="C74" s="2">
        <f t="shared" si="2"/>
        <v>1</v>
      </c>
      <c r="D74" s="1">
        <f t="shared" si="3"/>
        <v>6.642576256775426E-2</v>
      </c>
    </row>
    <row r="75" spans="1:4" x14ac:dyDescent="0.25">
      <c r="A75">
        <v>5</v>
      </c>
      <c r="B75">
        <v>5</v>
      </c>
      <c r="C75" s="2">
        <f t="shared" si="2"/>
        <v>0</v>
      </c>
      <c r="D75" s="1">
        <f t="shared" si="3"/>
        <v>1.5818896800935274</v>
      </c>
    </row>
    <row r="76" spans="1:4" x14ac:dyDescent="0.25">
      <c r="A76">
        <v>3</v>
      </c>
      <c r="B76">
        <v>2</v>
      </c>
      <c r="C76" s="2">
        <f t="shared" si="2"/>
        <v>-1</v>
      </c>
      <c r="D76" s="1">
        <f t="shared" si="3"/>
        <v>5.0973535976193007</v>
      </c>
    </row>
    <row r="77" spans="1:4" x14ac:dyDescent="0.25">
      <c r="A77">
        <v>2</v>
      </c>
      <c r="B77">
        <v>4</v>
      </c>
      <c r="C77" s="2">
        <f t="shared" si="2"/>
        <v>2</v>
      </c>
      <c r="D77" s="1">
        <f t="shared" si="3"/>
        <v>0.55096184504198109</v>
      </c>
    </row>
    <row r="78" spans="1:4" x14ac:dyDescent="0.25">
      <c r="A78">
        <v>3</v>
      </c>
      <c r="B78">
        <v>4</v>
      </c>
      <c r="C78" s="2">
        <f t="shared" si="2"/>
        <v>1</v>
      </c>
      <c r="D78" s="1">
        <f t="shared" si="3"/>
        <v>6.642576256775426E-2</v>
      </c>
    </row>
    <row r="79" spans="1:4" x14ac:dyDescent="0.25">
      <c r="A79">
        <v>2</v>
      </c>
      <c r="B79">
        <v>5</v>
      </c>
      <c r="C79" s="2">
        <f t="shared" si="2"/>
        <v>3</v>
      </c>
      <c r="D79" s="1">
        <f t="shared" si="3"/>
        <v>3.0354979275162082</v>
      </c>
    </row>
    <row r="80" spans="1:4" x14ac:dyDescent="0.25">
      <c r="A80">
        <v>3</v>
      </c>
      <c r="B80">
        <v>4</v>
      </c>
      <c r="C80" s="2">
        <f t="shared" si="2"/>
        <v>1</v>
      </c>
      <c r="D80" s="1">
        <f t="shared" si="3"/>
        <v>6.642576256775426E-2</v>
      </c>
    </row>
    <row r="81" spans="1:6" x14ac:dyDescent="0.25">
      <c r="A81">
        <v>2</v>
      </c>
      <c r="B81">
        <v>3</v>
      </c>
      <c r="C81" s="2">
        <f t="shared" si="2"/>
        <v>1</v>
      </c>
      <c r="D81" s="1">
        <f t="shared" si="3"/>
        <v>6.642576256775426E-2</v>
      </c>
    </row>
    <row r="82" spans="1:6" x14ac:dyDescent="0.25">
      <c r="A82">
        <v>3</v>
      </c>
      <c r="B82">
        <v>4</v>
      </c>
      <c r="C82" s="2">
        <f t="shared" si="2"/>
        <v>1</v>
      </c>
      <c r="D82" s="1">
        <f t="shared" si="3"/>
        <v>6.642576256775426E-2</v>
      </c>
    </row>
    <row r="83" spans="1:6" x14ac:dyDescent="0.25">
      <c r="A83">
        <v>4</v>
      </c>
      <c r="B83">
        <v>5</v>
      </c>
      <c r="C83" s="2">
        <f t="shared" si="2"/>
        <v>1</v>
      </c>
      <c r="D83" s="1">
        <f t="shared" si="3"/>
        <v>6.642576256775426E-2</v>
      </c>
    </row>
    <row r="84" spans="1:6" x14ac:dyDescent="0.25">
      <c r="A84">
        <v>2</v>
      </c>
      <c r="B84">
        <v>5</v>
      </c>
      <c r="C84" s="2">
        <f t="shared" si="2"/>
        <v>3</v>
      </c>
      <c r="D84" s="1">
        <f t="shared" si="3"/>
        <v>3.0354979275162082</v>
      </c>
    </row>
    <row r="85" spans="1:6" x14ac:dyDescent="0.25">
      <c r="A85">
        <v>3</v>
      </c>
      <c r="B85">
        <v>2</v>
      </c>
      <c r="C85" s="2">
        <f t="shared" si="2"/>
        <v>-1</v>
      </c>
      <c r="D85" s="1">
        <f t="shared" si="3"/>
        <v>5.0973535976193007</v>
      </c>
    </row>
    <row r="86" spans="1:6" x14ac:dyDescent="0.25">
      <c r="A86">
        <v>3</v>
      </c>
      <c r="B86">
        <v>4</v>
      </c>
      <c r="C86" s="2">
        <f t="shared" si="2"/>
        <v>1</v>
      </c>
      <c r="D86" s="1">
        <f t="shared" si="3"/>
        <v>6.642576256775426E-2</v>
      </c>
    </row>
    <row r="87" spans="1:6" x14ac:dyDescent="0.25">
      <c r="A87">
        <v>2</v>
      </c>
      <c r="B87">
        <v>5</v>
      </c>
      <c r="C87" s="2">
        <f t="shared" si="2"/>
        <v>3</v>
      </c>
      <c r="D87" s="1">
        <f t="shared" si="3"/>
        <v>3.0354979275162082</v>
      </c>
    </row>
    <row r="88" spans="1:6" x14ac:dyDescent="0.25">
      <c r="A88">
        <v>3</v>
      </c>
      <c r="B88">
        <v>5</v>
      </c>
      <c r="C88" s="2">
        <f t="shared" si="2"/>
        <v>2</v>
      </c>
      <c r="D88" s="1">
        <f t="shared" si="3"/>
        <v>0.55096184504198109</v>
      </c>
    </row>
    <row r="89" spans="1:6" x14ac:dyDescent="0.25">
      <c r="A89">
        <v>2</v>
      </c>
      <c r="B89">
        <v>4</v>
      </c>
      <c r="C89" s="2">
        <f t="shared" si="2"/>
        <v>2</v>
      </c>
      <c r="D89" s="1">
        <f t="shared" si="3"/>
        <v>0.55096184504198109</v>
      </c>
    </row>
    <row r="90" spans="1:6" x14ac:dyDescent="0.25">
      <c r="A90">
        <v>4</v>
      </c>
      <c r="B90">
        <v>4</v>
      </c>
      <c r="C90" s="2">
        <f t="shared" si="2"/>
        <v>0</v>
      </c>
      <c r="D90" s="1">
        <f t="shared" si="3"/>
        <v>1.5818896800935274</v>
      </c>
    </row>
    <row r="91" spans="1:6" x14ac:dyDescent="0.25">
      <c r="A91">
        <v>3</v>
      </c>
      <c r="B91">
        <v>5</v>
      </c>
      <c r="C91" s="2">
        <f t="shared" si="2"/>
        <v>2</v>
      </c>
      <c r="D91" s="1">
        <f t="shared" si="3"/>
        <v>0.55096184504198109</v>
      </c>
    </row>
    <row r="92" spans="1:6" x14ac:dyDescent="0.25">
      <c r="A92">
        <v>3</v>
      </c>
      <c r="B92">
        <v>2</v>
      </c>
      <c r="C92" s="2">
        <f t="shared" si="2"/>
        <v>-1</v>
      </c>
      <c r="D92" s="1">
        <f t="shared" si="3"/>
        <v>5.0973535976193007</v>
      </c>
    </row>
    <row r="93" spans="1:6" x14ac:dyDescent="0.25">
      <c r="A93">
        <v>2</v>
      </c>
      <c r="B93">
        <v>5</v>
      </c>
      <c r="C93" s="2">
        <f t="shared" si="2"/>
        <v>3</v>
      </c>
      <c r="D93" s="1">
        <f t="shared" si="3"/>
        <v>3.0354979275162082</v>
      </c>
      <c r="F93" s="6"/>
    </row>
    <row r="94" spans="1:6" x14ac:dyDescent="0.25">
      <c r="A94">
        <v>3</v>
      </c>
      <c r="B94">
        <v>4</v>
      </c>
      <c r="C94" s="2">
        <f t="shared" si="2"/>
        <v>1</v>
      </c>
      <c r="D94" s="1">
        <f t="shared" si="3"/>
        <v>6.642576256775426E-2</v>
      </c>
    </row>
    <row r="95" spans="1:6" x14ac:dyDescent="0.25">
      <c r="A95">
        <v>4</v>
      </c>
      <c r="B95">
        <v>5</v>
      </c>
      <c r="C95" s="2">
        <f t="shared" si="2"/>
        <v>1</v>
      </c>
      <c r="D95" s="1">
        <f t="shared" si="3"/>
        <v>6.642576256775426E-2</v>
      </c>
    </row>
    <row r="96" spans="1:6" x14ac:dyDescent="0.25">
      <c r="A96">
        <v>3</v>
      </c>
      <c r="B96">
        <v>3</v>
      </c>
      <c r="C96" s="2">
        <f t="shared" si="2"/>
        <v>0</v>
      </c>
      <c r="D96" s="1">
        <f t="shared" si="3"/>
        <v>1.5818896800935274</v>
      </c>
    </row>
    <row r="97" spans="1:4" x14ac:dyDescent="0.25">
      <c r="A97">
        <v>3</v>
      </c>
      <c r="B97">
        <v>5</v>
      </c>
      <c r="C97" s="2">
        <f t="shared" si="2"/>
        <v>2</v>
      </c>
      <c r="D97" s="1">
        <f t="shared" si="3"/>
        <v>0.55096184504198109</v>
      </c>
    </row>
    <row r="98" spans="1:4" x14ac:dyDescent="0.25">
      <c r="A98">
        <v>3</v>
      </c>
      <c r="B98">
        <v>3</v>
      </c>
      <c r="C98" s="2">
        <f t="shared" si="2"/>
        <v>0</v>
      </c>
      <c r="D98" s="1">
        <f t="shared" si="3"/>
        <v>1.5818896800935274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zoomScale="115" zoomScaleNormal="115" workbookViewId="0">
      <selection activeCell="B8" sqref="B8"/>
    </sheetView>
  </sheetViews>
  <sheetFormatPr baseColWidth="10" defaultColWidth="9.140625" defaultRowHeight="15" x14ac:dyDescent="0.25"/>
  <cols>
    <col min="1" max="1" width="33" style="1" customWidth="1"/>
    <col min="2" max="2" width="31.42578125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60" x14ac:dyDescent="0.25">
      <c r="A1" s="7" t="s">
        <v>45</v>
      </c>
      <c r="B1" s="7" t="s">
        <v>56</v>
      </c>
      <c r="C1" s="4" t="s">
        <v>0</v>
      </c>
      <c r="D1" s="4"/>
    </row>
    <row r="2" spans="1:7" x14ac:dyDescent="0.25">
      <c r="A2">
        <v>5</v>
      </c>
      <c r="B2">
        <v>4</v>
      </c>
      <c r="C2" s="2">
        <f>B2-A2</f>
        <v>-1</v>
      </c>
      <c r="D2" s="1">
        <f>(C2-$G$6)^2</f>
        <v>4</v>
      </c>
    </row>
    <row r="3" spans="1:7" x14ac:dyDescent="0.25">
      <c r="A3">
        <v>3</v>
      </c>
      <c r="B3">
        <v>5</v>
      </c>
      <c r="C3" s="2">
        <f t="shared" ref="C3:C66" si="0">B3-A3</f>
        <v>2</v>
      </c>
      <c r="D3" s="1">
        <f>(C3-$G$6)^2</f>
        <v>1</v>
      </c>
      <c r="F3" s="5" t="s">
        <v>13</v>
      </c>
      <c r="G3" s="5"/>
    </row>
    <row r="4" spans="1:7" x14ac:dyDescent="0.25">
      <c r="A4">
        <v>4</v>
      </c>
      <c r="B4">
        <v>4</v>
      </c>
      <c r="C4" s="2">
        <f t="shared" si="0"/>
        <v>0</v>
      </c>
      <c r="D4" s="1">
        <f>(C4-$G$6)^2</f>
        <v>1</v>
      </c>
      <c r="F4" t="s">
        <v>3</v>
      </c>
      <c r="G4">
        <f>COUNT(A:A)</f>
        <v>97</v>
      </c>
    </row>
    <row r="5" spans="1:7" x14ac:dyDescent="0.25">
      <c r="A5">
        <v>3</v>
      </c>
      <c r="B5">
        <v>5</v>
      </c>
      <c r="C5" s="2">
        <f t="shared" si="0"/>
        <v>2</v>
      </c>
      <c r="D5" s="1">
        <f t="shared" ref="D5:D68" si="1">(C5-$G$6)^2</f>
        <v>1</v>
      </c>
      <c r="F5" t="s">
        <v>2</v>
      </c>
      <c r="G5">
        <f>SUM(C:C)</f>
        <v>97</v>
      </c>
    </row>
    <row r="6" spans="1:7" x14ac:dyDescent="0.25">
      <c r="A6">
        <v>4</v>
      </c>
      <c r="B6">
        <v>4</v>
      </c>
      <c r="C6" s="2">
        <f t="shared" si="0"/>
        <v>0</v>
      </c>
      <c r="D6" s="1">
        <f t="shared" si="1"/>
        <v>1</v>
      </c>
      <c r="F6" t="s">
        <v>1</v>
      </c>
      <c r="G6">
        <f>G5/G4</f>
        <v>1</v>
      </c>
    </row>
    <row r="7" spans="1:7" x14ac:dyDescent="0.25">
      <c r="A7">
        <v>2</v>
      </c>
      <c r="B7">
        <v>5</v>
      </c>
      <c r="C7" s="2">
        <f t="shared" si="0"/>
        <v>3</v>
      </c>
      <c r="D7" s="1">
        <f t="shared" si="1"/>
        <v>4</v>
      </c>
      <c r="F7" t="s">
        <v>18</v>
      </c>
      <c r="G7">
        <f>SUM(D:D)</f>
        <v>222</v>
      </c>
    </row>
    <row r="8" spans="1:7" x14ac:dyDescent="0.25">
      <c r="A8">
        <v>3</v>
      </c>
      <c r="B8">
        <v>3</v>
      </c>
      <c r="C8" s="2">
        <f t="shared" si="0"/>
        <v>0</v>
      </c>
      <c r="D8" s="1">
        <f t="shared" si="1"/>
        <v>1</v>
      </c>
      <c r="F8" t="s">
        <v>4</v>
      </c>
      <c r="G8">
        <f>SQRT(G7/(G4-1))</f>
        <v>1.5206906325745548</v>
      </c>
    </row>
    <row r="9" spans="1:7" x14ac:dyDescent="0.25">
      <c r="A9">
        <v>4</v>
      </c>
      <c r="B9">
        <v>5</v>
      </c>
      <c r="C9" s="2">
        <f t="shared" si="0"/>
        <v>1</v>
      </c>
      <c r="D9" s="1">
        <f t="shared" si="1"/>
        <v>0</v>
      </c>
    </row>
    <row r="10" spans="1:7" x14ac:dyDescent="0.25">
      <c r="A10">
        <v>4</v>
      </c>
      <c r="B10">
        <v>3</v>
      </c>
      <c r="C10" s="2">
        <f t="shared" si="0"/>
        <v>-1</v>
      </c>
      <c r="D10" s="1">
        <f t="shared" si="1"/>
        <v>4</v>
      </c>
    </row>
    <row r="11" spans="1:7" x14ac:dyDescent="0.25">
      <c r="A11">
        <v>4</v>
      </c>
      <c r="B11">
        <v>5</v>
      </c>
      <c r="C11" s="2">
        <f t="shared" si="0"/>
        <v>1</v>
      </c>
      <c r="D11" s="1">
        <f t="shared" si="1"/>
        <v>0</v>
      </c>
    </row>
    <row r="12" spans="1:7" x14ac:dyDescent="0.25">
      <c r="A12">
        <v>3</v>
      </c>
      <c r="B12">
        <v>5</v>
      </c>
      <c r="C12" s="2">
        <f t="shared" si="0"/>
        <v>2</v>
      </c>
      <c r="D12" s="1">
        <f t="shared" si="1"/>
        <v>1</v>
      </c>
      <c r="F12" t="s">
        <v>8</v>
      </c>
      <c r="G12">
        <f>G6/(G8/SQRT(G4))</f>
        <v>6.4765689949189875</v>
      </c>
    </row>
    <row r="13" spans="1:7" x14ac:dyDescent="0.25">
      <c r="A13">
        <v>2</v>
      </c>
      <c r="B13">
        <v>4</v>
      </c>
      <c r="C13" s="2">
        <f t="shared" si="0"/>
        <v>2</v>
      </c>
      <c r="D13" s="1">
        <f t="shared" si="1"/>
        <v>1</v>
      </c>
    </row>
    <row r="14" spans="1:7" x14ac:dyDescent="0.25">
      <c r="A14">
        <v>3</v>
      </c>
      <c r="B14">
        <v>4</v>
      </c>
      <c r="C14" s="2">
        <f t="shared" si="0"/>
        <v>1</v>
      </c>
      <c r="D14" s="1">
        <f t="shared" si="1"/>
        <v>0</v>
      </c>
    </row>
    <row r="15" spans="1:7" x14ac:dyDescent="0.25">
      <c r="A15">
        <v>3</v>
      </c>
      <c r="B15">
        <v>4</v>
      </c>
      <c r="C15" s="2">
        <f t="shared" si="0"/>
        <v>1</v>
      </c>
      <c r="D15" s="1">
        <f t="shared" si="1"/>
        <v>0</v>
      </c>
    </row>
    <row r="16" spans="1:7" x14ac:dyDescent="0.25">
      <c r="A16">
        <v>1</v>
      </c>
      <c r="B16">
        <v>5</v>
      </c>
      <c r="C16" s="2">
        <f t="shared" si="0"/>
        <v>4</v>
      </c>
      <c r="D16" s="1">
        <f t="shared" si="1"/>
        <v>9</v>
      </c>
    </row>
    <row r="17" spans="1:7" x14ac:dyDescent="0.25">
      <c r="A17">
        <v>3</v>
      </c>
      <c r="B17">
        <v>4</v>
      </c>
      <c r="C17" s="2">
        <f t="shared" si="0"/>
        <v>1</v>
      </c>
      <c r="D17" s="1">
        <f t="shared" si="1"/>
        <v>0</v>
      </c>
      <c r="F17" t="s">
        <v>5</v>
      </c>
      <c r="G17">
        <v>0.05</v>
      </c>
    </row>
    <row r="18" spans="1:7" x14ac:dyDescent="0.25">
      <c r="A18">
        <v>5</v>
      </c>
      <c r="B18">
        <v>2</v>
      </c>
      <c r="C18" s="2">
        <f t="shared" si="0"/>
        <v>-3</v>
      </c>
      <c r="D18" s="1">
        <f t="shared" si="1"/>
        <v>16</v>
      </c>
      <c r="F18" t="s">
        <v>6</v>
      </c>
      <c r="G18">
        <f>G4-1</f>
        <v>96</v>
      </c>
    </row>
    <row r="19" spans="1:7" x14ac:dyDescent="0.25">
      <c r="A19">
        <v>4</v>
      </c>
      <c r="B19">
        <v>5</v>
      </c>
      <c r="C19" s="2">
        <f t="shared" si="0"/>
        <v>1</v>
      </c>
      <c r="D19" s="1">
        <f t="shared" si="1"/>
        <v>0</v>
      </c>
    </row>
    <row r="20" spans="1:7" x14ac:dyDescent="0.25">
      <c r="A20">
        <v>2</v>
      </c>
      <c r="B20">
        <v>3</v>
      </c>
      <c r="C20" s="2">
        <f t="shared" si="0"/>
        <v>1</v>
      </c>
      <c r="D20" s="1">
        <f t="shared" si="1"/>
        <v>0</v>
      </c>
    </row>
    <row r="21" spans="1:7" x14ac:dyDescent="0.25">
      <c r="A21">
        <v>2</v>
      </c>
      <c r="B21">
        <v>4</v>
      </c>
      <c r="C21" s="2">
        <f t="shared" si="0"/>
        <v>2</v>
      </c>
      <c r="D21" s="1">
        <f t="shared" si="1"/>
        <v>1</v>
      </c>
    </row>
    <row r="22" spans="1:7" x14ac:dyDescent="0.25">
      <c r="A22">
        <v>4</v>
      </c>
      <c r="B22">
        <v>4</v>
      </c>
      <c r="C22" s="2">
        <f t="shared" si="0"/>
        <v>0</v>
      </c>
      <c r="D22" s="1">
        <f t="shared" si="1"/>
        <v>1</v>
      </c>
      <c r="F22" s="5" t="s">
        <v>7</v>
      </c>
      <c r="G22" s="5"/>
    </row>
    <row r="23" spans="1:7" x14ac:dyDescent="0.25">
      <c r="A23">
        <v>4</v>
      </c>
      <c r="B23">
        <v>3</v>
      </c>
      <c r="C23" s="2">
        <f t="shared" si="0"/>
        <v>-1</v>
      </c>
      <c r="D23" s="1">
        <f t="shared" si="1"/>
        <v>4</v>
      </c>
      <c r="F23" t="s">
        <v>16</v>
      </c>
      <c r="G23">
        <f>_xlfn.T.INV.2T(G17,G18)</f>
        <v>1.9849843115224561</v>
      </c>
    </row>
    <row r="24" spans="1:7" x14ac:dyDescent="0.25">
      <c r="A24">
        <v>4</v>
      </c>
      <c r="B24">
        <v>5</v>
      </c>
      <c r="C24" s="2">
        <f t="shared" si="0"/>
        <v>1</v>
      </c>
      <c r="D24" s="1">
        <f t="shared" si="1"/>
        <v>0</v>
      </c>
      <c r="F24" t="s">
        <v>17</v>
      </c>
      <c r="G24">
        <f>_xlfn.T.INV(G17,G18)</f>
        <v>-1.6608814403248366</v>
      </c>
    </row>
    <row r="25" spans="1:7" x14ac:dyDescent="0.25">
      <c r="A25">
        <v>5</v>
      </c>
      <c r="B25">
        <v>5</v>
      </c>
      <c r="C25" s="2">
        <f t="shared" si="0"/>
        <v>0</v>
      </c>
      <c r="D25" s="1">
        <f t="shared" si="1"/>
        <v>1</v>
      </c>
    </row>
    <row r="26" spans="1:7" x14ac:dyDescent="0.25">
      <c r="A26">
        <v>3</v>
      </c>
      <c r="B26">
        <v>5</v>
      </c>
      <c r="C26" s="2">
        <f t="shared" si="0"/>
        <v>2</v>
      </c>
      <c r="D26" s="1">
        <f t="shared" si="1"/>
        <v>1</v>
      </c>
    </row>
    <row r="27" spans="1:7" x14ac:dyDescent="0.25">
      <c r="A27">
        <v>5</v>
      </c>
      <c r="B27">
        <v>5</v>
      </c>
      <c r="C27" s="2">
        <f t="shared" si="0"/>
        <v>0</v>
      </c>
      <c r="D27" s="1">
        <f t="shared" si="1"/>
        <v>1</v>
      </c>
      <c r="F27" s="5" t="s">
        <v>9</v>
      </c>
      <c r="G27" s="5"/>
    </row>
    <row r="28" spans="1:7" x14ac:dyDescent="0.25">
      <c r="A28">
        <v>2</v>
      </c>
      <c r="B28">
        <v>5</v>
      </c>
      <c r="C28" s="2">
        <f t="shared" si="0"/>
        <v>3</v>
      </c>
      <c r="D28" s="1">
        <f t="shared" si="1"/>
        <v>4</v>
      </c>
      <c r="F28" t="s">
        <v>9</v>
      </c>
    </row>
    <row r="29" spans="1:7" x14ac:dyDescent="0.25">
      <c r="A29">
        <v>4</v>
      </c>
      <c r="B29">
        <v>3</v>
      </c>
      <c r="C29" s="2">
        <f t="shared" si="0"/>
        <v>-1</v>
      </c>
      <c r="D29" s="1">
        <f t="shared" si="1"/>
        <v>4</v>
      </c>
      <c r="F29" t="s">
        <v>15</v>
      </c>
      <c r="G29">
        <f>TTEST(A:A,B:B,2,1)</f>
        <v>3.9953349860231288E-9</v>
      </c>
    </row>
    <row r="30" spans="1:7" x14ac:dyDescent="0.25">
      <c r="A30">
        <v>2</v>
      </c>
      <c r="B30">
        <v>4</v>
      </c>
      <c r="C30" s="2">
        <f t="shared" si="0"/>
        <v>2</v>
      </c>
      <c r="D30" s="1">
        <f t="shared" si="1"/>
        <v>1</v>
      </c>
      <c r="F30" t="s">
        <v>19</v>
      </c>
      <c r="G30">
        <f>TTEST(A:A,B:B,1,1)</f>
        <v>1.9976674930115644E-9</v>
      </c>
    </row>
    <row r="31" spans="1:7" x14ac:dyDescent="0.25">
      <c r="A31">
        <v>3</v>
      </c>
      <c r="B31">
        <v>5</v>
      </c>
      <c r="C31" s="2">
        <f t="shared" si="0"/>
        <v>2</v>
      </c>
      <c r="D31" s="1">
        <f t="shared" si="1"/>
        <v>1</v>
      </c>
    </row>
    <row r="32" spans="1:7" x14ac:dyDescent="0.25">
      <c r="A32">
        <v>3</v>
      </c>
      <c r="B32">
        <v>4</v>
      </c>
      <c r="C32" s="2">
        <f t="shared" si="0"/>
        <v>1</v>
      </c>
      <c r="D32" s="1">
        <f t="shared" si="1"/>
        <v>0</v>
      </c>
    </row>
    <row r="33" spans="1:7" x14ac:dyDescent="0.25">
      <c r="A33">
        <v>3</v>
      </c>
      <c r="B33">
        <v>4</v>
      </c>
      <c r="C33" s="2">
        <f t="shared" si="0"/>
        <v>1</v>
      </c>
      <c r="D33" s="1">
        <f t="shared" si="1"/>
        <v>0</v>
      </c>
      <c r="F33" s="8" t="s">
        <v>12</v>
      </c>
      <c r="G33" s="8"/>
    </row>
    <row r="34" spans="1:7" x14ac:dyDescent="0.25">
      <c r="A34">
        <v>4</v>
      </c>
      <c r="B34">
        <v>5</v>
      </c>
      <c r="C34" s="2">
        <f t="shared" si="0"/>
        <v>1</v>
      </c>
      <c r="D34" s="1">
        <f t="shared" si="1"/>
        <v>0</v>
      </c>
    </row>
    <row r="35" spans="1:7" x14ac:dyDescent="0.25">
      <c r="A35">
        <v>5</v>
      </c>
      <c r="B35">
        <v>5</v>
      </c>
      <c r="C35" s="2">
        <f t="shared" si="0"/>
        <v>0</v>
      </c>
      <c r="D35" s="1">
        <f t="shared" si="1"/>
        <v>1</v>
      </c>
      <c r="F35" t="s">
        <v>10</v>
      </c>
    </row>
    <row r="36" spans="1:7" x14ac:dyDescent="0.25">
      <c r="A36">
        <v>3</v>
      </c>
      <c r="B36">
        <v>5</v>
      </c>
      <c r="C36" s="2">
        <f t="shared" si="0"/>
        <v>2</v>
      </c>
      <c r="D36" s="1">
        <f t="shared" si="1"/>
        <v>1</v>
      </c>
      <c r="F36" t="s">
        <v>11</v>
      </c>
    </row>
    <row r="37" spans="1:7" x14ac:dyDescent="0.25">
      <c r="A37">
        <v>2</v>
      </c>
      <c r="B37">
        <v>4</v>
      </c>
      <c r="C37" s="2">
        <f t="shared" si="0"/>
        <v>2</v>
      </c>
      <c r="D37" s="1">
        <f t="shared" si="1"/>
        <v>1</v>
      </c>
    </row>
    <row r="38" spans="1:7" x14ac:dyDescent="0.25">
      <c r="A38">
        <v>5</v>
      </c>
      <c r="B38">
        <v>5</v>
      </c>
      <c r="C38" s="2">
        <f t="shared" si="0"/>
        <v>0</v>
      </c>
      <c r="D38" s="1">
        <f t="shared" si="1"/>
        <v>1</v>
      </c>
    </row>
    <row r="39" spans="1:7" x14ac:dyDescent="0.25">
      <c r="A39">
        <v>5</v>
      </c>
      <c r="B39">
        <v>1</v>
      </c>
      <c r="C39" s="2">
        <f t="shared" si="0"/>
        <v>-4</v>
      </c>
      <c r="D39" s="1">
        <f t="shared" si="1"/>
        <v>25</v>
      </c>
    </row>
    <row r="40" spans="1:7" x14ac:dyDescent="0.25">
      <c r="A40">
        <v>2</v>
      </c>
      <c r="B40">
        <v>5</v>
      </c>
      <c r="C40" s="2">
        <f t="shared" si="0"/>
        <v>3</v>
      </c>
      <c r="D40" s="1">
        <f t="shared" si="1"/>
        <v>4</v>
      </c>
      <c r="F40" t="s">
        <v>14</v>
      </c>
    </row>
    <row r="41" spans="1:7" x14ac:dyDescent="0.25">
      <c r="A41">
        <v>2</v>
      </c>
      <c r="B41">
        <v>5</v>
      </c>
      <c r="C41" s="2">
        <f t="shared" si="0"/>
        <v>3</v>
      </c>
      <c r="D41" s="1">
        <f t="shared" si="1"/>
        <v>4</v>
      </c>
      <c r="F41" t="str">
        <f>"Dos Colas: Si t calculado ("&amp;G12&amp;") &gt; a t critico  ("&amp;G23&amp;") (de tabla) ---&gt; Se rechaza la hipotesis nula"</f>
        <v>Dos Colas: Si t calculado (6.47656899491899) &gt; a t critico  (1.98498431152246) (de tabla) ---&gt; Se rechaza la hipotesis nula</v>
      </c>
    </row>
    <row r="42" spans="1:7" x14ac:dyDescent="0.25">
      <c r="A42">
        <v>1</v>
      </c>
      <c r="B42">
        <v>3</v>
      </c>
      <c r="C42" s="2">
        <f t="shared" si="0"/>
        <v>2</v>
      </c>
      <c r="D42" s="1">
        <f t="shared" si="1"/>
        <v>1</v>
      </c>
      <c r="F42" t="str">
        <f>"Una Cola: Si t calculado ("&amp;G12&amp;") &gt; a t critico  ("&amp;G24&amp;") (de tabla) ---&gt; Se rechaza la hipotesis nula"</f>
        <v>Una Cola: Si t calculado (6.47656899491899) &gt; a t critico  (-1.66088144032484) (de tabla) ---&gt; Se rechaza la hipotesis nula</v>
      </c>
    </row>
    <row r="43" spans="1:7" x14ac:dyDescent="0.25">
      <c r="A43">
        <v>3</v>
      </c>
      <c r="B43">
        <v>3</v>
      </c>
      <c r="C43" s="2">
        <f t="shared" si="0"/>
        <v>0</v>
      </c>
      <c r="D43" s="1">
        <f t="shared" si="1"/>
        <v>1</v>
      </c>
    </row>
    <row r="44" spans="1:7" x14ac:dyDescent="0.25">
      <c r="A44">
        <v>3</v>
      </c>
      <c r="B44">
        <v>4</v>
      </c>
      <c r="C44" s="2">
        <f t="shared" si="0"/>
        <v>1</v>
      </c>
      <c r="D44" s="1">
        <f t="shared" si="1"/>
        <v>0</v>
      </c>
    </row>
    <row r="45" spans="1:7" x14ac:dyDescent="0.25">
      <c r="A45">
        <v>4</v>
      </c>
      <c r="B45">
        <v>5</v>
      </c>
      <c r="C45" s="2">
        <f t="shared" si="0"/>
        <v>1</v>
      </c>
      <c r="D45" s="1">
        <f t="shared" si="1"/>
        <v>0</v>
      </c>
    </row>
    <row r="46" spans="1:7" x14ac:dyDescent="0.25">
      <c r="A46">
        <v>3</v>
      </c>
      <c r="B46">
        <v>5</v>
      </c>
      <c r="C46" s="2">
        <f t="shared" si="0"/>
        <v>2</v>
      </c>
      <c r="D46" s="1">
        <f t="shared" si="1"/>
        <v>1</v>
      </c>
      <c r="F46" t="s">
        <v>20</v>
      </c>
    </row>
    <row r="47" spans="1:7" x14ac:dyDescent="0.25">
      <c r="A47">
        <v>2</v>
      </c>
      <c r="B47">
        <v>3</v>
      </c>
      <c r="C47" s="2">
        <f t="shared" si="0"/>
        <v>1</v>
      </c>
      <c r="D47" s="1">
        <f t="shared" si="1"/>
        <v>0</v>
      </c>
      <c r="F47" t="str">
        <f>"Dos Colas: Si p valor ("&amp;G29&amp;") &lt; Nivel Significancia ("&amp;G17&amp;") ---&gt; Se rechaza la hipotesis nula"</f>
        <v>Dos Colas: Si p valor (3.99533498602313E-09) &lt; Nivel Significancia (0.05) ---&gt; Se rechaza la hipotesis nula</v>
      </c>
    </row>
    <row r="48" spans="1:7" x14ac:dyDescent="0.25">
      <c r="A48">
        <v>2</v>
      </c>
      <c r="B48">
        <v>5</v>
      </c>
      <c r="C48" s="2">
        <f t="shared" si="0"/>
        <v>3</v>
      </c>
      <c r="D48" s="1">
        <f t="shared" si="1"/>
        <v>4</v>
      </c>
      <c r="F48" t="str">
        <f>"Una Cola: Si p valor ("&amp;G30&amp;") &lt; Nivel Significancia ("&amp;G17&amp;") ---&gt; Se rechaza la hipotesis nula"</f>
        <v>Una Cola: Si p valor (1.99766749301156E-09) &lt; Nivel Significancia (0.05) ---&gt; Se rechaza la hipotesis nula</v>
      </c>
    </row>
    <row r="49" spans="1:4" x14ac:dyDescent="0.25">
      <c r="A49">
        <v>2</v>
      </c>
      <c r="B49">
        <v>4</v>
      </c>
      <c r="C49" s="2">
        <f t="shared" si="0"/>
        <v>2</v>
      </c>
      <c r="D49" s="1">
        <f t="shared" si="1"/>
        <v>1</v>
      </c>
    </row>
    <row r="50" spans="1:4" x14ac:dyDescent="0.25">
      <c r="A50">
        <v>3</v>
      </c>
      <c r="B50">
        <v>5</v>
      </c>
      <c r="C50" s="2">
        <f t="shared" si="0"/>
        <v>2</v>
      </c>
      <c r="D50" s="1">
        <f t="shared" si="1"/>
        <v>1</v>
      </c>
    </row>
    <row r="51" spans="1:4" x14ac:dyDescent="0.25">
      <c r="A51">
        <v>2</v>
      </c>
      <c r="B51">
        <v>4</v>
      </c>
      <c r="C51" s="2">
        <f t="shared" si="0"/>
        <v>2</v>
      </c>
      <c r="D51" s="1">
        <f t="shared" si="1"/>
        <v>1</v>
      </c>
    </row>
    <row r="52" spans="1:4" x14ac:dyDescent="0.25">
      <c r="A52">
        <v>4</v>
      </c>
      <c r="B52">
        <v>4</v>
      </c>
      <c r="C52" s="2">
        <f t="shared" si="0"/>
        <v>0</v>
      </c>
      <c r="D52" s="1">
        <f t="shared" si="1"/>
        <v>1</v>
      </c>
    </row>
    <row r="53" spans="1:4" x14ac:dyDescent="0.25">
      <c r="A53">
        <v>5</v>
      </c>
      <c r="B53">
        <v>4</v>
      </c>
      <c r="C53" s="2">
        <f t="shared" si="0"/>
        <v>-1</v>
      </c>
      <c r="D53" s="1">
        <f t="shared" si="1"/>
        <v>4</v>
      </c>
    </row>
    <row r="54" spans="1:4" x14ac:dyDescent="0.25">
      <c r="A54">
        <v>3</v>
      </c>
      <c r="B54">
        <v>4</v>
      </c>
      <c r="C54" s="2">
        <f t="shared" si="0"/>
        <v>1</v>
      </c>
      <c r="D54" s="1">
        <f t="shared" si="1"/>
        <v>0</v>
      </c>
    </row>
    <row r="55" spans="1:4" x14ac:dyDescent="0.25">
      <c r="A55">
        <v>3</v>
      </c>
      <c r="B55">
        <v>5</v>
      </c>
      <c r="C55" s="2">
        <f t="shared" si="0"/>
        <v>2</v>
      </c>
      <c r="D55" s="1">
        <f t="shared" si="1"/>
        <v>1</v>
      </c>
    </row>
    <row r="56" spans="1:4" x14ac:dyDescent="0.25">
      <c r="A56">
        <v>3</v>
      </c>
      <c r="B56">
        <v>5</v>
      </c>
      <c r="C56" s="2">
        <f t="shared" si="0"/>
        <v>2</v>
      </c>
      <c r="D56" s="1">
        <f t="shared" si="1"/>
        <v>1</v>
      </c>
    </row>
    <row r="57" spans="1:4" x14ac:dyDescent="0.25">
      <c r="A57">
        <v>3</v>
      </c>
      <c r="B57">
        <v>5</v>
      </c>
      <c r="C57" s="2">
        <f t="shared" si="0"/>
        <v>2</v>
      </c>
      <c r="D57" s="1">
        <f t="shared" si="1"/>
        <v>1</v>
      </c>
    </row>
    <row r="58" spans="1:4" x14ac:dyDescent="0.25">
      <c r="A58">
        <v>3</v>
      </c>
      <c r="B58">
        <v>4</v>
      </c>
      <c r="C58" s="2">
        <f t="shared" si="0"/>
        <v>1</v>
      </c>
      <c r="D58" s="1">
        <f t="shared" si="1"/>
        <v>0</v>
      </c>
    </row>
    <row r="59" spans="1:4" x14ac:dyDescent="0.25">
      <c r="A59">
        <v>5</v>
      </c>
      <c r="B59">
        <v>5</v>
      </c>
      <c r="C59" s="2">
        <f t="shared" si="0"/>
        <v>0</v>
      </c>
      <c r="D59" s="1">
        <f t="shared" si="1"/>
        <v>1</v>
      </c>
    </row>
    <row r="60" spans="1:4" x14ac:dyDescent="0.25">
      <c r="A60">
        <v>5</v>
      </c>
      <c r="B60">
        <v>5</v>
      </c>
      <c r="C60" s="2">
        <f t="shared" si="0"/>
        <v>0</v>
      </c>
      <c r="D60" s="1">
        <f t="shared" si="1"/>
        <v>1</v>
      </c>
    </row>
    <row r="61" spans="1:4" x14ac:dyDescent="0.25">
      <c r="A61">
        <v>2</v>
      </c>
      <c r="B61">
        <v>4</v>
      </c>
      <c r="C61" s="2">
        <f t="shared" si="0"/>
        <v>2</v>
      </c>
      <c r="D61" s="1">
        <f t="shared" si="1"/>
        <v>1</v>
      </c>
    </row>
    <row r="62" spans="1:4" x14ac:dyDescent="0.25">
      <c r="A62">
        <v>5</v>
      </c>
      <c r="B62">
        <v>4</v>
      </c>
      <c r="C62" s="2">
        <f t="shared" si="0"/>
        <v>-1</v>
      </c>
      <c r="D62" s="1">
        <f t="shared" si="1"/>
        <v>4</v>
      </c>
    </row>
    <row r="63" spans="1:4" x14ac:dyDescent="0.25">
      <c r="A63">
        <v>3</v>
      </c>
      <c r="B63">
        <v>3</v>
      </c>
      <c r="C63" s="2">
        <f t="shared" si="0"/>
        <v>0</v>
      </c>
      <c r="D63" s="1">
        <f t="shared" si="1"/>
        <v>1</v>
      </c>
    </row>
    <row r="64" spans="1:4" x14ac:dyDescent="0.25">
      <c r="A64">
        <v>4</v>
      </c>
      <c r="B64">
        <v>5</v>
      </c>
      <c r="C64" s="2">
        <f t="shared" si="0"/>
        <v>1</v>
      </c>
      <c r="D64" s="1">
        <f t="shared" si="1"/>
        <v>0</v>
      </c>
    </row>
    <row r="65" spans="1:4" x14ac:dyDescent="0.25">
      <c r="A65">
        <v>2</v>
      </c>
      <c r="B65">
        <v>4</v>
      </c>
      <c r="C65" s="2">
        <f t="shared" si="0"/>
        <v>2</v>
      </c>
      <c r="D65" s="1">
        <f t="shared" si="1"/>
        <v>1</v>
      </c>
    </row>
    <row r="66" spans="1:4" x14ac:dyDescent="0.25">
      <c r="A66">
        <v>3</v>
      </c>
      <c r="B66">
        <v>4</v>
      </c>
      <c r="C66" s="2">
        <f t="shared" si="0"/>
        <v>1</v>
      </c>
      <c r="D66" s="1">
        <f t="shared" si="1"/>
        <v>0</v>
      </c>
    </row>
    <row r="67" spans="1:4" x14ac:dyDescent="0.25">
      <c r="A67">
        <v>3</v>
      </c>
      <c r="B67">
        <v>5</v>
      </c>
      <c r="C67" s="2">
        <f t="shared" ref="C67:C98" si="2">B67-A67</f>
        <v>2</v>
      </c>
      <c r="D67" s="1">
        <f t="shared" si="1"/>
        <v>1</v>
      </c>
    </row>
    <row r="68" spans="1:4" x14ac:dyDescent="0.25">
      <c r="A68">
        <v>4</v>
      </c>
      <c r="B68">
        <v>5</v>
      </c>
      <c r="C68" s="2">
        <f t="shared" si="2"/>
        <v>1</v>
      </c>
      <c r="D68" s="1">
        <f t="shared" si="1"/>
        <v>0</v>
      </c>
    </row>
    <row r="69" spans="1:4" x14ac:dyDescent="0.25">
      <c r="A69">
        <v>2</v>
      </c>
      <c r="B69">
        <v>4</v>
      </c>
      <c r="C69" s="2">
        <f t="shared" si="2"/>
        <v>2</v>
      </c>
      <c r="D69" s="1">
        <f t="shared" ref="D69:D98" si="3">(C69-$G$6)^2</f>
        <v>1</v>
      </c>
    </row>
    <row r="70" spans="1:4" x14ac:dyDescent="0.25">
      <c r="A70">
        <v>3</v>
      </c>
      <c r="B70">
        <v>5</v>
      </c>
      <c r="C70" s="2">
        <f t="shared" si="2"/>
        <v>2</v>
      </c>
      <c r="D70" s="1">
        <f t="shared" si="3"/>
        <v>1</v>
      </c>
    </row>
    <row r="71" spans="1:4" x14ac:dyDescent="0.25">
      <c r="A71">
        <v>2</v>
      </c>
      <c r="B71">
        <v>4</v>
      </c>
      <c r="C71" s="2">
        <f t="shared" si="2"/>
        <v>2</v>
      </c>
      <c r="D71" s="1">
        <f t="shared" si="3"/>
        <v>1</v>
      </c>
    </row>
    <row r="72" spans="1:4" x14ac:dyDescent="0.25">
      <c r="A72">
        <v>1</v>
      </c>
      <c r="B72">
        <v>3</v>
      </c>
      <c r="C72" s="2">
        <f t="shared" si="2"/>
        <v>2</v>
      </c>
      <c r="D72" s="1">
        <f t="shared" si="3"/>
        <v>1</v>
      </c>
    </row>
    <row r="73" spans="1:4" x14ac:dyDescent="0.25">
      <c r="A73">
        <v>4</v>
      </c>
      <c r="B73">
        <v>1</v>
      </c>
      <c r="C73" s="2">
        <f t="shared" si="2"/>
        <v>-3</v>
      </c>
      <c r="D73" s="1">
        <f t="shared" si="3"/>
        <v>16</v>
      </c>
    </row>
    <row r="74" spans="1:4" x14ac:dyDescent="0.25">
      <c r="A74">
        <v>3</v>
      </c>
      <c r="B74">
        <v>3</v>
      </c>
      <c r="C74" s="2">
        <f t="shared" si="2"/>
        <v>0</v>
      </c>
      <c r="D74" s="1">
        <f t="shared" si="3"/>
        <v>1</v>
      </c>
    </row>
    <row r="75" spans="1:4" x14ac:dyDescent="0.25">
      <c r="A75">
        <v>3</v>
      </c>
      <c r="B75">
        <v>4</v>
      </c>
      <c r="C75" s="2">
        <f t="shared" si="2"/>
        <v>1</v>
      </c>
      <c r="D75" s="1">
        <f t="shared" si="3"/>
        <v>0</v>
      </c>
    </row>
    <row r="76" spans="1:4" x14ac:dyDescent="0.25">
      <c r="A76">
        <v>4</v>
      </c>
      <c r="B76">
        <v>4</v>
      </c>
      <c r="C76" s="2">
        <f t="shared" si="2"/>
        <v>0</v>
      </c>
      <c r="D76" s="1">
        <f t="shared" si="3"/>
        <v>1</v>
      </c>
    </row>
    <row r="77" spans="1:4" x14ac:dyDescent="0.25">
      <c r="A77">
        <v>2</v>
      </c>
      <c r="B77">
        <v>4</v>
      </c>
      <c r="C77" s="2">
        <f t="shared" si="2"/>
        <v>2</v>
      </c>
      <c r="D77" s="1">
        <f t="shared" si="3"/>
        <v>1</v>
      </c>
    </row>
    <row r="78" spans="1:4" x14ac:dyDescent="0.25">
      <c r="A78">
        <v>4</v>
      </c>
      <c r="B78">
        <v>4</v>
      </c>
      <c r="C78" s="2">
        <f t="shared" si="2"/>
        <v>0</v>
      </c>
      <c r="D78" s="1">
        <f t="shared" si="3"/>
        <v>1</v>
      </c>
    </row>
    <row r="79" spans="1:4" x14ac:dyDescent="0.25">
      <c r="A79">
        <v>3</v>
      </c>
      <c r="B79">
        <v>3</v>
      </c>
      <c r="C79" s="2">
        <f t="shared" si="2"/>
        <v>0</v>
      </c>
      <c r="D79" s="1">
        <f t="shared" si="3"/>
        <v>1</v>
      </c>
    </row>
    <row r="80" spans="1:4" x14ac:dyDescent="0.25">
      <c r="A80">
        <v>3</v>
      </c>
      <c r="B80">
        <v>5</v>
      </c>
      <c r="C80" s="2">
        <f t="shared" si="2"/>
        <v>2</v>
      </c>
      <c r="D80" s="1">
        <f t="shared" si="3"/>
        <v>1</v>
      </c>
    </row>
    <row r="81" spans="1:6" x14ac:dyDescent="0.25">
      <c r="A81">
        <v>5</v>
      </c>
      <c r="B81">
        <v>4</v>
      </c>
      <c r="C81" s="2">
        <f t="shared" si="2"/>
        <v>-1</v>
      </c>
      <c r="D81" s="1">
        <f t="shared" si="3"/>
        <v>4</v>
      </c>
    </row>
    <row r="82" spans="1:6" x14ac:dyDescent="0.25">
      <c r="A82">
        <v>2</v>
      </c>
      <c r="B82">
        <v>5</v>
      </c>
      <c r="C82" s="2">
        <f t="shared" si="2"/>
        <v>3</v>
      </c>
      <c r="D82" s="1">
        <f t="shared" si="3"/>
        <v>4</v>
      </c>
    </row>
    <row r="83" spans="1:6" x14ac:dyDescent="0.25">
      <c r="A83">
        <v>2</v>
      </c>
      <c r="B83">
        <v>4</v>
      </c>
      <c r="C83" s="2">
        <f t="shared" si="2"/>
        <v>2</v>
      </c>
      <c r="D83" s="1">
        <f t="shared" si="3"/>
        <v>1</v>
      </c>
    </row>
    <row r="84" spans="1:6" x14ac:dyDescent="0.25">
      <c r="A84">
        <v>1</v>
      </c>
      <c r="B84">
        <v>5</v>
      </c>
      <c r="C84" s="2">
        <f t="shared" si="2"/>
        <v>4</v>
      </c>
      <c r="D84" s="1">
        <f t="shared" si="3"/>
        <v>9</v>
      </c>
    </row>
    <row r="85" spans="1:6" x14ac:dyDescent="0.25">
      <c r="A85">
        <v>3</v>
      </c>
      <c r="B85">
        <v>4</v>
      </c>
      <c r="C85" s="2">
        <f t="shared" si="2"/>
        <v>1</v>
      </c>
      <c r="D85" s="1">
        <f t="shared" si="3"/>
        <v>0</v>
      </c>
    </row>
    <row r="86" spans="1:6" x14ac:dyDescent="0.25">
      <c r="A86">
        <v>3</v>
      </c>
      <c r="B86">
        <v>4</v>
      </c>
      <c r="C86" s="2">
        <f t="shared" si="2"/>
        <v>1</v>
      </c>
      <c r="D86" s="1">
        <f t="shared" si="3"/>
        <v>0</v>
      </c>
    </row>
    <row r="87" spans="1:6" x14ac:dyDescent="0.25">
      <c r="A87">
        <v>1</v>
      </c>
      <c r="B87">
        <v>4</v>
      </c>
      <c r="C87" s="2">
        <f t="shared" si="2"/>
        <v>3</v>
      </c>
      <c r="D87" s="1">
        <f t="shared" si="3"/>
        <v>4</v>
      </c>
    </row>
    <row r="88" spans="1:6" x14ac:dyDescent="0.25">
      <c r="A88">
        <v>2</v>
      </c>
      <c r="B88">
        <v>5</v>
      </c>
      <c r="C88" s="2">
        <f t="shared" si="2"/>
        <v>3</v>
      </c>
      <c r="D88" s="1">
        <f t="shared" si="3"/>
        <v>4</v>
      </c>
    </row>
    <row r="89" spans="1:6" x14ac:dyDescent="0.25">
      <c r="A89">
        <v>4</v>
      </c>
      <c r="B89">
        <v>2</v>
      </c>
      <c r="C89" s="2">
        <f t="shared" si="2"/>
        <v>-2</v>
      </c>
      <c r="D89" s="1">
        <f t="shared" si="3"/>
        <v>9</v>
      </c>
    </row>
    <row r="90" spans="1:6" x14ac:dyDescent="0.25">
      <c r="A90">
        <v>3</v>
      </c>
      <c r="B90">
        <v>5</v>
      </c>
      <c r="C90" s="2">
        <f t="shared" si="2"/>
        <v>2</v>
      </c>
      <c r="D90" s="1">
        <f t="shared" si="3"/>
        <v>1</v>
      </c>
    </row>
    <row r="91" spans="1:6" x14ac:dyDescent="0.25">
      <c r="A91">
        <v>4</v>
      </c>
      <c r="B91">
        <v>3</v>
      </c>
      <c r="C91" s="2">
        <f t="shared" si="2"/>
        <v>-1</v>
      </c>
      <c r="D91" s="1">
        <f t="shared" si="3"/>
        <v>4</v>
      </c>
    </row>
    <row r="92" spans="1:6" x14ac:dyDescent="0.25">
      <c r="A92">
        <v>3</v>
      </c>
      <c r="B92">
        <v>3</v>
      </c>
      <c r="C92" s="2">
        <f t="shared" si="2"/>
        <v>0</v>
      </c>
      <c r="D92" s="1">
        <f t="shared" si="3"/>
        <v>1</v>
      </c>
    </row>
    <row r="93" spans="1:6" x14ac:dyDescent="0.25">
      <c r="A93">
        <v>2</v>
      </c>
      <c r="B93">
        <v>5</v>
      </c>
      <c r="C93" s="2">
        <f t="shared" si="2"/>
        <v>3</v>
      </c>
      <c r="D93" s="1">
        <f t="shared" si="3"/>
        <v>4</v>
      </c>
      <c r="F93" s="6"/>
    </row>
    <row r="94" spans="1:6" x14ac:dyDescent="0.25">
      <c r="A94">
        <v>3</v>
      </c>
      <c r="B94">
        <v>3</v>
      </c>
      <c r="C94" s="2">
        <f t="shared" si="2"/>
        <v>0</v>
      </c>
      <c r="D94" s="1">
        <f t="shared" si="3"/>
        <v>1</v>
      </c>
    </row>
    <row r="95" spans="1:6" x14ac:dyDescent="0.25">
      <c r="A95">
        <v>5</v>
      </c>
      <c r="B95">
        <v>2</v>
      </c>
      <c r="C95" s="2">
        <f t="shared" si="2"/>
        <v>-3</v>
      </c>
      <c r="D95" s="1">
        <f t="shared" si="3"/>
        <v>16</v>
      </c>
    </row>
    <row r="96" spans="1:6" x14ac:dyDescent="0.25">
      <c r="A96">
        <v>2</v>
      </c>
      <c r="B96">
        <v>5</v>
      </c>
      <c r="C96" s="2">
        <f t="shared" si="2"/>
        <v>3</v>
      </c>
      <c r="D96" s="1">
        <f t="shared" si="3"/>
        <v>4</v>
      </c>
    </row>
    <row r="97" spans="1:4" x14ac:dyDescent="0.25">
      <c r="A97">
        <v>1</v>
      </c>
      <c r="B97">
        <v>3</v>
      </c>
      <c r="C97" s="2">
        <f t="shared" si="2"/>
        <v>2</v>
      </c>
      <c r="D97" s="1">
        <f t="shared" si="3"/>
        <v>1</v>
      </c>
    </row>
    <row r="98" spans="1:4" x14ac:dyDescent="0.25">
      <c r="A98">
        <v>4</v>
      </c>
      <c r="B98">
        <v>4</v>
      </c>
      <c r="C98" s="2">
        <f t="shared" si="2"/>
        <v>0</v>
      </c>
      <c r="D98" s="1">
        <f t="shared" si="3"/>
        <v>1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zoomScale="115" zoomScaleNormal="115" workbookViewId="0">
      <selection activeCell="B7" sqref="B7"/>
    </sheetView>
  </sheetViews>
  <sheetFormatPr baseColWidth="10" defaultColWidth="9.140625" defaultRowHeight="15" x14ac:dyDescent="0.25"/>
  <cols>
    <col min="1" max="1" width="31.7109375" style="1" customWidth="1"/>
    <col min="2" max="2" width="31.42578125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60" x14ac:dyDescent="0.25">
      <c r="A1" s="7" t="s">
        <v>46</v>
      </c>
      <c r="B1" s="9" t="s">
        <v>57</v>
      </c>
      <c r="C1" s="4" t="s">
        <v>0</v>
      </c>
      <c r="D1" s="4"/>
    </row>
    <row r="2" spans="1:7" x14ac:dyDescent="0.25">
      <c r="A2">
        <v>3</v>
      </c>
      <c r="B2">
        <v>4</v>
      </c>
      <c r="C2" s="2">
        <f>B2-A2</f>
        <v>1</v>
      </c>
      <c r="D2" s="1">
        <f>(C2-$G$6)^2</f>
        <v>1.2860027633117237E-2</v>
      </c>
    </row>
    <row r="3" spans="1:7" x14ac:dyDescent="0.25">
      <c r="A3">
        <v>3</v>
      </c>
      <c r="B3">
        <v>3</v>
      </c>
      <c r="C3" s="2">
        <f t="shared" ref="C3:C66" si="0">B3-A3</f>
        <v>0</v>
      </c>
      <c r="D3" s="1">
        <f>(C3-$G$6)^2</f>
        <v>1.2396641513444575</v>
      </c>
      <c r="F3" s="5" t="s">
        <v>13</v>
      </c>
      <c r="G3" s="5"/>
    </row>
    <row r="4" spans="1:7" x14ac:dyDescent="0.25">
      <c r="A4">
        <v>5</v>
      </c>
      <c r="B4">
        <v>3</v>
      </c>
      <c r="C4" s="2">
        <f t="shared" si="0"/>
        <v>-2</v>
      </c>
      <c r="D4" s="1">
        <f>(C4-$G$6)^2</f>
        <v>9.6932723987671388</v>
      </c>
      <c r="F4" t="s">
        <v>3</v>
      </c>
      <c r="G4">
        <f>COUNT(A:A)</f>
        <v>97</v>
      </c>
    </row>
    <row r="5" spans="1:7" x14ac:dyDescent="0.25">
      <c r="A5">
        <v>3</v>
      </c>
      <c r="B5">
        <v>5</v>
      </c>
      <c r="C5" s="2">
        <f t="shared" si="0"/>
        <v>2</v>
      </c>
      <c r="D5" s="1">
        <f t="shared" ref="D5:D68" si="1">(C5-$G$6)^2</f>
        <v>0.78605590392177693</v>
      </c>
      <c r="F5" t="s">
        <v>2</v>
      </c>
      <c r="G5">
        <f>SUM(C:C)</f>
        <v>108</v>
      </c>
    </row>
    <row r="6" spans="1:7" x14ac:dyDescent="0.25">
      <c r="A6">
        <v>4</v>
      </c>
      <c r="B6">
        <v>3</v>
      </c>
      <c r="C6" s="2">
        <f t="shared" si="0"/>
        <v>-1</v>
      </c>
      <c r="D6" s="1">
        <f t="shared" si="1"/>
        <v>4.4664682750557976</v>
      </c>
      <c r="F6" t="s">
        <v>1</v>
      </c>
      <c r="G6">
        <f>G5/G4</f>
        <v>1.1134020618556701</v>
      </c>
    </row>
    <row r="7" spans="1:7" x14ac:dyDescent="0.25">
      <c r="A7">
        <v>2</v>
      </c>
      <c r="B7">
        <v>5</v>
      </c>
      <c r="C7" s="2">
        <f t="shared" si="0"/>
        <v>3</v>
      </c>
      <c r="D7" s="1">
        <f t="shared" si="1"/>
        <v>3.5592517802104369</v>
      </c>
      <c r="F7" t="s">
        <v>18</v>
      </c>
      <c r="G7">
        <f>SUM(D:D)</f>
        <v>275.75257731958772</v>
      </c>
    </row>
    <row r="8" spans="1:7" x14ac:dyDescent="0.25">
      <c r="A8">
        <v>4</v>
      </c>
      <c r="B8">
        <v>3</v>
      </c>
      <c r="C8" s="2">
        <f t="shared" si="0"/>
        <v>-1</v>
      </c>
      <c r="D8" s="1">
        <f t="shared" si="1"/>
        <v>4.4664682750557976</v>
      </c>
      <c r="F8" t="s">
        <v>4</v>
      </c>
      <c r="G8">
        <f>SQRT(G7/(G4-1))</f>
        <v>1.6948223152921877</v>
      </c>
    </row>
    <row r="9" spans="1:7" x14ac:dyDescent="0.25">
      <c r="A9">
        <v>3</v>
      </c>
      <c r="B9">
        <v>4</v>
      </c>
      <c r="C9" s="2">
        <f t="shared" si="0"/>
        <v>1</v>
      </c>
      <c r="D9" s="1">
        <f t="shared" si="1"/>
        <v>1.2860027633117237E-2</v>
      </c>
    </row>
    <row r="10" spans="1:7" x14ac:dyDescent="0.25">
      <c r="A10">
        <v>2</v>
      </c>
      <c r="B10">
        <v>5</v>
      </c>
      <c r="C10" s="2">
        <f t="shared" si="0"/>
        <v>3</v>
      </c>
      <c r="D10" s="1">
        <f t="shared" si="1"/>
        <v>3.5592517802104369</v>
      </c>
    </row>
    <row r="11" spans="1:7" x14ac:dyDescent="0.25">
      <c r="A11">
        <v>4</v>
      </c>
      <c r="B11">
        <v>1</v>
      </c>
      <c r="C11" s="2">
        <f t="shared" si="0"/>
        <v>-3</v>
      </c>
      <c r="D11" s="1">
        <f t="shared" si="1"/>
        <v>16.920076522478475</v>
      </c>
    </row>
    <row r="12" spans="1:7" x14ac:dyDescent="0.25">
      <c r="A12">
        <v>2</v>
      </c>
      <c r="B12">
        <v>4</v>
      </c>
      <c r="C12" s="2">
        <f t="shared" si="0"/>
        <v>2</v>
      </c>
      <c r="D12" s="1">
        <f t="shared" si="1"/>
        <v>0.78605590392177693</v>
      </c>
      <c r="F12" t="s">
        <v>8</v>
      </c>
      <c r="G12">
        <f>G6/(G8/SQRT(G4))</f>
        <v>6.4701405477733456</v>
      </c>
    </row>
    <row r="13" spans="1:7" x14ac:dyDescent="0.25">
      <c r="A13">
        <v>2</v>
      </c>
      <c r="B13">
        <v>4</v>
      </c>
      <c r="C13" s="2">
        <f t="shared" si="0"/>
        <v>2</v>
      </c>
      <c r="D13" s="1">
        <f t="shared" si="1"/>
        <v>0.78605590392177693</v>
      </c>
    </row>
    <row r="14" spans="1:7" x14ac:dyDescent="0.25">
      <c r="A14">
        <v>5</v>
      </c>
      <c r="B14">
        <v>5</v>
      </c>
      <c r="C14" s="2">
        <f t="shared" si="0"/>
        <v>0</v>
      </c>
      <c r="D14" s="1">
        <f t="shared" si="1"/>
        <v>1.2396641513444575</v>
      </c>
    </row>
    <row r="15" spans="1:7" x14ac:dyDescent="0.25">
      <c r="A15">
        <v>5</v>
      </c>
      <c r="B15">
        <v>5</v>
      </c>
      <c r="C15" s="2">
        <f t="shared" si="0"/>
        <v>0</v>
      </c>
      <c r="D15" s="1">
        <f t="shared" si="1"/>
        <v>1.2396641513444575</v>
      </c>
    </row>
    <row r="16" spans="1:7" x14ac:dyDescent="0.25">
      <c r="A16">
        <v>5</v>
      </c>
      <c r="B16">
        <v>3</v>
      </c>
      <c r="C16" s="2">
        <f t="shared" si="0"/>
        <v>-2</v>
      </c>
      <c r="D16" s="1">
        <f t="shared" si="1"/>
        <v>9.6932723987671388</v>
      </c>
    </row>
    <row r="17" spans="1:7" x14ac:dyDescent="0.25">
      <c r="A17">
        <v>5</v>
      </c>
      <c r="B17">
        <v>4</v>
      </c>
      <c r="C17" s="2">
        <f t="shared" si="0"/>
        <v>-1</v>
      </c>
      <c r="D17" s="1">
        <f t="shared" si="1"/>
        <v>4.4664682750557976</v>
      </c>
      <c r="F17" t="s">
        <v>5</v>
      </c>
      <c r="G17">
        <v>0.05</v>
      </c>
    </row>
    <row r="18" spans="1:7" x14ac:dyDescent="0.25">
      <c r="A18">
        <v>3</v>
      </c>
      <c r="B18">
        <v>5</v>
      </c>
      <c r="C18" s="2">
        <f t="shared" si="0"/>
        <v>2</v>
      </c>
      <c r="D18" s="1">
        <f t="shared" si="1"/>
        <v>0.78605590392177693</v>
      </c>
      <c r="F18" t="s">
        <v>6</v>
      </c>
      <c r="G18">
        <f>G4-1</f>
        <v>96</v>
      </c>
    </row>
    <row r="19" spans="1:7" x14ac:dyDescent="0.25">
      <c r="A19">
        <v>1</v>
      </c>
      <c r="B19">
        <v>5</v>
      </c>
      <c r="C19" s="2">
        <f t="shared" si="0"/>
        <v>4</v>
      </c>
      <c r="D19" s="1">
        <f t="shared" si="1"/>
        <v>8.332447656499097</v>
      </c>
    </row>
    <row r="20" spans="1:7" x14ac:dyDescent="0.25">
      <c r="A20">
        <v>3</v>
      </c>
      <c r="B20">
        <v>2</v>
      </c>
      <c r="C20" s="2">
        <f t="shared" si="0"/>
        <v>-1</v>
      </c>
      <c r="D20" s="1">
        <f t="shared" si="1"/>
        <v>4.4664682750557976</v>
      </c>
    </row>
    <row r="21" spans="1:7" x14ac:dyDescent="0.25">
      <c r="A21">
        <v>1</v>
      </c>
      <c r="B21">
        <v>4</v>
      </c>
      <c r="C21" s="2">
        <f t="shared" si="0"/>
        <v>3</v>
      </c>
      <c r="D21" s="1">
        <f t="shared" si="1"/>
        <v>3.5592517802104369</v>
      </c>
    </row>
    <row r="22" spans="1:7" x14ac:dyDescent="0.25">
      <c r="A22">
        <v>5</v>
      </c>
      <c r="B22">
        <v>5</v>
      </c>
      <c r="C22" s="2">
        <f t="shared" si="0"/>
        <v>0</v>
      </c>
      <c r="D22" s="1">
        <f t="shared" si="1"/>
        <v>1.2396641513444575</v>
      </c>
      <c r="F22" s="5" t="s">
        <v>7</v>
      </c>
      <c r="G22" s="5"/>
    </row>
    <row r="23" spans="1:7" x14ac:dyDescent="0.25">
      <c r="A23">
        <v>4</v>
      </c>
      <c r="B23">
        <v>3</v>
      </c>
      <c r="C23" s="2">
        <f t="shared" si="0"/>
        <v>-1</v>
      </c>
      <c r="D23" s="1">
        <f t="shared" si="1"/>
        <v>4.4664682750557976</v>
      </c>
      <c r="F23" t="s">
        <v>16</v>
      </c>
      <c r="G23">
        <f>_xlfn.T.INV.2T(G17,G18)</f>
        <v>1.9849843115224561</v>
      </c>
    </row>
    <row r="24" spans="1:7" x14ac:dyDescent="0.25">
      <c r="A24">
        <v>3</v>
      </c>
      <c r="B24">
        <v>4</v>
      </c>
      <c r="C24" s="2">
        <f t="shared" si="0"/>
        <v>1</v>
      </c>
      <c r="D24" s="1">
        <f t="shared" si="1"/>
        <v>1.2860027633117237E-2</v>
      </c>
      <c r="F24" t="s">
        <v>17</v>
      </c>
      <c r="G24">
        <f>_xlfn.T.INV(G17,G18)</f>
        <v>-1.6608814403248366</v>
      </c>
    </row>
    <row r="25" spans="1:7" x14ac:dyDescent="0.25">
      <c r="A25">
        <v>2</v>
      </c>
      <c r="B25">
        <v>5</v>
      </c>
      <c r="C25" s="2">
        <f t="shared" si="0"/>
        <v>3</v>
      </c>
      <c r="D25" s="1">
        <f t="shared" si="1"/>
        <v>3.5592517802104369</v>
      </c>
    </row>
    <row r="26" spans="1:7" x14ac:dyDescent="0.25">
      <c r="A26">
        <v>1</v>
      </c>
      <c r="B26">
        <v>5</v>
      </c>
      <c r="C26" s="2">
        <f t="shared" si="0"/>
        <v>4</v>
      </c>
      <c r="D26" s="1">
        <f t="shared" si="1"/>
        <v>8.332447656499097</v>
      </c>
    </row>
    <row r="27" spans="1:7" x14ac:dyDescent="0.25">
      <c r="A27">
        <v>3</v>
      </c>
      <c r="B27">
        <v>4</v>
      </c>
      <c r="C27" s="2">
        <f t="shared" si="0"/>
        <v>1</v>
      </c>
      <c r="D27" s="1">
        <f t="shared" si="1"/>
        <v>1.2860027633117237E-2</v>
      </c>
      <c r="F27" s="5" t="s">
        <v>9</v>
      </c>
      <c r="G27" s="5"/>
    </row>
    <row r="28" spans="1:7" x14ac:dyDescent="0.25">
      <c r="A28">
        <v>3</v>
      </c>
      <c r="B28">
        <v>2</v>
      </c>
      <c r="C28" s="2">
        <f t="shared" si="0"/>
        <v>-1</v>
      </c>
      <c r="D28" s="1">
        <f t="shared" si="1"/>
        <v>4.4664682750557976</v>
      </c>
      <c r="F28" t="s">
        <v>9</v>
      </c>
    </row>
    <row r="29" spans="1:7" x14ac:dyDescent="0.25">
      <c r="A29">
        <v>2</v>
      </c>
      <c r="B29">
        <v>4</v>
      </c>
      <c r="C29" s="2">
        <f t="shared" si="0"/>
        <v>2</v>
      </c>
      <c r="D29" s="1">
        <f t="shared" si="1"/>
        <v>0.78605590392177693</v>
      </c>
      <c r="F29" t="s">
        <v>15</v>
      </c>
      <c r="G29">
        <f>TTEST(A:A,B:B,2,1)</f>
        <v>4.115439195563876E-9</v>
      </c>
    </row>
    <row r="30" spans="1:7" x14ac:dyDescent="0.25">
      <c r="A30">
        <v>5</v>
      </c>
      <c r="B30">
        <v>4</v>
      </c>
      <c r="C30" s="2">
        <f t="shared" si="0"/>
        <v>-1</v>
      </c>
      <c r="D30" s="1">
        <f t="shared" si="1"/>
        <v>4.4664682750557976</v>
      </c>
      <c r="F30" t="s">
        <v>19</v>
      </c>
      <c r="G30">
        <f>TTEST(A:A,B:B,1,1)</f>
        <v>2.057719597781938E-9</v>
      </c>
    </row>
    <row r="31" spans="1:7" x14ac:dyDescent="0.25">
      <c r="A31">
        <v>1</v>
      </c>
      <c r="B31">
        <v>5</v>
      </c>
      <c r="C31" s="2">
        <f t="shared" si="0"/>
        <v>4</v>
      </c>
      <c r="D31" s="1">
        <f t="shared" si="1"/>
        <v>8.332447656499097</v>
      </c>
    </row>
    <row r="32" spans="1:7" x14ac:dyDescent="0.25">
      <c r="A32">
        <v>3</v>
      </c>
      <c r="B32">
        <v>5</v>
      </c>
      <c r="C32" s="2">
        <f t="shared" si="0"/>
        <v>2</v>
      </c>
      <c r="D32" s="1">
        <f t="shared" si="1"/>
        <v>0.78605590392177693</v>
      </c>
    </row>
    <row r="33" spans="1:7" x14ac:dyDescent="0.25">
      <c r="A33">
        <v>3</v>
      </c>
      <c r="B33">
        <v>4</v>
      </c>
      <c r="C33" s="2">
        <f t="shared" si="0"/>
        <v>1</v>
      </c>
      <c r="D33" s="1">
        <f t="shared" si="1"/>
        <v>1.2860027633117237E-2</v>
      </c>
      <c r="F33" s="8" t="s">
        <v>12</v>
      </c>
      <c r="G33" s="8"/>
    </row>
    <row r="34" spans="1:7" x14ac:dyDescent="0.25">
      <c r="A34">
        <v>5</v>
      </c>
      <c r="B34">
        <v>5</v>
      </c>
      <c r="C34" s="2">
        <f t="shared" si="0"/>
        <v>0</v>
      </c>
      <c r="D34" s="1">
        <f t="shared" si="1"/>
        <v>1.2396641513444575</v>
      </c>
    </row>
    <row r="35" spans="1:7" x14ac:dyDescent="0.25">
      <c r="A35">
        <v>3</v>
      </c>
      <c r="B35">
        <v>5</v>
      </c>
      <c r="C35" s="2">
        <f t="shared" si="0"/>
        <v>2</v>
      </c>
      <c r="D35" s="1">
        <f t="shared" si="1"/>
        <v>0.78605590392177693</v>
      </c>
      <c r="F35" t="s">
        <v>10</v>
      </c>
    </row>
    <row r="36" spans="1:7" x14ac:dyDescent="0.25">
      <c r="A36">
        <v>4</v>
      </c>
      <c r="B36">
        <v>5</v>
      </c>
      <c r="C36" s="2">
        <f t="shared" si="0"/>
        <v>1</v>
      </c>
      <c r="D36" s="1">
        <f t="shared" si="1"/>
        <v>1.2860027633117237E-2</v>
      </c>
      <c r="F36" t="s">
        <v>11</v>
      </c>
    </row>
    <row r="37" spans="1:7" x14ac:dyDescent="0.25">
      <c r="A37">
        <v>3</v>
      </c>
      <c r="B37">
        <v>4</v>
      </c>
      <c r="C37" s="2">
        <f t="shared" si="0"/>
        <v>1</v>
      </c>
      <c r="D37" s="1">
        <f t="shared" si="1"/>
        <v>1.2860027633117237E-2</v>
      </c>
    </row>
    <row r="38" spans="1:7" x14ac:dyDescent="0.25">
      <c r="A38">
        <v>4</v>
      </c>
      <c r="B38">
        <v>4</v>
      </c>
      <c r="C38" s="2">
        <f t="shared" si="0"/>
        <v>0</v>
      </c>
      <c r="D38" s="1">
        <f t="shared" si="1"/>
        <v>1.2396641513444575</v>
      </c>
    </row>
    <row r="39" spans="1:7" x14ac:dyDescent="0.25">
      <c r="A39">
        <v>2</v>
      </c>
      <c r="B39">
        <v>5</v>
      </c>
      <c r="C39" s="2">
        <f t="shared" si="0"/>
        <v>3</v>
      </c>
      <c r="D39" s="1">
        <f t="shared" si="1"/>
        <v>3.5592517802104369</v>
      </c>
    </row>
    <row r="40" spans="1:7" x14ac:dyDescent="0.25">
      <c r="A40">
        <v>4</v>
      </c>
      <c r="B40">
        <v>5</v>
      </c>
      <c r="C40" s="2">
        <f t="shared" si="0"/>
        <v>1</v>
      </c>
      <c r="D40" s="1">
        <f t="shared" si="1"/>
        <v>1.2860027633117237E-2</v>
      </c>
      <c r="F40" t="s">
        <v>14</v>
      </c>
    </row>
    <row r="41" spans="1:7" x14ac:dyDescent="0.25">
      <c r="A41">
        <v>5</v>
      </c>
      <c r="B41">
        <v>5</v>
      </c>
      <c r="C41" s="2">
        <f t="shared" si="0"/>
        <v>0</v>
      </c>
      <c r="D41" s="1">
        <f t="shared" si="1"/>
        <v>1.2396641513444575</v>
      </c>
      <c r="F41" t="str">
        <f>"Dos Colas: Si t calculado ("&amp;G12&amp;") &gt; a t critico  ("&amp;G23&amp;") (de tabla) ---&gt; Se rechaza la hipotesis nula"</f>
        <v>Dos Colas: Si t calculado (6.47014054777335) &gt; a t critico  (1.98498431152246) (de tabla) ---&gt; Se rechaza la hipotesis nula</v>
      </c>
    </row>
    <row r="42" spans="1:7" x14ac:dyDescent="0.25">
      <c r="A42">
        <v>1</v>
      </c>
      <c r="B42">
        <v>5</v>
      </c>
      <c r="C42" s="2">
        <f t="shared" si="0"/>
        <v>4</v>
      </c>
      <c r="D42" s="1">
        <f t="shared" si="1"/>
        <v>8.332447656499097</v>
      </c>
      <c r="F42" t="str">
        <f>"Una Cola: Si t calculado ("&amp;G12&amp;") &gt; a t critico  ("&amp;G24&amp;") (de tabla) ---&gt; Se rechaza la hipotesis nula"</f>
        <v>Una Cola: Si t calculado (6.47014054777335) &gt; a t critico  (-1.66088144032484) (de tabla) ---&gt; Se rechaza la hipotesis nula</v>
      </c>
    </row>
    <row r="43" spans="1:7" x14ac:dyDescent="0.25">
      <c r="A43">
        <v>3</v>
      </c>
      <c r="B43">
        <v>5</v>
      </c>
      <c r="C43" s="2">
        <f t="shared" si="0"/>
        <v>2</v>
      </c>
      <c r="D43" s="1">
        <f t="shared" si="1"/>
        <v>0.78605590392177693</v>
      </c>
    </row>
    <row r="44" spans="1:7" x14ac:dyDescent="0.25">
      <c r="A44">
        <v>3</v>
      </c>
      <c r="B44">
        <v>3</v>
      </c>
      <c r="C44" s="2">
        <f t="shared" si="0"/>
        <v>0</v>
      </c>
      <c r="D44" s="1">
        <f t="shared" si="1"/>
        <v>1.2396641513444575</v>
      </c>
    </row>
    <row r="45" spans="1:7" x14ac:dyDescent="0.25">
      <c r="A45">
        <v>4</v>
      </c>
      <c r="B45">
        <v>3</v>
      </c>
      <c r="C45" s="2">
        <f t="shared" si="0"/>
        <v>-1</v>
      </c>
      <c r="D45" s="1">
        <f t="shared" si="1"/>
        <v>4.4664682750557976</v>
      </c>
    </row>
    <row r="46" spans="1:7" x14ac:dyDescent="0.25">
      <c r="A46">
        <v>3</v>
      </c>
      <c r="B46">
        <v>4</v>
      </c>
      <c r="C46" s="2">
        <f t="shared" si="0"/>
        <v>1</v>
      </c>
      <c r="D46" s="1">
        <f t="shared" si="1"/>
        <v>1.2860027633117237E-2</v>
      </c>
      <c r="F46" t="s">
        <v>20</v>
      </c>
    </row>
    <row r="47" spans="1:7" x14ac:dyDescent="0.25">
      <c r="A47">
        <v>3</v>
      </c>
      <c r="B47">
        <v>4</v>
      </c>
      <c r="C47" s="2">
        <f t="shared" si="0"/>
        <v>1</v>
      </c>
      <c r="D47" s="1">
        <f t="shared" si="1"/>
        <v>1.2860027633117237E-2</v>
      </c>
      <c r="F47" t="str">
        <f>"Dos Colas: Si p valor ("&amp;G29&amp;") &lt; Nivel Significancia ("&amp;G17&amp;") ---&gt; Se rechaza la hipotesis nula"</f>
        <v>Dos Colas: Si p valor (4.11543919556388E-09) &lt; Nivel Significancia (0.05) ---&gt; Se rechaza la hipotesis nula</v>
      </c>
    </row>
    <row r="48" spans="1:7" x14ac:dyDescent="0.25">
      <c r="A48">
        <v>5</v>
      </c>
      <c r="B48">
        <v>2</v>
      </c>
      <c r="C48" s="2">
        <f t="shared" si="0"/>
        <v>-3</v>
      </c>
      <c r="D48" s="1">
        <f t="shared" si="1"/>
        <v>16.920076522478475</v>
      </c>
      <c r="F48" t="str">
        <f>"Una Cola: Si p valor ("&amp;G30&amp;") &lt; Nivel Significancia ("&amp;G17&amp;") ---&gt; Se rechaza la hipotesis nula"</f>
        <v>Una Cola: Si p valor (2.05771959778194E-09) &lt; Nivel Significancia (0.05) ---&gt; Se rechaza la hipotesis nula</v>
      </c>
    </row>
    <row r="49" spans="1:4" x14ac:dyDescent="0.25">
      <c r="A49">
        <v>3</v>
      </c>
      <c r="B49">
        <v>4</v>
      </c>
      <c r="C49" s="2">
        <f t="shared" si="0"/>
        <v>1</v>
      </c>
      <c r="D49" s="1">
        <f t="shared" si="1"/>
        <v>1.2860027633117237E-2</v>
      </c>
    </row>
    <row r="50" spans="1:4" x14ac:dyDescent="0.25">
      <c r="A50">
        <v>3</v>
      </c>
      <c r="B50">
        <v>3</v>
      </c>
      <c r="C50" s="2">
        <f t="shared" si="0"/>
        <v>0</v>
      </c>
      <c r="D50" s="1">
        <f t="shared" si="1"/>
        <v>1.2396641513444575</v>
      </c>
    </row>
    <row r="51" spans="1:4" x14ac:dyDescent="0.25">
      <c r="A51">
        <v>4</v>
      </c>
      <c r="B51">
        <v>5</v>
      </c>
      <c r="C51" s="2">
        <f t="shared" si="0"/>
        <v>1</v>
      </c>
      <c r="D51" s="1">
        <f t="shared" si="1"/>
        <v>1.2860027633117237E-2</v>
      </c>
    </row>
    <row r="52" spans="1:4" x14ac:dyDescent="0.25">
      <c r="A52">
        <v>2</v>
      </c>
      <c r="B52">
        <v>5</v>
      </c>
      <c r="C52" s="2">
        <f t="shared" si="0"/>
        <v>3</v>
      </c>
      <c r="D52" s="1">
        <f t="shared" si="1"/>
        <v>3.5592517802104369</v>
      </c>
    </row>
    <row r="53" spans="1:4" x14ac:dyDescent="0.25">
      <c r="A53">
        <v>3</v>
      </c>
      <c r="B53">
        <v>5</v>
      </c>
      <c r="C53" s="2">
        <f t="shared" si="0"/>
        <v>2</v>
      </c>
      <c r="D53" s="1">
        <f t="shared" si="1"/>
        <v>0.78605590392177693</v>
      </c>
    </row>
    <row r="54" spans="1:4" x14ac:dyDescent="0.25">
      <c r="A54">
        <v>2</v>
      </c>
      <c r="B54">
        <v>2</v>
      </c>
      <c r="C54" s="2">
        <f t="shared" si="0"/>
        <v>0</v>
      </c>
      <c r="D54" s="1">
        <f t="shared" si="1"/>
        <v>1.2396641513444575</v>
      </c>
    </row>
    <row r="55" spans="1:4" x14ac:dyDescent="0.25">
      <c r="A55">
        <v>3</v>
      </c>
      <c r="B55">
        <v>5</v>
      </c>
      <c r="C55" s="2">
        <f t="shared" si="0"/>
        <v>2</v>
      </c>
      <c r="D55" s="1">
        <f t="shared" si="1"/>
        <v>0.78605590392177693</v>
      </c>
    </row>
    <row r="56" spans="1:4" x14ac:dyDescent="0.25">
      <c r="A56">
        <v>3</v>
      </c>
      <c r="B56">
        <v>5</v>
      </c>
      <c r="C56" s="2">
        <f t="shared" si="0"/>
        <v>2</v>
      </c>
      <c r="D56" s="1">
        <f t="shared" si="1"/>
        <v>0.78605590392177693</v>
      </c>
    </row>
    <row r="57" spans="1:4" x14ac:dyDescent="0.25">
      <c r="A57">
        <v>3</v>
      </c>
      <c r="B57">
        <v>5</v>
      </c>
      <c r="C57" s="2">
        <f t="shared" si="0"/>
        <v>2</v>
      </c>
      <c r="D57" s="1">
        <f t="shared" si="1"/>
        <v>0.78605590392177693</v>
      </c>
    </row>
    <row r="58" spans="1:4" x14ac:dyDescent="0.25">
      <c r="A58">
        <v>2</v>
      </c>
      <c r="B58">
        <v>3</v>
      </c>
      <c r="C58" s="2">
        <f t="shared" si="0"/>
        <v>1</v>
      </c>
      <c r="D58" s="1">
        <f t="shared" si="1"/>
        <v>1.2860027633117237E-2</v>
      </c>
    </row>
    <row r="59" spans="1:4" x14ac:dyDescent="0.25">
      <c r="A59">
        <v>1</v>
      </c>
      <c r="B59">
        <v>3</v>
      </c>
      <c r="C59" s="2">
        <f t="shared" si="0"/>
        <v>2</v>
      </c>
      <c r="D59" s="1">
        <f t="shared" si="1"/>
        <v>0.78605590392177693</v>
      </c>
    </row>
    <row r="60" spans="1:4" x14ac:dyDescent="0.25">
      <c r="A60">
        <v>1</v>
      </c>
      <c r="B60">
        <v>5</v>
      </c>
      <c r="C60" s="2">
        <f t="shared" si="0"/>
        <v>4</v>
      </c>
      <c r="D60" s="1">
        <f t="shared" si="1"/>
        <v>8.332447656499097</v>
      </c>
    </row>
    <row r="61" spans="1:4" x14ac:dyDescent="0.25">
      <c r="A61">
        <v>2</v>
      </c>
      <c r="B61">
        <v>4</v>
      </c>
      <c r="C61" s="2">
        <f t="shared" si="0"/>
        <v>2</v>
      </c>
      <c r="D61" s="1">
        <f t="shared" si="1"/>
        <v>0.78605590392177693</v>
      </c>
    </row>
    <row r="62" spans="1:4" x14ac:dyDescent="0.25">
      <c r="A62">
        <v>2</v>
      </c>
      <c r="B62">
        <v>5</v>
      </c>
      <c r="C62" s="2">
        <f t="shared" si="0"/>
        <v>3</v>
      </c>
      <c r="D62" s="1">
        <f t="shared" si="1"/>
        <v>3.5592517802104369</v>
      </c>
    </row>
    <row r="63" spans="1:4" x14ac:dyDescent="0.25">
      <c r="A63">
        <v>3</v>
      </c>
      <c r="B63">
        <v>5</v>
      </c>
      <c r="C63" s="2">
        <f t="shared" si="0"/>
        <v>2</v>
      </c>
      <c r="D63" s="1">
        <f t="shared" si="1"/>
        <v>0.78605590392177693</v>
      </c>
    </row>
    <row r="64" spans="1:4" x14ac:dyDescent="0.25">
      <c r="A64">
        <v>4</v>
      </c>
      <c r="B64">
        <v>4</v>
      </c>
      <c r="C64" s="2">
        <f t="shared" si="0"/>
        <v>0</v>
      </c>
      <c r="D64" s="1">
        <f t="shared" si="1"/>
        <v>1.2396641513444575</v>
      </c>
    </row>
    <row r="65" spans="1:4" x14ac:dyDescent="0.25">
      <c r="A65">
        <v>2</v>
      </c>
      <c r="B65">
        <v>5</v>
      </c>
      <c r="C65" s="2">
        <f t="shared" si="0"/>
        <v>3</v>
      </c>
      <c r="D65" s="1">
        <f t="shared" si="1"/>
        <v>3.5592517802104369</v>
      </c>
    </row>
    <row r="66" spans="1:4" x14ac:dyDescent="0.25">
      <c r="A66">
        <v>2</v>
      </c>
      <c r="B66">
        <v>5</v>
      </c>
      <c r="C66" s="2">
        <f t="shared" si="0"/>
        <v>3</v>
      </c>
      <c r="D66" s="1">
        <f t="shared" si="1"/>
        <v>3.5592517802104369</v>
      </c>
    </row>
    <row r="67" spans="1:4" x14ac:dyDescent="0.25">
      <c r="A67">
        <v>2</v>
      </c>
      <c r="B67">
        <v>4</v>
      </c>
      <c r="C67" s="2">
        <f t="shared" ref="C67:C98" si="2">B67-A67</f>
        <v>2</v>
      </c>
      <c r="D67" s="1">
        <f t="shared" si="1"/>
        <v>0.78605590392177693</v>
      </c>
    </row>
    <row r="68" spans="1:4" x14ac:dyDescent="0.25">
      <c r="A68">
        <v>4</v>
      </c>
      <c r="B68">
        <v>4</v>
      </c>
      <c r="C68" s="2">
        <f t="shared" si="2"/>
        <v>0</v>
      </c>
      <c r="D68" s="1">
        <f t="shared" si="1"/>
        <v>1.2396641513444575</v>
      </c>
    </row>
    <row r="69" spans="1:4" x14ac:dyDescent="0.25">
      <c r="A69">
        <v>2</v>
      </c>
      <c r="B69">
        <v>5</v>
      </c>
      <c r="C69" s="2">
        <f t="shared" si="2"/>
        <v>3</v>
      </c>
      <c r="D69" s="1">
        <f t="shared" ref="D69:D98" si="3">(C69-$G$6)^2</f>
        <v>3.5592517802104369</v>
      </c>
    </row>
    <row r="70" spans="1:4" x14ac:dyDescent="0.25">
      <c r="A70">
        <v>1</v>
      </c>
      <c r="B70">
        <v>3</v>
      </c>
      <c r="C70" s="2">
        <f t="shared" si="2"/>
        <v>2</v>
      </c>
      <c r="D70" s="1">
        <f t="shared" si="3"/>
        <v>0.78605590392177693</v>
      </c>
    </row>
    <row r="71" spans="1:4" x14ac:dyDescent="0.25">
      <c r="A71">
        <v>3</v>
      </c>
      <c r="B71">
        <v>2</v>
      </c>
      <c r="C71" s="2">
        <f t="shared" si="2"/>
        <v>-1</v>
      </c>
      <c r="D71" s="1">
        <f t="shared" si="3"/>
        <v>4.4664682750557976</v>
      </c>
    </row>
    <row r="72" spans="1:4" x14ac:dyDescent="0.25">
      <c r="A72">
        <v>4</v>
      </c>
      <c r="B72">
        <v>3</v>
      </c>
      <c r="C72" s="2">
        <f t="shared" si="2"/>
        <v>-1</v>
      </c>
      <c r="D72" s="1">
        <f t="shared" si="3"/>
        <v>4.4664682750557976</v>
      </c>
    </row>
    <row r="73" spans="1:4" x14ac:dyDescent="0.25">
      <c r="A73">
        <v>3</v>
      </c>
      <c r="B73">
        <v>5</v>
      </c>
      <c r="C73" s="2">
        <f t="shared" si="2"/>
        <v>2</v>
      </c>
      <c r="D73" s="1">
        <f t="shared" si="3"/>
        <v>0.78605590392177693</v>
      </c>
    </row>
    <row r="74" spans="1:4" x14ac:dyDescent="0.25">
      <c r="A74">
        <v>2</v>
      </c>
      <c r="B74">
        <v>5</v>
      </c>
      <c r="C74" s="2">
        <f t="shared" si="2"/>
        <v>3</v>
      </c>
      <c r="D74" s="1">
        <f t="shared" si="3"/>
        <v>3.5592517802104369</v>
      </c>
    </row>
    <row r="75" spans="1:4" x14ac:dyDescent="0.25">
      <c r="A75">
        <v>3</v>
      </c>
      <c r="B75">
        <v>4</v>
      </c>
      <c r="C75" s="2">
        <f t="shared" si="2"/>
        <v>1</v>
      </c>
      <c r="D75" s="1">
        <f t="shared" si="3"/>
        <v>1.2860027633117237E-2</v>
      </c>
    </row>
    <row r="76" spans="1:4" x14ac:dyDescent="0.25">
      <c r="A76">
        <v>3</v>
      </c>
      <c r="B76">
        <v>5</v>
      </c>
      <c r="C76" s="2">
        <f t="shared" si="2"/>
        <v>2</v>
      </c>
      <c r="D76" s="1">
        <f t="shared" si="3"/>
        <v>0.78605590392177693</v>
      </c>
    </row>
    <row r="77" spans="1:4" x14ac:dyDescent="0.25">
      <c r="A77">
        <v>2</v>
      </c>
      <c r="B77">
        <v>5</v>
      </c>
      <c r="C77" s="2">
        <f t="shared" si="2"/>
        <v>3</v>
      </c>
      <c r="D77" s="1">
        <f t="shared" si="3"/>
        <v>3.5592517802104369</v>
      </c>
    </row>
    <row r="78" spans="1:4" x14ac:dyDescent="0.25">
      <c r="A78">
        <v>3</v>
      </c>
      <c r="B78">
        <v>4</v>
      </c>
      <c r="C78" s="2">
        <f t="shared" si="2"/>
        <v>1</v>
      </c>
      <c r="D78" s="1">
        <f t="shared" si="3"/>
        <v>1.2860027633117237E-2</v>
      </c>
    </row>
    <row r="79" spans="1:4" x14ac:dyDescent="0.25">
      <c r="A79">
        <v>4</v>
      </c>
      <c r="B79">
        <v>5</v>
      </c>
      <c r="C79" s="2">
        <f t="shared" si="2"/>
        <v>1</v>
      </c>
      <c r="D79" s="1">
        <f t="shared" si="3"/>
        <v>1.2860027633117237E-2</v>
      </c>
    </row>
    <row r="80" spans="1:4" x14ac:dyDescent="0.25">
      <c r="A80">
        <v>4</v>
      </c>
      <c r="B80">
        <v>5</v>
      </c>
      <c r="C80" s="2">
        <f t="shared" si="2"/>
        <v>1</v>
      </c>
      <c r="D80" s="1">
        <f t="shared" si="3"/>
        <v>1.2860027633117237E-2</v>
      </c>
    </row>
    <row r="81" spans="1:6" x14ac:dyDescent="0.25">
      <c r="A81">
        <v>3</v>
      </c>
      <c r="B81">
        <v>4</v>
      </c>
      <c r="C81" s="2">
        <f t="shared" si="2"/>
        <v>1</v>
      </c>
      <c r="D81" s="1">
        <f t="shared" si="3"/>
        <v>1.2860027633117237E-2</v>
      </c>
    </row>
    <row r="82" spans="1:6" x14ac:dyDescent="0.25">
      <c r="A82">
        <v>2</v>
      </c>
      <c r="B82">
        <v>1</v>
      </c>
      <c r="C82" s="2">
        <f t="shared" si="2"/>
        <v>-1</v>
      </c>
      <c r="D82" s="1">
        <f t="shared" si="3"/>
        <v>4.4664682750557976</v>
      </c>
    </row>
    <row r="83" spans="1:6" x14ac:dyDescent="0.25">
      <c r="A83">
        <v>5</v>
      </c>
      <c r="B83">
        <v>2</v>
      </c>
      <c r="C83" s="2">
        <f t="shared" si="2"/>
        <v>-3</v>
      </c>
      <c r="D83" s="1">
        <f t="shared" si="3"/>
        <v>16.920076522478475</v>
      </c>
    </row>
    <row r="84" spans="1:6" x14ac:dyDescent="0.25">
      <c r="A84">
        <v>3</v>
      </c>
      <c r="B84">
        <v>5</v>
      </c>
      <c r="C84" s="2">
        <f t="shared" si="2"/>
        <v>2</v>
      </c>
      <c r="D84" s="1">
        <f t="shared" si="3"/>
        <v>0.78605590392177693</v>
      </c>
    </row>
    <row r="85" spans="1:6" x14ac:dyDescent="0.25">
      <c r="A85">
        <v>3</v>
      </c>
      <c r="B85">
        <v>4</v>
      </c>
      <c r="C85" s="2">
        <f t="shared" si="2"/>
        <v>1</v>
      </c>
      <c r="D85" s="1">
        <f t="shared" si="3"/>
        <v>1.2860027633117237E-2</v>
      </c>
    </row>
    <row r="86" spans="1:6" x14ac:dyDescent="0.25">
      <c r="A86">
        <v>4</v>
      </c>
      <c r="B86">
        <v>4</v>
      </c>
      <c r="C86" s="2">
        <f t="shared" si="2"/>
        <v>0</v>
      </c>
      <c r="D86" s="1">
        <f t="shared" si="3"/>
        <v>1.2396641513444575</v>
      </c>
    </row>
    <row r="87" spans="1:6" x14ac:dyDescent="0.25">
      <c r="A87">
        <v>3</v>
      </c>
      <c r="B87">
        <v>3</v>
      </c>
      <c r="C87" s="2">
        <f t="shared" si="2"/>
        <v>0</v>
      </c>
      <c r="D87" s="1">
        <f t="shared" si="3"/>
        <v>1.2396641513444575</v>
      </c>
    </row>
    <row r="88" spans="1:6" x14ac:dyDescent="0.25">
      <c r="A88">
        <v>1</v>
      </c>
      <c r="B88">
        <v>5</v>
      </c>
      <c r="C88" s="2">
        <f t="shared" si="2"/>
        <v>4</v>
      </c>
      <c r="D88" s="1">
        <f t="shared" si="3"/>
        <v>8.332447656499097</v>
      </c>
    </row>
    <row r="89" spans="1:6" x14ac:dyDescent="0.25">
      <c r="A89">
        <v>3</v>
      </c>
      <c r="B89">
        <v>3</v>
      </c>
      <c r="C89" s="2">
        <f t="shared" si="2"/>
        <v>0</v>
      </c>
      <c r="D89" s="1">
        <f t="shared" si="3"/>
        <v>1.2396641513444575</v>
      </c>
    </row>
    <row r="90" spans="1:6" x14ac:dyDescent="0.25">
      <c r="A90">
        <v>3</v>
      </c>
      <c r="B90">
        <v>1</v>
      </c>
      <c r="C90" s="2">
        <f t="shared" si="2"/>
        <v>-2</v>
      </c>
      <c r="D90" s="1">
        <f t="shared" si="3"/>
        <v>9.6932723987671388</v>
      </c>
    </row>
    <row r="91" spans="1:6" x14ac:dyDescent="0.25">
      <c r="A91">
        <v>1</v>
      </c>
      <c r="B91">
        <v>4</v>
      </c>
      <c r="C91" s="2">
        <f t="shared" si="2"/>
        <v>3</v>
      </c>
      <c r="D91" s="1">
        <f t="shared" si="3"/>
        <v>3.5592517802104369</v>
      </c>
    </row>
    <row r="92" spans="1:6" x14ac:dyDescent="0.25">
      <c r="A92">
        <v>3</v>
      </c>
      <c r="B92">
        <v>4</v>
      </c>
      <c r="C92" s="2">
        <f t="shared" si="2"/>
        <v>1</v>
      </c>
      <c r="D92" s="1">
        <f t="shared" si="3"/>
        <v>1.2860027633117237E-2</v>
      </c>
    </row>
    <row r="93" spans="1:6" x14ac:dyDescent="0.25">
      <c r="A93">
        <v>2</v>
      </c>
      <c r="B93">
        <v>5</v>
      </c>
      <c r="C93" s="2">
        <f t="shared" si="2"/>
        <v>3</v>
      </c>
      <c r="D93" s="1">
        <f t="shared" si="3"/>
        <v>3.5592517802104369</v>
      </c>
      <c r="F93" s="6"/>
    </row>
    <row r="94" spans="1:6" x14ac:dyDescent="0.25">
      <c r="A94">
        <v>3</v>
      </c>
      <c r="B94">
        <v>2</v>
      </c>
      <c r="C94" s="2">
        <f t="shared" si="2"/>
        <v>-1</v>
      </c>
      <c r="D94" s="1">
        <f t="shared" si="3"/>
        <v>4.4664682750557976</v>
      </c>
    </row>
    <row r="95" spans="1:6" x14ac:dyDescent="0.25">
      <c r="A95">
        <v>2</v>
      </c>
      <c r="B95">
        <v>5</v>
      </c>
      <c r="C95" s="2">
        <f t="shared" si="2"/>
        <v>3</v>
      </c>
      <c r="D95" s="1">
        <f t="shared" si="3"/>
        <v>3.5592517802104369</v>
      </c>
    </row>
    <row r="96" spans="1:6" x14ac:dyDescent="0.25">
      <c r="A96">
        <v>4</v>
      </c>
      <c r="B96">
        <v>5</v>
      </c>
      <c r="C96" s="2">
        <f t="shared" si="2"/>
        <v>1</v>
      </c>
      <c r="D96" s="1">
        <f t="shared" si="3"/>
        <v>1.2860027633117237E-2</v>
      </c>
    </row>
    <row r="97" spans="1:4" x14ac:dyDescent="0.25">
      <c r="A97">
        <v>2</v>
      </c>
      <c r="B97">
        <v>5</v>
      </c>
      <c r="C97" s="2">
        <f t="shared" si="2"/>
        <v>3</v>
      </c>
      <c r="D97" s="1">
        <f t="shared" si="3"/>
        <v>3.5592517802104369</v>
      </c>
    </row>
    <row r="98" spans="1:4" x14ac:dyDescent="0.25">
      <c r="A98">
        <v>3</v>
      </c>
      <c r="B98">
        <v>5</v>
      </c>
      <c r="C98" s="2">
        <f t="shared" si="2"/>
        <v>2</v>
      </c>
      <c r="D98" s="1">
        <f t="shared" si="3"/>
        <v>0.78605590392177693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zoomScale="115" zoomScaleNormal="115" workbookViewId="0">
      <selection activeCell="B6" sqref="B6"/>
    </sheetView>
  </sheetViews>
  <sheetFormatPr baseColWidth="10" defaultColWidth="9.140625" defaultRowHeight="15" x14ac:dyDescent="0.25"/>
  <cols>
    <col min="1" max="1" width="29.5703125" style="1" customWidth="1"/>
    <col min="2" max="2" width="30.7109375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75" x14ac:dyDescent="0.25">
      <c r="A1" s="7" t="s">
        <v>47</v>
      </c>
      <c r="B1" s="10" t="s">
        <v>58</v>
      </c>
      <c r="C1" s="4" t="s">
        <v>0</v>
      </c>
      <c r="D1" s="4"/>
    </row>
    <row r="2" spans="1:7" x14ac:dyDescent="0.25">
      <c r="A2">
        <v>1</v>
      </c>
      <c r="B2">
        <v>5</v>
      </c>
      <c r="C2" s="2">
        <f>B2-A2</f>
        <v>4</v>
      </c>
      <c r="D2" s="1">
        <f>(C2-$G$6)^2</f>
        <v>7.7479009459028587</v>
      </c>
    </row>
    <row r="3" spans="1:7" x14ac:dyDescent="0.25">
      <c r="A3">
        <v>1</v>
      </c>
      <c r="B3">
        <v>5</v>
      </c>
      <c r="C3" s="2">
        <f t="shared" ref="C3:C66" si="0">B3-A3</f>
        <v>4</v>
      </c>
      <c r="D3" s="1">
        <f>(C3-$G$6)^2</f>
        <v>7.7479009459028587</v>
      </c>
      <c r="F3" s="5" t="s">
        <v>13</v>
      </c>
      <c r="G3" s="5"/>
    </row>
    <row r="4" spans="1:7" x14ac:dyDescent="0.25">
      <c r="A4">
        <v>3</v>
      </c>
      <c r="B4">
        <v>4</v>
      </c>
      <c r="C4" s="2">
        <f t="shared" si="0"/>
        <v>1</v>
      </c>
      <c r="D4" s="1">
        <f>(C4-$G$6)^2</f>
        <v>4.6870018067807377E-2</v>
      </c>
      <c r="F4" t="s">
        <v>3</v>
      </c>
      <c r="G4">
        <f>COUNT(A:A)</f>
        <v>97</v>
      </c>
    </row>
    <row r="5" spans="1:7" x14ac:dyDescent="0.25">
      <c r="A5">
        <v>3</v>
      </c>
      <c r="B5">
        <v>2</v>
      </c>
      <c r="C5" s="2">
        <f t="shared" si="0"/>
        <v>-1</v>
      </c>
      <c r="D5" s="1">
        <f t="shared" ref="D5:D68" si="1">(C5-$G$6)^2</f>
        <v>4.9128493995111073</v>
      </c>
      <c r="F5" t="s">
        <v>2</v>
      </c>
      <c r="G5">
        <f>SUM(C:C)</f>
        <v>118</v>
      </c>
    </row>
    <row r="6" spans="1:7" x14ac:dyDescent="0.25">
      <c r="A6">
        <v>1</v>
      </c>
      <c r="B6">
        <v>3</v>
      </c>
      <c r="C6" s="2">
        <f t="shared" si="0"/>
        <v>2</v>
      </c>
      <c r="D6" s="1">
        <f t="shared" si="1"/>
        <v>0.61388032734615805</v>
      </c>
      <c r="F6" t="s">
        <v>1</v>
      </c>
      <c r="G6">
        <f>G5/G4</f>
        <v>1.2164948453608246</v>
      </c>
    </row>
    <row r="7" spans="1:7" x14ac:dyDescent="0.25">
      <c r="A7">
        <v>3</v>
      </c>
      <c r="B7">
        <v>5</v>
      </c>
      <c r="C7" s="2">
        <f t="shared" si="0"/>
        <v>2</v>
      </c>
      <c r="D7" s="1">
        <f t="shared" si="1"/>
        <v>0.61388032734615805</v>
      </c>
      <c r="F7" t="s">
        <v>18</v>
      </c>
      <c r="G7">
        <f>SUM(D:D)</f>
        <v>194.45360824742258</v>
      </c>
    </row>
    <row r="8" spans="1:7" x14ac:dyDescent="0.25">
      <c r="A8">
        <v>4</v>
      </c>
      <c r="B8">
        <v>4</v>
      </c>
      <c r="C8" s="2">
        <f t="shared" si="0"/>
        <v>0</v>
      </c>
      <c r="D8" s="1">
        <f t="shared" si="1"/>
        <v>1.4798597087894567</v>
      </c>
      <c r="F8" t="s">
        <v>4</v>
      </c>
      <c r="G8">
        <f>SQRT(G7/(G4-1))</f>
        <v>1.4232211420731442</v>
      </c>
    </row>
    <row r="9" spans="1:7" x14ac:dyDescent="0.25">
      <c r="A9">
        <v>1</v>
      </c>
      <c r="B9">
        <v>5</v>
      </c>
      <c r="C9" s="2">
        <f t="shared" si="0"/>
        <v>4</v>
      </c>
      <c r="D9" s="1">
        <f t="shared" si="1"/>
        <v>7.7479009459028587</v>
      </c>
    </row>
    <row r="10" spans="1:7" x14ac:dyDescent="0.25">
      <c r="A10">
        <v>4</v>
      </c>
      <c r="B10">
        <v>4</v>
      </c>
      <c r="C10" s="2">
        <f t="shared" si="0"/>
        <v>0</v>
      </c>
      <c r="D10" s="1">
        <f t="shared" si="1"/>
        <v>1.4798597087894567</v>
      </c>
    </row>
    <row r="11" spans="1:7" x14ac:dyDescent="0.25">
      <c r="A11">
        <v>4</v>
      </c>
      <c r="B11">
        <v>5</v>
      </c>
      <c r="C11" s="2">
        <f t="shared" si="0"/>
        <v>1</v>
      </c>
      <c r="D11" s="1">
        <f t="shared" si="1"/>
        <v>4.6870018067807377E-2</v>
      </c>
    </row>
    <row r="12" spans="1:7" x14ac:dyDescent="0.25">
      <c r="A12">
        <v>3</v>
      </c>
      <c r="B12">
        <v>5</v>
      </c>
      <c r="C12" s="2">
        <f t="shared" si="0"/>
        <v>2</v>
      </c>
      <c r="D12" s="1">
        <f t="shared" si="1"/>
        <v>0.61388032734615805</v>
      </c>
      <c r="F12" t="s">
        <v>8</v>
      </c>
      <c r="G12">
        <f>G6/(G8/SQRT(G4))</f>
        <v>8.4182874989647622</v>
      </c>
    </row>
    <row r="13" spans="1:7" x14ac:dyDescent="0.25">
      <c r="A13">
        <v>2</v>
      </c>
      <c r="B13">
        <v>5</v>
      </c>
      <c r="C13" s="2">
        <f t="shared" si="0"/>
        <v>3</v>
      </c>
      <c r="D13" s="1">
        <f t="shared" si="1"/>
        <v>3.1808906366245089</v>
      </c>
    </row>
    <row r="14" spans="1:7" x14ac:dyDescent="0.25">
      <c r="A14">
        <v>3</v>
      </c>
      <c r="B14">
        <v>1</v>
      </c>
      <c r="C14" s="2">
        <f t="shared" si="0"/>
        <v>-2</v>
      </c>
      <c r="D14" s="1">
        <f t="shared" si="1"/>
        <v>10.345839090232756</v>
      </c>
    </row>
    <row r="15" spans="1:7" x14ac:dyDescent="0.25">
      <c r="A15">
        <v>1</v>
      </c>
      <c r="B15">
        <v>4</v>
      </c>
      <c r="C15" s="2">
        <f t="shared" si="0"/>
        <v>3</v>
      </c>
      <c r="D15" s="1">
        <f t="shared" si="1"/>
        <v>3.1808906366245089</v>
      </c>
    </row>
    <row r="16" spans="1:7" x14ac:dyDescent="0.25">
      <c r="A16">
        <v>3</v>
      </c>
      <c r="B16">
        <v>4</v>
      </c>
      <c r="C16" s="2">
        <f t="shared" si="0"/>
        <v>1</v>
      </c>
      <c r="D16" s="1">
        <f t="shared" si="1"/>
        <v>4.6870018067807377E-2</v>
      </c>
    </row>
    <row r="17" spans="1:7" x14ac:dyDescent="0.25">
      <c r="A17">
        <v>5</v>
      </c>
      <c r="B17">
        <v>4</v>
      </c>
      <c r="C17" s="2">
        <f t="shared" si="0"/>
        <v>-1</v>
      </c>
      <c r="D17" s="1">
        <f t="shared" si="1"/>
        <v>4.9128493995111073</v>
      </c>
      <c r="F17" t="s">
        <v>5</v>
      </c>
      <c r="G17">
        <v>0.05</v>
      </c>
    </row>
    <row r="18" spans="1:7" x14ac:dyDescent="0.25">
      <c r="A18">
        <v>3</v>
      </c>
      <c r="B18">
        <v>4</v>
      </c>
      <c r="C18" s="2">
        <f t="shared" si="0"/>
        <v>1</v>
      </c>
      <c r="D18" s="1">
        <f t="shared" si="1"/>
        <v>4.6870018067807377E-2</v>
      </c>
      <c r="F18" t="s">
        <v>6</v>
      </c>
      <c r="G18">
        <f>G4-1</f>
        <v>96</v>
      </c>
    </row>
    <row r="19" spans="1:7" x14ac:dyDescent="0.25">
      <c r="A19">
        <v>3</v>
      </c>
      <c r="B19">
        <v>5</v>
      </c>
      <c r="C19" s="2">
        <f t="shared" si="0"/>
        <v>2</v>
      </c>
      <c r="D19" s="1">
        <f t="shared" si="1"/>
        <v>0.61388032734615805</v>
      </c>
    </row>
    <row r="20" spans="1:7" x14ac:dyDescent="0.25">
      <c r="A20">
        <v>3</v>
      </c>
      <c r="B20">
        <v>5</v>
      </c>
      <c r="C20" s="2">
        <f t="shared" si="0"/>
        <v>2</v>
      </c>
      <c r="D20" s="1">
        <f t="shared" si="1"/>
        <v>0.61388032734615805</v>
      </c>
    </row>
    <row r="21" spans="1:7" x14ac:dyDescent="0.25">
      <c r="A21">
        <v>5</v>
      </c>
      <c r="B21">
        <v>3</v>
      </c>
      <c r="C21" s="2">
        <f t="shared" si="0"/>
        <v>-2</v>
      </c>
      <c r="D21" s="1">
        <f t="shared" si="1"/>
        <v>10.345839090232756</v>
      </c>
    </row>
    <row r="22" spans="1:7" x14ac:dyDescent="0.25">
      <c r="A22">
        <v>3</v>
      </c>
      <c r="B22">
        <v>4</v>
      </c>
      <c r="C22" s="2">
        <f t="shared" si="0"/>
        <v>1</v>
      </c>
      <c r="D22" s="1">
        <f t="shared" si="1"/>
        <v>4.6870018067807377E-2</v>
      </c>
      <c r="F22" s="5" t="s">
        <v>7</v>
      </c>
      <c r="G22" s="5"/>
    </row>
    <row r="23" spans="1:7" x14ac:dyDescent="0.25">
      <c r="A23">
        <v>5</v>
      </c>
      <c r="B23">
        <v>5</v>
      </c>
      <c r="C23" s="2">
        <f t="shared" si="0"/>
        <v>0</v>
      </c>
      <c r="D23" s="1">
        <f t="shared" si="1"/>
        <v>1.4798597087894567</v>
      </c>
      <c r="F23" t="s">
        <v>16</v>
      </c>
      <c r="G23">
        <f>_xlfn.T.INV.2T(G17,G18)</f>
        <v>1.9849843115224561</v>
      </c>
    </row>
    <row r="24" spans="1:7" x14ac:dyDescent="0.25">
      <c r="A24">
        <v>3</v>
      </c>
      <c r="B24">
        <v>5</v>
      </c>
      <c r="C24" s="2">
        <f t="shared" si="0"/>
        <v>2</v>
      </c>
      <c r="D24" s="1">
        <f t="shared" si="1"/>
        <v>0.61388032734615805</v>
      </c>
      <c r="F24" t="s">
        <v>17</v>
      </c>
      <c r="G24">
        <f>_xlfn.T.INV(G17,G18)</f>
        <v>-1.6608814403248366</v>
      </c>
    </row>
    <row r="25" spans="1:7" x14ac:dyDescent="0.25">
      <c r="A25">
        <v>4</v>
      </c>
      <c r="B25">
        <v>5</v>
      </c>
      <c r="C25" s="2">
        <f t="shared" si="0"/>
        <v>1</v>
      </c>
      <c r="D25" s="1">
        <f t="shared" si="1"/>
        <v>4.6870018067807377E-2</v>
      </c>
    </row>
    <row r="26" spans="1:7" x14ac:dyDescent="0.25">
      <c r="A26">
        <v>3</v>
      </c>
      <c r="B26">
        <v>5</v>
      </c>
      <c r="C26" s="2">
        <f t="shared" si="0"/>
        <v>2</v>
      </c>
      <c r="D26" s="1">
        <f t="shared" si="1"/>
        <v>0.61388032734615805</v>
      </c>
    </row>
    <row r="27" spans="1:7" x14ac:dyDescent="0.25">
      <c r="A27">
        <v>3</v>
      </c>
      <c r="B27">
        <v>5</v>
      </c>
      <c r="C27" s="2">
        <f t="shared" si="0"/>
        <v>2</v>
      </c>
      <c r="D27" s="1">
        <f t="shared" si="1"/>
        <v>0.61388032734615805</v>
      </c>
      <c r="F27" s="5" t="s">
        <v>9</v>
      </c>
      <c r="G27" s="5"/>
    </row>
    <row r="28" spans="1:7" x14ac:dyDescent="0.25">
      <c r="A28">
        <v>3</v>
      </c>
      <c r="B28">
        <v>4</v>
      </c>
      <c r="C28" s="2">
        <f t="shared" si="0"/>
        <v>1</v>
      </c>
      <c r="D28" s="1">
        <f t="shared" si="1"/>
        <v>4.6870018067807377E-2</v>
      </c>
      <c r="F28" t="s">
        <v>9</v>
      </c>
    </row>
    <row r="29" spans="1:7" x14ac:dyDescent="0.25">
      <c r="A29">
        <v>4</v>
      </c>
      <c r="B29">
        <v>3</v>
      </c>
      <c r="C29" s="2">
        <f t="shared" si="0"/>
        <v>-1</v>
      </c>
      <c r="D29" s="1">
        <f t="shared" si="1"/>
        <v>4.9128493995111073</v>
      </c>
      <c r="F29" t="s">
        <v>15</v>
      </c>
      <c r="G29">
        <f>TTEST(A:A,B:B,2,1)</f>
        <v>3.672734737362213E-13</v>
      </c>
    </row>
    <row r="30" spans="1:7" x14ac:dyDescent="0.25">
      <c r="A30">
        <v>3</v>
      </c>
      <c r="B30">
        <v>5</v>
      </c>
      <c r="C30" s="2">
        <f t="shared" si="0"/>
        <v>2</v>
      </c>
      <c r="D30" s="1">
        <f t="shared" si="1"/>
        <v>0.61388032734615805</v>
      </c>
      <c r="F30" t="s">
        <v>19</v>
      </c>
      <c r="G30">
        <f>TTEST(A:A,B:B,1,1)</f>
        <v>1.8363673686811065E-13</v>
      </c>
    </row>
    <row r="31" spans="1:7" x14ac:dyDescent="0.25">
      <c r="A31">
        <v>3</v>
      </c>
      <c r="B31">
        <v>5</v>
      </c>
      <c r="C31" s="2">
        <f t="shared" si="0"/>
        <v>2</v>
      </c>
      <c r="D31" s="1">
        <f t="shared" si="1"/>
        <v>0.61388032734615805</v>
      </c>
    </row>
    <row r="32" spans="1:7" x14ac:dyDescent="0.25">
      <c r="A32">
        <v>4</v>
      </c>
      <c r="B32">
        <v>5</v>
      </c>
      <c r="C32" s="2">
        <f t="shared" si="0"/>
        <v>1</v>
      </c>
      <c r="D32" s="1">
        <f t="shared" si="1"/>
        <v>4.6870018067807377E-2</v>
      </c>
    </row>
    <row r="33" spans="1:7" x14ac:dyDescent="0.25">
      <c r="A33">
        <v>3</v>
      </c>
      <c r="B33">
        <v>5</v>
      </c>
      <c r="C33" s="2">
        <f t="shared" si="0"/>
        <v>2</v>
      </c>
      <c r="D33" s="1">
        <f t="shared" si="1"/>
        <v>0.61388032734615805</v>
      </c>
      <c r="F33" s="8" t="s">
        <v>12</v>
      </c>
      <c r="G33" s="8"/>
    </row>
    <row r="34" spans="1:7" x14ac:dyDescent="0.25">
      <c r="A34">
        <v>2</v>
      </c>
      <c r="B34">
        <v>4</v>
      </c>
      <c r="C34" s="2">
        <f t="shared" si="0"/>
        <v>2</v>
      </c>
      <c r="D34" s="1">
        <f t="shared" si="1"/>
        <v>0.61388032734615805</v>
      </c>
    </row>
    <row r="35" spans="1:7" x14ac:dyDescent="0.25">
      <c r="A35">
        <v>3</v>
      </c>
      <c r="B35">
        <v>5</v>
      </c>
      <c r="C35" s="2">
        <f t="shared" si="0"/>
        <v>2</v>
      </c>
      <c r="D35" s="1">
        <f t="shared" si="1"/>
        <v>0.61388032734615805</v>
      </c>
      <c r="F35" t="s">
        <v>10</v>
      </c>
    </row>
    <row r="36" spans="1:7" x14ac:dyDescent="0.25">
      <c r="A36">
        <v>3</v>
      </c>
      <c r="B36">
        <v>5</v>
      </c>
      <c r="C36" s="2">
        <f t="shared" si="0"/>
        <v>2</v>
      </c>
      <c r="D36" s="1">
        <f t="shared" si="1"/>
        <v>0.61388032734615805</v>
      </c>
      <c r="F36" t="s">
        <v>11</v>
      </c>
    </row>
    <row r="37" spans="1:7" x14ac:dyDescent="0.25">
      <c r="A37">
        <v>2</v>
      </c>
      <c r="B37">
        <v>3</v>
      </c>
      <c r="C37" s="2">
        <f t="shared" si="0"/>
        <v>1</v>
      </c>
      <c r="D37" s="1">
        <f t="shared" si="1"/>
        <v>4.6870018067807377E-2</v>
      </c>
    </row>
    <row r="38" spans="1:7" x14ac:dyDescent="0.25">
      <c r="A38">
        <v>5</v>
      </c>
      <c r="B38">
        <v>3</v>
      </c>
      <c r="C38" s="2">
        <f t="shared" si="0"/>
        <v>-2</v>
      </c>
      <c r="D38" s="1">
        <f t="shared" si="1"/>
        <v>10.345839090232756</v>
      </c>
    </row>
    <row r="39" spans="1:7" x14ac:dyDescent="0.25">
      <c r="A39">
        <v>3</v>
      </c>
      <c r="B39">
        <v>3</v>
      </c>
      <c r="C39" s="2">
        <f t="shared" si="0"/>
        <v>0</v>
      </c>
      <c r="D39" s="1">
        <f t="shared" si="1"/>
        <v>1.4798597087894567</v>
      </c>
    </row>
    <row r="40" spans="1:7" x14ac:dyDescent="0.25">
      <c r="A40">
        <v>2</v>
      </c>
      <c r="B40">
        <v>3</v>
      </c>
      <c r="C40" s="2">
        <f t="shared" si="0"/>
        <v>1</v>
      </c>
      <c r="D40" s="1">
        <f t="shared" si="1"/>
        <v>4.6870018067807377E-2</v>
      </c>
      <c r="F40" t="s">
        <v>14</v>
      </c>
    </row>
    <row r="41" spans="1:7" x14ac:dyDescent="0.25">
      <c r="A41">
        <v>1</v>
      </c>
      <c r="B41">
        <v>4</v>
      </c>
      <c r="C41" s="2">
        <f t="shared" si="0"/>
        <v>3</v>
      </c>
      <c r="D41" s="1">
        <f t="shared" si="1"/>
        <v>3.1808906366245089</v>
      </c>
      <c r="F41" t="str">
        <f>"Dos Colas: Si t calculado ("&amp;G12&amp;") &gt; a t critico  ("&amp;G23&amp;") (de tabla) ---&gt; Se rechaza la hipotesis nula"</f>
        <v>Dos Colas: Si t calculado (8.41828749896476) &gt; a t critico  (1.98498431152246) (de tabla) ---&gt; Se rechaza la hipotesis nula</v>
      </c>
    </row>
    <row r="42" spans="1:7" x14ac:dyDescent="0.25">
      <c r="A42">
        <v>2</v>
      </c>
      <c r="B42">
        <v>3</v>
      </c>
      <c r="C42" s="2">
        <f t="shared" si="0"/>
        <v>1</v>
      </c>
      <c r="D42" s="1">
        <f t="shared" si="1"/>
        <v>4.6870018067807377E-2</v>
      </c>
      <c r="F42" t="str">
        <f>"Una Cola: Si t calculado ("&amp;G12&amp;") &gt; a t critico  ("&amp;G24&amp;") (de tabla) ---&gt; Se rechaza la hipotesis nula"</f>
        <v>Una Cola: Si t calculado (8.41828749896476) &gt; a t critico  (-1.66088144032484) (de tabla) ---&gt; Se rechaza la hipotesis nula</v>
      </c>
    </row>
    <row r="43" spans="1:7" x14ac:dyDescent="0.25">
      <c r="A43">
        <v>4</v>
      </c>
      <c r="B43">
        <v>5</v>
      </c>
      <c r="C43" s="2">
        <f t="shared" si="0"/>
        <v>1</v>
      </c>
      <c r="D43" s="1">
        <f t="shared" si="1"/>
        <v>4.6870018067807377E-2</v>
      </c>
    </row>
    <row r="44" spans="1:7" x14ac:dyDescent="0.25">
      <c r="A44">
        <v>1</v>
      </c>
      <c r="B44">
        <v>5</v>
      </c>
      <c r="C44" s="2">
        <f t="shared" si="0"/>
        <v>4</v>
      </c>
      <c r="D44" s="1">
        <f t="shared" si="1"/>
        <v>7.7479009459028587</v>
      </c>
    </row>
    <row r="45" spans="1:7" x14ac:dyDescent="0.25">
      <c r="A45">
        <v>4</v>
      </c>
      <c r="B45">
        <v>4</v>
      </c>
      <c r="C45" s="2">
        <f t="shared" si="0"/>
        <v>0</v>
      </c>
      <c r="D45" s="1">
        <f t="shared" si="1"/>
        <v>1.4798597087894567</v>
      </c>
    </row>
    <row r="46" spans="1:7" x14ac:dyDescent="0.25">
      <c r="A46">
        <v>3</v>
      </c>
      <c r="B46">
        <v>5</v>
      </c>
      <c r="C46" s="2">
        <f t="shared" si="0"/>
        <v>2</v>
      </c>
      <c r="D46" s="1">
        <f t="shared" si="1"/>
        <v>0.61388032734615805</v>
      </c>
      <c r="F46" t="s">
        <v>20</v>
      </c>
    </row>
    <row r="47" spans="1:7" x14ac:dyDescent="0.25">
      <c r="A47">
        <v>5</v>
      </c>
      <c r="B47">
        <v>4</v>
      </c>
      <c r="C47" s="2">
        <f t="shared" si="0"/>
        <v>-1</v>
      </c>
      <c r="D47" s="1">
        <f t="shared" si="1"/>
        <v>4.9128493995111073</v>
      </c>
      <c r="F47" t="str">
        <f>"Dos Colas: Si p valor ("&amp;G29&amp;") &lt; Nivel Significancia ("&amp;G17&amp;") ---&gt; Se rechaza la hipotesis nula"</f>
        <v>Dos Colas: Si p valor (3.67273473736221E-13) &lt; Nivel Significancia (0.05) ---&gt; Se rechaza la hipotesis nula</v>
      </c>
    </row>
    <row r="48" spans="1:7" x14ac:dyDescent="0.25">
      <c r="A48">
        <v>3</v>
      </c>
      <c r="B48">
        <v>4</v>
      </c>
      <c r="C48" s="2">
        <f t="shared" si="0"/>
        <v>1</v>
      </c>
      <c r="D48" s="1">
        <f t="shared" si="1"/>
        <v>4.6870018067807377E-2</v>
      </c>
      <c r="F48" t="str">
        <f>"Una Cola: Si p valor ("&amp;G30&amp;") &lt; Nivel Significancia ("&amp;G17&amp;") ---&gt; Se rechaza la hipotesis nula"</f>
        <v>Una Cola: Si p valor (1.83636736868111E-13) &lt; Nivel Significancia (0.05) ---&gt; Se rechaza la hipotesis nula</v>
      </c>
    </row>
    <row r="49" spans="1:4" x14ac:dyDescent="0.25">
      <c r="A49">
        <v>4</v>
      </c>
      <c r="B49">
        <v>5</v>
      </c>
      <c r="C49" s="2">
        <f t="shared" si="0"/>
        <v>1</v>
      </c>
      <c r="D49" s="1">
        <f t="shared" si="1"/>
        <v>4.6870018067807377E-2</v>
      </c>
    </row>
    <row r="50" spans="1:4" x14ac:dyDescent="0.25">
      <c r="A50">
        <v>2</v>
      </c>
      <c r="B50">
        <v>5</v>
      </c>
      <c r="C50" s="2">
        <f t="shared" si="0"/>
        <v>3</v>
      </c>
      <c r="D50" s="1">
        <f t="shared" si="1"/>
        <v>3.1808906366245089</v>
      </c>
    </row>
    <row r="51" spans="1:4" x14ac:dyDescent="0.25">
      <c r="A51">
        <v>4</v>
      </c>
      <c r="B51">
        <v>5</v>
      </c>
      <c r="C51" s="2">
        <f t="shared" si="0"/>
        <v>1</v>
      </c>
      <c r="D51" s="1">
        <f t="shared" si="1"/>
        <v>4.6870018067807377E-2</v>
      </c>
    </row>
    <row r="52" spans="1:4" x14ac:dyDescent="0.25">
      <c r="A52">
        <v>1</v>
      </c>
      <c r="B52">
        <v>4</v>
      </c>
      <c r="C52" s="2">
        <f t="shared" si="0"/>
        <v>3</v>
      </c>
      <c r="D52" s="1">
        <f t="shared" si="1"/>
        <v>3.1808906366245089</v>
      </c>
    </row>
    <row r="53" spans="1:4" x14ac:dyDescent="0.25">
      <c r="A53">
        <v>3</v>
      </c>
      <c r="B53">
        <v>4</v>
      </c>
      <c r="C53" s="2">
        <f t="shared" si="0"/>
        <v>1</v>
      </c>
      <c r="D53" s="1">
        <f t="shared" si="1"/>
        <v>4.6870018067807377E-2</v>
      </c>
    </row>
    <row r="54" spans="1:4" x14ac:dyDescent="0.25">
      <c r="A54">
        <v>4</v>
      </c>
      <c r="B54">
        <v>4</v>
      </c>
      <c r="C54" s="2">
        <f t="shared" si="0"/>
        <v>0</v>
      </c>
      <c r="D54" s="1">
        <f t="shared" si="1"/>
        <v>1.4798597087894567</v>
      </c>
    </row>
    <row r="55" spans="1:4" x14ac:dyDescent="0.25">
      <c r="A55">
        <v>5</v>
      </c>
      <c r="B55">
        <v>5</v>
      </c>
      <c r="C55" s="2">
        <f t="shared" si="0"/>
        <v>0</v>
      </c>
      <c r="D55" s="1">
        <f t="shared" si="1"/>
        <v>1.4798597087894567</v>
      </c>
    </row>
    <row r="56" spans="1:4" x14ac:dyDescent="0.25">
      <c r="A56">
        <v>2</v>
      </c>
      <c r="B56">
        <v>4</v>
      </c>
      <c r="C56" s="2">
        <f t="shared" si="0"/>
        <v>2</v>
      </c>
      <c r="D56" s="1">
        <f t="shared" si="1"/>
        <v>0.61388032734615805</v>
      </c>
    </row>
    <row r="57" spans="1:4" x14ac:dyDescent="0.25">
      <c r="A57">
        <v>2</v>
      </c>
      <c r="B57">
        <v>4</v>
      </c>
      <c r="C57" s="2">
        <f t="shared" si="0"/>
        <v>2</v>
      </c>
      <c r="D57" s="1">
        <f t="shared" si="1"/>
        <v>0.61388032734615805</v>
      </c>
    </row>
    <row r="58" spans="1:4" x14ac:dyDescent="0.25">
      <c r="A58">
        <v>3</v>
      </c>
      <c r="B58">
        <v>4</v>
      </c>
      <c r="C58" s="2">
        <f t="shared" si="0"/>
        <v>1</v>
      </c>
      <c r="D58" s="1">
        <f t="shared" si="1"/>
        <v>4.6870018067807377E-2</v>
      </c>
    </row>
    <row r="59" spans="1:4" x14ac:dyDescent="0.25">
      <c r="A59">
        <v>3</v>
      </c>
      <c r="B59">
        <v>4</v>
      </c>
      <c r="C59" s="2">
        <f t="shared" si="0"/>
        <v>1</v>
      </c>
      <c r="D59" s="1">
        <f t="shared" si="1"/>
        <v>4.6870018067807377E-2</v>
      </c>
    </row>
    <row r="60" spans="1:4" x14ac:dyDescent="0.25">
      <c r="A60">
        <v>3</v>
      </c>
      <c r="B60">
        <v>5</v>
      </c>
      <c r="C60" s="2">
        <f t="shared" si="0"/>
        <v>2</v>
      </c>
      <c r="D60" s="1">
        <f t="shared" si="1"/>
        <v>0.61388032734615805</v>
      </c>
    </row>
    <row r="61" spans="1:4" x14ac:dyDescent="0.25">
      <c r="A61">
        <v>2</v>
      </c>
      <c r="B61">
        <v>5</v>
      </c>
      <c r="C61" s="2">
        <f t="shared" si="0"/>
        <v>3</v>
      </c>
      <c r="D61" s="1">
        <f t="shared" si="1"/>
        <v>3.1808906366245089</v>
      </c>
    </row>
    <row r="62" spans="1:4" x14ac:dyDescent="0.25">
      <c r="A62">
        <v>4</v>
      </c>
      <c r="B62">
        <v>5</v>
      </c>
      <c r="C62" s="2">
        <f t="shared" si="0"/>
        <v>1</v>
      </c>
      <c r="D62" s="1">
        <f t="shared" si="1"/>
        <v>4.6870018067807377E-2</v>
      </c>
    </row>
    <row r="63" spans="1:4" x14ac:dyDescent="0.25">
      <c r="A63">
        <v>3</v>
      </c>
      <c r="B63">
        <v>4</v>
      </c>
      <c r="C63" s="2">
        <f t="shared" si="0"/>
        <v>1</v>
      </c>
      <c r="D63" s="1">
        <f t="shared" si="1"/>
        <v>4.6870018067807377E-2</v>
      </c>
    </row>
    <row r="64" spans="1:4" x14ac:dyDescent="0.25">
      <c r="A64">
        <v>3</v>
      </c>
      <c r="B64">
        <v>4</v>
      </c>
      <c r="C64" s="2">
        <f t="shared" si="0"/>
        <v>1</v>
      </c>
      <c r="D64" s="1">
        <f t="shared" si="1"/>
        <v>4.6870018067807377E-2</v>
      </c>
    </row>
    <row r="65" spans="1:4" x14ac:dyDescent="0.25">
      <c r="A65">
        <v>2</v>
      </c>
      <c r="B65">
        <v>5</v>
      </c>
      <c r="C65" s="2">
        <f t="shared" si="0"/>
        <v>3</v>
      </c>
      <c r="D65" s="1">
        <f t="shared" si="1"/>
        <v>3.1808906366245089</v>
      </c>
    </row>
    <row r="66" spans="1:4" x14ac:dyDescent="0.25">
      <c r="A66">
        <v>2</v>
      </c>
      <c r="B66">
        <v>5</v>
      </c>
      <c r="C66" s="2">
        <f t="shared" si="0"/>
        <v>3</v>
      </c>
      <c r="D66" s="1">
        <f t="shared" si="1"/>
        <v>3.1808906366245089</v>
      </c>
    </row>
    <row r="67" spans="1:4" x14ac:dyDescent="0.25">
      <c r="A67">
        <v>2</v>
      </c>
      <c r="B67">
        <v>2</v>
      </c>
      <c r="C67" s="2">
        <f t="shared" ref="C67:C98" si="2">B67-A67</f>
        <v>0</v>
      </c>
      <c r="D67" s="1">
        <f t="shared" si="1"/>
        <v>1.4798597087894567</v>
      </c>
    </row>
    <row r="68" spans="1:4" x14ac:dyDescent="0.25">
      <c r="A68">
        <v>2</v>
      </c>
      <c r="B68">
        <v>4</v>
      </c>
      <c r="C68" s="2">
        <f t="shared" si="2"/>
        <v>2</v>
      </c>
      <c r="D68" s="1">
        <f t="shared" si="1"/>
        <v>0.61388032734615805</v>
      </c>
    </row>
    <row r="69" spans="1:4" x14ac:dyDescent="0.25">
      <c r="A69">
        <v>3</v>
      </c>
      <c r="B69">
        <v>4</v>
      </c>
      <c r="C69" s="2">
        <f t="shared" si="2"/>
        <v>1</v>
      </c>
      <c r="D69" s="1">
        <f t="shared" ref="D69:D98" si="3">(C69-$G$6)^2</f>
        <v>4.6870018067807377E-2</v>
      </c>
    </row>
    <row r="70" spans="1:4" x14ac:dyDescent="0.25">
      <c r="A70">
        <v>3</v>
      </c>
      <c r="B70">
        <v>4</v>
      </c>
      <c r="C70" s="2">
        <f t="shared" si="2"/>
        <v>1</v>
      </c>
      <c r="D70" s="1">
        <f t="shared" si="3"/>
        <v>4.6870018067807377E-2</v>
      </c>
    </row>
    <row r="71" spans="1:4" x14ac:dyDescent="0.25">
      <c r="A71">
        <v>3</v>
      </c>
      <c r="B71">
        <v>5</v>
      </c>
      <c r="C71" s="2">
        <f t="shared" si="2"/>
        <v>2</v>
      </c>
      <c r="D71" s="1">
        <f t="shared" si="3"/>
        <v>0.61388032734615805</v>
      </c>
    </row>
    <row r="72" spans="1:4" x14ac:dyDescent="0.25">
      <c r="A72">
        <v>4</v>
      </c>
      <c r="B72">
        <v>5</v>
      </c>
      <c r="C72" s="2">
        <f t="shared" si="2"/>
        <v>1</v>
      </c>
      <c r="D72" s="1">
        <f t="shared" si="3"/>
        <v>4.6870018067807377E-2</v>
      </c>
    </row>
    <row r="73" spans="1:4" x14ac:dyDescent="0.25">
      <c r="A73">
        <v>4</v>
      </c>
      <c r="B73">
        <v>5</v>
      </c>
      <c r="C73" s="2">
        <f t="shared" si="2"/>
        <v>1</v>
      </c>
      <c r="D73" s="1">
        <f t="shared" si="3"/>
        <v>4.6870018067807377E-2</v>
      </c>
    </row>
    <row r="74" spans="1:4" x14ac:dyDescent="0.25">
      <c r="A74">
        <v>3</v>
      </c>
      <c r="B74">
        <v>5</v>
      </c>
      <c r="C74" s="2">
        <f t="shared" si="2"/>
        <v>2</v>
      </c>
      <c r="D74" s="1">
        <f t="shared" si="3"/>
        <v>0.61388032734615805</v>
      </c>
    </row>
    <row r="75" spans="1:4" x14ac:dyDescent="0.25">
      <c r="A75">
        <v>3</v>
      </c>
      <c r="B75">
        <v>5</v>
      </c>
      <c r="C75" s="2">
        <f t="shared" si="2"/>
        <v>2</v>
      </c>
      <c r="D75" s="1">
        <f t="shared" si="3"/>
        <v>0.61388032734615805</v>
      </c>
    </row>
    <row r="76" spans="1:4" x14ac:dyDescent="0.25">
      <c r="A76">
        <v>5</v>
      </c>
      <c r="B76">
        <v>4</v>
      </c>
      <c r="C76" s="2">
        <f t="shared" si="2"/>
        <v>-1</v>
      </c>
      <c r="D76" s="1">
        <f t="shared" si="3"/>
        <v>4.9128493995111073</v>
      </c>
    </row>
    <row r="77" spans="1:4" x14ac:dyDescent="0.25">
      <c r="A77">
        <v>3</v>
      </c>
      <c r="B77">
        <v>5</v>
      </c>
      <c r="C77" s="2">
        <f t="shared" si="2"/>
        <v>2</v>
      </c>
      <c r="D77" s="1">
        <f t="shared" si="3"/>
        <v>0.61388032734615805</v>
      </c>
    </row>
    <row r="78" spans="1:4" x14ac:dyDescent="0.25">
      <c r="A78">
        <v>4</v>
      </c>
      <c r="B78">
        <v>5</v>
      </c>
      <c r="C78" s="2">
        <f t="shared" si="2"/>
        <v>1</v>
      </c>
      <c r="D78" s="1">
        <f t="shared" si="3"/>
        <v>4.6870018067807377E-2</v>
      </c>
    </row>
    <row r="79" spans="1:4" x14ac:dyDescent="0.25">
      <c r="A79">
        <v>3</v>
      </c>
      <c r="B79">
        <v>5</v>
      </c>
      <c r="C79" s="2">
        <f t="shared" si="2"/>
        <v>2</v>
      </c>
      <c r="D79" s="1">
        <f t="shared" si="3"/>
        <v>0.61388032734615805</v>
      </c>
    </row>
    <row r="80" spans="1:4" x14ac:dyDescent="0.25">
      <c r="A80">
        <v>5</v>
      </c>
      <c r="B80">
        <v>5</v>
      </c>
      <c r="C80" s="2">
        <f t="shared" si="2"/>
        <v>0</v>
      </c>
      <c r="D80" s="1">
        <f t="shared" si="3"/>
        <v>1.4798597087894567</v>
      </c>
    </row>
    <row r="81" spans="1:6" x14ac:dyDescent="0.25">
      <c r="A81">
        <v>2</v>
      </c>
      <c r="B81">
        <v>5</v>
      </c>
      <c r="C81" s="2">
        <f t="shared" si="2"/>
        <v>3</v>
      </c>
      <c r="D81" s="1">
        <f t="shared" si="3"/>
        <v>3.1808906366245089</v>
      </c>
    </row>
    <row r="82" spans="1:6" x14ac:dyDescent="0.25">
      <c r="A82">
        <v>5</v>
      </c>
      <c r="B82">
        <v>1</v>
      </c>
      <c r="C82" s="2">
        <f t="shared" si="2"/>
        <v>-4</v>
      </c>
      <c r="D82" s="1">
        <f t="shared" si="3"/>
        <v>27.211818471676057</v>
      </c>
    </row>
    <row r="83" spans="1:6" x14ac:dyDescent="0.25">
      <c r="A83">
        <v>4</v>
      </c>
      <c r="B83">
        <v>5</v>
      </c>
      <c r="C83" s="2">
        <f t="shared" si="2"/>
        <v>1</v>
      </c>
      <c r="D83" s="1">
        <f t="shared" si="3"/>
        <v>4.6870018067807377E-2</v>
      </c>
    </row>
    <row r="84" spans="1:6" x14ac:dyDescent="0.25">
      <c r="A84">
        <v>4</v>
      </c>
      <c r="B84">
        <v>4</v>
      </c>
      <c r="C84" s="2">
        <f t="shared" si="2"/>
        <v>0</v>
      </c>
      <c r="D84" s="1">
        <f t="shared" si="3"/>
        <v>1.4798597087894567</v>
      </c>
    </row>
    <row r="85" spans="1:6" x14ac:dyDescent="0.25">
      <c r="A85">
        <v>4</v>
      </c>
      <c r="B85">
        <v>2</v>
      </c>
      <c r="C85" s="2">
        <f t="shared" si="2"/>
        <v>-2</v>
      </c>
      <c r="D85" s="1">
        <f t="shared" si="3"/>
        <v>10.345839090232756</v>
      </c>
    </row>
    <row r="86" spans="1:6" x14ac:dyDescent="0.25">
      <c r="A86">
        <v>3</v>
      </c>
      <c r="B86">
        <v>5</v>
      </c>
      <c r="C86" s="2">
        <f t="shared" si="2"/>
        <v>2</v>
      </c>
      <c r="D86" s="1">
        <f t="shared" si="3"/>
        <v>0.61388032734615805</v>
      </c>
    </row>
    <row r="87" spans="1:6" x14ac:dyDescent="0.25">
      <c r="A87">
        <v>2</v>
      </c>
      <c r="B87">
        <v>5</v>
      </c>
      <c r="C87" s="2">
        <f t="shared" si="2"/>
        <v>3</v>
      </c>
      <c r="D87" s="1">
        <f t="shared" si="3"/>
        <v>3.1808906366245089</v>
      </c>
    </row>
    <row r="88" spans="1:6" x14ac:dyDescent="0.25">
      <c r="A88">
        <v>2</v>
      </c>
      <c r="B88">
        <v>3</v>
      </c>
      <c r="C88" s="2">
        <f t="shared" si="2"/>
        <v>1</v>
      </c>
      <c r="D88" s="1">
        <f t="shared" si="3"/>
        <v>4.6870018067807377E-2</v>
      </c>
    </row>
    <row r="89" spans="1:6" x14ac:dyDescent="0.25">
      <c r="A89">
        <v>4</v>
      </c>
      <c r="B89">
        <v>4</v>
      </c>
      <c r="C89" s="2">
        <f t="shared" si="2"/>
        <v>0</v>
      </c>
      <c r="D89" s="1">
        <f t="shared" si="3"/>
        <v>1.4798597087894567</v>
      </c>
    </row>
    <row r="90" spans="1:6" x14ac:dyDescent="0.25">
      <c r="A90">
        <v>4</v>
      </c>
      <c r="B90">
        <v>5</v>
      </c>
      <c r="C90" s="2">
        <f t="shared" si="2"/>
        <v>1</v>
      </c>
      <c r="D90" s="1">
        <f t="shared" si="3"/>
        <v>4.6870018067807377E-2</v>
      </c>
    </row>
    <row r="91" spans="1:6" x14ac:dyDescent="0.25">
      <c r="A91">
        <v>1</v>
      </c>
      <c r="B91">
        <v>3</v>
      </c>
      <c r="C91" s="2">
        <f t="shared" si="2"/>
        <v>2</v>
      </c>
      <c r="D91" s="1">
        <f t="shared" si="3"/>
        <v>0.61388032734615805</v>
      </c>
    </row>
    <row r="92" spans="1:6" x14ac:dyDescent="0.25">
      <c r="A92">
        <v>3</v>
      </c>
      <c r="B92">
        <v>5</v>
      </c>
      <c r="C92" s="2">
        <f t="shared" si="2"/>
        <v>2</v>
      </c>
      <c r="D92" s="1">
        <f t="shared" si="3"/>
        <v>0.61388032734615805</v>
      </c>
    </row>
    <row r="93" spans="1:6" x14ac:dyDescent="0.25">
      <c r="A93">
        <v>2</v>
      </c>
      <c r="B93">
        <v>3</v>
      </c>
      <c r="C93" s="2">
        <f t="shared" si="2"/>
        <v>1</v>
      </c>
      <c r="D93" s="1">
        <f t="shared" si="3"/>
        <v>4.6870018067807377E-2</v>
      </c>
      <c r="F93" s="6"/>
    </row>
    <row r="94" spans="1:6" x14ac:dyDescent="0.25">
      <c r="A94">
        <v>2</v>
      </c>
      <c r="B94">
        <v>2</v>
      </c>
      <c r="C94" s="2">
        <f t="shared" si="2"/>
        <v>0</v>
      </c>
      <c r="D94" s="1">
        <f t="shared" si="3"/>
        <v>1.4798597087894567</v>
      </c>
    </row>
    <row r="95" spans="1:6" x14ac:dyDescent="0.25">
      <c r="A95">
        <v>4</v>
      </c>
      <c r="B95">
        <v>5</v>
      </c>
      <c r="C95" s="2">
        <f t="shared" si="2"/>
        <v>1</v>
      </c>
      <c r="D95" s="1">
        <f t="shared" si="3"/>
        <v>4.6870018067807377E-2</v>
      </c>
    </row>
    <row r="96" spans="1:6" x14ac:dyDescent="0.25">
      <c r="A96">
        <v>3</v>
      </c>
      <c r="B96">
        <v>3</v>
      </c>
      <c r="C96" s="2">
        <f t="shared" si="2"/>
        <v>0</v>
      </c>
      <c r="D96" s="1">
        <f t="shared" si="3"/>
        <v>1.4798597087894567</v>
      </c>
    </row>
    <row r="97" spans="1:4" x14ac:dyDescent="0.25">
      <c r="A97">
        <v>2</v>
      </c>
      <c r="B97">
        <v>4</v>
      </c>
      <c r="C97" s="2">
        <f t="shared" si="2"/>
        <v>2</v>
      </c>
      <c r="D97" s="1">
        <f t="shared" si="3"/>
        <v>0.61388032734615805</v>
      </c>
    </row>
    <row r="98" spans="1:4" x14ac:dyDescent="0.25">
      <c r="A98">
        <v>3</v>
      </c>
      <c r="B98">
        <v>5</v>
      </c>
      <c r="C98" s="2">
        <f t="shared" si="2"/>
        <v>2</v>
      </c>
      <c r="D98" s="1">
        <f t="shared" si="3"/>
        <v>0.61388032734615805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zoomScaleNormal="100" workbookViewId="0">
      <selection activeCell="J18" sqref="J18"/>
    </sheetView>
  </sheetViews>
  <sheetFormatPr baseColWidth="10" defaultColWidth="9.140625" defaultRowHeight="15" x14ac:dyDescent="0.25"/>
  <cols>
    <col min="1" max="1" width="32" style="1" customWidth="1"/>
    <col min="2" max="2" width="32.140625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75" x14ac:dyDescent="0.25">
      <c r="A1" s="11" t="s">
        <v>48</v>
      </c>
      <c r="B1" s="10" t="s">
        <v>59</v>
      </c>
      <c r="C1" s="4" t="s">
        <v>0</v>
      </c>
      <c r="D1" s="4"/>
    </row>
    <row r="2" spans="1:7" x14ac:dyDescent="0.25">
      <c r="A2">
        <v>3</v>
      </c>
      <c r="B2">
        <v>5</v>
      </c>
      <c r="C2" s="2">
        <f>B2-A2</f>
        <v>2</v>
      </c>
      <c r="D2" s="1">
        <f>(C2-$G$6)^2</f>
        <v>1</v>
      </c>
    </row>
    <row r="3" spans="1:7" x14ac:dyDescent="0.25">
      <c r="A3">
        <v>4</v>
      </c>
      <c r="B3">
        <v>4</v>
      </c>
      <c r="C3" s="2">
        <f t="shared" ref="C3:C66" si="0">B3-A3</f>
        <v>0</v>
      </c>
      <c r="D3" s="1">
        <f>(C3-$G$6)^2</f>
        <v>1</v>
      </c>
      <c r="F3" s="5" t="s">
        <v>13</v>
      </c>
      <c r="G3" s="5"/>
    </row>
    <row r="4" spans="1:7" x14ac:dyDescent="0.25">
      <c r="A4">
        <v>2</v>
      </c>
      <c r="B4">
        <v>4</v>
      </c>
      <c r="C4" s="2">
        <f t="shared" si="0"/>
        <v>2</v>
      </c>
      <c r="D4" s="1">
        <f>(C4-$G$6)^2</f>
        <v>1</v>
      </c>
      <c r="F4" t="s">
        <v>3</v>
      </c>
      <c r="G4">
        <f>COUNT(A:A)</f>
        <v>97</v>
      </c>
    </row>
    <row r="5" spans="1:7" x14ac:dyDescent="0.25">
      <c r="A5">
        <v>1</v>
      </c>
      <c r="B5">
        <v>1</v>
      </c>
      <c r="C5" s="2">
        <f t="shared" si="0"/>
        <v>0</v>
      </c>
      <c r="D5" s="1">
        <f t="shared" ref="D5:D68" si="1">(C5-$G$6)^2</f>
        <v>1</v>
      </c>
      <c r="F5" t="s">
        <v>2</v>
      </c>
      <c r="G5">
        <f>SUM(C:C)</f>
        <v>97</v>
      </c>
    </row>
    <row r="6" spans="1:7" x14ac:dyDescent="0.25">
      <c r="A6">
        <v>3</v>
      </c>
      <c r="B6">
        <v>5</v>
      </c>
      <c r="C6" s="2">
        <f t="shared" si="0"/>
        <v>2</v>
      </c>
      <c r="D6" s="1">
        <f t="shared" si="1"/>
        <v>1</v>
      </c>
      <c r="F6" t="s">
        <v>1</v>
      </c>
      <c r="G6">
        <f>G5/G4</f>
        <v>1</v>
      </c>
    </row>
    <row r="7" spans="1:7" x14ac:dyDescent="0.25">
      <c r="A7">
        <v>3</v>
      </c>
      <c r="B7">
        <v>4</v>
      </c>
      <c r="C7" s="2">
        <f t="shared" si="0"/>
        <v>1</v>
      </c>
      <c r="D7" s="1">
        <f t="shared" si="1"/>
        <v>0</v>
      </c>
      <c r="F7" t="s">
        <v>18</v>
      </c>
      <c r="G7">
        <f>SUM(D:D)</f>
        <v>208</v>
      </c>
    </row>
    <row r="8" spans="1:7" x14ac:dyDescent="0.25">
      <c r="A8">
        <v>3</v>
      </c>
      <c r="B8">
        <v>3</v>
      </c>
      <c r="C8" s="2">
        <f t="shared" si="0"/>
        <v>0</v>
      </c>
      <c r="D8" s="1">
        <f t="shared" si="1"/>
        <v>1</v>
      </c>
      <c r="F8" t="s">
        <v>4</v>
      </c>
      <c r="G8">
        <f>SQRT(G7/(G4-1))</f>
        <v>1.4719601443879744</v>
      </c>
    </row>
    <row r="9" spans="1:7" x14ac:dyDescent="0.25">
      <c r="A9">
        <v>2</v>
      </c>
      <c r="B9">
        <v>2</v>
      </c>
      <c r="C9" s="2">
        <f t="shared" si="0"/>
        <v>0</v>
      </c>
      <c r="D9" s="1">
        <f t="shared" si="1"/>
        <v>1</v>
      </c>
    </row>
    <row r="10" spans="1:7" x14ac:dyDescent="0.25">
      <c r="A10">
        <v>3</v>
      </c>
      <c r="B10">
        <v>5</v>
      </c>
      <c r="C10" s="2">
        <f t="shared" si="0"/>
        <v>2</v>
      </c>
      <c r="D10" s="1">
        <f t="shared" si="1"/>
        <v>1</v>
      </c>
    </row>
    <row r="11" spans="1:7" x14ac:dyDescent="0.25">
      <c r="A11">
        <v>3</v>
      </c>
      <c r="B11">
        <v>5</v>
      </c>
      <c r="C11" s="2">
        <f t="shared" si="0"/>
        <v>2</v>
      </c>
      <c r="D11" s="1">
        <f t="shared" si="1"/>
        <v>1</v>
      </c>
    </row>
    <row r="12" spans="1:7" x14ac:dyDescent="0.25">
      <c r="A12">
        <v>2</v>
      </c>
      <c r="B12">
        <v>3</v>
      </c>
      <c r="C12" s="2">
        <f t="shared" si="0"/>
        <v>1</v>
      </c>
      <c r="D12" s="1">
        <f t="shared" si="1"/>
        <v>0</v>
      </c>
      <c r="F12" t="s">
        <v>8</v>
      </c>
      <c r="G12">
        <f>G6/(G8/SQRT(G4))</f>
        <v>6.6909813009177341</v>
      </c>
    </row>
    <row r="13" spans="1:7" x14ac:dyDescent="0.25">
      <c r="A13">
        <v>4</v>
      </c>
      <c r="B13">
        <v>4</v>
      </c>
      <c r="C13" s="2">
        <f t="shared" si="0"/>
        <v>0</v>
      </c>
      <c r="D13" s="1">
        <f t="shared" si="1"/>
        <v>1</v>
      </c>
    </row>
    <row r="14" spans="1:7" x14ac:dyDescent="0.25">
      <c r="A14">
        <v>3</v>
      </c>
      <c r="B14">
        <v>5</v>
      </c>
      <c r="C14" s="2">
        <f t="shared" si="0"/>
        <v>2</v>
      </c>
      <c r="D14" s="1">
        <f t="shared" si="1"/>
        <v>1</v>
      </c>
    </row>
    <row r="15" spans="1:7" x14ac:dyDescent="0.25">
      <c r="A15">
        <v>5</v>
      </c>
      <c r="B15">
        <v>2</v>
      </c>
      <c r="C15" s="2">
        <f t="shared" si="0"/>
        <v>-3</v>
      </c>
      <c r="D15" s="1">
        <f t="shared" si="1"/>
        <v>16</v>
      </c>
    </row>
    <row r="16" spans="1:7" x14ac:dyDescent="0.25">
      <c r="A16">
        <v>3</v>
      </c>
      <c r="B16">
        <v>5</v>
      </c>
      <c r="C16" s="2">
        <f t="shared" si="0"/>
        <v>2</v>
      </c>
      <c r="D16" s="1">
        <f t="shared" si="1"/>
        <v>1</v>
      </c>
    </row>
    <row r="17" spans="1:7" x14ac:dyDescent="0.25">
      <c r="A17">
        <v>3</v>
      </c>
      <c r="B17">
        <v>4</v>
      </c>
      <c r="C17" s="2">
        <f t="shared" si="0"/>
        <v>1</v>
      </c>
      <c r="D17" s="1">
        <f t="shared" si="1"/>
        <v>0</v>
      </c>
      <c r="F17" t="s">
        <v>5</v>
      </c>
      <c r="G17">
        <v>0.05</v>
      </c>
    </row>
    <row r="18" spans="1:7" x14ac:dyDescent="0.25">
      <c r="A18">
        <v>3</v>
      </c>
      <c r="B18">
        <v>5</v>
      </c>
      <c r="C18" s="2">
        <f t="shared" si="0"/>
        <v>2</v>
      </c>
      <c r="D18" s="1">
        <f t="shared" si="1"/>
        <v>1</v>
      </c>
      <c r="F18" t="s">
        <v>6</v>
      </c>
      <c r="G18">
        <f>G4-1</f>
        <v>96</v>
      </c>
    </row>
    <row r="19" spans="1:7" x14ac:dyDescent="0.25">
      <c r="A19">
        <v>3</v>
      </c>
      <c r="B19">
        <v>5</v>
      </c>
      <c r="C19" s="2">
        <f t="shared" si="0"/>
        <v>2</v>
      </c>
      <c r="D19" s="1">
        <f t="shared" si="1"/>
        <v>1</v>
      </c>
    </row>
    <row r="20" spans="1:7" x14ac:dyDescent="0.25">
      <c r="A20">
        <v>4</v>
      </c>
      <c r="B20">
        <v>4</v>
      </c>
      <c r="C20" s="2">
        <f t="shared" si="0"/>
        <v>0</v>
      </c>
      <c r="D20" s="1">
        <f t="shared" si="1"/>
        <v>1</v>
      </c>
    </row>
    <row r="21" spans="1:7" x14ac:dyDescent="0.25">
      <c r="A21">
        <v>2</v>
      </c>
      <c r="B21">
        <v>1</v>
      </c>
      <c r="C21" s="2">
        <f t="shared" si="0"/>
        <v>-1</v>
      </c>
      <c r="D21" s="1">
        <f t="shared" si="1"/>
        <v>4</v>
      </c>
    </row>
    <row r="22" spans="1:7" x14ac:dyDescent="0.25">
      <c r="A22">
        <v>2</v>
      </c>
      <c r="B22">
        <v>4</v>
      </c>
      <c r="C22" s="2">
        <f t="shared" si="0"/>
        <v>2</v>
      </c>
      <c r="D22" s="1">
        <f t="shared" si="1"/>
        <v>1</v>
      </c>
      <c r="F22" s="5" t="s">
        <v>7</v>
      </c>
      <c r="G22" s="5"/>
    </row>
    <row r="23" spans="1:7" x14ac:dyDescent="0.25">
      <c r="A23">
        <v>3</v>
      </c>
      <c r="B23">
        <v>3</v>
      </c>
      <c r="C23" s="2">
        <f t="shared" si="0"/>
        <v>0</v>
      </c>
      <c r="D23" s="1">
        <f t="shared" si="1"/>
        <v>1</v>
      </c>
      <c r="F23" t="s">
        <v>16</v>
      </c>
      <c r="G23">
        <f>_xlfn.T.INV.2T(G17,G18)</f>
        <v>1.9849843115224561</v>
      </c>
    </row>
    <row r="24" spans="1:7" x14ac:dyDescent="0.25">
      <c r="A24">
        <v>4</v>
      </c>
      <c r="B24">
        <v>5</v>
      </c>
      <c r="C24" s="2">
        <f t="shared" si="0"/>
        <v>1</v>
      </c>
      <c r="D24" s="1">
        <f t="shared" si="1"/>
        <v>0</v>
      </c>
      <c r="F24" t="s">
        <v>17</v>
      </c>
      <c r="G24">
        <f>_xlfn.T.INV(G17,G18)</f>
        <v>-1.6608814403248366</v>
      </c>
    </row>
    <row r="25" spans="1:7" x14ac:dyDescent="0.25">
      <c r="A25">
        <v>2</v>
      </c>
      <c r="B25">
        <v>4</v>
      </c>
      <c r="C25" s="2">
        <f t="shared" si="0"/>
        <v>2</v>
      </c>
      <c r="D25" s="1">
        <f t="shared" si="1"/>
        <v>1</v>
      </c>
    </row>
    <row r="26" spans="1:7" x14ac:dyDescent="0.25">
      <c r="A26">
        <v>4</v>
      </c>
      <c r="B26">
        <v>3</v>
      </c>
      <c r="C26" s="2">
        <f t="shared" si="0"/>
        <v>-1</v>
      </c>
      <c r="D26" s="1">
        <f t="shared" si="1"/>
        <v>4</v>
      </c>
    </row>
    <row r="27" spans="1:7" x14ac:dyDescent="0.25">
      <c r="A27">
        <v>4</v>
      </c>
      <c r="B27">
        <v>4</v>
      </c>
      <c r="C27" s="2">
        <f t="shared" si="0"/>
        <v>0</v>
      </c>
      <c r="D27" s="1">
        <f t="shared" si="1"/>
        <v>1</v>
      </c>
      <c r="F27" s="5" t="s">
        <v>9</v>
      </c>
      <c r="G27" s="5"/>
    </row>
    <row r="28" spans="1:7" x14ac:dyDescent="0.25">
      <c r="A28">
        <v>1</v>
      </c>
      <c r="B28">
        <v>5</v>
      </c>
      <c r="C28" s="2">
        <f t="shared" si="0"/>
        <v>4</v>
      </c>
      <c r="D28" s="1">
        <f t="shared" si="1"/>
        <v>9</v>
      </c>
      <c r="F28" t="s">
        <v>9</v>
      </c>
    </row>
    <row r="29" spans="1:7" x14ac:dyDescent="0.25">
      <c r="A29">
        <v>3</v>
      </c>
      <c r="B29">
        <v>2</v>
      </c>
      <c r="C29" s="2">
        <f t="shared" si="0"/>
        <v>-1</v>
      </c>
      <c r="D29" s="1">
        <f t="shared" si="1"/>
        <v>4</v>
      </c>
      <c r="F29" t="s">
        <v>15</v>
      </c>
      <c r="G29">
        <f>TTEST(A:A,B:B,2,1)</f>
        <v>1.479258398730328E-9</v>
      </c>
    </row>
    <row r="30" spans="1:7" x14ac:dyDescent="0.25">
      <c r="A30">
        <v>1</v>
      </c>
      <c r="B30">
        <v>3</v>
      </c>
      <c r="C30" s="2">
        <f t="shared" si="0"/>
        <v>2</v>
      </c>
      <c r="D30" s="1">
        <f t="shared" si="1"/>
        <v>1</v>
      </c>
      <c r="F30" t="s">
        <v>19</v>
      </c>
      <c r="G30">
        <f>TTEST(A:A,B:B,1,1)</f>
        <v>7.3962919936516402E-10</v>
      </c>
    </row>
    <row r="31" spans="1:7" x14ac:dyDescent="0.25">
      <c r="A31">
        <v>3</v>
      </c>
      <c r="B31">
        <v>4</v>
      </c>
      <c r="C31" s="2">
        <f t="shared" si="0"/>
        <v>1</v>
      </c>
      <c r="D31" s="1">
        <f t="shared" si="1"/>
        <v>0</v>
      </c>
    </row>
    <row r="32" spans="1:7" x14ac:dyDescent="0.25">
      <c r="A32">
        <v>3</v>
      </c>
      <c r="B32">
        <v>5</v>
      </c>
      <c r="C32" s="2">
        <f t="shared" si="0"/>
        <v>2</v>
      </c>
      <c r="D32" s="1">
        <f t="shared" si="1"/>
        <v>1</v>
      </c>
    </row>
    <row r="33" spans="1:7" x14ac:dyDescent="0.25">
      <c r="A33">
        <v>5</v>
      </c>
      <c r="B33">
        <v>3</v>
      </c>
      <c r="C33" s="2">
        <f t="shared" si="0"/>
        <v>-2</v>
      </c>
      <c r="D33" s="1">
        <f t="shared" si="1"/>
        <v>9</v>
      </c>
      <c r="F33" s="8" t="s">
        <v>12</v>
      </c>
      <c r="G33" s="8"/>
    </row>
    <row r="34" spans="1:7" x14ac:dyDescent="0.25">
      <c r="A34">
        <v>3</v>
      </c>
      <c r="B34">
        <v>5</v>
      </c>
      <c r="C34" s="2">
        <f t="shared" si="0"/>
        <v>2</v>
      </c>
      <c r="D34" s="1">
        <f t="shared" si="1"/>
        <v>1</v>
      </c>
    </row>
    <row r="35" spans="1:7" x14ac:dyDescent="0.25">
      <c r="A35">
        <v>1</v>
      </c>
      <c r="B35">
        <v>4</v>
      </c>
      <c r="C35" s="2">
        <f t="shared" si="0"/>
        <v>3</v>
      </c>
      <c r="D35" s="1">
        <f t="shared" si="1"/>
        <v>4</v>
      </c>
      <c r="F35" t="s">
        <v>10</v>
      </c>
    </row>
    <row r="36" spans="1:7" x14ac:dyDescent="0.25">
      <c r="A36">
        <v>5</v>
      </c>
      <c r="B36">
        <v>5</v>
      </c>
      <c r="C36" s="2">
        <f t="shared" si="0"/>
        <v>0</v>
      </c>
      <c r="D36" s="1">
        <f t="shared" si="1"/>
        <v>1</v>
      </c>
      <c r="F36" t="s">
        <v>11</v>
      </c>
    </row>
    <row r="37" spans="1:7" x14ac:dyDescent="0.25">
      <c r="A37">
        <v>3</v>
      </c>
      <c r="B37">
        <v>5</v>
      </c>
      <c r="C37" s="2">
        <f t="shared" si="0"/>
        <v>2</v>
      </c>
      <c r="D37" s="1">
        <f t="shared" si="1"/>
        <v>1</v>
      </c>
    </row>
    <row r="38" spans="1:7" x14ac:dyDescent="0.25">
      <c r="A38">
        <v>3</v>
      </c>
      <c r="B38">
        <v>5</v>
      </c>
      <c r="C38" s="2">
        <f t="shared" si="0"/>
        <v>2</v>
      </c>
      <c r="D38" s="1">
        <f t="shared" si="1"/>
        <v>1</v>
      </c>
    </row>
    <row r="39" spans="1:7" x14ac:dyDescent="0.25">
      <c r="A39">
        <v>4</v>
      </c>
      <c r="B39">
        <v>4</v>
      </c>
      <c r="C39" s="2">
        <f t="shared" si="0"/>
        <v>0</v>
      </c>
      <c r="D39" s="1">
        <f t="shared" si="1"/>
        <v>1</v>
      </c>
    </row>
    <row r="40" spans="1:7" x14ac:dyDescent="0.25">
      <c r="A40">
        <v>4</v>
      </c>
      <c r="B40">
        <v>4</v>
      </c>
      <c r="C40" s="2">
        <f t="shared" si="0"/>
        <v>0</v>
      </c>
      <c r="D40" s="1">
        <f t="shared" si="1"/>
        <v>1</v>
      </c>
      <c r="F40" t="s">
        <v>14</v>
      </c>
    </row>
    <row r="41" spans="1:7" x14ac:dyDescent="0.25">
      <c r="A41">
        <v>2</v>
      </c>
      <c r="B41">
        <v>4</v>
      </c>
      <c r="C41" s="2">
        <f t="shared" si="0"/>
        <v>2</v>
      </c>
      <c r="D41" s="1">
        <f t="shared" si="1"/>
        <v>1</v>
      </c>
      <c r="F41" t="str">
        <f>"Dos Colas: Si t calculado ("&amp;G12&amp;") &gt; a t critico  ("&amp;G23&amp;") (de tabla) ---&gt; Se rechaza la hipotesis nula"</f>
        <v>Dos Colas: Si t calculado (6.69098130091773) &gt; a t critico  (1.98498431152246) (de tabla) ---&gt; Se rechaza la hipotesis nula</v>
      </c>
    </row>
    <row r="42" spans="1:7" x14ac:dyDescent="0.25">
      <c r="A42">
        <v>2</v>
      </c>
      <c r="B42">
        <v>5</v>
      </c>
      <c r="C42" s="2">
        <f t="shared" si="0"/>
        <v>3</v>
      </c>
      <c r="D42" s="1">
        <f t="shared" si="1"/>
        <v>4</v>
      </c>
      <c r="F42" t="str">
        <f>"Una Cola: Si t calculado ("&amp;G12&amp;") &gt; a t critico  ("&amp;G24&amp;") (de tabla) ---&gt; Se rechaza la hipotesis nula"</f>
        <v>Una Cola: Si t calculado (6.69098130091773) &gt; a t critico  (-1.66088144032484) (de tabla) ---&gt; Se rechaza la hipotesis nula</v>
      </c>
    </row>
    <row r="43" spans="1:7" x14ac:dyDescent="0.25">
      <c r="A43">
        <v>2</v>
      </c>
      <c r="B43">
        <v>4</v>
      </c>
      <c r="C43" s="2">
        <f t="shared" si="0"/>
        <v>2</v>
      </c>
      <c r="D43" s="1">
        <f t="shared" si="1"/>
        <v>1</v>
      </c>
    </row>
    <row r="44" spans="1:7" x14ac:dyDescent="0.25">
      <c r="A44">
        <v>5</v>
      </c>
      <c r="B44">
        <v>5</v>
      </c>
      <c r="C44" s="2">
        <f t="shared" si="0"/>
        <v>0</v>
      </c>
      <c r="D44" s="1">
        <f t="shared" si="1"/>
        <v>1</v>
      </c>
    </row>
    <row r="45" spans="1:7" x14ac:dyDescent="0.25">
      <c r="A45">
        <v>4</v>
      </c>
      <c r="B45">
        <v>4</v>
      </c>
      <c r="C45" s="2">
        <f t="shared" si="0"/>
        <v>0</v>
      </c>
      <c r="D45" s="1">
        <f t="shared" si="1"/>
        <v>1</v>
      </c>
    </row>
    <row r="46" spans="1:7" x14ac:dyDescent="0.25">
      <c r="A46">
        <v>4</v>
      </c>
      <c r="B46">
        <v>3</v>
      </c>
      <c r="C46" s="2">
        <f t="shared" si="0"/>
        <v>-1</v>
      </c>
      <c r="D46" s="1">
        <f t="shared" si="1"/>
        <v>4</v>
      </c>
      <c r="F46" t="s">
        <v>20</v>
      </c>
    </row>
    <row r="47" spans="1:7" x14ac:dyDescent="0.25">
      <c r="A47">
        <v>3</v>
      </c>
      <c r="B47">
        <v>5</v>
      </c>
      <c r="C47" s="2">
        <f t="shared" si="0"/>
        <v>2</v>
      </c>
      <c r="D47" s="1">
        <f t="shared" si="1"/>
        <v>1</v>
      </c>
      <c r="F47" t="str">
        <f>"Dos Colas: Si p valor ("&amp;G29&amp;") &lt; Nivel Significancia ("&amp;G17&amp;") ---&gt; Se rechaza la hipotesis nula"</f>
        <v>Dos Colas: Si p valor (1.47925839873033E-09) &lt; Nivel Significancia (0.05) ---&gt; Se rechaza la hipotesis nula</v>
      </c>
    </row>
    <row r="48" spans="1:7" x14ac:dyDescent="0.25">
      <c r="A48">
        <v>4</v>
      </c>
      <c r="B48">
        <v>3</v>
      </c>
      <c r="C48" s="2">
        <f t="shared" si="0"/>
        <v>-1</v>
      </c>
      <c r="D48" s="1">
        <f t="shared" si="1"/>
        <v>4</v>
      </c>
      <c r="F48" t="str">
        <f>"Una Cola: Si p valor ("&amp;G30&amp;") &lt; Nivel Significancia ("&amp;G17&amp;") ---&gt; Se rechaza la hipotesis nula"</f>
        <v>Una Cola: Si p valor (7.39629199365164E-10) &lt; Nivel Significancia (0.05) ---&gt; Se rechaza la hipotesis nula</v>
      </c>
    </row>
    <row r="49" spans="1:4" x14ac:dyDescent="0.25">
      <c r="A49">
        <v>2</v>
      </c>
      <c r="B49">
        <v>1</v>
      </c>
      <c r="C49" s="2">
        <f t="shared" si="0"/>
        <v>-1</v>
      </c>
      <c r="D49" s="1">
        <f t="shared" si="1"/>
        <v>4</v>
      </c>
    </row>
    <row r="50" spans="1:4" x14ac:dyDescent="0.25">
      <c r="A50">
        <v>3</v>
      </c>
      <c r="B50">
        <v>5</v>
      </c>
      <c r="C50" s="2">
        <f t="shared" si="0"/>
        <v>2</v>
      </c>
      <c r="D50" s="1">
        <f t="shared" si="1"/>
        <v>1</v>
      </c>
    </row>
    <row r="51" spans="1:4" x14ac:dyDescent="0.25">
      <c r="A51">
        <v>5</v>
      </c>
      <c r="B51">
        <v>3</v>
      </c>
      <c r="C51" s="2">
        <f t="shared" si="0"/>
        <v>-2</v>
      </c>
      <c r="D51" s="1">
        <f t="shared" si="1"/>
        <v>9</v>
      </c>
    </row>
    <row r="52" spans="1:4" x14ac:dyDescent="0.25">
      <c r="A52">
        <v>3</v>
      </c>
      <c r="B52">
        <v>3</v>
      </c>
      <c r="C52" s="2">
        <f t="shared" si="0"/>
        <v>0</v>
      </c>
      <c r="D52" s="1">
        <f t="shared" si="1"/>
        <v>1</v>
      </c>
    </row>
    <row r="53" spans="1:4" x14ac:dyDescent="0.25">
      <c r="A53">
        <v>3</v>
      </c>
      <c r="B53">
        <v>5</v>
      </c>
      <c r="C53" s="2">
        <f t="shared" si="0"/>
        <v>2</v>
      </c>
      <c r="D53" s="1">
        <f t="shared" si="1"/>
        <v>1</v>
      </c>
    </row>
    <row r="54" spans="1:4" x14ac:dyDescent="0.25">
      <c r="A54">
        <v>4</v>
      </c>
      <c r="B54">
        <v>3</v>
      </c>
      <c r="C54" s="2">
        <f t="shared" si="0"/>
        <v>-1</v>
      </c>
      <c r="D54" s="1">
        <f t="shared" si="1"/>
        <v>4</v>
      </c>
    </row>
    <row r="55" spans="1:4" x14ac:dyDescent="0.25">
      <c r="A55">
        <v>3</v>
      </c>
      <c r="B55">
        <v>5</v>
      </c>
      <c r="C55" s="2">
        <f t="shared" si="0"/>
        <v>2</v>
      </c>
      <c r="D55" s="1">
        <f t="shared" si="1"/>
        <v>1</v>
      </c>
    </row>
    <row r="56" spans="1:4" x14ac:dyDescent="0.25">
      <c r="A56">
        <v>1</v>
      </c>
      <c r="B56">
        <v>1</v>
      </c>
      <c r="C56" s="2">
        <f t="shared" si="0"/>
        <v>0</v>
      </c>
      <c r="D56" s="1">
        <f t="shared" si="1"/>
        <v>1</v>
      </c>
    </row>
    <row r="57" spans="1:4" x14ac:dyDescent="0.25">
      <c r="A57">
        <v>3</v>
      </c>
      <c r="B57">
        <v>5</v>
      </c>
      <c r="C57" s="2">
        <f t="shared" si="0"/>
        <v>2</v>
      </c>
      <c r="D57" s="1">
        <f t="shared" si="1"/>
        <v>1</v>
      </c>
    </row>
    <row r="58" spans="1:4" x14ac:dyDescent="0.25">
      <c r="A58">
        <v>1</v>
      </c>
      <c r="B58">
        <v>5</v>
      </c>
      <c r="C58" s="2">
        <f t="shared" si="0"/>
        <v>4</v>
      </c>
      <c r="D58" s="1">
        <f t="shared" si="1"/>
        <v>9</v>
      </c>
    </row>
    <row r="59" spans="1:4" x14ac:dyDescent="0.25">
      <c r="A59">
        <v>5</v>
      </c>
      <c r="B59">
        <v>5</v>
      </c>
      <c r="C59" s="2">
        <f t="shared" si="0"/>
        <v>0</v>
      </c>
      <c r="D59" s="1">
        <f t="shared" si="1"/>
        <v>1</v>
      </c>
    </row>
    <row r="60" spans="1:4" x14ac:dyDescent="0.25">
      <c r="A60">
        <v>3</v>
      </c>
      <c r="B60">
        <v>5</v>
      </c>
      <c r="C60" s="2">
        <f t="shared" si="0"/>
        <v>2</v>
      </c>
      <c r="D60" s="1">
        <f t="shared" si="1"/>
        <v>1</v>
      </c>
    </row>
    <row r="61" spans="1:4" x14ac:dyDescent="0.25">
      <c r="A61">
        <v>3</v>
      </c>
      <c r="B61">
        <v>4</v>
      </c>
      <c r="C61" s="2">
        <f t="shared" si="0"/>
        <v>1</v>
      </c>
      <c r="D61" s="1">
        <f t="shared" si="1"/>
        <v>0</v>
      </c>
    </row>
    <row r="62" spans="1:4" x14ac:dyDescent="0.25">
      <c r="A62">
        <v>3</v>
      </c>
      <c r="B62">
        <v>5</v>
      </c>
      <c r="C62" s="2">
        <f t="shared" si="0"/>
        <v>2</v>
      </c>
      <c r="D62" s="1">
        <f t="shared" si="1"/>
        <v>1</v>
      </c>
    </row>
    <row r="63" spans="1:4" x14ac:dyDescent="0.25">
      <c r="A63">
        <v>2</v>
      </c>
      <c r="B63">
        <v>5</v>
      </c>
      <c r="C63" s="2">
        <f t="shared" si="0"/>
        <v>3</v>
      </c>
      <c r="D63" s="1">
        <f t="shared" si="1"/>
        <v>4</v>
      </c>
    </row>
    <row r="64" spans="1:4" x14ac:dyDescent="0.25">
      <c r="A64">
        <v>3</v>
      </c>
      <c r="B64">
        <v>5</v>
      </c>
      <c r="C64" s="2">
        <f t="shared" si="0"/>
        <v>2</v>
      </c>
      <c r="D64" s="1">
        <f t="shared" si="1"/>
        <v>1</v>
      </c>
    </row>
    <row r="65" spans="1:4" x14ac:dyDescent="0.25">
      <c r="A65">
        <v>5</v>
      </c>
      <c r="B65">
        <v>2</v>
      </c>
      <c r="C65" s="2">
        <f t="shared" si="0"/>
        <v>-3</v>
      </c>
      <c r="D65" s="1">
        <f t="shared" si="1"/>
        <v>16</v>
      </c>
    </row>
    <row r="66" spans="1:4" x14ac:dyDescent="0.25">
      <c r="A66">
        <v>2</v>
      </c>
      <c r="B66">
        <v>4</v>
      </c>
      <c r="C66" s="2">
        <f t="shared" si="0"/>
        <v>2</v>
      </c>
      <c r="D66" s="1">
        <f t="shared" si="1"/>
        <v>1</v>
      </c>
    </row>
    <row r="67" spans="1:4" x14ac:dyDescent="0.25">
      <c r="A67">
        <v>5</v>
      </c>
      <c r="B67">
        <v>5</v>
      </c>
      <c r="C67" s="2">
        <f t="shared" ref="C67:C98" si="2">B67-A67</f>
        <v>0</v>
      </c>
      <c r="D67" s="1">
        <f t="shared" si="1"/>
        <v>1</v>
      </c>
    </row>
    <row r="68" spans="1:4" x14ac:dyDescent="0.25">
      <c r="A68">
        <v>3</v>
      </c>
      <c r="B68">
        <v>4</v>
      </c>
      <c r="C68" s="2">
        <f t="shared" si="2"/>
        <v>1</v>
      </c>
      <c r="D68" s="1">
        <f t="shared" si="1"/>
        <v>0</v>
      </c>
    </row>
    <row r="69" spans="1:4" x14ac:dyDescent="0.25">
      <c r="A69">
        <v>3</v>
      </c>
      <c r="B69">
        <v>5</v>
      </c>
      <c r="C69" s="2">
        <f t="shared" si="2"/>
        <v>2</v>
      </c>
      <c r="D69" s="1">
        <f t="shared" ref="D69:D98" si="3">(C69-$G$6)^2</f>
        <v>1</v>
      </c>
    </row>
    <row r="70" spans="1:4" x14ac:dyDescent="0.25">
      <c r="A70">
        <v>2</v>
      </c>
      <c r="B70">
        <v>3</v>
      </c>
      <c r="C70" s="2">
        <f t="shared" si="2"/>
        <v>1</v>
      </c>
      <c r="D70" s="1">
        <f t="shared" si="3"/>
        <v>0</v>
      </c>
    </row>
    <row r="71" spans="1:4" x14ac:dyDescent="0.25">
      <c r="A71">
        <v>3</v>
      </c>
      <c r="B71">
        <v>4</v>
      </c>
      <c r="C71" s="2">
        <f t="shared" si="2"/>
        <v>1</v>
      </c>
      <c r="D71" s="1">
        <f t="shared" si="3"/>
        <v>0</v>
      </c>
    </row>
    <row r="72" spans="1:4" x14ac:dyDescent="0.25">
      <c r="A72">
        <v>2</v>
      </c>
      <c r="B72">
        <v>4</v>
      </c>
      <c r="C72" s="2">
        <f t="shared" si="2"/>
        <v>2</v>
      </c>
      <c r="D72" s="1">
        <f t="shared" si="3"/>
        <v>1</v>
      </c>
    </row>
    <row r="73" spans="1:4" x14ac:dyDescent="0.25">
      <c r="A73">
        <v>2</v>
      </c>
      <c r="B73">
        <v>3</v>
      </c>
      <c r="C73" s="2">
        <f t="shared" si="2"/>
        <v>1</v>
      </c>
      <c r="D73" s="1">
        <f t="shared" si="3"/>
        <v>0</v>
      </c>
    </row>
    <row r="74" spans="1:4" x14ac:dyDescent="0.25">
      <c r="A74">
        <v>3</v>
      </c>
      <c r="B74">
        <v>2</v>
      </c>
      <c r="C74" s="2">
        <f t="shared" si="2"/>
        <v>-1</v>
      </c>
      <c r="D74" s="1">
        <f t="shared" si="3"/>
        <v>4</v>
      </c>
    </row>
    <row r="75" spans="1:4" x14ac:dyDescent="0.25">
      <c r="A75">
        <v>3</v>
      </c>
      <c r="B75">
        <v>4</v>
      </c>
      <c r="C75" s="2">
        <f t="shared" si="2"/>
        <v>1</v>
      </c>
      <c r="D75" s="1">
        <f t="shared" si="3"/>
        <v>0</v>
      </c>
    </row>
    <row r="76" spans="1:4" x14ac:dyDescent="0.25">
      <c r="A76">
        <v>1</v>
      </c>
      <c r="B76">
        <v>4</v>
      </c>
      <c r="C76" s="2">
        <f t="shared" si="2"/>
        <v>3</v>
      </c>
      <c r="D76" s="1">
        <f t="shared" si="3"/>
        <v>4</v>
      </c>
    </row>
    <row r="77" spans="1:4" x14ac:dyDescent="0.25">
      <c r="A77">
        <v>2</v>
      </c>
      <c r="B77">
        <v>4</v>
      </c>
      <c r="C77" s="2">
        <f t="shared" si="2"/>
        <v>2</v>
      </c>
      <c r="D77" s="1">
        <f t="shared" si="3"/>
        <v>1</v>
      </c>
    </row>
    <row r="78" spans="1:4" x14ac:dyDescent="0.25">
      <c r="A78">
        <v>3</v>
      </c>
      <c r="B78">
        <v>4</v>
      </c>
      <c r="C78" s="2">
        <f t="shared" si="2"/>
        <v>1</v>
      </c>
      <c r="D78" s="1">
        <f t="shared" si="3"/>
        <v>0</v>
      </c>
    </row>
    <row r="79" spans="1:4" x14ac:dyDescent="0.25">
      <c r="A79">
        <v>2</v>
      </c>
      <c r="B79">
        <v>5</v>
      </c>
      <c r="C79" s="2">
        <f t="shared" si="2"/>
        <v>3</v>
      </c>
      <c r="D79" s="1">
        <f t="shared" si="3"/>
        <v>4</v>
      </c>
    </row>
    <row r="80" spans="1:4" x14ac:dyDescent="0.25">
      <c r="A80">
        <v>4</v>
      </c>
      <c r="B80">
        <v>3</v>
      </c>
      <c r="C80" s="2">
        <f t="shared" si="2"/>
        <v>-1</v>
      </c>
      <c r="D80" s="1">
        <f t="shared" si="3"/>
        <v>4</v>
      </c>
    </row>
    <row r="81" spans="1:6" x14ac:dyDescent="0.25">
      <c r="A81">
        <v>4</v>
      </c>
      <c r="B81">
        <v>3</v>
      </c>
      <c r="C81" s="2">
        <f t="shared" si="2"/>
        <v>-1</v>
      </c>
      <c r="D81" s="1">
        <f t="shared" si="3"/>
        <v>4</v>
      </c>
    </row>
    <row r="82" spans="1:6" x14ac:dyDescent="0.25">
      <c r="A82">
        <v>3</v>
      </c>
      <c r="B82">
        <v>5</v>
      </c>
      <c r="C82" s="2">
        <f t="shared" si="2"/>
        <v>2</v>
      </c>
      <c r="D82" s="1">
        <f t="shared" si="3"/>
        <v>1</v>
      </c>
    </row>
    <row r="83" spans="1:6" x14ac:dyDescent="0.25">
      <c r="A83">
        <v>1</v>
      </c>
      <c r="B83">
        <v>4</v>
      </c>
      <c r="C83" s="2">
        <f t="shared" si="2"/>
        <v>3</v>
      </c>
      <c r="D83" s="1">
        <f t="shared" si="3"/>
        <v>4</v>
      </c>
    </row>
    <row r="84" spans="1:6" x14ac:dyDescent="0.25">
      <c r="A84">
        <v>2</v>
      </c>
      <c r="B84">
        <v>3</v>
      </c>
      <c r="C84" s="2">
        <f t="shared" si="2"/>
        <v>1</v>
      </c>
      <c r="D84" s="1">
        <f t="shared" si="3"/>
        <v>0</v>
      </c>
    </row>
    <row r="85" spans="1:6" x14ac:dyDescent="0.25">
      <c r="A85">
        <v>2</v>
      </c>
      <c r="B85">
        <v>3</v>
      </c>
      <c r="C85" s="2">
        <f t="shared" si="2"/>
        <v>1</v>
      </c>
      <c r="D85" s="1">
        <f t="shared" si="3"/>
        <v>0</v>
      </c>
    </row>
    <row r="86" spans="1:6" x14ac:dyDescent="0.25">
      <c r="A86">
        <v>2</v>
      </c>
      <c r="B86">
        <v>3</v>
      </c>
      <c r="C86" s="2">
        <f t="shared" si="2"/>
        <v>1</v>
      </c>
      <c r="D86" s="1">
        <f t="shared" si="3"/>
        <v>0</v>
      </c>
    </row>
    <row r="87" spans="1:6" x14ac:dyDescent="0.25">
      <c r="A87">
        <v>3</v>
      </c>
      <c r="B87">
        <v>4</v>
      </c>
      <c r="C87" s="2">
        <f t="shared" si="2"/>
        <v>1</v>
      </c>
      <c r="D87" s="1">
        <f t="shared" si="3"/>
        <v>0</v>
      </c>
    </row>
    <row r="88" spans="1:6" x14ac:dyDescent="0.25">
      <c r="A88">
        <v>1</v>
      </c>
      <c r="B88">
        <v>5</v>
      </c>
      <c r="C88" s="2">
        <f t="shared" si="2"/>
        <v>4</v>
      </c>
      <c r="D88" s="1">
        <f t="shared" si="3"/>
        <v>9</v>
      </c>
    </row>
    <row r="89" spans="1:6" x14ac:dyDescent="0.25">
      <c r="A89">
        <v>3</v>
      </c>
      <c r="B89">
        <v>4</v>
      </c>
      <c r="C89" s="2">
        <f t="shared" si="2"/>
        <v>1</v>
      </c>
      <c r="D89" s="1">
        <f t="shared" si="3"/>
        <v>0</v>
      </c>
    </row>
    <row r="90" spans="1:6" x14ac:dyDescent="0.25">
      <c r="A90">
        <v>3</v>
      </c>
      <c r="B90">
        <v>5</v>
      </c>
      <c r="C90" s="2">
        <f t="shared" si="2"/>
        <v>2</v>
      </c>
      <c r="D90" s="1">
        <f t="shared" si="3"/>
        <v>1</v>
      </c>
    </row>
    <row r="91" spans="1:6" x14ac:dyDescent="0.25">
      <c r="A91">
        <v>3</v>
      </c>
      <c r="B91">
        <v>2</v>
      </c>
      <c r="C91" s="2">
        <f t="shared" si="2"/>
        <v>-1</v>
      </c>
      <c r="D91" s="1">
        <f t="shared" si="3"/>
        <v>4</v>
      </c>
    </row>
    <row r="92" spans="1:6" x14ac:dyDescent="0.25">
      <c r="A92">
        <v>3</v>
      </c>
      <c r="B92">
        <v>5</v>
      </c>
      <c r="C92" s="2">
        <f t="shared" si="2"/>
        <v>2</v>
      </c>
      <c r="D92" s="1">
        <f t="shared" si="3"/>
        <v>1</v>
      </c>
    </row>
    <row r="93" spans="1:6" x14ac:dyDescent="0.25">
      <c r="A93">
        <v>3</v>
      </c>
      <c r="B93">
        <v>5</v>
      </c>
      <c r="C93" s="2">
        <f t="shared" si="2"/>
        <v>2</v>
      </c>
      <c r="D93" s="1">
        <f t="shared" si="3"/>
        <v>1</v>
      </c>
      <c r="F93" s="6"/>
    </row>
    <row r="94" spans="1:6" x14ac:dyDescent="0.25">
      <c r="A94">
        <v>4</v>
      </c>
      <c r="B94">
        <v>5</v>
      </c>
      <c r="C94" s="2">
        <f t="shared" si="2"/>
        <v>1</v>
      </c>
      <c r="D94" s="1">
        <f t="shared" si="3"/>
        <v>0</v>
      </c>
    </row>
    <row r="95" spans="1:6" x14ac:dyDescent="0.25">
      <c r="A95">
        <v>4</v>
      </c>
      <c r="B95">
        <v>4</v>
      </c>
      <c r="C95" s="2">
        <f t="shared" si="2"/>
        <v>0</v>
      </c>
      <c r="D95" s="1">
        <f t="shared" si="3"/>
        <v>1</v>
      </c>
    </row>
    <row r="96" spans="1:6" x14ac:dyDescent="0.25">
      <c r="A96">
        <v>3</v>
      </c>
      <c r="B96">
        <v>5</v>
      </c>
      <c r="C96" s="2">
        <f t="shared" si="2"/>
        <v>2</v>
      </c>
      <c r="D96" s="1">
        <f t="shared" si="3"/>
        <v>1</v>
      </c>
    </row>
    <row r="97" spans="1:4" x14ac:dyDescent="0.25">
      <c r="A97">
        <v>4</v>
      </c>
      <c r="B97">
        <v>2</v>
      </c>
      <c r="C97" s="2">
        <f t="shared" si="2"/>
        <v>-2</v>
      </c>
      <c r="D97" s="1">
        <f t="shared" si="3"/>
        <v>9</v>
      </c>
    </row>
    <row r="98" spans="1:4" x14ac:dyDescent="0.25">
      <c r="A98">
        <v>3</v>
      </c>
      <c r="B98">
        <v>5</v>
      </c>
      <c r="C98" s="2">
        <f t="shared" si="2"/>
        <v>2</v>
      </c>
      <c r="D98" s="1">
        <f t="shared" si="3"/>
        <v>1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Resumen</vt:lpstr>
      <vt:lpstr>Participación-activa</vt:lpstr>
      <vt:lpstr>Comunicación-equipo</vt:lpstr>
      <vt:lpstr>Cumplimiento-tareas</vt:lpstr>
      <vt:lpstr>Contribución-grupo</vt:lpstr>
      <vt:lpstr>Resolución-problemas</vt:lpstr>
      <vt:lpstr>Conocimientos-adquiridos</vt:lpstr>
      <vt:lpstr>Nota-final</vt:lpstr>
      <vt:lpstr>Comprensión</vt:lpstr>
      <vt:lpstr>Habilidades</vt:lpstr>
      <vt:lpstr>Resolución-autónoma</vt:lpstr>
      <vt:lpstr>Motivación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2026-06-24T05:43:50Z</dcterms:modified>
</cp:coreProperties>
</file>
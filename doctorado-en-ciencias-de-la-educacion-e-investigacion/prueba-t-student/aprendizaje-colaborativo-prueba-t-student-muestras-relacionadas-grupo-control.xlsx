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Participación-activa" sheetId="2" r:id="rId5"/>
    <sheet state="visible" name="Comunicación-equipo" sheetId="3" r:id="rId6"/>
    <sheet state="visible" name="Cumplimiento-tareas" sheetId="4" r:id="rId7"/>
    <sheet state="visible" name="Contribución-grupo" sheetId="5" r:id="rId8"/>
    <sheet state="visible" name="Resolución-problemas" sheetId="6" r:id="rId9"/>
    <sheet state="visible" name="Conocimientos-adquiridos" sheetId="7" r:id="rId10"/>
    <sheet state="visible" name="Nota-final" sheetId="8" r:id="rId11"/>
    <sheet state="visible" name="Comprensión" sheetId="9" r:id="rId12"/>
    <sheet state="visible" name="Habilidades" sheetId="10" r:id="rId13"/>
    <sheet state="visible" name="Resolución-autónoma" sheetId="11" r:id="rId14"/>
    <sheet state="visible" name="Motivación" sheetId="12" r:id="rId15"/>
  </sheets>
  <definedNames/>
  <calcPr/>
  <extLst>
    <ext uri="GoogleSheetsCustomDataVersion2">
      <go:sheetsCustomData xmlns:go="http://customooxmlschemas.google.com/" r:id="rId16" roundtripDataChecksum="FAJoPPJeyZOpscJhGDxovHjNpV6w3MDnfcjv9LFp4FY="/>
    </ext>
  </extLst>
</workbook>
</file>

<file path=xl/sharedStrings.xml><?xml version="1.0" encoding="utf-8"?>
<sst xmlns="http://schemas.openxmlformats.org/spreadsheetml/2006/main" count="281" uniqueCount="140">
  <si>
    <t>Indicador</t>
  </si>
  <si>
    <t>T
Calculado</t>
  </si>
  <si>
    <t>T Critico
2 Colas</t>
  </si>
  <si>
    <t>T Critico
1 Cola</t>
  </si>
  <si>
    <t>P valor
2 Colas</t>
  </si>
  <si>
    <t>P valor
1 Cola</t>
  </si>
  <si>
    <r>
      <rPr>
        <rFont val="Calibri"/>
        <color rgb="FFC00000"/>
        <sz val="11.0"/>
      </rPr>
      <t>(Sin Aprendizaje Colaborativo) 
Pre-test</t>
    </r>
    <r>
      <rPr>
        <rFont val="Calibri"/>
        <color theme="1"/>
        <sz val="11.0"/>
      </rPr>
      <t xml:space="preserve">
Participación-activa
</t>
    </r>
  </si>
  <si>
    <r>
      <rPr>
        <rFont val="Calibri"/>
        <color rgb="FFC00000"/>
        <sz val="11.0"/>
      </rPr>
      <t>(Sin Aprendizaje Colaborativo) 
Pre-test</t>
    </r>
    <r>
      <rPr>
        <rFont val="Calibri"/>
        <color theme="1"/>
        <sz val="11.0"/>
      </rPr>
      <t xml:space="preserve">
Comunicación-equipo
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</si>
  <si>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 xml:space="preserve">Cumplimiento-tareas
</t>
    </r>
  </si>
  <si>
    <t>Participación activa</t>
  </si>
  <si>
    <r>
      <rPr>
        <rFont val="Calibri"/>
        <color rgb="FFC00000"/>
        <sz val="11.0"/>
      </rPr>
      <t>(Sin Aprendizaje Colaborativo) 
Post-test</t>
    </r>
    <r>
      <rPr>
        <rFont val="Calibri"/>
        <color theme="1"/>
        <sz val="11.0"/>
      </rPr>
      <t xml:space="preserve">
Participación-activa
</t>
    </r>
  </si>
  <si>
    <r>
      <rPr>
        <rFont val="Calibri"/>
        <color rgb="FFC00000"/>
        <sz val="11.0"/>
      </rPr>
      <t xml:space="preserve">(Sin Aprendizaje Colaborativo) 
Post-test
</t>
    </r>
    <r>
      <rPr>
        <rFont val="Calibri"/>
        <color theme="1"/>
        <sz val="11.0"/>
      </rPr>
      <t xml:space="preserve">Cumplimiento-tareas
</t>
    </r>
  </si>
  <si>
    <t>Diferencia</t>
  </si>
  <si>
    <r>
      <rPr>
        <rFont val="Calibri"/>
        <color rgb="FFC00000"/>
        <sz val="11.0"/>
      </rPr>
      <t>(Sin Aprendizaje Colaborativo) 
Post-test</t>
    </r>
    <r>
      <rPr>
        <rFont val="Calibri"/>
        <color theme="1"/>
        <sz val="11.0"/>
      </rPr>
      <t xml:space="preserve">
Comunicación-equipo
</t>
    </r>
  </si>
  <si>
    <t>Datos</t>
  </si>
  <si>
    <t>numero de datos</t>
  </si>
  <si>
    <t>Comunicación equipo</t>
  </si>
  <si>
    <t>Sumatoria Diferencias</t>
  </si>
  <si>
    <t>Media de las diferencias</t>
  </si>
  <si>
    <t>Sumatoria de diferencias</t>
  </si>
  <si>
    <t>Cumplimiento tareas</t>
  </si>
  <si>
    <t>desviación estándar de las diferencias</t>
  </si>
  <si>
    <t>Contribución grupo</t>
  </si>
  <si>
    <t>t calculado (estadistico t):</t>
  </si>
  <si>
    <t>Resolución problemas</t>
  </si>
  <si>
    <t>nivel de significancia (α)</t>
  </si>
  <si>
    <t>grados de libertad   (DF)</t>
  </si>
  <si>
    <t>Valor critico t</t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</si>
  <si>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</si>
  <si>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t>Conocimientos adquiridos</t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</si>
  <si>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</si>
  <si>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</si>
  <si>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t>p valor</t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</si>
  <si>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</si>
  <si>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</si>
  <si>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</si>
  <si>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t>Nota final</t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</si>
  <si>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</si>
  <si>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</si>
  <si>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t>Hipotesis</t>
  </si>
  <si>
    <t>Comprensión</t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</si>
  <si>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</si>
  <si>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</si>
  <si>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</si>
  <si>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</si>
  <si>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</si>
  <si>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</si>
  <si>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</si>
  <si>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t>Habilidades</t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</si>
  <si>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</si>
  <si>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</si>
  <si>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</si>
  <si>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</si>
  <si>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</si>
  <si>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</si>
  <si>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</si>
  <si>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t>Resolución autónoma</t>
  </si>
  <si>
    <t>Motivación</t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</si>
  <si>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</si>
  <si>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</si>
  <si>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rgb="FFC00000"/>
        <sz val="11.0"/>
      </rPr>
      <t xml:space="preserve">(Sin Aprendizaje Colaborativo) 
Pre-test   </t>
    </r>
    <r>
      <rPr>
        <rFont val="Calibri"/>
        <color theme="1"/>
        <sz val="11.0"/>
      </rPr>
      <t xml:space="preserve">         
Contribución-grupo
</t>
    </r>
  </si>
  <si>
    <r>
      <rPr>
        <rFont val="Calibri"/>
        <color rgb="FFC00000"/>
        <sz val="11.0"/>
      </rPr>
      <t xml:space="preserve">(Sin Aprendizaje Colaborativo) 
Post-test       </t>
    </r>
    <r>
      <rPr>
        <rFont val="Calibri"/>
        <color theme="1"/>
        <sz val="11.0"/>
      </rPr>
      <t xml:space="preserve">     
Contribución-grupo
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</si>
  <si>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</si>
  <si>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</si>
  <si>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</si>
  <si>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</si>
  <si>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</si>
  <si>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</si>
  <si>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</si>
  <si>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</si>
  <si>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 xml:space="preserve">Resolución-problemas
</t>
    </r>
  </si>
  <si>
    <r>
      <rPr>
        <rFont val="Calibri"/>
        <color rgb="FFC00000"/>
        <sz val="11.0"/>
      </rPr>
      <t xml:space="preserve">(Sin Aprendizaje Colaborativo) 
Post-test
</t>
    </r>
    <r>
      <rPr>
        <rFont val="Calibri"/>
        <color theme="1"/>
        <sz val="11.0"/>
      </rPr>
      <t xml:space="preserve">Resolución-problemas
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</si>
  <si>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</si>
  <si>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</si>
  <si>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rgb="FFC00000"/>
        <sz val="11.0"/>
      </rPr>
      <t xml:space="preserve">(Sin Aprendizaje Colaborativo) 
Pre-test   </t>
    </r>
    <r>
      <rPr>
        <rFont val="Calibri"/>
        <color theme="1"/>
        <sz val="11.0"/>
      </rPr>
      <t xml:space="preserve">         
Conocimientos-adquiridos
</t>
    </r>
  </si>
  <si>
    <r>
      <rPr>
        <rFont val="Calibri"/>
        <color rgb="FFC00000"/>
        <sz val="11.0"/>
      </rPr>
      <t xml:space="preserve">(Sin Aprendizaje Colaborativo) 
Post-test       </t>
    </r>
    <r>
      <rPr>
        <rFont val="Calibri"/>
        <color theme="1"/>
        <sz val="11.0"/>
      </rPr>
      <t xml:space="preserve">     
Conocimientos-adquiridos
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</si>
  <si>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</si>
  <si>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</si>
  <si>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</si>
  <si>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</si>
  <si>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</si>
  <si>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 xml:space="preserve">Nota-final
</t>
    </r>
    <r>
      <rPr>
        <rFont val="Calibri"/>
        <color theme="1"/>
        <sz val="10.0"/>
      </rPr>
      <t xml:space="preserve">
</t>
    </r>
  </si>
  <si>
    <r>
      <rPr>
        <rFont val="Calibri"/>
        <color rgb="FFC00000"/>
        <sz val="11.0"/>
      </rPr>
      <t xml:space="preserve">(Sin Aprendizaje Colaborativo) 
Post-test
</t>
    </r>
    <r>
      <rPr>
        <rFont val="Calibri"/>
        <color theme="1"/>
        <sz val="11.0"/>
      </rPr>
      <t xml:space="preserve">Nota-final
</t>
    </r>
    <r>
      <rPr>
        <rFont val="Calibri"/>
        <color theme="1"/>
        <sz val="10.0"/>
      </rPr>
      <t xml:space="preserve">
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</si>
  <si>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</si>
  <si>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</si>
  <si>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</si>
  <si>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</si>
  <si>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</si>
  <si>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</si>
  <si>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</si>
  <si>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</si>
  <si>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</si>
  <si>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</si>
  <si>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</si>
  <si>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</si>
  <si>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</si>
  <si>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</si>
  <si>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</si>
  <si>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</si>
  <si>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</si>
  <si>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>Comprensión</t>
    </r>
    <r>
      <rPr>
        <rFont val="Calibri"/>
        <color rgb="FFC00000"/>
        <sz val="11.0"/>
      </rPr>
      <t xml:space="preserve">
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</si>
  <si>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>Comprensión</t>
    </r>
    <r>
      <rPr>
        <rFont val="Calibri"/>
        <color rgb="FFC00000"/>
        <sz val="11.0"/>
      </rPr>
      <t xml:space="preserve">
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</si>
  <si>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</si>
  <si>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</si>
  <si>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</si>
  <si>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</si>
  <si>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</si>
  <si>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</si>
  <si>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</si>
  <si>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</si>
  <si>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 xml:space="preserve">Habilidades
</t>
    </r>
  </si>
  <si>
    <r>
      <rPr>
        <rFont val="Calibri"/>
        <color rgb="FFC00000"/>
        <sz val="11.0"/>
      </rPr>
      <t xml:space="preserve">(Sin Aprendizaje Colaborativo) 
Post-test
</t>
    </r>
    <r>
      <rPr>
        <rFont val="Calibri"/>
        <color theme="1"/>
        <sz val="11.0"/>
      </rPr>
      <t xml:space="preserve">Habilidades
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</si>
  <si>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</si>
  <si>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</si>
  <si>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</si>
  <si>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</si>
  <si>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 xml:space="preserve">Resolución-autónoma
</t>
    </r>
    <r>
      <rPr>
        <rFont val="Calibri"/>
        <color rgb="FFC00000"/>
        <sz val="11.0"/>
      </rPr>
      <t xml:space="preserve">
</t>
    </r>
  </si>
  <si>
    <r>
      <rPr>
        <rFont val="Calibri"/>
        <color rgb="FFC00000"/>
        <sz val="11.0"/>
      </rPr>
      <t xml:space="preserve">(Sin Aprendizaje Colaborativo) 
Post-test
</t>
    </r>
    <r>
      <rPr>
        <rFont val="Calibri"/>
        <color theme="1"/>
        <sz val="11.0"/>
      </rPr>
      <t xml:space="preserve">Resolución-autónoma
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</si>
  <si>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</si>
  <si>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</si>
  <si>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</si>
  <si>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</si>
  <si>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rgb="FFC00000"/>
        <sz val="11.0"/>
      </rPr>
      <t xml:space="preserve">(Sin Aprendizaje Colaborativo) 
Pre-test
</t>
    </r>
    <r>
      <rPr>
        <rFont val="Calibri"/>
        <color theme="1"/>
        <sz val="11.0"/>
      </rPr>
      <t xml:space="preserve">Motivación
</t>
    </r>
    <r>
      <rPr>
        <rFont val="Calibri"/>
        <color rgb="FFC00000"/>
        <sz val="11.0"/>
      </rPr>
      <t xml:space="preserve">
</t>
    </r>
  </si>
  <si>
    <r>
      <rPr>
        <rFont val="Calibri"/>
        <color rgb="FFC00000"/>
        <sz val="11.0"/>
      </rPr>
      <t>(Sin Aprendizaje Colaborativo) 
Post-test</t>
    </r>
    <r>
      <rPr>
        <rFont val="Calibri"/>
        <color theme="1"/>
        <sz val="11.0"/>
      </rPr>
      <t xml:space="preserve">
Motivación
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</si>
  <si>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</si>
  <si>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</si>
  <si>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</si>
  <si>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</si>
  <si>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</si>
  <si>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</si>
  <si>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</si>
  <si>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</si>
  <si>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</si>
  <si>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</si>
  <si>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</si>
  <si>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</si>
  <si>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</si>
  <si>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</si>
  <si>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</si>
  <si>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p valor</t>
    </r>
    <r>
      <rPr>
        <rFont val="Calibri"/>
        <color rgb="FFC00000"/>
        <sz val="11.0"/>
      </rPr>
      <t xml:space="preserve"> &lt; Nivel Significancia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</si>
</sst>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C00000"/>
      <name val="Calibri"/>
    </font>
    <font>
      <sz val="10.0"/>
      <color rgb="FF000000"/>
      <name val="Arial"/>
    </font>
    <font>
      <color theme="1"/>
      <name val="Calibri"/>
      <scheme val="minor"/>
    </font>
    <font>
      <sz val="10.0"/>
      <color rgb="FF000000"/>
      <name val="Calibri"/>
    </font>
    <font>
      <sz val="11.0"/>
      <color rgb="FF9C6500"/>
      <name val="Calibri"/>
    </font>
    <font>
      <sz val="11.0"/>
      <color rgb="FF9C0006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3" fontId="6" numFmtId="0" xfId="0" applyBorder="1" applyFill="1" applyFont="1"/>
    <xf borderId="2" fillId="4" fontId="7" numFmtId="0" xfId="0" applyBorder="1" applyFill="1" applyFont="1"/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2" Type="http://schemas.openxmlformats.org/officeDocument/2006/relationships/image" Target="../media/image11.png"/><Relationship Id="rId9" Type="http://schemas.openxmlformats.org/officeDocument/2006/relationships/image" Target="../media/image1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8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304800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0</xdr:row>
      <xdr:rowOff>495300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8</xdr:row>
      <xdr:rowOff>28575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12</xdr:row>
      <xdr:rowOff>9525</xdr:rowOff>
    </xdr:from>
    <xdr:ext cx="704850" cy="4667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28575</xdr:rowOff>
    </xdr:from>
    <xdr:ext cx="2466975" cy="2952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0</xdr:row>
      <xdr:rowOff>238125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0</xdr:row>
      <xdr:rowOff>514350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0</xdr:row>
      <xdr:rowOff>276225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495300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257175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0</xdr:row>
      <xdr:rowOff>495300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0</xdr:row>
      <xdr:rowOff>276225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0</xdr:row>
      <xdr:rowOff>495300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0</xdr:row>
      <xdr:rowOff>228600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485775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0</xdr:row>
      <xdr:rowOff>342900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600075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0</xdr:row>
      <xdr:rowOff>276225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0</xdr:row>
      <xdr:rowOff>495300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0</xdr:row>
      <xdr:rowOff>257175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485775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0</xdr:row>
      <xdr:rowOff>342900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0</xdr:row>
      <xdr:rowOff>638175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371475</xdr:rowOff>
    </xdr:from>
    <xdr:ext cx="962025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0</xdr:row>
      <xdr:rowOff>628650</xdr:rowOff>
    </xdr:from>
    <xdr:ext cx="285750" cy="2190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37</xdr:row>
      <xdr:rowOff>47625</xdr:rowOff>
    </xdr:from>
    <xdr:ext cx="1790700" cy="2667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42</xdr:row>
      <xdr:rowOff>152400</xdr:rowOff>
    </xdr:from>
    <xdr:ext cx="2466975" cy="3143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9.57"/>
    <col customWidth="1" min="3" max="4" width="8.14"/>
    <col customWidth="1" min="5" max="5" width="7.14"/>
    <col customWidth="1" min="6" max="6" width="7.0"/>
    <col customWidth="1" min="7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4" t="s">
        <v>9</v>
      </c>
      <c r="B2" s="4">
        <f>ROUND('Participación-activa'!G12, 4)</f>
        <v>-1.0689</v>
      </c>
      <c r="C2" s="4">
        <f>ROUND('Participación-activa'!G23, 4)</f>
        <v>1.985</v>
      </c>
      <c r="D2" s="4">
        <f>ROUND('Participación-activa'!G24, 4)</f>
        <v>-1.6609</v>
      </c>
      <c r="E2" s="4">
        <f>ROUND('Participación-activa'!G29, 4)</f>
        <v>0.2878</v>
      </c>
      <c r="F2" s="4">
        <f>ROUND('Participación-activa'!G30, 4)</f>
        <v>0.1439</v>
      </c>
    </row>
    <row r="3">
      <c r="A3" s="4" t="s">
        <v>16</v>
      </c>
      <c r="B3" s="4">
        <f>ROUND('Comunicación-equipo'!G12, 4)</f>
        <v>1.0645</v>
      </c>
      <c r="C3" s="4">
        <f>ROUND('Comunicación-equipo'!G23, 4)</f>
        <v>1.985</v>
      </c>
      <c r="D3" s="4">
        <f>ROUND('Comunicación-equipo'!G24, 4)</f>
        <v>-1.6609</v>
      </c>
      <c r="E3" s="4">
        <f>ROUND('Comunicación-equipo'!G29, 4)</f>
        <v>0.2898</v>
      </c>
      <c r="F3" s="4">
        <f>ROUND('Comunicación-equipo'!G30, 4)</f>
        <v>0.1449</v>
      </c>
    </row>
    <row r="4">
      <c r="A4" s="4" t="s">
        <v>20</v>
      </c>
      <c r="B4" s="4">
        <f>ROUND('Cumplimiento-tareas'!G12, 4)</f>
        <v>-0.9262</v>
      </c>
      <c r="C4" s="4">
        <f>ROUND('Cumplimiento-tareas'!G23, 4)</f>
        <v>1.985</v>
      </c>
      <c r="D4" s="4">
        <f>ROUND('Cumplimiento-tareas'!G24, 4)</f>
        <v>-1.6609</v>
      </c>
      <c r="E4" s="4">
        <f>ROUND('Cumplimiento-tareas'!G29, 4)</f>
        <v>0.3567</v>
      </c>
      <c r="F4" s="4">
        <f>ROUND('Cumplimiento-tareas'!G30, 4)</f>
        <v>0.1783</v>
      </c>
    </row>
    <row r="5">
      <c r="A5" s="4" t="s">
        <v>22</v>
      </c>
      <c r="B5" s="4">
        <f>ROUND('Contribución-grupo'!G12, 4)</f>
        <v>0.6425</v>
      </c>
      <c r="C5" s="4">
        <f>ROUND('Contribución-grupo'!G23, 4)</f>
        <v>1.985</v>
      </c>
      <c r="D5" s="4">
        <f>ROUND('Contribución-grupo'!G24, 4)</f>
        <v>-1.6609</v>
      </c>
      <c r="E5" s="4">
        <f>ROUND('Contribución-grupo'!G29, 4)</f>
        <v>0.522</v>
      </c>
      <c r="F5" s="4">
        <f>ROUND('Contribución-grupo'!G30, 4)</f>
        <v>0.261</v>
      </c>
    </row>
    <row r="6">
      <c r="A6" s="4" t="s">
        <v>24</v>
      </c>
      <c r="B6" s="4">
        <f>ROUND('Resolución-problemas'!G12, 4)</f>
        <v>1.9157</v>
      </c>
      <c r="C6" s="4">
        <f>ROUND('Resolución-problemas'!G23, 4)</f>
        <v>1.985</v>
      </c>
      <c r="D6" s="4">
        <f>ROUND('Resolución-problemas'!G24, 4)</f>
        <v>-1.6609</v>
      </c>
      <c r="E6" s="4">
        <f>ROUND('Resolución-problemas'!G29, 4)</f>
        <v>0.0584</v>
      </c>
      <c r="F6" s="4">
        <f>ROUND('Resolución-problemas'!G30, 4)</f>
        <v>0.0292</v>
      </c>
    </row>
    <row r="7">
      <c r="A7" s="4" t="s">
        <v>29</v>
      </c>
      <c r="B7" s="4">
        <f>ROUND('Conocimientos-adquiridos'!G12, 4)</f>
        <v>-0.5151</v>
      </c>
      <c r="C7" s="4">
        <f>ROUND('Conocimientos-adquiridos'!G23, 4)</f>
        <v>1.985</v>
      </c>
      <c r="D7" s="4">
        <f>ROUND('Conocimientos-adquiridos'!G24, 4)</f>
        <v>-1.6609</v>
      </c>
      <c r="E7" s="4">
        <f>ROUND('Conocimientos-adquiridos'!G29, 4)</f>
        <v>0.6077</v>
      </c>
      <c r="F7" s="4">
        <f>ROUND('Conocimientos-adquiridos'!G30, 4)</f>
        <v>0.3038</v>
      </c>
    </row>
    <row r="8">
      <c r="A8" s="4" t="s">
        <v>36</v>
      </c>
      <c r="B8" s="4">
        <f>ROUND('Nota-final'!G12, 4)</f>
        <v>-0.9961</v>
      </c>
      <c r="C8" s="4">
        <f>ROUND('Nota-final'!G23, 4)</f>
        <v>1.985</v>
      </c>
      <c r="D8" s="4">
        <f>ROUND('Nota-final'!G24, 4)</f>
        <v>-1.6609</v>
      </c>
      <c r="E8" s="4">
        <f>ROUND('Nota-final'!G29, 4)</f>
        <v>0.3217</v>
      </c>
      <c r="F8" s="4">
        <f>ROUND('Nota-final'!G30, 4)</f>
        <v>0.1609</v>
      </c>
    </row>
    <row r="9">
      <c r="A9" s="4" t="s">
        <v>40</v>
      </c>
      <c r="B9" s="4">
        <f>ROUND('Comprensión'!G12, 4)</f>
        <v>-0.3978</v>
      </c>
      <c r="C9" s="4">
        <f>ROUND('Comprensión'!G23, 4)</f>
        <v>1.985</v>
      </c>
      <c r="D9" s="4">
        <f>ROUND('Comprensión'!G24, 4)</f>
        <v>-1.6609</v>
      </c>
      <c r="E9" s="4">
        <f>ROUND('Comprensión'!G29, 4)</f>
        <v>0.6917</v>
      </c>
      <c r="F9" s="4">
        <f>ROUND('Comprensión'!G30, 4)</f>
        <v>0.3458</v>
      </c>
    </row>
    <row r="10">
      <c r="A10" s="4" t="s">
        <v>48</v>
      </c>
      <c r="B10" s="4">
        <f>ROUND(Habilidades!G12, 4)</f>
        <v>-0.3719</v>
      </c>
      <c r="C10" s="4">
        <f>ROUND(Habilidades!G23, 4)</f>
        <v>1.985</v>
      </c>
      <c r="D10" s="4">
        <f>ROUND(Habilidades!G24, 4)</f>
        <v>-1.6609</v>
      </c>
      <c r="E10" s="4">
        <f>ROUND(Habilidades!G29, 4)</f>
        <v>0.7108</v>
      </c>
      <c r="F10" s="4">
        <f>ROUND(Habilidades!G30, 4)</f>
        <v>0.3554</v>
      </c>
    </row>
    <row r="11">
      <c r="A11" s="4" t="s">
        <v>56</v>
      </c>
      <c r="B11" s="4">
        <f>ROUND('Resolución-autónoma'!G12, 4)</f>
        <v>-0.1386</v>
      </c>
      <c r="C11" s="4">
        <f>ROUND('Resolución-autónoma'!G23, 4)</f>
        <v>1.985</v>
      </c>
      <c r="D11" s="4">
        <f>ROUND('Resolución-autónoma'!G24, 4)</f>
        <v>-1.6609</v>
      </c>
      <c r="E11" s="4">
        <f>ROUND('Resolución-autónoma'!G29, 4)</f>
        <v>0.89</v>
      </c>
      <c r="F11" s="4">
        <f>ROUND('Resolución-autónoma'!G30, 4)</f>
        <v>0.445</v>
      </c>
    </row>
    <row r="12">
      <c r="A12" s="4" t="s">
        <v>57</v>
      </c>
      <c r="B12" s="4">
        <f>ROUND('Motivación'!G12, 4)</f>
        <v>-0.6435</v>
      </c>
      <c r="C12" s="4">
        <f>ROUND('Motivación'!G23, 4)</f>
        <v>1.985</v>
      </c>
      <c r="D12" s="4">
        <f>ROUND('Motivación'!G24, 4)</f>
        <v>-1.6609</v>
      </c>
      <c r="E12" s="4">
        <f>ROUND('Motivación'!G29, 4)</f>
        <v>0.5214</v>
      </c>
      <c r="F12" s="4">
        <f>ROUND('Motivación'!G30, 4)</f>
        <v>0.2607</v>
      </c>
    </row>
    <row r="14">
      <c r="A14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8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6</v>
      </c>
      <c r="B1" s="3" t="s">
        <v>10</v>
      </c>
      <c r="C1" s="5" t="s">
        <v>12</v>
      </c>
      <c r="D1" s="5"/>
    </row>
    <row r="2">
      <c r="A2" s="6">
        <v>2.0</v>
      </c>
      <c r="B2" s="6">
        <v>2.0</v>
      </c>
      <c r="C2" s="7">
        <f t="shared" ref="C2:C98" si="1">B2-A2</f>
        <v>0</v>
      </c>
      <c r="D2" s="8">
        <f t="shared" ref="D2:D98" si="2">(C2-$G$6)^2</f>
        <v>0.03443511532</v>
      </c>
    </row>
    <row r="3">
      <c r="A3" s="6">
        <v>4.0</v>
      </c>
      <c r="B3" s="6">
        <v>2.0</v>
      </c>
      <c r="C3" s="7">
        <f t="shared" si="1"/>
        <v>-2</v>
      </c>
      <c r="D3" s="8">
        <f t="shared" si="2"/>
        <v>3.292167074</v>
      </c>
      <c r="F3" s="9" t="s">
        <v>14</v>
      </c>
      <c r="G3" s="9"/>
    </row>
    <row r="4">
      <c r="A4" s="6">
        <v>2.0</v>
      </c>
      <c r="B4" s="6">
        <v>2.0</v>
      </c>
      <c r="C4" s="7">
        <f t="shared" si="1"/>
        <v>0</v>
      </c>
      <c r="D4" s="8">
        <f t="shared" si="2"/>
        <v>0.03443511532</v>
      </c>
      <c r="F4" s="6" t="s">
        <v>15</v>
      </c>
      <c r="G4" s="6">
        <f>COUNT(A:A)</f>
        <v>97</v>
      </c>
    </row>
    <row r="5">
      <c r="A5" s="6">
        <v>3.0</v>
      </c>
      <c r="B5" s="6">
        <v>3.0</v>
      </c>
      <c r="C5" s="7">
        <f t="shared" si="1"/>
        <v>0</v>
      </c>
      <c r="D5" s="8">
        <f t="shared" si="2"/>
        <v>0.03443511532</v>
      </c>
      <c r="F5" s="6" t="s">
        <v>17</v>
      </c>
      <c r="G5" s="6">
        <f>SUM(C:C)</f>
        <v>-18</v>
      </c>
    </row>
    <row r="6">
      <c r="A6" s="6">
        <v>2.0</v>
      </c>
      <c r="B6" s="6">
        <v>4.0</v>
      </c>
      <c r="C6" s="7">
        <f t="shared" si="1"/>
        <v>2</v>
      </c>
      <c r="D6" s="8">
        <f t="shared" si="2"/>
        <v>4.776703157</v>
      </c>
      <c r="F6" s="6" t="s">
        <v>18</v>
      </c>
      <c r="G6" s="6">
        <f>G5/G4</f>
        <v>-0.1855670103</v>
      </c>
    </row>
    <row r="7">
      <c r="A7" s="6">
        <v>1.0</v>
      </c>
      <c r="B7" s="6">
        <v>5.0</v>
      </c>
      <c r="C7" s="7">
        <f t="shared" si="1"/>
        <v>4</v>
      </c>
      <c r="D7" s="8">
        <f t="shared" si="2"/>
        <v>17.5189712</v>
      </c>
      <c r="F7" s="6" t="s">
        <v>19</v>
      </c>
      <c r="G7" s="6">
        <f>SUM(D:D)</f>
        <v>280.6597938</v>
      </c>
    </row>
    <row r="8">
      <c r="A8" s="6">
        <v>5.0</v>
      </c>
      <c r="B8" s="6">
        <v>1.0</v>
      </c>
      <c r="C8" s="7">
        <f t="shared" si="1"/>
        <v>-4</v>
      </c>
      <c r="D8" s="8">
        <f t="shared" si="2"/>
        <v>14.54989903</v>
      </c>
      <c r="F8" s="6" t="s">
        <v>21</v>
      </c>
      <c r="G8" s="6">
        <f>SQRT(G7/(G4-1))</f>
        <v>1.709836109</v>
      </c>
    </row>
    <row r="9">
      <c r="A9" s="6">
        <v>3.0</v>
      </c>
      <c r="B9" s="6">
        <v>2.0</v>
      </c>
      <c r="C9" s="7">
        <f t="shared" si="1"/>
        <v>-1</v>
      </c>
      <c r="D9" s="8">
        <f t="shared" si="2"/>
        <v>0.6633010947</v>
      </c>
    </row>
    <row r="10">
      <c r="A10" s="6">
        <v>3.0</v>
      </c>
      <c r="B10" s="6">
        <v>3.0</v>
      </c>
      <c r="C10" s="7">
        <f t="shared" si="1"/>
        <v>0</v>
      </c>
      <c r="D10" s="8">
        <f t="shared" si="2"/>
        <v>0.03443511532</v>
      </c>
    </row>
    <row r="11">
      <c r="A11" s="6">
        <v>5.0</v>
      </c>
      <c r="B11" s="6">
        <v>3.0</v>
      </c>
      <c r="C11" s="7">
        <f t="shared" si="1"/>
        <v>-2</v>
      </c>
      <c r="D11" s="8">
        <f t="shared" si="2"/>
        <v>3.292167074</v>
      </c>
    </row>
    <row r="12">
      <c r="A12" s="6">
        <v>2.0</v>
      </c>
      <c r="B12" s="6">
        <v>3.0</v>
      </c>
      <c r="C12" s="7">
        <f t="shared" si="1"/>
        <v>1</v>
      </c>
      <c r="D12" s="8">
        <f t="shared" si="2"/>
        <v>1.405569136</v>
      </c>
      <c r="F12" s="6" t="s">
        <v>23</v>
      </c>
      <c r="G12" s="6">
        <f>G6/(G8/SQRT(G4))</f>
        <v>-1.068887882</v>
      </c>
    </row>
    <row r="13">
      <c r="A13" s="6">
        <v>4.0</v>
      </c>
      <c r="B13" s="6">
        <v>5.0</v>
      </c>
      <c r="C13" s="7">
        <f t="shared" si="1"/>
        <v>1</v>
      </c>
      <c r="D13" s="8">
        <f t="shared" si="2"/>
        <v>1.405569136</v>
      </c>
    </row>
    <row r="14">
      <c r="A14" s="6">
        <v>5.0</v>
      </c>
      <c r="B14" s="6">
        <v>4.0</v>
      </c>
      <c r="C14" s="7">
        <f t="shared" si="1"/>
        <v>-1</v>
      </c>
      <c r="D14" s="8">
        <f t="shared" si="2"/>
        <v>0.6633010947</v>
      </c>
    </row>
    <row r="15">
      <c r="A15" s="6">
        <v>5.0</v>
      </c>
      <c r="B15" s="6">
        <v>5.0</v>
      </c>
      <c r="C15" s="7">
        <f t="shared" si="1"/>
        <v>0</v>
      </c>
      <c r="D15" s="8">
        <f t="shared" si="2"/>
        <v>0.03443511532</v>
      </c>
    </row>
    <row r="16">
      <c r="A16" s="6">
        <v>1.0</v>
      </c>
      <c r="B16" s="6">
        <v>2.0</v>
      </c>
      <c r="C16" s="7">
        <f t="shared" si="1"/>
        <v>1</v>
      </c>
      <c r="D16" s="8">
        <f t="shared" si="2"/>
        <v>1.405569136</v>
      </c>
    </row>
    <row r="17">
      <c r="A17" s="6">
        <v>3.0</v>
      </c>
      <c r="B17" s="6">
        <v>4.0</v>
      </c>
      <c r="C17" s="7">
        <f t="shared" si="1"/>
        <v>1</v>
      </c>
      <c r="D17" s="8">
        <f t="shared" si="2"/>
        <v>1.405569136</v>
      </c>
      <c r="F17" s="6" t="s">
        <v>25</v>
      </c>
      <c r="G17" s="6">
        <v>0.05</v>
      </c>
    </row>
    <row r="18">
      <c r="A18" s="6">
        <v>5.0</v>
      </c>
      <c r="B18" s="6">
        <v>3.0</v>
      </c>
      <c r="C18" s="7">
        <f t="shared" si="1"/>
        <v>-2</v>
      </c>
      <c r="D18" s="8">
        <f t="shared" si="2"/>
        <v>3.292167074</v>
      </c>
      <c r="F18" s="6" t="s">
        <v>26</v>
      </c>
      <c r="G18" s="6">
        <f>G4-1</f>
        <v>96</v>
      </c>
    </row>
    <row r="19">
      <c r="A19" s="6">
        <v>4.0</v>
      </c>
      <c r="B19" s="6">
        <v>5.0</v>
      </c>
      <c r="C19" s="7">
        <f t="shared" si="1"/>
        <v>1</v>
      </c>
      <c r="D19" s="8">
        <f t="shared" si="2"/>
        <v>1.405569136</v>
      </c>
    </row>
    <row r="20">
      <c r="A20" s="6">
        <v>2.0</v>
      </c>
      <c r="B20" s="6">
        <v>4.0</v>
      </c>
      <c r="C20" s="7">
        <f t="shared" si="1"/>
        <v>2</v>
      </c>
      <c r="D20" s="8">
        <f t="shared" si="2"/>
        <v>4.776703157</v>
      </c>
    </row>
    <row r="21" ht="15.75" customHeight="1">
      <c r="A21" s="6">
        <v>4.0</v>
      </c>
      <c r="B21" s="6">
        <v>3.0</v>
      </c>
      <c r="C21" s="7">
        <f t="shared" si="1"/>
        <v>-1</v>
      </c>
      <c r="D21" s="8">
        <f t="shared" si="2"/>
        <v>0.6633010947</v>
      </c>
    </row>
    <row r="22" ht="15.75" customHeight="1">
      <c r="A22" s="6">
        <v>2.0</v>
      </c>
      <c r="B22" s="6">
        <v>2.0</v>
      </c>
      <c r="C22" s="7">
        <f t="shared" si="1"/>
        <v>0</v>
      </c>
      <c r="D22" s="8">
        <f t="shared" si="2"/>
        <v>0.03443511532</v>
      </c>
      <c r="F22" s="9" t="s">
        <v>27</v>
      </c>
      <c r="G22" s="9"/>
    </row>
    <row r="23" ht="15.75" customHeight="1">
      <c r="A23" s="6">
        <v>3.0</v>
      </c>
      <c r="B23" s="6">
        <v>2.0</v>
      </c>
      <c r="C23" s="7">
        <f t="shared" si="1"/>
        <v>-1</v>
      </c>
      <c r="D23" s="8">
        <f t="shared" si="2"/>
        <v>0.6633010947</v>
      </c>
      <c r="F23" s="6" t="s">
        <v>33</v>
      </c>
      <c r="G23" s="6">
        <f>_xlfn.T.INV.2T(G17,G18)</f>
        <v>1.984984312</v>
      </c>
    </row>
    <row r="24" ht="15.75" customHeight="1">
      <c r="A24" s="6">
        <v>2.0</v>
      </c>
      <c r="B24" s="6">
        <v>1.0</v>
      </c>
      <c r="C24" s="7">
        <f t="shared" si="1"/>
        <v>-1</v>
      </c>
      <c r="D24" s="8">
        <f t="shared" si="2"/>
        <v>0.6633010947</v>
      </c>
      <c r="F24" s="6" t="s">
        <v>38</v>
      </c>
      <c r="G24" s="6">
        <f>_xlfn.T.INV(G17,G18)</f>
        <v>-1.66088144</v>
      </c>
    </row>
    <row r="25" ht="15.75" customHeight="1">
      <c r="A25" s="6">
        <v>1.0</v>
      </c>
      <c r="B25" s="6">
        <v>2.0</v>
      </c>
      <c r="C25" s="7">
        <f t="shared" si="1"/>
        <v>1</v>
      </c>
      <c r="D25" s="8">
        <f t="shared" si="2"/>
        <v>1.405569136</v>
      </c>
    </row>
    <row r="26" ht="15.75" customHeight="1">
      <c r="A26" s="6">
        <v>5.0</v>
      </c>
      <c r="B26" s="6">
        <v>2.0</v>
      </c>
      <c r="C26" s="7">
        <f t="shared" si="1"/>
        <v>-3</v>
      </c>
      <c r="D26" s="8">
        <f t="shared" si="2"/>
        <v>7.921033053</v>
      </c>
    </row>
    <row r="27" ht="15.75" customHeight="1">
      <c r="A27" s="6">
        <v>5.0</v>
      </c>
      <c r="B27" s="6">
        <v>2.0</v>
      </c>
      <c r="C27" s="7">
        <f t="shared" si="1"/>
        <v>-3</v>
      </c>
      <c r="D27" s="8">
        <f t="shared" si="2"/>
        <v>7.921033053</v>
      </c>
      <c r="F27" s="9" t="s">
        <v>32</v>
      </c>
      <c r="G27" s="9"/>
    </row>
    <row r="28" ht="15.75" customHeight="1">
      <c r="A28" s="6">
        <v>3.0</v>
      </c>
      <c r="B28" s="6">
        <v>5.0</v>
      </c>
      <c r="C28" s="7">
        <f t="shared" si="1"/>
        <v>2</v>
      </c>
      <c r="D28" s="8">
        <f t="shared" si="2"/>
        <v>4.776703157</v>
      </c>
      <c r="F28" s="6" t="s">
        <v>32</v>
      </c>
    </row>
    <row r="29" ht="15.75" customHeight="1">
      <c r="A29" s="6">
        <v>3.0</v>
      </c>
      <c r="B29" s="6">
        <v>4.0</v>
      </c>
      <c r="C29" s="7">
        <f t="shared" si="1"/>
        <v>1</v>
      </c>
      <c r="D29" s="8">
        <f t="shared" si="2"/>
        <v>1.405569136</v>
      </c>
      <c r="F29" s="6" t="s">
        <v>43</v>
      </c>
      <c r="G29" s="6">
        <f>TTEST(A:A,B:B,2,1)</f>
        <v>0.2878005392</v>
      </c>
    </row>
    <row r="30" ht="15.75" customHeight="1">
      <c r="A30" s="6">
        <v>4.0</v>
      </c>
      <c r="B30" s="6">
        <v>4.0</v>
      </c>
      <c r="C30" s="7">
        <f t="shared" si="1"/>
        <v>0</v>
      </c>
      <c r="D30" s="8">
        <f t="shared" si="2"/>
        <v>0.03443511532</v>
      </c>
      <c r="F30" s="6" t="s">
        <v>45</v>
      </c>
      <c r="G30" s="6">
        <f>TTEST(A:A,B:B,1,1)</f>
        <v>0.1439002696</v>
      </c>
    </row>
    <row r="31" ht="15.75" customHeight="1">
      <c r="A31" s="6">
        <v>5.0</v>
      </c>
      <c r="B31" s="6">
        <v>3.0</v>
      </c>
      <c r="C31" s="7">
        <f t="shared" si="1"/>
        <v>-2</v>
      </c>
      <c r="D31" s="8">
        <f t="shared" si="2"/>
        <v>3.292167074</v>
      </c>
    </row>
    <row r="32" ht="15.75" customHeight="1">
      <c r="A32" s="6">
        <v>4.0</v>
      </c>
      <c r="B32" s="6">
        <v>3.0</v>
      </c>
      <c r="C32" s="7">
        <f t="shared" si="1"/>
        <v>-1</v>
      </c>
      <c r="D32" s="8">
        <f t="shared" si="2"/>
        <v>0.6633010947</v>
      </c>
    </row>
    <row r="33" ht="15.75" customHeight="1">
      <c r="A33" s="6">
        <v>5.0</v>
      </c>
      <c r="B33" s="6">
        <v>4.0</v>
      </c>
      <c r="C33" s="7">
        <f t="shared" si="1"/>
        <v>-1</v>
      </c>
      <c r="D33" s="8">
        <f t="shared" si="2"/>
        <v>0.6633010947</v>
      </c>
      <c r="F33" s="10" t="s">
        <v>39</v>
      </c>
      <c r="G33" s="10"/>
    </row>
    <row r="34" ht="15.75" customHeight="1">
      <c r="A34" s="6">
        <v>2.0</v>
      </c>
      <c r="B34" s="6">
        <v>4.0</v>
      </c>
      <c r="C34" s="7">
        <f t="shared" si="1"/>
        <v>2</v>
      </c>
      <c r="D34" s="8">
        <f t="shared" si="2"/>
        <v>4.776703157</v>
      </c>
    </row>
    <row r="35" ht="15.75" customHeight="1">
      <c r="A35" s="6">
        <v>3.0</v>
      </c>
      <c r="B35" s="6">
        <v>5.0</v>
      </c>
      <c r="C35" s="7">
        <f t="shared" si="1"/>
        <v>2</v>
      </c>
      <c r="D35" s="8">
        <f t="shared" si="2"/>
        <v>4.776703157</v>
      </c>
      <c r="F35" s="6" t="s">
        <v>49</v>
      </c>
    </row>
    <row r="36" ht="15.75" customHeight="1">
      <c r="A36" s="6">
        <v>3.0</v>
      </c>
      <c r="B36" s="6">
        <v>2.0</v>
      </c>
      <c r="C36" s="7">
        <f t="shared" si="1"/>
        <v>-1</v>
      </c>
      <c r="D36" s="8">
        <f t="shared" si="2"/>
        <v>0.6633010947</v>
      </c>
      <c r="F36" s="6" t="s">
        <v>51</v>
      </c>
    </row>
    <row r="37" ht="15.75" customHeight="1">
      <c r="A37" s="6">
        <v>3.0</v>
      </c>
      <c r="B37" s="6">
        <v>4.0</v>
      </c>
      <c r="C37" s="7">
        <f t="shared" si="1"/>
        <v>1</v>
      </c>
      <c r="D37" s="8">
        <f t="shared" si="2"/>
        <v>1.405569136</v>
      </c>
    </row>
    <row r="38" ht="15.75" customHeight="1">
      <c r="A38" s="6">
        <v>3.0</v>
      </c>
      <c r="B38" s="6">
        <v>2.0</v>
      </c>
      <c r="C38" s="7">
        <f t="shared" si="1"/>
        <v>-1</v>
      </c>
      <c r="D38" s="8">
        <f t="shared" si="2"/>
        <v>0.6633010947</v>
      </c>
    </row>
    <row r="39" ht="15.75" customHeight="1">
      <c r="A39" s="6">
        <v>5.0</v>
      </c>
      <c r="B39" s="6">
        <v>1.0</v>
      </c>
      <c r="C39" s="7">
        <f t="shared" si="1"/>
        <v>-4</v>
      </c>
      <c r="D39" s="8">
        <f t="shared" si="2"/>
        <v>14.54989903</v>
      </c>
    </row>
    <row r="40" ht="15.75" customHeight="1">
      <c r="A40" s="6">
        <v>5.0</v>
      </c>
      <c r="B40" s="6">
        <v>3.0</v>
      </c>
      <c r="C40" s="7">
        <f t="shared" si="1"/>
        <v>-2</v>
      </c>
      <c r="D40" s="8">
        <f t="shared" si="2"/>
        <v>3.292167074</v>
      </c>
      <c r="F40" s="6" t="s">
        <v>54</v>
      </c>
    </row>
    <row r="41" ht="15.75" customHeight="1">
      <c r="A41" s="6">
        <v>4.0</v>
      </c>
      <c r="B41" s="6">
        <v>3.0</v>
      </c>
      <c r="C41" s="7">
        <f t="shared" si="1"/>
        <v>-1</v>
      </c>
      <c r="D41" s="8">
        <f t="shared" si="2"/>
        <v>0.6633010947</v>
      </c>
      <c r="F41" s="6" t="str">
        <f>"Dos Colas: Si t calculado ("&amp;G12&amp;") &gt; a t critico  ("&amp;G23&amp;") (de tabla) ---&gt; Se rechaza la hipotesis nula"</f>
        <v>Dos Colas: Si t calculado (-1,06888788220801) &gt; a t critico  (1,98498431152245) (de tabla) ---&gt; Se rechaza la hipotesis nula</v>
      </c>
    </row>
    <row r="42" ht="15.75" customHeight="1">
      <c r="A42" s="6">
        <v>3.0</v>
      </c>
      <c r="B42" s="6">
        <v>2.0</v>
      </c>
      <c r="C42" s="7">
        <f t="shared" si="1"/>
        <v>-1</v>
      </c>
      <c r="D42" s="8">
        <f t="shared" si="2"/>
        <v>0.6633010947</v>
      </c>
      <c r="F42" s="6" t="str">
        <f>"Una Cola: Si t calculado ("&amp;G12&amp;") &gt; a t critico  ("&amp;G24&amp;") (de tabla) ---&gt; Se rechaza la hipotesis nula"</f>
        <v>Una Cola: Si t calculado (-1,06888788220801) &gt; a t critico  (-1,66088144032486) (de tabla) ---&gt; Se rechaza la hipotesis nula</v>
      </c>
    </row>
    <row r="43" ht="15.75" customHeight="1">
      <c r="A43" s="6">
        <v>3.0</v>
      </c>
      <c r="B43" s="6">
        <v>1.0</v>
      </c>
      <c r="C43" s="7">
        <f t="shared" si="1"/>
        <v>-2</v>
      </c>
      <c r="D43" s="8">
        <f t="shared" si="2"/>
        <v>3.292167074</v>
      </c>
    </row>
    <row r="44" ht="15.75" customHeight="1">
      <c r="A44" s="6">
        <v>3.0</v>
      </c>
      <c r="B44" s="6">
        <v>2.0</v>
      </c>
      <c r="C44" s="7">
        <f t="shared" si="1"/>
        <v>-1</v>
      </c>
      <c r="D44" s="8">
        <f t="shared" si="2"/>
        <v>0.6633010947</v>
      </c>
    </row>
    <row r="45" ht="15.75" customHeight="1">
      <c r="A45" s="6">
        <v>3.0</v>
      </c>
      <c r="B45" s="6">
        <v>3.0</v>
      </c>
      <c r="C45" s="7">
        <f t="shared" si="1"/>
        <v>0</v>
      </c>
      <c r="D45" s="8">
        <f t="shared" si="2"/>
        <v>0.03443511532</v>
      </c>
    </row>
    <row r="46" ht="15.75" customHeight="1">
      <c r="A46" s="6">
        <v>3.0</v>
      </c>
      <c r="B46" s="6">
        <v>3.0</v>
      </c>
      <c r="C46" s="7">
        <f t="shared" si="1"/>
        <v>0</v>
      </c>
      <c r="D46" s="8">
        <f t="shared" si="2"/>
        <v>0.03443511532</v>
      </c>
      <c r="F46" s="6" t="s">
        <v>58</v>
      </c>
    </row>
    <row r="47" ht="15.75" customHeight="1">
      <c r="A47" s="6">
        <v>3.0</v>
      </c>
      <c r="B47" s="6">
        <v>1.0</v>
      </c>
      <c r="C47" s="7">
        <f t="shared" si="1"/>
        <v>-2</v>
      </c>
      <c r="D47" s="8">
        <f t="shared" si="2"/>
        <v>3.292167074</v>
      </c>
      <c r="F47" s="6" t="str">
        <f>"Dos Colas: Si p valor ("&amp;G29&amp;") &lt; Nivel Significancia ("&amp;G17&amp;") ---&gt; Se rechaza la hipotesis nula"</f>
        <v>Dos Colas: Si p valor (0,287800539180376) &lt; Nivel Significancia (0,05) ---&gt; Se rechaza la hipotesis nula</v>
      </c>
    </row>
    <row r="48" ht="15.75" customHeight="1">
      <c r="A48" s="6">
        <v>2.0</v>
      </c>
      <c r="B48" s="6">
        <v>1.0</v>
      </c>
      <c r="C48" s="7">
        <f t="shared" si="1"/>
        <v>-1</v>
      </c>
      <c r="D48" s="8">
        <f t="shared" si="2"/>
        <v>0.6633010947</v>
      </c>
      <c r="F48" s="6" t="str">
        <f>"Una Cola: Si p valor ("&amp;G30&amp;") &lt; Nivel Significancia ("&amp;G17&amp;") ---&gt; Se rechaza la hipotesis nula"</f>
        <v>Una Cola: Si p valor (0,143900269590188) &lt; Nivel Significancia (0,05) ---&gt; Se rechaza la hipotesis nula</v>
      </c>
    </row>
    <row r="49" ht="15.75" customHeight="1">
      <c r="A49" s="6">
        <v>3.0</v>
      </c>
      <c r="B49" s="6">
        <v>3.0</v>
      </c>
      <c r="C49" s="7">
        <f t="shared" si="1"/>
        <v>0</v>
      </c>
      <c r="D49" s="8">
        <f t="shared" si="2"/>
        <v>0.03443511532</v>
      </c>
    </row>
    <row r="50" ht="15.75" customHeight="1">
      <c r="A50" s="6">
        <v>2.0</v>
      </c>
      <c r="B50" s="6">
        <v>3.0</v>
      </c>
      <c r="C50" s="7">
        <f t="shared" si="1"/>
        <v>1</v>
      </c>
      <c r="D50" s="8">
        <f t="shared" si="2"/>
        <v>1.405569136</v>
      </c>
    </row>
    <row r="51" ht="15.75" customHeight="1">
      <c r="A51" s="6">
        <v>4.0</v>
      </c>
      <c r="B51" s="6">
        <v>3.0</v>
      </c>
      <c r="C51" s="7">
        <f t="shared" si="1"/>
        <v>-1</v>
      </c>
      <c r="D51" s="8">
        <f t="shared" si="2"/>
        <v>0.6633010947</v>
      </c>
    </row>
    <row r="52" ht="15.75" customHeight="1">
      <c r="A52" s="6">
        <v>2.0</v>
      </c>
      <c r="B52" s="6">
        <v>2.0</v>
      </c>
      <c r="C52" s="7">
        <f t="shared" si="1"/>
        <v>0</v>
      </c>
      <c r="D52" s="8">
        <f t="shared" si="2"/>
        <v>0.03443511532</v>
      </c>
    </row>
    <row r="53" ht="15.75" customHeight="1">
      <c r="A53" s="6">
        <v>3.0</v>
      </c>
      <c r="B53" s="6">
        <v>3.0</v>
      </c>
      <c r="C53" s="7">
        <f t="shared" si="1"/>
        <v>0</v>
      </c>
      <c r="D53" s="8">
        <f t="shared" si="2"/>
        <v>0.03443511532</v>
      </c>
    </row>
    <row r="54" ht="15.75" customHeight="1">
      <c r="A54" s="6">
        <v>5.0</v>
      </c>
      <c r="B54" s="6">
        <v>2.0</v>
      </c>
      <c r="C54" s="7">
        <f t="shared" si="1"/>
        <v>-3</v>
      </c>
      <c r="D54" s="8">
        <f t="shared" si="2"/>
        <v>7.921033053</v>
      </c>
    </row>
    <row r="55" ht="15.75" customHeight="1">
      <c r="A55" s="6">
        <v>4.0</v>
      </c>
      <c r="B55" s="6">
        <v>2.0</v>
      </c>
      <c r="C55" s="7">
        <f t="shared" si="1"/>
        <v>-2</v>
      </c>
      <c r="D55" s="8">
        <f t="shared" si="2"/>
        <v>3.292167074</v>
      </c>
    </row>
    <row r="56" ht="15.75" customHeight="1">
      <c r="A56" s="6">
        <v>2.0</v>
      </c>
      <c r="B56" s="6">
        <v>5.0</v>
      </c>
      <c r="C56" s="7">
        <f t="shared" si="1"/>
        <v>3</v>
      </c>
      <c r="D56" s="8">
        <f t="shared" si="2"/>
        <v>10.14783718</v>
      </c>
    </row>
    <row r="57" ht="15.75" customHeight="1">
      <c r="A57" s="6">
        <v>5.0</v>
      </c>
      <c r="B57" s="6">
        <v>4.0</v>
      </c>
      <c r="C57" s="7">
        <f t="shared" si="1"/>
        <v>-1</v>
      </c>
      <c r="D57" s="8">
        <f t="shared" si="2"/>
        <v>0.6633010947</v>
      </c>
    </row>
    <row r="58" ht="15.75" customHeight="1">
      <c r="A58" s="6">
        <v>3.0</v>
      </c>
      <c r="B58" s="6">
        <v>3.0</v>
      </c>
      <c r="C58" s="7">
        <f t="shared" si="1"/>
        <v>0</v>
      </c>
      <c r="D58" s="8">
        <f t="shared" si="2"/>
        <v>0.03443511532</v>
      </c>
    </row>
    <row r="59" ht="15.75" customHeight="1">
      <c r="A59" s="6">
        <v>1.0</v>
      </c>
      <c r="B59" s="6">
        <v>3.0</v>
      </c>
      <c r="C59" s="7">
        <f t="shared" si="1"/>
        <v>2</v>
      </c>
      <c r="D59" s="8">
        <f t="shared" si="2"/>
        <v>4.776703157</v>
      </c>
    </row>
    <row r="60" ht="15.75" customHeight="1">
      <c r="A60" s="6">
        <v>3.0</v>
      </c>
      <c r="B60" s="6">
        <v>4.0</v>
      </c>
      <c r="C60" s="7">
        <f t="shared" si="1"/>
        <v>1</v>
      </c>
      <c r="D60" s="8">
        <f t="shared" si="2"/>
        <v>1.405569136</v>
      </c>
    </row>
    <row r="61" ht="15.75" customHeight="1">
      <c r="A61" s="6">
        <v>4.0</v>
      </c>
      <c r="B61" s="6">
        <v>2.0</v>
      </c>
      <c r="C61" s="7">
        <f t="shared" si="1"/>
        <v>-2</v>
      </c>
      <c r="D61" s="8">
        <f t="shared" si="2"/>
        <v>3.292167074</v>
      </c>
    </row>
    <row r="62" ht="15.75" customHeight="1">
      <c r="A62" s="6">
        <v>1.0</v>
      </c>
      <c r="B62" s="6">
        <v>1.0</v>
      </c>
      <c r="C62" s="7">
        <f t="shared" si="1"/>
        <v>0</v>
      </c>
      <c r="D62" s="8">
        <f t="shared" si="2"/>
        <v>0.03443511532</v>
      </c>
    </row>
    <row r="63" ht="15.75" customHeight="1">
      <c r="A63" s="6">
        <v>3.0</v>
      </c>
      <c r="B63" s="6">
        <v>3.0</v>
      </c>
      <c r="C63" s="7">
        <f t="shared" si="1"/>
        <v>0</v>
      </c>
      <c r="D63" s="8">
        <f t="shared" si="2"/>
        <v>0.03443511532</v>
      </c>
    </row>
    <row r="64" ht="15.75" customHeight="1">
      <c r="A64" s="6">
        <v>4.0</v>
      </c>
      <c r="B64" s="6">
        <v>3.0</v>
      </c>
      <c r="C64" s="7">
        <f t="shared" si="1"/>
        <v>-1</v>
      </c>
      <c r="D64" s="8">
        <f t="shared" si="2"/>
        <v>0.6633010947</v>
      </c>
    </row>
    <row r="65" ht="15.75" customHeight="1">
      <c r="A65" s="6">
        <v>3.0</v>
      </c>
      <c r="B65" s="6">
        <v>3.0</v>
      </c>
      <c r="C65" s="7">
        <f t="shared" si="1"/>
        <v>0</v>
      </c>
      <c r="D65" s="8">
        <f t="shared" si="2"/>
        <v>0.03443511532</v>
      </c>
    </row>
    <row r="66" ht="15.75" customHeight="1">
      <c r="A66" s="6">
        <v>3.0</v>
      </c>
      <c r="B66" s="6">
        <v>4.0</v>
      </c>
      <c r="C66" s="7">
        <f t="shared" si="1"/>
        <v>1</v>
      </c>
      <c r="D66" s="8">
        <f t="shared" si="2"/>
        <v>1.405569136</v>
      </c>
    </row>
    <row r="67" ht="15.75" customHeight="1">
      <c r="A67" s="6">
        <v>3.0</v>
      </c>
      <c r="B67" s="6">
        <v>2.0</v>
      </c>
      <c r="C67" s="7">
        <f t="shared" si="1"/>
        <v>-1</v>
      </c>
      <c r="D67" s="8">
        <f t="shared" si="2"/>
        <v>0.6633010947</v>
      </c>
    </row>
    <row r="68" ht="15.75" customHeight="1">
      <c r="A68" s="6">
        <v>3.0</v>
      </c>
      <c r="B68" s="6">
        <v>4.0</v>
      </c>
      <c r="C68" s="7">
        <f t="shared" si="1"/>
        <v>1</v>
      </c>
      <c r="D68" s="8">
        <f t="shared" si="2"/>
        <v>1.405569136</v>
      </c>
    </row>
    <row r="69" ht="15.75" customHeight="1">
      <c r="A69" s="6">
        <v>4.0</v>
      </c>
      <c r="B69" s="6">
        <v>3.0</v>
      </c>
      <c r="C69" s="7">
        <f t="shared" si="1"/>
        <v>-1</v>
      </c>
      <c r="D69" s="8">
        <f t="shared" si="2"/>
        <v>0.6633010947</v>
      </c>
    </row>
    <row r="70" ht="15.75" customHeight="1">
      <c r="A70" s="6">
        <v>3.0</v>
      </c>
      <c r="B70" s="6">
        <v>3.0</v>
      </c>
      <c r="C70" s="7">
        <f t="shared" si="1"/>
        <v>0</v>
      </c>
      <c r="D70" s="8">
        <f t="shared" si="2"/>
        <v>0.03443511532</v>
      </c>
    </row>
    <row r="71" ht="15.75" customHeight="1">
      <c r="A71" s="6">
        <v>1.0</v>
      </c>
      <c r="B71" s="6">
        <v>5.0</v>
      </c>
      <c r="C71" s="7">
        <f t="shared" si="1"/>
        <v>4</v>
      </c>
      <c r="D71" s="8">
        <f t="shared" si="2"/>
        <v>17.5189712</v>
      </c>
    </row>
    <row r="72" ht="15.75" customHeight="1">
      <c r="A72" s="6">
        <v>3.0</v>
      </c>
      <c r="B72" s="6">
        <v>3.0</v>
      </c>
      <c r="C72" s="7">
        <f t="shared" si="1"/>
        <v>0</v>
      </c>
      <c r="D72" s="8">
        <f t="shared" si="2"/>
        <v>0.03443511532</v>
      </c>
    </row>
    <row r="73" ht="15.75" customHeight="1">
      <c r="A73" s="6">
        <v>1.0</v>
      </c>
      <c r="B73" s="6">
        <v>4.0</v>
      </c>
      <c r="C73" s="7">
        <f t="shared" si="1"/>
        <v>3</v>
      </c>
      <c r="D73" s="8">
        <f t="shared" si="2"/>
        <v>10.14783718</v>
      </c>
    </row>
    <row r="74" ht="15.75" customHeight="1">
      <c r="A74" s="6">
        <v>5.0</v>
      </c>
      <c r="B74" s="6">
        <v>4.0</v>
      </c>
      <c r="C74" s="7">
        <f t="shared" si="1"/>
        <v>-1</v>
      </c>
      <c r="D74" s="8">
        <f t="shared" si="2"/>
        <v>0.6633010947</v>
      </c>
    </row>
    <row r="75" ht="15.75" customHeight="1">
      <c r="A75" s="6">
        <v>3.0</v>
      </c>
      <c r="B75" s="6">
        <v>2.0</v>
      </c>
      <c r="C75" s="7">
        <f t="shared" si="1"/>
        <v>-1</v>
      </c>
      <c r="D75" s="8">
        <f t="shared" si="2"/>
        <v>0.6633010947</v>
      </c>
    </row>
    <row r="76" ht="15.75" customHeight="1">
      <c r="A76" s="6">
        <v>3.0</v>
      </c>
      <c r="B76" s="6">
        <v>5.0</v>
      </c>
      <c r="C76" s="7">
        <f t="shared" si="1"/>
        <v>2</v>
      </c>
      <c r="D76" s="8">
        <f t="shared" si="2"/>
        <v>4.776703157</v>
      </c>
    </row>
    <row r="77" ht="15.75" customHeight="1">
      <c r="A77" s="6">
        <v>1.0</v>
      </c>
      <c r="B77" s="6">
        <v>3.0</v>
      </c>
      <c r="C77" s="7">
        <f t="shared" si="1"/>
        <v>2</v>
      </c>
      <c r="D77" s="8">
        <f t="shared" si="2"/>
        <v>4.776703157</v>
      </c>
    </row>
    <row r="78" ht="15.75" customHeight="1">
      <c r="A78" s="6">
        <v>3.0</v>
      </c>
      <c r="B78" s="6">
        <v>5.0</v>
      </c>
      <c r="C78" s="7">
        <f t="shared" si="1"/>
        <v>2</v>
      </c>
      <c r="D78" s="8">
        <f t="shared" si="2"/>
        <v>4.776703157</v>
      </c>
    </row>
    <row r="79" ht="15.75" customHeight="1">
      <c r="A79" s="6">
        <v>4.0</v>
      </c>
      <c r="B79" s="6">
        <v>3.0</v>
      </c>
      <c r="C79" s="7">
        <f t="shared" si="1"/>
        <v>-1</v>
      </c>
      <c r="D79" s="8">
        <f t="shared" si="2"/>
        <v>0.6633010947</v>
      </c>
    </row>
    <row r="80" ht="15.75" customHeight="1">
      <c r="A80" s="6">
        <v>3.0</v>
      </c>
      <c r="B80" s="6">
        <v>1.0</v>
      </c>
      <c r="C80" s="7">
        <f t="shared" si="1"/>
        <v>-2</v>
      </c>
      <c r="D80" s="8">
        <f t="shared" si="2"/>
        <v>3.292167074</v>
      </c>
    </row>
    <row r="81" ht="15.75" customHeight="1">
      <c r="A81" s="6">
        <v>4.0</v>
      </c>
      <c r="B81" s="6">
        <v>4.0</v>
      </c>
      <c r="C81" s="7">
        <f t="shared" si="1"/>
        <v>0</v>
      </c>
      <c r="D81" s="8">
        <f t="shared" si="2"/>
        <v>0.03443511532</v>
      </c>
    </row>
    <row r="82" ht="15.75" customHeight="1">
      <c r="A82" s="6">
        <v>1.0</v>
      </c>
      <c r="B82" s="6">
        <v>3.0</v>
      </c>
      <c r="C82" s="7">
        <f t="shared" si="1"/>
        <v>2</v>
      </c>
      <c r="D82" s="8">
        <f t="shared" si="2"/>
        <v>4.776703157</v>
      </c>
    </row>
    <row r="83" ht="15.75" customHeight="1">
      <c r="A83" s="6">
        <v>2.0</v>
      </c>
      <c r="B83" s="6">
        <v>3.0</v>
      </c>
      <c r="C83" s="7">
        <f t="shared" si="1"/>
        <v>1</v>
      </c>
      <c r="D83" s="8">
        <f t="shared" si="2"/>
        <v>1.405569136</v>
      </c>
    </row>
    <row r="84" ht="15.75" customHeight="1">
      <c r="A84" s="6">
        <v>4.0</v>
      </c>
      <c r="B84" s="6">
        <v>2.0</v>
      </c>
      <c r="C84" s="7">
        <f t="shared" si="1"/>
        <v>-2</v>
      </c>
      <c r="D84" s="8">
        <f t="shared" si="2"/>
        <v>3.292167074</v>
      </c>
    </row>
    <row r="85" ht="15.75" customHeight="1">
      <c r="A85" s="6">
        <v>3.0</v>
      </c>
      <c r="B85" s="6">
        <v>2.0</v>
      </c>
      <c r="C85" s="7">
        <f t="shared" si="1"/>
        <v>-1</v>
      </c>
      <c r="D85" s="8">
        <f t="shared" si="2"/>
        <v>0.6633010947</v>
      </c>
    </row>
    <row r="86" ht="15.75" customHeight="1">
      <c r="A86" s="6">
        <v>2.0</v>
      </c>
      <c r="B86" s="6">
        <v>3.0</v>
      </c>
      <c r="C86" s="7">
        <f t="shared" si="1"/>
        <v>1</v>
      </c>
      <c r="D86" s="8">
        <f t="shared" si="2"/>
        <v>1.405569136</v>
      </c>
    </row>
    <row r="87" ht="15.75" customHeight="1">
      <c r="A87" s="6">
        <v>2.0</v>
      </c>
      <c r="B87" s="6">
        <v>3.0</v>
      </c>
      <c r="C87" s="7">
        <f t="shared" si="1"/>
        <v>1</v>
      </c>
      <c r="D87" s="8">
        <f t="shared" si="2"/>
        <v>1.405569136</v>
      </c>
    </row>
    <row r="88" ht="15.75" customHeight="1">
      <c r="A88" s="6">
        <v>4.0</v>
      </c>
      <c r="B88" s="6">
        <v>1.0</v>
      </c>
      <c r="C88" s="7">
        <f t="shared" si="1"/>
        <v>-3</v>
      </c>
      <c r="D88" s="8">
        <f t="shared" si="2"/>
        <v>7.921033053</v>
      </c>
    </row>
    <row r="89" ht="15.75" customHeight="1">
      <c r="A89" s="6">
        <v>3.0</v>
      </c>
      <c r="B89" s="6">
        <v>3.0</v>
      </c>
      <c r="C89" s="7">
        <f t="shared" si="1"/>
        <v>0</v>
      </c>
      <c r="D89" s="8">
        <f t="shared" si="2"/>
        <v>0.03443511532</v>
      </c>
    </row>
    <row r="90" ht="15.75" customHeight="1">
      <c r="A90" s="6">
        <v>1.0</v>
      </c>
      <c r="B90" s="6">
        <v>4.0</v>
      </c>
      <c r="C90" s="7">
        <f t="shared" si="1"/>
        <v>3</v>
      </c>
      <c r="D90" s="8">
        <f t="shared" si="2"/>
        <v>10.14783718</v>
      </c>
    </row>
    <row r="91" ht="15.75" customHeight="1">
      <c r="A91" s="6">
        <v>5.0</v>
      </c>
      <c r="B91" s="6">
        <v>1.0</v>
      </c>
      <c r="C91" s="7">
        <f t="shared" si="1"/>
        <v>-4</v>
      </c>
      <c r="D91" s="8">
        <f t="shared" si="2"/>
        <v>14.54989903</v>
      </c>
    </row>
    <row r="92" ht="15.75" customHeight="1">
      <c r="A92" s="6">
        <v>3.0</v>
      </c>
      <c r="B92" s="6">
        <v>5.0</v>
      </c>
      <c r="C92" s="7">
        <f t="shared" si="1"/>
        <v>2</v>
      </c>
      <c r="D92" s="8">
        <f t="shared" si="2"/>
        <v>4.776703157</v>
      </c>
    </row>
    <row r="93" ht="15.75" customHeight="1">
      <c r="A93" s="6">
        <v>5.0</v>
      </c>
      <c r="B93" s="6">
        <v>3.0</v>
      </c>
      <c r="C93" s="7">
        <f t="shared" si="1"/>
        <v>-2</v>
      </c>
      <c r="D93" s="8">
        <f t="shared" si="2"/>
        <v>3.292167074</v>
      </c>
      <c r="F93" s="12"/>
    </row>
    <row r="94" ht="15.75" customHeight="1">
      <c r="A94" s="6">
        <v>3.0</v>
      </c>
      <c r="B94" s="6">
        <v>4.0</v>
      </c>
      <c r="C94" s="7">
        <f t="shared" si="1"/>
        <v>1</v>
      </c>
      <c r="D94" s="8">
        <f t="shared" si="2"/>
        <v>1.405569136</v>
      </c>
    </row>
    <row r="95" ht="15.75" customHeight="1">
      <c r="A95" s="6">
        <v>4.0</v>
      </c>
      <c r="B95" s="6">
        <v>4.0</v>
      </c>
      <c r="C95" s="7">
        <f t="shared" si="1"/>
        <v>0</v>
      </c>
      <c r="D95" s="8">
        <f t="shared" si="2"/>
        <v>0.03443511532</v>
      </c>
    </row>
    <row r="96" ht="15.75" customHeight="1">
      <c r="A96" s="6">
        <v>4.0</v>
      </c>
      <c r="B96" s="6">
        <v>5.0</v>
      </c>
      <c r="C96" s="7">
        <f t="shared" si="1"/>
        <v>1</v>
      </c>
      <c r="D96" s="8">
        <f t="shared" si="2"/>
        <v>1.405569136</v>
      </c>
    </row>
    <row r="97" ht="15.75" customHeight="1">
      <c r="A97" s="6">
        <v>4.0</v>
      </c>
      <c r="B97" s="6">
        <v>3.0</v>
      </c>
      <c r="C97" s="7">
        <f t="shared" si="1"/>
        <v>-1</v>
      </c>
      <c r="D97" s="8">
        <f t="shared" si="2"/>
        <v>0.6633010947</v>
      </c>
    </row>
    <row r="98" ht="15.75" customHeight="1">
      <c r="A98" s="6">
        <v>5.0</v>
      </c>
      <c r="B98" s="6">
        <v>2.0</v>
      </c>
      <c r="C98" s="7">
        <f t="shared" si="1"/>
        <v>-3</v>
      </c>
      <c r="D98" s="8">
        <f t="shared" si="2"/>
        <v>7.921033053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8.57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7</v>
      </c>
      <c r="B1" s="3" t="s">
        <v>13</v>
      </c>
      <c r="C1" s="5" t="s">
        <v>12</v>
      </c>
      <c r="D1" s="5"/>
    </row>
    <row r="2">
      <c r="A2" s="6">
        <v>3.0</v>
      </c>
      <c r="B2" s="6">
        <v>3.0</v>
      </c>
      <c r="C2" s="7">
        <f t="shared" ref="C2:C98" si="1">B2-A2</f>
        <v>0</v>
      </c>
      <c r="D2" s="8">
        <f t="shared" ref="D2:D98" si="2">(C2-$G$6)^2</f>
        <v>0.03836752046</v>
      </c>
    </row>
    <row r="3">
      <c r="A3" s="6">
        <v>4.0</v>
      </c>
      <c r="B3" s="6">
        <v>3.0</v>
      </c>
      <c r="C3" s="7">
        <f t="shared" si="1"/>
        <v>-1</v>
      </c>
      <c r="D3" s="8">
        <f t="shared" si="2"/>
        <v>1.430120098</v>
      </c>
      <c r="F3" s="9" t="s">
        <v>14</v>
      </c>
      <c r="G3" s="9"/>
    </row>
    <row r="4">
      <c r="A4" s="6">
        <v>2.0</v>
      </c>
      <c r="B4" s="6">
        <v>3.0</v>
      </c>
      <c r="C4" s="7">
        <f t="shared" si="1"/>
        <v>1</v>
      </c>
      <c r="D4" s="8">
        <f t="shared" si="2"/>
        <v>0.6466149431</v>
      </c>
      <c r="F4" s="6" t="s">
        <v>15</v>
      </c>
      <c r="G4" s="6">
        <f>COUNT(A:A)</f>
        <v>97</v>
      </c>
    </row>
    <row r="5">
      <c r="A5" s="6">
        <v>5.0</v>
      </c>
      <c r="B5" s="6">
        <v>2.0</v>
      </c>
      <c r="C5" s="7">
        <f t="shared" si="1"/>
        <v>-3</v>
      </c>
      <c r="D5" s="8">
        <f t="shared" si="2"/>
        <v>10.21362525</v>
      </c>
      <c r="F5" s="6" t="s">
        <v>17</v>
      </c>
      <c r="G5" s="6">
        <f>SUM(C:C)</f>
        <v>19</v>
      </c>
    </row>
    <row r="6">
      <c r="A6" s="6">
        <v>3.0</v>
      </c>
      <c r="B6" s="6">
        <v>1.0</v>
      </c>
      <c r="C6" s="7">
        <f t="shared" si="1"/>
        <v>-2</v>
      </c>
      <c r="D6" s="8">
        <f t="shared" si="2"/>
        <v>4.821872675</v>
      </c>
      <c r="F6" s="6" t="s">
        <v>18</v>
      </c>
      <c r="G6" s="6">
        <f>G5/G4</f>
        <v>0.1958762887</v>
      </c>
    </row>
    <row r="7">
      <c r="A7" s="6">
        <v>2.0</v>
      </c>
      <c r="B7" s="6">
        <v>3.0</v>
      </c>
      <c r="C7" s="7">
        <f t="shared" si="1"/>
        <v>1</v>
      </c>
      <c r="D7" s="8">
        <f t="shared" si="2"/>
        <v>0.6466149431</v>
      </c>
      <c r="F7" s="6" t="s">
        <v>19</v>
      </c>
      <c r="G7" s="6">
        <f>SUM(D:D)</f>
        <v>315.2783505</v>
      </c>
    </row>
    <row r="8">
      <c r="A8" s="6">
        <v>3.0</v>
      </c>
      <c r="B8" s="6">
        <v>3.0</v>
      </c>
      <c r="C8" s="7">
        <f t="shared" si="1"/>
        <v>0</v>
      </c>
      <c r="D8" s="8">
        <f t="shared" si="2"/>
        <v>0.03836752046</v>
      </c>
      <c r="F8" s="6" t="s">
        <v>21</v>
      </c>
      <c r="G8" s="6">
        <f>SQRT(G7/(G4-1))</f>
        <v>1.81222225</v>
      </c>
    </row>
    <row r="9">
      <c r="A9" s="6">
        <v>3.0</v>
      </c>
      <c r="B9" s="6">
        <v>4.0</v>
      </c>
      <c r="C9" s="7">
        <f t="shared" si="1"/>
        <v>1</v>
      </c>
      <c r="D9" s="8">
        <f t="shared" si="2"/>
        <v>0.6466149431</v>
      </c>
    </row>
    <row r="10">
      <c r="A10" s="6">
        <v>5.0</v>
      </c>
      <c r="B10" s="6">
        <v>1.0</v>
      </c>
      <c r="C10" s="7">
        <f t="shared" si="1"/>
        <v>-4</v>
      </c>
      <c r="D10" s="8">
        <f t="shared" si="2"/>
        <v>17.60537783</v>
      </c>
    </row>
    <row r="11">
      <c r="A11" s="6">
        <v>1.0</v>
      </c>
      <c r="B11" s="6">
        <v>4.0</v>
      </c>
      <c r="C11" s="7">
        <f t="shared" si="1"/>
        <v>3</v>
      </c>
      <c r="D11" s="8">
        <f t="shared" si="2"/>
        <v>7.863109789</v>
      </c>
    </row>
    <row r="12">
      <c r="A12" s="6">
        <v>3.0</v>
      </c>
      <c r="B12" s="6">
        <v>2.0</v>
      </c>
      <c r="C12" s="7">
        <f t="shared" si="1"/>
        <v>-1</v>
      </c>
      <c r="D12" s="8">
        <f t="shared" si="2"/>
        <v>1.430120098</v>
      </c>
      <c r="F12" s="6" t="s">
        <v>23</v>
      </c>
      <c r="G12" s="6">
        <f>G6/(G8/SQRT(G4))</f>
        <v>1.064526006</v>
      </c>
    </row>
    <row r="13">
      <c r="A13" s="6">
        <v>2.0</v>
      </c>
      <c r="B13" s="6">
        <v>3.0</v>
      </c>
      <c r="C13" s="7">
        <f t="shared" si="1"/>
        <v>1</v>
      </c>
      <c r="D13" s="8">
        <f t="shared" si="2"/>
        <v>0.6466149431</v>
      </c>
    </row>
    <row r="14">
      <c r="A14" s="6">
        <v>3.0</v>
      </c>
      <c r="B14" s="6">
        <v>2.0</v>
      </c>
      <c r="C14" s="7">
        <f t="shared" si="1"/>
        <v>-1</v>
      </c>
      <c r="D14" s="8">
        <f t="shared" si="2"/>
        <v>1.430120098</v>
      </c>
    </row>
    <row r="15">
      <c r="A15" s="6">
        <v>4.0</v>
      </c>
      <c r="B15" s="6">
        <v>2.0</v>
      </c>
      <c r="C15" s="7">
        <f t="shared" si="1"/>
        <v>-2</v>
      </c>
      <c r="D15" s="8">
        <f t="shared" si="2"/>
        <v>4.821872675</v>
      </c>
    </row>
    <row r="16">
      <c r="A16" s="6">
        <v>3.0</v>
      </c>
      <c r="B16" s="6">
        <v>5.0</v>
      </c>
      <c r="C16" s="7">
        <f t="shared" si="1"/>
        <v>2</v>
      </c>
      <c r="D16" s="8">
        <f t="shared" si="2"/>
        <v>3.254862366</v>
      </c>
    </row>
    <row r="17">
      <c r="A17" s="6">
        <v>4.0</v>
      </c>
      <c r="B17" s="6">
        <v>1.0</v>
      </c>
      <c r="C17" s="7">
        <f t="shared" si="1"/>
        <v>-3</v>
      </c>
      <c r="D17" s="8">
        <f t="shared" si="2"/>
        <v>10.21362525</v>
      </c>
      <c r="F17" s="6" t="s">
        <v>25</v>
      </c>
      <c r="G17" s="6">
        <v>0.05</v>
      </c>
    </row>
    <row r="18">
      <c r="A18" s="6">
        <v>1.0</v>
      </c>
      <c r="B18" s="6">
        <v>5.0</v>
      </c>
      <c r="C18" s="7">
        <f t="shared" si="1"/>
        <v>4</v>
      </c>
      <c r="D18" s="8">
        <f t="shared" si="2"/>
        <v>14.47135721</v>
      </c>
      <c r="F18" s="6" t="s">
        <v>26</v>
      </c>
      <c r="G18" s="6">
        <f>G4-1</f>
        <v>96</v>
      </c>
    </row>
    <row r="19">
      <c r="A19" s="6">
        <v>3.0</v>
      </c>
      <c r="B19" s="6">
        <v>4.0</v>
      </c>
      <c r="C19" s="7">
        <f t="shared" si="1"/>
        <v>1</v>
      </c>
      <c r="D19" s="8">
        <f t="shared" si="2"/>
        <v>0.6466149431</v>
      </c>
    </row>
    <row r="20">
      <c r="A20" s="6">
        <v>3.0</v>
      </c>
      <c r="B20" s="6">
        <v>3.0</v>
      </c>
      <c r="C20" s="7">
        <f t="shared" si="1"/>
        <v>0</v>
      </c>
      <c r="D20" s="8">
        <f t="shared" si="2"/>
        <v>0.03836752046</v>
      </c>
    </row>
    <row r="21" ht="15.75" customHeight="1">
      <c r="A21" s="6">
        <v>2.0</v>
      </c>
      <c r="B21" s="6">
        <v>3.0</v>
      </c>
      <c r="C21" s="7">
        <f t="shared" si="1"/>
        <v>1</v>
      </c>
      <c r="D21" s="8">
        <f t="shared" si="2"/>
        <v>0.6466149431</v>
      </c>
    </row>
    <row r="22" ht="15.75" customHeight="1">
      <c r="A22" s="6">
        <v>3.0</v>
      </c>
      <c r="B22" s="6">
        <v>3.0</v>
      </c>
      <c r="C22" s="7">
        <f t="shared" si="1"/>
        <v>0</v>
      </c>
      <c r="D22" s="8">
        <f t="shared" si="2"/>
        <v>0.03836752046</v>
      </c>
      <c r="F22" s="9" t="s">
        <v>27</v>
      </c>
      <c r="G22" s="9"/>
    </row>
    <row r="23" ht="15.75" customHeight="1">
      <c r="A23" s="6">
        <v>2.0</v>
      </c>
      <c r="B23" s="6">
        <v>4.0</v>
      </c>
      <c r="C23" s="7">
        <f t="shared" si="1"/>
        <v>2</v>
      </c>
      <c r="D23" s="8">
        <f t="shared" si="2"/>
        <v>3.254862366</v>
      </c>
      <c r="F23" s="6" t="s">
        <v>28</v>
      </c>
      <c r="G23" s="6">
        <f>_xlfn.T.INV.2T(G17,G18)</f>
        <v>1.984984312</v>
      </c>
    </row>
    <row r="24" ht="15.75" customHeight="1">
      <c r="A24" s="6">
        <v>4.0</v>
      </c>
      <c r="B24" s="6">
        <v>1.0</v>
      </c>
      <c r="C24" s="7">
        <f t="shared" si="1"/>
        <v>-3</v>
      </c>
      <c r="D24" s="8">
        <f t="shared" si="2"/>
        <v>10.21362525</v>
      </c>
      <c r="F24" s="6" t="s">
        <v>30</v>
      </c>
      <c r="G24" s="6">
        <f>_xlfn.T.INV(G17,G18)</f>
        <v>-1.66088144</v>
      </c>
    </row>
    <row r="25" ht="15.75" customHeight="1">
      <c r="A25" s="6">
        <v>1.0</v>
      </c>
      <c r="B25" s="6">
        <v>4.0</v>
      </c>
      <c r="C25" s="7">
        <f t="shared" si="1"/>
        <v>3</v>
      </c>
      <c r="D25" s="8">
        <f t="shared" si="2"/>
        <v>7.863109789</v>
      </c>
    </row>
    <row r="26" ht="15.75" customHeight="1">
      <c r="A26" s="6">
        <v>3.0</v>
      </c>
      <c r="B26" s="6">
        <v>4.0</v>
      </c>
      <c r="C26" s="7">
        <f t="shared" si="1"/>
        <v>1</v>
      </c>
      <c r="D26" s="8">
        <f t="shared" si="2"/>
        <v>0.6466149431</v>
      </c>
    </row>
    <row r="27" ht="15.75" customHeight="1">
      <c r="A27" s="6">
        <v>3.0</v>
      </c>
      <c r="B27" s="6">
        <v>4.0</v>
      </c>
      <c r="C27" s="7">
        <f t="shared" si="1"/>
        <v>1</v>
      </c>
      <c r="D27" s="8">
        <f t="shared" si="2"/>
        <v>0.6466149431</v>
      </c>
      <c r="F27" s="9" t="s">
        <v>32</v>
      </c>
      <c r="G27" s="9"/>
    </row>
    <row r="28" ht="15.75" customHeight="1">
      <c r="A28" s="6">
        <v>5.0</v>
      </c>
      <c r="B28" s="6">
        <v>5.0</v>
      </c>
      <c r="C28" s="7">
        <f t="shared" si="1"/>
        <v>0</v>
      </c>
      <c r="D28" s="8">
        <f t="shared" si="2"/>
        <v>0.03836752046</v>
      </c>
      <c r="F28" s="6" t="s">
        <v>32</v>
      </c>
    </row>
    <row r="29" ht="15.75" customHeight="1">
      <c r="A29" s="6">
        <v>4.0</v>
      </c>
      <c r="B29" s="6">
        <v>3.0</v>
      </c>
      <c r="C29" s="7">
        <f t="shared" si="1"/>
        <v>-1</v>
      </c>
      <c r="D29" s="8">
        <f t="shared" si="2"/>
        <v>1.430120098</v>
      </c>
      <c r="F29" s="6" t="s">
        <v>35</v>
      </c>
      <c r="G29" s="6">
        <f>TTEST(A:A,B:B,2,1)</f>
        <v>0.2897607047</v>
      </c>
    </row>
    <row r="30" ht="15.75" customHeight="1">
      <c r="A30" s="6">
        <v>5.0</v>
      </c>
      <c r="B30" s="6">
        <v>1.0</v>
      </c>
      <c r="C30" s="7">
        <f t="shared" si="1"/>
        <v>-4</v>
      </c>
      <c r="D30" s="8">
        <f t="shared" si="2"/>
        <v>17.60537783</v>
      </c>
      <c r="F30" s="6" t="s">
        <v>37</v>
      </c>
      <c r="G30" s="6">
        <f>TTEST(A:A,B:B,1,1)</f>
        <v>0.1448803523</v>
      </c>
    </row>
    <row r="31" ht="15.75" customHeight="1">
      <c r="A31" s="6">
        <v>3.0</v>
      </c>
      <c r="B31" s="6">
        <v>5.0</v>
      </c>
      <c r="C31" s="7">
        <f t="shared" si="1"/>
        <v>2</v>
      </c>
      <c r="D31" s="8">
        <f t="shared" si="2"/>
        <v>3.254862366</v>
      </c>
    </row>
    <row r="32" ht="15.75" customHeight="1">
      <c r="A32" s="6">
        <v>1.0</v>
      </c>
      <c r="B32" s="6">
        <v>1.0</v>
      </c>
      <c r="C32" s="7">
        <f t="shared" si="1"/>
        <v>0</v>
      </c>
      <c r="D32" s="8">
        <f t="shared" si="2"/>
        <v>0.03836752046</v>
      </c>
    </row>
    <row r="33" ht="15.75" customHeight="1">
      <c r="A33" s="6">
        <v>2.0</v>
      </c>
      <c r="B33" s="6">
        <v>4.0</v>
      </c>
      <c r="C33" s="7">
        <f t="shared" si="1"/>
        <v>2</v>
      </c>
      <c r="D33" s="8">
        <f t="shared" si="2"/>
        <v>3.254862366</v>
      </c>
      <c r="F33" s="10" t="s">
        <v>39</v>
      </c>
      <c r="G33" s="10"/>
    </row>
    <row r="34" ht="15.75" customHeight="1">
      <c r="A34" s="6">
        <v>3.0</v>
      </c>
      <c r="B34" s="6">
        <v>1.0</v>
      </c>
      <c r="C34" s="7">
        <f t="shared" si="1"/>
        <v>-2</v>
      </c>
      <c r="D34" s="8">
        <f t="shared" si="2"/>
        <v>4.821872675</v>
      </c>
    </row>
    <row r="35" ht="15.75" customHeight="1">
      <c r="A35" s="6">
        <v>4.0</v>
      </c>
      <c r="B35" s="6">
        <v>2.0</v>
      </c>
      <c r="C35" s="7">
        <f t="shared" si="1"/>
        <v>-2</v>
      </c>
      <c r="D35" s="8">
        <f t="shared" si="2"/>
        <v>4.821872675</v>
      </c>
      <c r="F35" s="6" t="s">
        <v>42</v>
      </c>
    </row>
    <row r="36" ht="15.75" customHeight="1">
      <c r="A36" s="6">
        <v>5.0</v>
      </c>
      <c r="B36" s="6">
        <v>5.0</v>
      </c>
      <c r="C36" s="7">
        <f t="shared" si="1"/>
        <v>0</v>
      </c>
      <c r="D36" s="8">
        <f t="shared" si="2"/>
        <v>0.03836752046</v>
      </c>
      <c r="F36" s="6" t="s">
        <v>44</v>
      </c>
    </row>
    <row r="37" ht="15.75" customHeight="1">
      <c r="A37" s="6">
        <v>4.0</v>
      </c>
      <c r="B37" s="6">
        <v>3.0</v>
      </c>
      <c r="C37" s="7">
        <f t="shared" si="1"/>
        <v>-1</v>
      </c>
      <c r="D37" s="8">
        <f t="shared" si="2"/>
        <v>1.430120098</v>
      </c>
    </row>
    <row r="38" ht="15.75" customHeight="1">
      <c r="A38" s="6">
        <v>3.0</v>
      </c>
      <c r="B38" s="6">
        <v>4.0</v>
      </c>
      <c r="C38" s="7">
        <f t="shared" si="1"/>
        <v>1</v>
      </c>
      <c r="D38" s="8">
        <f t="shared" si="2"/>
        <v>0.6466149431</v>
      </c>
    </row>
    <row r="39" ht="15.75" customHeight="1">
      <c r="A39" s="6">
        <v>3.0</v>
      </c>
      <c r="B39" s="6">
        <v>4.0</v>
      </c>
      <c r="C39" s="7">
        <f t="shared" si="1"/>
        <v>1</v>
      </c>
      <c r="D39" s="8">
        <f t="shared" si="2"/>
        <v>0.6466149431</v>
      </c>
    </row>
    <row r="40" ht="15.75" customHeight="1">
      <c r="A40" s="6">
        <v>3.0</v>
      </c>
      <c r="B40" s="6">
        <v>5.0</v>
      </c>
      <c r="C40" s="7">
        <f t="shared" si="1"/>
        <v>2</v>
      </c>
      <c r="D40" s="8">
        <f t="shared" si="2"/>
        <v>3.254862366</v>
      </c>
      <c r="F40" s="6" t="s">
        <v>46</v>
      </c>
    </row>
    <row r="41" ht="15.75" customHeight="1">
      <c r="A41" s="6">
        <v>4.0</v>
      </c>
      <c r="B41" s="6">
        <v>3.0</v>
      </c>
      <c r="C41" s="7">
        <f t="shared" si="1"/>
        <v>-1</v>
      </c>
      <c r="D41" s="8">
        <f t="shared" si="2"/>
        <v>1.430120098</v>
      </c>
      <c r="F41" s="6" t="str">
        <f>"Dos Colas: Si t calculado ("&amp;G12&amp;") &gt; a t critico  ("&amp;G23&amp;") (de tabla) ---&gt; Se rechaza la hipotesis nula"</f>
        <v>Dos Colas: Si t calculado (1,06452600580241) &gt; a t critico  (1,98498431152245) (de tabla) ---&gt; Se rechaza la hipotesis nula</v>
      </c>
    </row>
    <row r="42" ht="15.75" customHeight="1">
      <c r="A42" s="6">
        <v>3.0</v>
      </c>
      <c r="B42" s="6">
        <v>3.0</v>
      </c>
      <c r="C42" s="7">
        <f t="shared" si="1"/>
        <v>0</v>
      </c>
      <c r="D42" s="8">
        <f t="shared" si="2"/>
        <v>0.03836752046</v>
      </c>
      <c r="F42" s="6" t="str">
        <f>"Una Cola: Si t calculado ("&amp;G12&amp;") &gt; a t critico  ("&amp;G24&amp;") (de tabla) ---&gt; Se rechaza la hipotesis nula"</f>
        <v>Una Cola: Si t calculado (1,06452600580241) &gt; a t critico  (-1,66088144032486) (de tabla) ---&gt; Se rechaza la hipotesis nula</v>
      </c>
    </row>
    <row r="43" ht="15.75" customHeight="1">
      <c r="A43" s="6">
        <v>4.0</v>
      </c>
      <c r="B43" s="6">
        <v>3.0</v>
      </c>
      <c r="C43" s="7">
        <f t="shared" si="1"/>
        <v>-1</v>
      </c>
      <c r="D43" s="8">
        <f t="shared" si="2"/>
        <v>1.430120098</v>
      </c>
    </row>
    <row r="44" ht="15.75" customHeight="1">
      <c r="A44" s="6">
        <v>4.0</v>
      </c>
      <c r="B44" s="6">
        <v>2.0</v>
      </c>
      <c r="C44" s="7">
        <f t="shared" si="1"/>
        <v>-2</v>
      </c>
      <c r="D44" s="8">
        <f t="shared" si="2"/>
        <v>4.821872675</v>
      </c>
    </row>
    <row r="45" ht="15.75" customHeight="1">
      <c r="A45" s="6">
        <v>1.0</v>
      </c>
      <c r="B45" s="6">
        <v>3.0</v>
      </c>
      <c r="C45" s="7">
        <f t="shared" si="1"/>
        <v>2</v>
      </c>
      <c r="D45" s="8">
        <f t="shared" si="2"/>
        <v>3.254862366</v>
      </c>
    </row>
    <row r="46" ht="15.75" customHeight="1">
      <c r="A46" s="6">
        <v>2.0</v>
      </c>
      <c r="B46" s="6">
        <v>1.0</v>
      </c>
      <c r="C46" s="7">
        <f t="shared" si="1"/>
        <v>-1</v>
      </c>
      <c r="D46" s="8">
        <f t="shared" si="2"/>
        <v>1.430120098</v>
      </c>
      <c r="F46" s="6" t="s">
        <v>53</v>
      </c>
    </row>
    <row r="47" ht="15.75" customHeight="1">
      <c r="A47" s="6">
        <v>4.0</v>
      </c>
      <c r="B47" s="6">
        <v>3.0</v>
      </c>
      <c r="C47" s="7">
        <f t="shared" si="1"/>
        <v>-1</v>
      </c>
      <c r="D47" s="8">
        <f t="shared" si="2"/>
        <v>1.430120098</v>
      </c>
      <c r="F47" s="6" t="str">
        <f>"Dos Colas: Si p valor ("&amp;G29&amp;") &lt; Nivel Significancia ("&amp;G17&amp;") ---&gt; Se rechaza la hipotesis nula"</f>
        <v>Dos Colas: Si p valor (0,289760704669693) &lt; Nivel Significancia (0,05) ---&gt; Se rechaza la hipotesis nula</v>
      </c>
    </row>
    <row r="48" ht="15.75" customHeight="1">
      <c r="A48" s="6">
        <v>3.0</v>
      </c>
      <c r="B48" s="6">
        <v>5.0</v>
      </c>
      <c r="C48" s="7">
        <f t="shared" si="1"/>
        <v>2</v>
      </c>
      <c r="D48" s="8">
        <f t="shared" si="2"/>
        <v>3.254862366</v>
      </c>
      <c r="F48" s="6" t="str">
        <f>"Una Cola: Si p valor ("&amp;G30&amp;") &lt; Nivel Significancia ("&amp;G17&amp;") ---&gt; Se rechaza la hipotesis nula"</f>
        <v>Una Cola: Si p valor (0,144880352334847) &lt; Nivel Significancia (0,05) ---&gt; Se rechaza la hipotesis nula</v>
      </c>
    </row>
    <row r="49" ht="15.75" customHeight="1">
      <c r="A49" s="6">
        <v>3.0</v>
      </c>
      <c r="B49" s="6">
        <v>2.0</v>
      </c>
      <c r="C49" s="7">
        <f t="shared" si="1"/>
        <v>-1</v>
      </c>
      <c r="D49" s="8">
        <f t="shared" si="2"/>
        <v>1.430120098</v>
      </c>
    </row>
    <row r="50" ht="15.75" customHeight="1">
      <c r="A50" s="6">
        <v>4.0</v>
      </c>
      <c r="B50" s="6">
        <v>4.0</v>
      </c>
      <c r="C50" s="7">
        <f t="shared" si="1"/>
        <v>0</v>
      </c>
      <c r="D50" s="8">
        <f t="shared" si="2"/>
        <v>0.03836752046</v>
      </c>
    </row>
    <row r="51" ht="15.75" customHeight="1">
      <c r="A51" s="6">
        <v>1.0</v>
      </c>
      <c r="B51" s="6">
        <v>4.0</v>
      </c>
      <c r="C51" s="7">
        <f t="shared" si="1"/>
        <v>3</v>
      </c>
      <c r="D51" s="8">
        <f t="shared" si="2"/>
        <v>7.863109789</v>
      </c>
    </row>
    <row r="52" ht="15.75" customHeight="1">
      <c r="A52" s="6">
        <v>1.0</v>
      </c>
      <c r="B52" s="6">
        <v>4.0</v>
      </c>
      <c r="C52" s="7">
        <f t="shared" si="1"/>
        <v>3</v>
      </c>
      <c r="D52" s="8">
        <f t="shared" si="2"/>
        <v>7.863109789</v>
      </c>
    </row>
    <row r="53" ht="15.75" customHeight="1">
      <c r="A53" s="6">
        <v>3.0</v>
      </c>
      <c r="B53" s="6">
        <v>5.0</v>
      </c>
      <c r="C53" s="7">
        <f t="shared" si="1"/>
        <v>2</v>
      </c>
      <c r="D53" s="8">
        <f t="shared" si="2"/>
        <v>3.254862366</v>
      </c>
    </row>
    <row r="54" ht="15.75" customHeight="1">
      <c r="A54" s="6">
        <v>3.0</v>
      </c>
      <c r="B54" s="6">
        <v>2.0</v>
      </c>
      <c r="C54" s="7">
        <f t="shared" si="1"/>
        <v>-1</v>
      </c>
      <c r="D54" s="8">
        <f t="shared" si="2"/>
        <v>1.430120098</v>
      </c>
    </row>
    <row r="55" ht="15.75" customHeight="1">
      <c r="A55" s="6">
        <v>2.0</v>
      </c>
      <c r="B55" s="6">
        <v>2.0</v>
      </c>
      <c r="C55" s="7">
        <f t="shared" si="1"/>
        <v>0</v>
      </c>
      <c r="D55" s="8">
        <f t="shared" si="2"/>
        <v>0.03836752046</v>
      </c>
    </row>
    <row r="56" ht="15.75" customHeight="1">
      <c r="A56" s="6">
        <v>3.0</v>
      </c>
      <c r="B56" s="6">
        <v>3.0</v>
      </c>
      <c r="C56" s="7">
        <f t="shared" si="1"/>
        <v>0</v>
      </c>
      <c r="D56" s="8">
        <f t="shared" si="2"/>
        <v>0.03836752046</v>
      </c>
    </row>
    <row r="57" ht="15.75" customHeight="1">
      <c r="A57" s="6">
        <v>2.0</v>
      </c>
      <c r="B57" s="6">
        <v>5.0</v>
      </c>
      <c r="C57" s="7">
        <f t="shared" si="1"/>
        <v>3</v>
      </c>
      <c r="D57" s="8">
        <f t="shared" si="2"/>
        <v>7.863109789</v>
      </c>
    </row>
    <row r="58" ht="15.75" customHeight="1">
      <c r="A58" s="6">
        <v>3.0</v>
      </c>
      <c r="B58" s="6">
        <v>1.0</v>
      </c>
      <c r="C58" s="7">
        <f t="shared" si="1"/>
        <v>-2</v>
      </c>
      <c r="D58" s="8">
        <f t="shared" si="2"/>
        <v>4.821872675</v>
      </c>
    </row>
    <row r="59" ht="15.75" customHeight="1">
      <c r="A59" s="6">
        <v>1.0</v>
      </c>
      <c r="B59" s="6">
        <v>3.0</v>
      </c>
      <c r="C59" s="7">
        <f t="shared" si="1"/>
        <v>2</v>
      </c>
      <c r="D59" s="8">
        <f t="shared" si="2"/>
        <v>3.254862366</v>
      </c>
    </row>
    <row r="60" ht="15.75" customHeight="1">
      <c r="A60" s="6">
        <v>3.0</v>
      </c>
      <c r="B60" s="6">
        <v>1.0</v>
      </c>
      <c r="C60" s="7">
        <f t="shared" si="1"/>
        <v>-2</v>
      </c>
      <c r="D60" s="8">
        <f t="shared" si="2"/>
        <v>4.821872675</v>
      </c>
    </row>
    <row r="61" ht="15.75" customHeight="1">
      <c r="A61" s="6">
        <v>4.0</v>
      </c>
      <c r="B61" s="6">
        <v>3.0</v>
      </c>
      <c r="C61" s="7">
        <f t="shared" si="1"/>
        <v>-1</v>
      </c>
      <c r="D61" s="8">
        <f t="shared" si="2"/>
        <v>1.430120098</v>
      </c>
    </row>
    <row r="62" ht="15.75" customHeight="1">
      <c r="A62" s="6">
        <v>4.0</v>
      </c>
      <c r="B62" s="6">
        <v>3.0</v>
      </c>
      <c r="C62" s="7">
        <f t="shared" si="1"/>
        <v>-1</v>
      </c>
      <c r="D62" s="8">
        <f t="shared" si="2"/>
        <v>1.430120098</v>
      </c>
    </row>
    <row r="63" ht="15.75" customHeight="1">
      <c r="A63" s="6">
        <v>5.0</v>
      </c>
      <c r="B63" s="6">
        <v>1.0</v>
      </c>
      <c r="C63" s="7">
        <f t="shared" si="1"/>
        <v>-4</v>
      </c>
      <c r="D63" s="8">
        <f t="shared" si="2"/>
        <v>17.60537783</v>
      </c>
    </row>
    <row r="64" ht="15.75" customHeight="1">
      <c r="A64" s="6">
        <v>3.0</v>
      </c>
      <c r="B64" s="6">
        <v>2.0</v>
      </c>
      <c r="C64" s="7">
        <f t="shared" si="1"/>
        <v>-1</v>
      </c>
      <c r="D64" s="8">
        <f t="shared" si="2"/>
        <v>1.430120098</v>
      </c>
    </row>
    <row r="65" ht="15.75" customHeight="1">
      <c r="A65" s="6">
        <v>3.0</v>
      </c>
      <c r="B65" s="6">
        <v>3.0</v>
      </c>
      <c r="C65" s="7">
        <f t="shared" si="1"/>
        <v>0</v>
      </c>
      <c r="D65" s="8">
        <f t="shared" si="2"/>
        <v>0.03836752046</v>
      </c>
    </row>
    <row r="66" ht="15.75" customHeight="1">
      <c r="A66" s="6">
        <v>3.0</v>
      </c>
      <c r="B66" s="6">
        <v>3.0</v>
      </c>
      <c r="C66" s="7">
        <f t="shared" si="1"/>
        <v>0</v>
      </c>
      <c r="D66" s="8">
        <f t="shared" si="2"/>
        <v>0.03836752046</v>
      </c>
    </row>
    <row r="67" ht="15.75" customHeight="1">
      <c r="A67" s="6">
        <v>2.0</v>
      </c>
      <c r="B67" s="6">
        <v>3.0</v>
      </c>
      <c r="C67" s="7">
        <f t="shared" si="1"/>
        <v>1</v>
      </c>
      <c r="D67" s="8">
        <f t="shared" si="2"/>
        <v>0.6466149431</v>
      </c>
    </row>
    <row r="68" ht="15.75" customHeight="1">
      <c r="A68" s="6">
        <v>3.0</v>
      </c>
      <c r="B68" s="6">
        <v>5.0</v>
      </c>
      <c r="C68" s="7">
        <f t="shared" si="1"/>
        <v>2</v>
      </c>
      <c r="D68" s="8">
        <f t="shared" si="2"/>
        <v>3.254862366</v>
      </c>
    </row>
    <row r="69" ht="15.75" customHeight="1">
      <c r="A69" s="6">
        <v>3.0</v>
      </c>
      <c r="B69" s="6">
        <v>3.0</v>
      </c>
      <c r="C69" s="7">
        <f t="shared" si="1"/>
        <v>0</v>
      </c>
      <c r="D69" s="8">
        <f t="shared" si="2"/>
        <v>0.03836752046</v>
      </c>
    </row>
    <row r="70" ht="15.75" customHeight="1">
      <c r="A70" s="6">
        <v>2.0</v>
      </c>
      <c r="B70" s="6">
        <v>5.0</v>
      </c>
      <c r="C70" s="7">
        <f t="shared" si="1"/>
        <v>3</v>
      </c>
      <c r="D70" s="8">
        <f t="shared" si="2"/>
        <v>7.863109789</v>
      </c>
    </row>
    <row r="71" ht="15.75" customHeight="1">
      <c r="A71" s="6">
        <v>2.0</v>
      </c>
      <c r="B71" s="6">
        <v>3.0</v>
      </c>
      <c r="C71" s="7">
        <f t="shared" si="1"/>
        <v>1</v>
      </c>
      <c r="D71" s="8">
        <f t="shared" si="2"/>
        <v>0.6466149431</v>
      </c>
    </row>
    <row r="72" ht="15.75" customHeight="1">
      <c r="A72" s="6">
        <v>5.0</v>
      </c>
      <c r="B72" s="6">
        <v>5.0</v>
      </c>
      <c r="C72" s="7">
        <f t="shared" si="1"/>
        <v>0</v>
      </c>
      <c r="D72" s="8">
        <f t="shared" si="2"/>
        <v>0.03836752046</v>
      </c>
    </row>
    <row r="73" ht="15.75" customHeight="1">
      <c r="A73" s="6">
        <v>5.0</v>
      </c>
      <c r="B73" s="6">
        <v>2.0</v>
      </c>
      <c r="C73" s="7">
        <f t="shared" si="1"/>
        <v>-3</v>
      </c>
      <c r="D73" s="8">
        <f t="shared" si="2"/>
        <v>10.21362525</v>
      </c>
    </row>
    <row r="74" ht="15.75" customHeight="1">
      <c r="A74" s="6">
        <v>1.0</v>
      </c>
      <c r="B74" s="6">
        <v>5.0</v>
      </c>
      <c r="C74" s="7">
        <f t="shared" si="1"/>
        <v>4</v>
      </c>
      <c r="D74" s="8">
        <f t="shared" si="2"/>
        <v>14.47135721</v>
      </c>
    </row>
    <row r="75" ht="15.75" customHeight="1">
      <c r="A75" s="6">
        <v>3.0</v>
      </c>
      <c r="B75" s="6">
        <v>2.0</v>
      </c>
      <c r="C75" s="7">
        <f t="shared" si="1"/>
        <v>-1</v>
      </c>
      <c r="D75" s="8">
        <f t="shared" si="2"/>
        <v>1.430120098</v>
      </c>
    </row>
    <row r="76" ht="15.75" customHeight="1">
      <c r="A76" s="6">
        <v>1.0</v>
      </c>
      <c r="B76" s="6">
        <v>2.0</v>
      </c>
      <c r="C76" s="7">
        <f t="shared" si="1"/>
        <v>1</v>
      </c>
      <c r="D76" s="8">
        <f t="shared" si="2"/>
        <v>0.6466149431</v>
      </c>
    </row>
    <row r="77" ht="15.75" customHeight="1">
      <c r="A77" s="6">
        <v>3.0</v>
      </c>
      <c r="B77" s="6">
        <v>3.0</v>
      </c>
      <c r="C77" s="7">
        <f t="shared" si="1"/>
        <v>0</v>
      </c>
      <c r="D77" s="8">
        <f t="shared" si="2"/>
        <v>0.03836752046</v>
      </c>
    </row>
    <row r="78" ht="15.75" customHeight="1">
      <c r="A78" s="6">
        <v>3.0</v>
      </c>
      <c r="B78" s="6">
        <v>4.0</v>
      </c>
      <c r="C78" s="7">
        <f t="shared" si="1"/>
        <v>1</v>
      </c>
      <c r="D78" s="8">
        <f t="shared" si="2"/>
        <v>0.6466149431</v>
      </c>
    </row>
    <row r="79" ht="15.75" customHeight="1">
      <c r="A79" s="6">
        <v>3.0</v>
      </c>
      <c r="B79" s="6">
        <v>3.0</v>
      </c>
      <c r="C79" s="7">
        <f t="shared" si="1"/>
        <v>0</v>
      </c>
      <c r="D79" s="8">
        <f t="shared" si="2"/>
        <v>0.03836752046</v>
      </c>
    </row>
    <row r="80" ht="15.75" customHeight="1">
      <c r="A80" s="6">
        <v>5.0</v>
      </c>
      <c r="B80" s="6">
        <v>2.0</v>
      </c>
      <c r="C80" s="7">
        <f t="shared" si="1"/>
        <v>-3</v>
      </c>
      <c r="D80" s="8">
        <f t="shared" si="2"/>
        <v>10.21362525</v>
      </c>
    </row>
    <row r="81" ht="15.75" customHeight="1">
      <c r="A81" s="6">
        <v>2.0</v>
      </c>
      <c r="B81" s="6">
        <v>4.0</v>
      </c>
      <c r="C81" s="7">
        <f t="shared" si="1"/>
        <v>2</v>
      </c>
      <c r="D81" s="8">
        <f t="shared" si="2"/>
        <v>3.254862366</v>
      </c>
    </row>
    <row r="82" ht="15.75" customHeight="1">
      <c r="A82" s="6">
        <v>3.0</v>
      </c>
      <c r="B82" s="6">
        <v>3.0</v>
      </c>
      <c r="C82" s="7">
        <f t="shared" si="1"/>
        <v>0</v>
      </c>
      <c r="D82" s="8">
        <f t="shared" si="2"/>
        <v>0.03836752046</v>
      </c>
    </row>
    <row r="83" ht="15.75" customHeight="1">
      <c r="A83" s="6">
        <v>4.0</v>
      </c>
      <c r="B83" s="6">
        <v>4.0</v>
      </c>
      <c r="C83" s="7">
        <f t="shared" si="1"/>
        <v>0</v>
      </c>
      <c r="D83" s="8">
        <f t="shared" si="2"/>
        <v>0.03836752046</v>
      </c>
    </row>
    <row r="84" ht="15.75" customHeight="1">
      <c r="A84" s="6">
        <v>3.0</v>
      </c>
      <c r="B84" s="6">
        <v>2.0</v>
      </c>
      <c r="C84" s="7">
        <f t="shared" si="1"/>
        <v>-1</v>
      </c>
      <c r="D84" s="8">
        <f t="shared" si="2"/>
        <v>1.430120098</v>
      </c>
    </row>
    <row r="85" ht="15.75" customHeight="1">
      <c r="A85" s="6">
        <v>3.0</v>
      </c>
      <c r="B85" s="6">
        <v>3.0</v>
      </c>
      <c r="C85" s="7">
        <f t="shared" si="1"/>
        <v>0</v>
      </c>
      <c r="D85" s="8">
        <f t="shared" si="2"/>
        <v>0.03836752046</v>
      </c>
    </row>
    <row r="86" ht="15.75" customHeight="1">
      <c r="A86" s="6">
        <v>3.0</v>
      </c>
      <c r="B86" s="6">
        <v>5.0</v>
      </c>
      <c r="C86" s="7">
        <f t="shared" si="1"/>
        <v>2</v>
      </c>
      <c r="D86" s="8">
        <f t="shared" si="2"/>
        <v>3.254862366</v>
      </c>
    </row>
    <row r="87" ht="15.75" customHeight="1">
      <c r="A87" s="6">
        <v>3.0</v>
      </c>
      <c r="B87" s="6">
        <v>5.0</v>
      </c>
      <c r="C87" s="7">
        <f t="shared" si="1"/>
        <v>2</v>
      </c>
      <c r="D87" s="8">
        <f t="shared" si="2"/>
        <v>3.254862366</v>
      </c>
    </row>
    <row r="88" ht="15.75" customHeight="1">
      <c r="A88" s="6">
        <v>3.0</v>
      </c>
      <c r="B88" s="6">
        <v>3.0</v>
      </c>
      <c r="C88" s="7">
        <f t="shared" si="1"/>
        <v>0</v>
      </c>
      <c r="D88" s="8">
        <f t="shared" si="2"/>
        <v>0.03836752046</v>
      </c>
    </row>
    <row r="89" ht="15.75" customHeight="1">
      <c r="A89" s="6">
        <v>4.0</v>
      </c>
      <c r="B89" s="6">
        <v>5.0</v>
      </c>
      <c r="C89" s="7">
        <f t="shared" si="1"/>
        <v>1</v>
      </c>
      <c r="D89" s="8">
        <f t="shared" si="2"/>
        <v>0.6466149431</v>
      </c>
    </row>
    <row r="90" ht="15.75" customHeight="1">
      <c r="A90" s="6">
        <v>1.0</v>
      </c>
      <c r="B90" s="6">
        <v>3.0</v>
      </c>
      <c r="C90" s="7">
        <f t="shared" si="1"/>
        <v>2</v>
      </c>
      <c r="D90" s="8">
        <f t="shared" si="2"/>
        <v>3.254862366</v>
      </c>
    </row>
    <row r="91" ht="15.75" customHeight="1">
      <c r="A91" s="6">
        <v>1.0</v>
      </c>
      <c r="B91" s="6">
        <v>2.0</v>
      </c>
      <c r="C91" s="7">
        <f t="shared" si="1"/>
        <v>1</v>
      </c>
      <c r="D91" s="8">
        <f t="shared" si="2"/>
        <v>0.6466149431</v>
      </c>
    </row>
    <row r="92" ht="15.75" customHeight="1">
      <c r="A92" s="6">
        <v>3.0</v>
      </c>
      <c r="B92" s="6">
        <v>5.0</v>
      </c>
      <c r="C92" s="7">
        <f t="shared" si="1"/>
        <v>2</v>
      </c>
      <c r="D92" s="8">
        <f t="shared" si="2"/>
        <v>3.254862366</v>
      </c>
    </row>
    <row r="93" ht="15.75" customHeight="1">
      <c r="A93" s="6">
        <v>1.0</v>
      </c>
      <c r="B93" s="6">
        <v>3.0</v>
      </c>
      <c r="C93" s="7">
        <f t="shared" si="1"/>
        <v>2</v>
      </c>
      <c r="D93" s="8">
        <f t="shared" si="2"/>
        <v>3.254862366</v>
      </c>
      <c r="F93" s="12"/>
    </row>
    <row r="94" ht="15.75" customHeight="1">
      <c r="A94" s="6">
        <v>1.0</v>
      </c>
      <c r="B94" s="6">
        <v>3.0</v>
      </c>
      <c r="C94" s="7">
        <f t="shared" si="1"/>
        <v>2</v>
      </c>
      <c r="D94" s="8">
        <f t="shared" si="2"/>
        <v>3.254862366</v>
      </c>
    </row>
    <row r="95" ht="15.75" customHeight="1">
      <c r="A95" s="6">
        <v>4.0</v>
      </c>
      <c r="B95" s="6">
        <v>1.0</v>
      </c>
      <c r="C95" s="7">
        <f t="shared" si="1"/>
        <v>-3</v>
      </c>
      <c r="D95" s="8">
        <f t="shared" si="2"/>
        <v>10.21362525</v>
      </c>
    </row>
    <row r="96" ht="15.75" customHeight="1">
      <c r="A96" s="6">
        <v>3.0</v>
      </c>
      <c r="B96" s="6">
        <v>4.0</v>
      </c>
      <c r="C96" s="7">
        <f t="shared" si="1"/>
        <v>1</v>
      </c>
      <c r="D96" s="8">
        <f t="shared" si="2"/>
        <v>0.6466149431</v>
      </c>
    </row>
    <row r="97" ht="15.75" customHeight="1">
      <c r="A97" s="6">
        <v>2.0</v>
      </c>
      <c r="B97" s="6">
        <v>3.0</v>
      </c>
      <c r="C97" s="7">
        <f t="shared" si="1"/>
        <v>1</v>
      </c>
      <c r="D97" s="8">
        <f t="shared" si="2"/>
        <v>0.6466149431</v>
      </c>
    </row>
    <row r="98" ht="15.75" customHeight="1">
      <c r="A98" s="6">
        <v>3.0</v>
      </c>
      <c r="B98" s="6">
        <v>4.0</v>
      </c>
      <c r="C98" s="7">
        <f t="shared" si="1"/>
        <v>1</v>
      </c>
      <c r="D98" s="8">
        <f t="shared" si="2"/>
        <v>0.6466149431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33.14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8</v>
      </c>
      <c r="B1" s="3" t="s">
        <v>11</v>
      </c>
      <c r="C1" s="5" t="s">
        <v>12</v>
      </c>
      <c r="D1" s="5"/>
    </row>
    <row r="2">
      <c r="A2" s="6">
        <v>3.0</v>
      </c>
      <c r="B2" s="6">
        <v>4.0</v>
      </c>
      <c r="C2" s="7">
        <f t="shared" ref="C2:C98" si="1">B2-A2</f>
        <v>1</v>
      </c>
      <c r="D2" s="8">
        <f t="shared" ref="D2:D98" si="2">(C2-$G$6)^2</f>
        <v>1.3571049</v>
      </c>
    </row>
    <row r="3">
      <c r="A3" s="6">
        <v>3.0</v>
      </c>
      <c r="B3" s="6">
        <v>3.0</v>
      </c>
      <c r="C3" s="7">
        <f t="shared" si="1"/>
        <v>0</v>
      </c>
      <c r="D3" s="8">
        <f t="shared" si="2"/>
        <v>0.02720799235</v>
      </c>
      <c r="F3" s="9" t="s">
        <v>14</v>
      </c>
      <c r="G3" s="9"/>
    </row>
    <row r="4">
      <c r="A4" s="6">
        <v>5.0</v>
      </c>
      <c r="B4" s="6">
        <v>4.0</v>
      </c>
      <c r="C4" s="7">
        <f t="shared" si="1"/>
        <v>-1</v>
      </c>
      <c r="D4" s="8">
        <f t="shared" si="2"/>
        <v>0.6973110851</v>
      </c>
      <c r="F4" s="6" t="s">
        <v>15</v>
      </c>
      <c r="G4" s="6">
        <f>COUNT(A:A)</f>
        <v>97</v>
      </c>
    </row>
    <row r="5">
      <c r="A5" s="6">
        <v>4.0</v>
      </c>
      <c r="B5" s="6">
        <v>3.0</v>
      </c>
      <c r="C5" s="7">
        <f t="shared" si="1"/>
        <v>-1</v>
      </c>
      <c r="D5" s="8">
        <f t="shared" si="2"/>
        <v>0.6973110851</v>
      </c>
      <c r="F5" s="6" t="s">
        <v>17</v>
      </c>
      <c r="G5" s="6">
        <f>SUM(C:C)</f>
        <v>-16</v>
      </c>
    </row>
    <row r="6">
      <c r="A6" s="6">
        <v>4.0</v>
      </c>
      <c r="B6" s="6">
        <v>3.0</v>
      </c>
      <c r="C6" s="7">
        <f t="shared" si="1"/>
        <v>-1</v>
      </c>
      <c r="D6" s="8">
        <f t="shared" si="2"/>
        <v>0.6973110851</v>
      </c>
      <c r="F6" s="6" t="s">
        <v>18</v>
      </c>
      <c r="G6" s="6">
        <f>G5/G4</f>
        <v>-0.1649484536</v>
      </c>
    </row>
    <row r="7">
      <c r="A7" s="6">
        <v>2.0</v>
      </c>
      <c r="B7" s="6">
        <v>4.0</v>
      </c>
      <c r="C7" s="7">
        <f t="shared" si="1"/>
        <v>2</v>
      </c>
      <c r="D7" s="8">
        <f t="shared" si="2"/>
        <v>4.687001807</v>
      </c>
      <c r="F7" s="6" t="s">
        <v>19</v>
      </c>
      <c r="G7" s="6">
        <f>SUM(D:D)</f>
        <v>295.3608247</v>
      </c>
    </row>
    <row r="8">
      <c r="A8" s="6">
        <v>3.0</v>
      </c>
      <c r="B8" s="6">
        <v>3.0</v>
      </c>
      <c r="C8" s="7">
        <f t="shared" si="1"/>
        <v>0</v>
      </c>
      <c r="D8" s="8">
        <f t="shared" si="2"/>
        <v>0.02720799235</v>
      </c>
      <c r="F8" s="6" t="s">
        <v>21</v>
      </c>
      <c r="G8" s="6">
        <f>SQRT(G7/(G4-1))</f>
        <v>1.754045398</v>
      </c>
    </row>
    <row r="9">
      <c r="A9" s="6">
        <v>5.0</v>
      </c>
      <c r="B9" s="6">
        <v>3.0</v>
      </c>
      <c r="C9" s="7">
        <f t="shared" si="1"/>
        <v>-2</v>
      </c>
      <c r="D9" s="8">
        <f t="shared" si="2"/>
        <v>3.367414178</v>
      </c>
    </row>
    <row r="10">
      <c r="A10" s="6">
        <v>2.0</v>
      </c>
      <c r="B10" s="6">
        <v>5.0</v>
      </c>
      <c r="C10" s="7">
        <f t="shared" si="1"/>
        <v>3</v>
      </c>
      <c r="D10" s="8">
        <f t="shared" si="2"/>
        <v>10.01689871</v>
      </c>
    </row>
    <row r="11">
      <c r="A11" s="6">
        <v>4.0</v>
      </c>
      <c r="B11" s="6">
        <v>3.0</v>
      </c>
      <c r="C11" s="7">
        <f t="shared" si="1"/>
        <v>-1</v>
      </c>
      <c r="D11" s="8">
        <f t="shared" si="2"/>
        <v>0.6973110851</v>
      </c>
    </row>
    <row r="12">
      <c r="A12" s="6">
        <v>1.0</v>
      </c>
      <c r="B12" s="6">
        <v>4.0</v>
      </c>
      <c r="C12" s="7">
        <f t="shared" si="1"/>
        <v>3</v>
      </c>
      <c r="D12" s="8">
        <f t="shared" si="2"/>
        <v>10.01689871</v>
      </c>
      <c r="F12" s="6" t="s">
        <v>23</v>
      </c>
      <c r="G12" s="6">
        <f>G6/(G8/SQRT(G4))</f>
        <v>-0.9261754948</v>
      </c>
    </row>
    <row r="13">
      <c r="A13" s="6">
        <v>3.0</v>
      </c>
      <c r="B13" s="6">
        <v>5.0</v>
      </c>
      <c r="C13" s="7">
        <f t="shared" si="1"/>
        <v>2</v>
      </c>
      <c r="D13" s="8">
        <f t="shared" si="2"/>
        <v>4.687001807</v>
      </c>
    </row>
    <row r="14">
      <c r="A14" s="6">
        <v>4.0</v>
      </c>
      <c r="B14" s="6">
        <v>2.0</v>
      </c>
      <c r="C14" s="7">
        <f t="shared" si="1"/>
        <v>-2</v>
      </c>
      <c r="D14" s="8">
        <f t="shared" si="2"/>
        <v>3.367414178</v>
      </c>
    </row>
    <row r="15">
      <c r="A15" s="6">
        <v>5.0</v>
      </c>
      <c r="B15" s="6">
        <v>3.0</v>
      </c>
      <c r="C15" s="7">
        <f t="shared" si="1"/>
        <v>-2</v>
      </c>
      <c r="D15" s="8">
        <f t="shared" si="2"/>
        <v>3.367414178</v>
      </c>
    </row>
    <row r="16">
      <c r="A16" s="6">
        <v>3.0</v>
      </c>
      <c r="B16" s="6">
        <v>4.0</v>
      </c>
      <c r="C16" s="7">
        <f t="shared" si="1"/>
        <v>1</v>
      </c>
      <c r="D16" s="8">
        <f t="shared" si="2"/>
        <v>1.3571049</v>
      </c>
    </row>
    <row r="17">
      <c r="A17" s="6">
        <v>2.0</v>
      </c>
      <c r="B17" s="6">
        <v>4.0</v>
      </c>
      <c r="C17" s="7">
        <f t="shared" si="1"/>
        <v>2</v>
      </c>
      <c r="D17" s="8">
        <f t="shared" si="2"/>
        <v>4.687001807</v>
      </c>
      <c r="F17" s="6" t="s">
        <v>25</v>
      </c>
      <c r="G17" s="6">
        <v>0.05</v>
      </c>
    </row>
    <row r="18">
      <c r="A18" s="6">
        <v>3.0</v>
      </c>
      <c r="B18" s="6">
        <v>4.0</v>
      </c>
      <c r="C18" s="7">
        <f t="shared" si="1"/>
        <v>1</v>
      </c>
      <c r="D18" s="8">
        <f t="shared" si="2"/>
        <v>1.3571049</v>
      </c>
      <c r="F18" s="6" t="s">
        <v>26</v>
      </c>
      <c r="G18" s="6">
        <f>G4-1</f>
        <v>96</v>
      </c>
    </row>
    <row r="19">
      <c r="A19" s="6">
        <v>5.0</v>
      </c>
      <c r="B19" s="6">
        <v>5.0</v>
      </c>
      <c r="C19" s="7">
        <f t="shared" si="1"/>
        <v>0</v>
      </c>
      <c r="D19" s="8">
        <f t="shared" si="2"/>
        <v>0.02720799235</v>
      </c>
    </row>
    <row r="20">
      <c r="A20" s="6">
        <v>4.0</v>
      </c>
      <c r="B20" s="6">
        <v>3.0</v>
      </c>
      <c r="C20" s="7">
        <f t="shared" si="1"/>
        <v>-1</v>
      </c>
      <c r="D20" s="8">
        <f t="shared" si="2"/>
        <v>0.6973110851</v>
      </c>
    </row>
    <row r="21" ht="15.75" customHeight="1">
      <c r="A21" s="6">
        <v>5.0</v>
      </c>
      <c r="B21" s="6">
        <v>3.0</v>
      </c>
      <c r="C21" s="7">
        <f t="shared" si="1"/>
        <v>-2</v>
      </c>
      <c r="D21" s="8">
        <f t="shared" si="2"/>
        <v>3.367414178</v>
      </c>
    </row>
    <row r="22" ht="15.75" customHeight="1">
      <c r="A22" s="6">
        <v>3.0</v>
      </c>
      <c r="B22" s="6">
        <v>4.0</v>
      </c>
      <c r="C22" s="7">
        <f t="shared" si="1"/>
        <v>1</v>
      </c>
      <c r="D22" s="8">
        <f t="shared" si="2"/>
        <v>1.3571049</v>
      </c>
      <c r="F22" s="9" t="s">
        <v>27</v>
      </c>
      <c r="G22" s="9"/>
    </row>
    <row r="23" ht="15.75" customHeight="1">
      <c r="A23" s="6">
        <v>2.0</v>
      </c>
      <c r="B23" s="6">
        <v>2.0</v>
      </c>
      <c r="C23" s="7">
        <f t="shared" si="1"/>
        <v>0</v>
      </c>
      <c r="D23" s="8">
        <f t="shared" si="2"/>
        <v>0.02720799235</v>
      </c>
      <c r="F23" s="6" t="s">
        <v>31</v>
      </c>
      <c r="G23" s="6">
        <f>_xlfn.T.INV.2T(G17,G18)</f>
        <v>1.984984312</v>
      </c>
    </row>
    <row r="24" ht="15.75" customHeight="1">
      <c r="A24" s="6">
        <v>2.0</v>
      </c>
      <c r="B24" s="6">
        <v>4.0</v>
      </c>
      <c r="C24" s="7">
        <f t="shared" si="1"/>
        <v>2</v>
      </c>
      <c r="D24" s="8">
        <f t="shared" si="2"/>
        <v>4.687001807</v>
      </c>
      <c r="F24" s="6" t="s">
        <v>34</v>
      </c>
      <c r="G24" s="6">
        <f>_xlfn.T.INV(G17,G18)</f>
        <v>-1.66088144</v>
      </c>
    </row>
    <row r="25" ht="15.75" customHeight="1">
      <c r="A25" s="6">
        <v>2.0</v>
      </c>
      <c r="B25" s="6">
        <v>2.0</v>
      </c>
      <c r="C25" s="7">
        <f t="shared" si="1"/>
        <v>0</v>
      </c>
      <c r="D25" s="8">
        <f t="shared" si="2"/>
        <v>0.02720799235</v>
      </c>
    </row>
    <row r="26" ht="15.75" customHeight="1">
      <c r="A26" s="6">
        <v>2.0</v>
      </c>
      <c r="B26" s="6">
        <v>5.0</v>
      </c>
      <c r="C26" s="7">
        <f t="shared" si="1"/>
        <v>3</v>
      </c>
      <c r="D26" s="8">
        <f t="shared" si="2"/>
        <v>10.01689871</v>
      </c>
    </row>
    <row r="27" ht="15.75" customHeight="1">
      <c r="A27" s="6">
        <v>4.0</v>
      </c>
      <c r="B27" s="6">
        <v>3.0</v>
      </c>
      <c r="C27" s="7">
        <f t="shared" si="1"/>
        <v>-1</v>
      </c>
      <c r="D27" s="8">
        <f t="shared" si="2"/>
        <v>0.6973110851</v>
      </c>
      <c r="F27" s="9" t="s">
        <v>32</v>
      </c>
      <c r="G27" s="9"/>
    </row>
    <row r="28" ht="15.75" customHeight="1">
      <c r="A28" s="6">
        <v>3.0</v>
      </c>
      <c r="B28" s="6">
        <v>1.0</v>
      </c>
      <c r="C28" s="7">
        <f t="shared" si="1"/>
        <v>-2</v>
      </c>
      <c r="D28" s="8">
        <f t="shared" si="2"/>
        <v>3.367414178</v>
      </c>
      <c r="F28" s="6" t="s">
        <v>32</v>
      </c>
    </row>
    <row r="29" ht="15.75" customHeight="1">
      <c r="A29" s="6">
        <v>1.0</v>
      </c>
      <c r="B29" s="6">
        <v>3.0</v>
      </c>
      <c r="C29" s="7">
        <f t="shared" si="1"/>
        <v>2</v>
      </c>
      <c r="D29" s="8">
        <f t="shared" si="2"/>
        <v>4.687001807</v>
      </c>
      <c r="F29" s="6" t="s">
        <v>41</v>
      </c>
      <c r="G29" s="6">
        <f>TTEST(A:A,B:B,2,1)</f>
        <v>0.3566772989</v>
      </c>
    </row>
    <row r="30" ht="15.75" customHeight="1">
      <c r="A30" s="6">
        <v>4.0</v>
      </c>
      <c r="B30" s="6">
        <v>3.0</v>
      </c>
      <c r="C30" s="7">
        <f t="shared" si="1"/>
        <v>-1</v>
      </c>
      <c r="D30" s="8">
        <f t="shared" si="2"/>
        <v>0.6973110851</v>
      </c>
      <c r="F30" s="6" t="s">
        <v>47</v>
      </c>
      <c r="G30" s="6">
        <f>TTEST(A:A,B:B,1,1)</f>
        <v>0.1783386494</v>
      </c>
    </row>
    <row r="31" ht="15.75" customHeight="1">
      <c r="A31" s="6">
        <v>4.0</v>
      </c>
      <c r="B31" s="6">
        <v>1.0</v>
      </c>
      <c r="C31" s="7">
        <f t="shared" si="1"/>
        <v>-3</v>
      </c>
      <c r="D31" s="8">
        <f t="shared" si="2"/>
        <v>8.037517271</v>
      </c>
    </row>
    <row r="32" ht="15.75" customHeight="1">
      <c r="A32" s="6">
        <v>5.0</v>
      </c>
      <c r="B32" s="6">
        <v>5.0</v>
      </c>
      <c r="C32" s="7">
        <f t="shared" si="1"/>
        <v>0</v>
      </c>
      <c r="D32" s="8">
        <f t="shared" si="2"/>
        <v>0.02720799235</v>
      </c>
    </row>
    <row r="33" ht="15.75" customHeight="1">
      <c r="A33" s="6">
        <v>4.0</v>
      </c>
      <c r="B33" s="6">
        <v>4.0</v>
      </c>
      <c r="C33" s="7">
        <f t="shared" si="1"/>
        <v>0</v>
      </c>
      <c r="D33" s="8">
        <f t="shared" si="2"/>
        <v>0.02720799235</v>
      </c>
      <c r="F33" s="10" t="s">
        <v>39</v>
      </c>
      <c r="G33" s="10"/>
    </row>
    <row r="34" ht="15.75" customHeight="1">
      <c r="A34" s="6">
        <v>2.0</v>
      </c>
      <c r="B34" s="6">
        <v>5.0</v>
      </c>
      <c r="C34" s="7">
        <f t="shared" si="1"/>
        <v>3</v>
      </c>
      <c r="D34" s="8">
        <f t="shared" si="2"/>
        <v>10.01689871</v>
      </c>
    </row>
    <row r="35" ht="15.75" customHeight="1">
      <c r="A35" s="6">
        <v>2.0</v>
      </c>
      <c r="B35" s="6">
        <v>3.0</v>
      </c>
      <c r="C35" s="7">
        <f t="shared" si="1"/>
        <v>1</v>
      </c>
      <c r="D35" s="8">
        <f t="shared" si="2"/>
        <v>1.3571049</v>
      </c>
      <c r="F35" s="6" t="s">
        <v>50</v>
      </c>
    </row>
    <row r="36" ht="15.75" customHeight="1">
      <c r="A36" s="6">
        <v>3.0</v>
      </c>
      <c r="B36" s="6">
        <v>1.0</v>
      </c>
      <c r="C36" s="7">
        <f t="shared" si="1"/>
        <v>-2</v>
      </c>
      <c r="D36" s="8">
        <f t="shared" si="2"/>
        <v>3.367414178</v>
      </c>
      <c r="F36" s="6" t="s">
        <v>52</v>
      </c>
    </row>
    <row r="37" ht="15.75" customHeight="1">
      <c r="A37" s="6">
        <v>2.0</v>
      </c>
      <c r="B37" s="6">
        <v>2.0</v>
      </c>
      <c r="C37" s="7">
        <f t="shared" si="1"/>
        <v>0</v>
      </c>
      <c r="D37" s="8">
        <f t="shared" si="2"/>
        <v>0.02720799235</v>
      </c>
    </row>
    <row r="38" ht="15.75" customHeight="1">
      <c r="A38" s="6">
        <v>4.0</v>
      </c>
      <c r="B38" s="6">
        <v>4.0</v>
      </c>
      <c r="C38" s="7">
        <f t="shared" si="1"/>
        <v>0</v>
      </c>
      <c r="D38" s="8">
        <f t="shared" si="2"/>
        <v>0.02720799235</v>
      </c>
    </row>
    <row r="39" ht="15.75" customHeight="1">
      <c r="A39" s="6">
        <v>5.0</v>
      </c>
      <c r="B39" s="6">
        <v>4.0</v>
      </c>
      <c r="C39" s="7">
        <f t="shared" si="1"/>
        <v>-1</v>
      </c>
      <c r="D39" s="8">
        <f t="shared" si="2"/>
        <v>0.6973110851</v>
      </c>
    </row>
    <row r="40" ht="15.75" customHeight="1">
      <c r="A40" s="6">
        <v>5.0</v>
      </c>
      <c r="B40" s="6">
        <v>4.0</v>
      </c>
      <c r="C40" s="7">
        <f t="shared" si="1"/>
        <v>-1</v>
      </c>
      <c r="D40" s="8">
        <f t="shared" si="2"/>
        <v>0.6973110851</v>
      </c>
      <c r="F40" s="6" t="s">
        <v>55</v>
      </c>
    </row>
    <row r="41" ht="15.75" customHeight="1">
      <c r="A41" s="6">
        <v>3.0</v>
      </c>
      <c r="B41" s="6">
        <v>1.0</v>
      </c>
      <c r="C41" s="7">
        <f t="shared" si="1"/>
        <v>-2</v>
      </c>
      <c r="D41" s="8">
        <f t="shared" si="2"/>
        <v>3.367414178</v>
      </c>
      <c r="F41" s="6" t="str">
        <f>"Dos Colas: Si t calculado ("&amp;G12&amp;") &gt; a t critico  ("&amp;G23&amp;") (de tabla) ---&gt; Se rechaza la hipotesis nula"</f>
        <v>Dos Colas: Si t calculado (-0,9261754947743) &gt; a t critico  (1,98498431152245) (de tabla) ---&gt; Se rechaza la hipotesis nula</v>
      </c>
    </row>
    <row r="42" ht="15.75" customHeight="1">
      <c r="A42" s="6">
        <v>3.0</v>
      </c>
      <c r="B42" s="6">
        <v>5.0</v>
      </c>
      <c r="C42" s="7">
        <f t="shared" si="1"/>
        <v>2</v>
      </c>
      <c r="D42" s="8">
        <f t="shared" si="2"/>
        <v>4.687001807</v>
      </c>
      <c r="F42" s="6" t="str">
        <f>"Una Cola: Si t calculado ("&amp;G12&amp;") &gt; a t critico  ("&amp;G24&amp;") (de tabla) ---&gt; Se rechaza la hipotesis nula"</f>
        <v>Una Cola: Si t calculado (-0,9261754947743) &gt; a t critico  (-1,66088144032486) (de tabla) ---&gt; Se rechaza la hipotesis nula</v>
      </c>
    </row>
    <row r="43" ht="15.75" customHeight="1">
      <c r="A43" s="6">
        <v>3.0</v>
      </c>
      <c r="B43" s="6">
        <v>1.0</v>
      </c>
      <c r="C43" s="7">
        <f t="shared" si="1"/>
        <v>-2</v>
      </c>
      <c r="D43" s="8">
        <f t="shared" si="2"/>
        <v>3.367414178</v>
      </c>
    </row>
    <row r="44" ht="15.75" customHeight="1">
      <c r="A44" s="6">
        <v>3.0</v>
      </c>
      <c r="B44" s="6">
        <v>3.0</v>
      </c>
      <c r="C44" s="7">
        <f t="shared" si="1"/>
        <v>0</v>
      </c>
      <c r="D44" s="8">
        <f t="shared" si="2"/>
        <v>0.02720799235</v>
      </c>
    </row>
    <row r="45" ht="15.75" customHeight="1">
      <c r="A45" s="6">
        <v>4.0</v>
      </c>
      <c r="B45" s="6">
        <v>1.0</v>
      </c>
      <c r="C45" s="7">
        <f t="shared" si="1"/>
        <v>-3</v>
      </c>
      <c r="D45" s="8">
        <f t="shared" si="2"/>
        <v>8.037517271</v>
      </c>
    </row>
    <row r="46" ht="15.75" customHeight="1">
      <c r="A46" s="6">
        <v>3.0</v>
      </c>
      <c r="B46" s="6">
        <v>4.0</v>
      </c>
      <c r="C46" s="7">
        <f t="shared" si="1"/>
        <v>1</v>
      </c>
      <c r="D46" s="8">
        <f t="shared" si="2"/>
        <v>1.3571049</v>
      </c>
      <c r="F46" s="6" t="s">
        <v>59</v>
      </c>
    </row>
    <row r="47" ht="15.75" customHeight="1">
      <c r="A47" s="6">
        <v>3.0</v>
      </c>
      <c r="B47" s="6">
        <v>3.0</v>
      </c>
      <c r="C47" s="7">
        <f t="shared" si="1"/>
        <v>0</v>
      </c>
      <c r="D47" s="8">
        <f t="shared" si="2"/>
        <v>0.02720799235</v>
      </c>
      <c r="F47" s="6" t="str">
        <f>"Dos Colas: Si p valor ("&amp;G29&amp;") &lt; Nivel Significancia ("&amp;G17&amp;") ---&gt; Se rechaza la hipotesis nula"</f>
        <v>Dos Colas: Si p valor (0,356677298888707) &lt; Nivel Significancia (0,05) ---&gt; Se rechaza la hipotesis nula</v>
      </c>
    </row>
    <row r="48" ht="15.75" customHeight="1">
      <c r="A48" s="6">
        <v>2.0</v>
      </c>
      <c r="B48" s="6">
        <v>5.0</v>
      </c>
      <c r="C48" s="7">
        <f t="shared" si="1"/>
        <v>3</v>
      </c>
      <c r="D48" s="8">
        <f t="shared" si="2"/>
        <v>10.01689871</v>
      </c>
      <c r="F48" s="6" t="str">
        <f>"Una Cola: Si p valor ("&amp;G30&amp;") &lt; Nivel Significancia ("&amp;G17&amp;") ---&gt; Se rechaza la hipotesis nula"</f>
        <v>Una Cola: Si p valor (0,178338649444353) &lt; Nivel Significancia (0,05) ---&gt; Se rechaza la hipotesis nula</v>
      </c>
    </row>
    <row r="49" ht="15.75" customHeight="1">
      <c r="A49" s="6">
        <v>2.0</v>
      </c>
      <c r="B49" s="6">
        <v>4.0</v>
      </c>
      <c r="C49" s="7">
        <f t="shared" si="1"/>
        <v>2</v>
      </c>
      <c r="D49" s="8">
        <f t="shared" si="2"/>
        <v>4.687001807</v>
      </c>
    </row>
    <row r="50" ht="15.75" customHeight="1">
      <c r="A50" s="6">
        <v>5.0</v>
      </c>
      <c r="B50" s="6">
        <v>1.0</v>
      </c>
      <c r="C50" s="7">
        <f t="shared" si="1"/>
        <v>-4</v>
      </c>
      <c r="D50" s="8">
        <f t="shared" si="2"/>
        <v>14.70762036</v>
      </c>
    </row>
    <row r="51" ht="15.75" customHeight="1">
      <c r="A51" s="6">
        <v>3.0</v>
      </c>
      <c r="B51" s="6">
        <v>3.0</v>
      </c>
      <c r="C51" s="7">
        <f t="shared" si="1"/>
        <v>0</v>
      </c>
      <c r="D51" s="8">
        <f t="shared" si="2"/>
        <v>0.02720799235</v>
      </c>
    </row>
    <row r="52" ht="15.75" customHeight="1">
      <c r="A52" s="6">
        <v>3.0</v>
      </c>
      <c r="B52" s="6">
        <v>3.0</v>
      </c>
      <c r="C52" s="7">
        <f t="shared" si="1"/>
        <v>0</v>
      </c>
      <c r="D52" s="8">
        <f t="shared" si="2"/>
        <v>0.02720799235</v>
      </c>
    </row>
    <row r="53" ht="15.75" customHeight="1">
      <c r="A53" s="6">
        <v>3.0</v>
      </c>
      <c r="B53" s="6">
        <v>3.0</v>
      </c>
      <c r="C53" s="7">
        <f t="shared" si="1"/>
        <v>0</v>
      </c>
      <c r="D53" s="8">
        <f t="shared" si="2"/>
        <v>0.02720799235</v>
      </c>
    </row>
    <row r="54" ht="15.75" customHeight="1">
      <c r="A54" s="6">
        <v>3.0</v>
      </c>
      <c r="B54" s="6">
        <v>4.0</v>
      </c>
      <c r="C54" s="7">
        <f t="shared" si="1"/>
        <v>1</v>
      </c>
      <c r="D54" s="8">
        <f t="shared" si="2"/>
        <v>1.3571049</v>
      </c>
    </row>
    <row r="55" ht="15.75" customHeight="1">
      <c r="A55" s="6">
        <v>5.0</v>
      </c>
      <c r="B55" s="6">
        <v>2.0</v>
      </c>
      <c r="C55" s="7">
        <f t="shared" si="1"/>
        <v>-3</v>
      </c>
      <c r="D55" s="8">
        <f t="shared" si="2"/>
        <v>8.037517271</v>
      </c>
    </row>
    <row r="56" ht="15.75" customHeight="1">
      <c r="A56" s="6">
        <v>5.0</v>
      </c>
      <c r="B56" s="6">
        <v>2.0</v>
      </c>
      <c r="C56" s="7">
        <f t="shared" si="1"/>
        <v>-3</v>
      </c>
      <c r="D56" s="8">
        <f t="shared" si="2"/>
        <v>8.037517271</v>
      </c>
    </row>
    <row r="57" ht="15.75" customHeight="1">
      <c r="A57" s="6">
        <v>2.0</v>
      </c>
      <c r="B57" s="6">
        <v>4.0</v>
      </c>
      <c r="C57" s="7">
        <f t="shared" si="1"/>
        <v>2</v>
      </c>
      <c r="D57" s="8">
        <f t="shared" si="2"/>
        <v>4.687001807</v>
      </c>
    </row>
    <row r="58" ht="15.75" customHeight="1">
      <c r="A58" s="6">
        <v>1.0</v>
      </c>
      <c r="B58" s="6">
        <v>3.0</v>
      </c>
      <c r="C58" s="7">
        <f t="shared" si="1"/>
        <v>2</v>
      </c>
      <c r="D58" s="8">
        <f t="shared" si="2"/>
        <v>4.687001807</v>
      </c>
    </row>
    <row r="59" ht="15.75" customHeight="1">
      <c r="A59" s="6">
        <v>1.0</v>
      </c>
      <c r="B59" s="6">
        <v>2.0</v>
      </c>
      <c r="C59" s="7">
        <f t="shared" si="1"/>
        <v>1</v>
      </c>
      <c r="D59" s="8">
        <f t="shared" si="2"/>
        <v>1.3571049</v>
      </c>
    </row>
    <row r="60" ht="15.75" customHeight="1">
      <c r="A60" s="6">
        <v>4.0</v>
      </c>
      <c r="B60" s="6">
        <v>4.0</v>
      </c>
      <c r="C60" s="7">
        <f t="shared" si="1"/>
        <v>0</v>
      </c>
      <c r="D60" s="8">
        <f t="shared" si="2"/>
        <v>0.02720799235</v>
      </c>
    </row>
    <row r="61" ht="15.75" customHeight="1">
      <c r="A61" s="6">
        <v>5.0</v>
      </c>
      <c r="B61" s="6">
        <v>2.0</v>
      </c>
      <c r="C61" s="7">
        <f t="shared" si="1"/>
        <v>-3</v>
      </c>
      <c r="D61" s="8">
        <f t="shared" si="2"/>
        <v>8.037517271</v>
      </c>
    </row>
    <row r="62" ht="15.75" customHeight="1">
      <c r="A62" s="6">
        <v>3.0</v>
      </c>
      <c r="B62" s="6">
        <v>3.0</v>
      </c>
      <c r="C62" s="7">
        <f t="shared" si="1"/>
        <v>0</v>
      </c>
      <c r="D62" s="8">
        <f t="shared" si="2"/>
        <v>0.02720799235</v>
      </c>
    </row>
    <row r="63" ht="15.75" customHeight="1">
      <c r="A63" s="6">
        <v>4.0</v>
      </c>
      <c r="B63" s="6">
        <v>1.0</v>
      </c>
      <c r="C63" s="7">
        <f t="shared" si="1"/>
        <v>-3</v>
      </c>
      <c r="D63" s="8">
        <f t="shared" si="2"/>
        <v>8.037517271</v>
      </c>
    </row>
    <row r="64" ht="15.75" customHeight="1">
      <c r="A64" s="6">
        <v>5.0</v>
      </c>
      <c r="B64" s="6">
        <v>3.0</v>
      </c>
      <c r="C64" s="7">
        <f t="shared" si="1"/>
        <v>-2</v>
      </c>
      <c r="D64" s="8">
        <f t="shared" si="2"/>
        <v>3.367414178</v>
      </c>
    </row>
    <row r="65" ht="15.75" customHeight="1">
      <c r="A65" s="6">
        <v>4.0</v>
      </c>
      <c r="B65" s="6">
        <v>3.0</v>
      </c>
      <c r="C65" s="7">
        <f t="shared" si="1"/>
        <v>-1</v>
      </c>
      <c r="D65" s="8">
        <f t="shared" si="2"/>
        <v>0.6973110851</v>
      </c>
    </row>
    <row r="66" ht="15.75" customHeight="1">
      <c r="A66" s="6">
        <v>3.0</v>
      </c>
      <c r="B66" s="6">
        <v>3.0</v>
      </c>
      <c r="C66" s="7">
        <f t="shared" si="1"/>
        <v>0</v>
      </c>
      <c r="D66" s="8">
        <f t="shared" si="2"/>
        <v>0.02720799235</v>
      </c>
    </row>
    <row r="67" ht="15.75" customHeight="1">
      <c r="A67" s="6">
        <v>5.0</v>
      </c>
      <c r="B67" s="6">
        <v>3.0</v>
      </c>
      <c r="C67" s="7">
        <f t="shared" si="1"/>
        <v>-2</v>
      </c>
      <c r="D67" s="8">
        <f t="shared" si="2"/>
        <v>3.367414178</v>
      </c>
    </row>
    <row r="68" ht="15.75" customHeight="1">
      <c r="A68" s="6">
        <v>5.0</v>
      </c>
      <c r="B68" s="6">
        <v>2.0</v>
      </c>
      <c r="C68" s="7">
        <f t="shared" si="1"/>
        <v>-3</v>
      </c>
      <c r="D68" s="8">
        <f t="shared" si="2"/>
        <v>8.037517271</v>
      </c>
    </row>
    <row r="69" ht="15.75" customHeight="1">
      <c r="A69" s="6">
        <v>3.0</v>
      </c>
      <c r="B69" s="6">
        <v>3.0</v>
      </c>
      <c r="C69" s="7">
        <f t="shared" si="1"/>
        <v>0</v>
      </c>
      <c r="D69" s="8">
        <f t="shared" si="2"/>
        <v>0.02720799235</v>
      </c>
    </row>
    <row r="70" ht="15.75" customHeight="1">
      <c r="A70" s="6">
        <v>3.0</v>
      </c>
      <c r="B70" s="6">
        <v>2.0</v>
      </c>
      <c r="C70" s="7">
        <f t="shared" si="1"/>
        <v>-1</v>
      </c>
      <c r="D70" s="8">
        <f t="shared" si="2"/>
        <v>0.6973110851</v>
      </c>
    </row>
    <row r="71" ht="15.75" customHeight="1">
      <c r="A71" s="6">
        <v>3.0</v>
      </c>
      <c r="B71" s="6">
        <v>5.0</v>
      </c>
      <c r="C71" s="7">
        <f t="shared" si="1"/>
        <v>2</v>
      </c>
      <c r="D71" s="8">
        <f t="shared" si="2"/>
        <v>4.687001807</v>
      </c>
    </row>
    <row r="72" ht="15.75" customHeight="1">
      <c r="A72" s="6">
        <v>1.0</v>
      </c>
      <c r="B72" s="6">
        <v>4.0</v>
      </c>
      <c r="C72" s="7">
        <f t="shared" si="1"/>
        <v>3</v>
      </c>
      <c r="D72" s="8">
        <f t="shared" si="2"/>
        <v>10.01689871</v>
      </c>
    </row>
    <row r="73" ht="15.75" customHeight="1">
      <c r="A73" s="6">
        <v>5.0</v>
      </c>
      <c r="B73" s="6">
        <v>3.0</v>
      </c>
      <c r="C73" s="7">
        <f t="shared" si="1"/>
        <v>-2</v>
      </c>
      <c r="D73" s="8">
        <f t="shared" si="2"/>
        <v>3.367414178</v>
      </c>
    </row>
    <row r="74" ht="15.75" customHeight="1">
      <c r="A74" s="6">
        <v>1.0</v>
      </c>
      <c r="B74" s="6">
        <v>4.0</v>
      </c>
      <c r="C74" s="7">
        <f t="shared" si="1"/>
        <v>3</v>
      </c>
      <c r="D74" s="8">
        <f t="shared" si="2"/>
        <v>10.01689871</v>
      </c>
    </row>
    <row r="75" ht="15.75" customHeight="1">
      <c r="A75" s="6">
        <v>3.0</v>
      </c>
      <c r="B75" s="6">
        <v>3.0</v>
      </c>
      <c r="C75" s="7">
        <f t="shared" si="1"/>
        <v>0</v>
      </c>
      <c r="D75" s="8">
        <f t="shared" si="2"/>
        <v>0.02720799235</v>
      </c>
    </row>
    <row r="76" ht="15.75" customHeight="1">
      <c r="A76" s="6">
        <v>4.0</v>
      </c>
      <c r="B76" s="6">
        <v>3.0</v>
      </c>
      <c r="C76" s="7">
        <f t="shared" si="1"/>
        <v>-1</v>
      </c>
      <c r="D76" s="8">
        <f t="shared" si="2"/>
        <v>0.6973110851</v>
      </c>
    </row>
    <row r="77" ht="15.75" customHeight="1">
      <c r="A77" s="6">
        <v>4.0</v>
      </c>
      <c r="B77" s="6">
        <v>3.0</v>
      </c>
      <c r="C77" s="7">
        <f t="shared" si="1"/>
        <v>-1</v>
      </c>
      <c r="D77" s="8">
        <f t="shared" si="2"/>
        <v>0.6973110851</v>
      </c>
    </row>
    <row r="78" ht="15.75" customHeight="1">
      <c r="A78" s="6">
        <v>2.0</v>
      </c>
      <c r="B78" s="6">
        <v>2.0</v>
      </c>
      <c r="C78" s="7">
        <f t="shared" si="1"/>
        <v>0</v>
      </c>
      <c r="D78" s="8">
        <f t="shared" si="2"/>
        <v>0.02720799235</v>
      </c>
    </row>
    <row r="79" ht="15.75" customHeight="1">
      <c r="A79" s="6">
        <v>4.0</v>
      </c>
      <c r="B79" s="6">
        <v>3.0</v>
      </c>
      <c r="C79" s="7">
        <f t="shared" si="1"/>
        <v>-1</v>
      </c>
      <c r="D79" s="8">
        <f t="shared" si="2"/>
        <v>0.6973110851</v>
      </c>
      <c r="F79" s="12"/>
    </row>
    <row r="80" ht="15.75" customHeight="1">
      <c r="A80" s="6">
        <v>3.0</v>
      </c>
      <c r="B80" s="6">
        <v>3.0</v>
      </c>
      <c r="C80" s="7">
        <f t="shared" si="1"/>
        <v>0</v>
      </c>
      <c r="D80" s="8">
        <f t="shared" si="2"/>
        <v>0.02720799235</v>
      </c>
    </row>
    <row r="81" ht="15.75" customHeight="1">
      <c r="A81" s="6">
        <v>2.0</v>
      </c>
      <c r="B81" s="6">
        <v>1.0</v>
      </c>
      <c r="C81" s="7">
        <f t="shared" si="1"/>
        <v>-1</v>
      </c>
      <c r="D81" s="8">
        <f t="shared" si="2"/>
        <v>0.6973110851</v>
      </c>
    </row>
    <row r="82" ht="15.75" customHeight="1">
      <c r="A82" s="6">
        <v>1.0</v>
      </c>
      <c r="B82" s="6">
        <v>2.0</v>
      </c>
      <c r="C82" s="7">
        <f t="shared" si="1"/>
        <v>1</v>
      </c>
      <c r="D82" s="8">
        <f t="shared" si="2"/>
        <v>1.3571049</v>
      </c>
    </row>
    <row r="83" ht="15.75" customHeight="1">
      <c r="A83" s="6">
        <v>3.0</v>
      </c>
      <c r="B83" s="6">
        <v>5.0</v>
      </c>
      <c r="C83" s="7">
        <f t="shared" si="1"/>
        <v>2</v>
      </c>
      <c r="D83" s="8">
        <f t="shared" si="2"/>
        <v>4.687001807</v>
      </c>
    </row>
    <row r="84" ht="15.75" customHeight="1">
      <c r="A84" s="6">
        <v>4.0</v>
      </c>
      <c r="B84" s="6">
        <v>5.0</v>
      </c>
      <c r="C84" s="7">
        <f t="shared" si="1"/>
        <v>1</v>
      </c>
      <c r="D84" s="8">
        <f t="shared" si="2"/>
        <v>1.3571049</v>
      </c>
    </row>
    <row r="85" ht="15.75" customHeight="1">
      <c r="A85" s="6">
        <v>5.0</v>
      </c>
      <c r="B85" s="6">
        <v>3.0</v>
      </c>
      <c r="C85" s="7">
        <f t="shared" si="1"/>
        <v>-2</v>
      </c>
      <c r="D85" s="8">
        <f t="shared" si="2"/>
        <v>3.367414178</v>
      </c>
    </row>
    <row r="86" ht="15.75" customHeight="1">
      <c r="A86" s="6">
        <v>3.0</v>
      </c>
      <c r="B86" s="6">
        <v>4.0</v>
      </c>
      <c r="C86" s="7">
        <f t="shared" si="1"/>
        <v>1</v>
      </c>
      <c r="D86" s="8">
        <f t="shared" si="2"/>
        <v>1.3571049</v>
      </c>
    </row>
    <row r="87" ht="15.75" customHeight="1">
      <c r="A87" s="6">
        <v>5.0</v>
      </c>
      <c r="B87" s="6">
        <v>2.0</v>
      </c>
      <c r="C87" s="7">
        <f t="shared" si="1"/>
        <v>-3</v>
      </c>
      <c r="D87" s="8">
        <f t="shared" si="2"/>
        <v>8.037517271</v>
      </c>
    </row>
    <row r="88" ht="15.75" customHeight="1">
      <c r="A88" s="6">
        <v>3.0</v>
      </c>
      <c r="B88" s="6">
        <v>3.0</v>
      </c>
      <c r="C88" s="7">
        <f t="shared" si="1"/>
        <v>0</v>
      </c>
      <c r="D88" s="8">
        <f t="shared" si="2"/>
        <v>0.02720799235</v>
      </c>
    </row>
    <row r="89" ht="15.75" customHeight="1">
      <c r="A89" s="6">
        <v>4.0</v>
      </c>
      <c r="B89" s="6">
        <v>3.0</v>
      </c>
      <c r="C89" s="7">
        <f t="shared" si="1"/>
        <v>-1</v>
      </c>
      <c r="D89" s="8">
        <f t="shared" si="2"/>
        <v>0.6973110851</v>
      </c>
    </row>
    <row r="90" ht="15.75" customHeight="1">
      <c r="A90" s="6">
        <v>2.0</v>
      </c>
      <c r="B90" s="6">
        <v>1.0</v>
      </c>
      <c r="C90" s="7">
        <f t="shared" si="1"/>
        <v>-1</v>
      </c>
      <c r="D90" s="8">
        <f t="shared" si="2"/>
        <v>0.6973110851</v>
      </c>
    </row>
    <row r="91" ht="15.75" customHeight="1">
      <c r="A91" s="6">
        <v>1.0</v>
      </c>
      <c r="B91" s="6">
        <v>5.0</v>
      </c>
      <c r="C91" s="7">
        <f t="shared" si="1"/>
        <v>4</v>
      </c>
      <c r="D91" s="8">
        <f t="shared" si="2"/>
        <v>17.34679562</v>
      </c>
    </row>
    <row r="92" ht="15.75" customHeight="1">
      <c r="A92" s="6">
        <v>2.0</v>
      </c>
      <c r="B92" s="6">
        <v>2.0</v>
      </c>
      <c r="C92" s="7">
        <f t="shared" si="1"/>
        <v>0</v>
      </c>
      <c r="D92" s="8">
        <f t="shared" si="2"/>
        <v>0.02720799235</v>
      </c>
    </row>
    <row r="93" ht="15.75" customHeight="1">
      <c r="A93" s="6">
        <v>4.0</v>
      </c>
      <c r="B93" s="6">
        <v>3.0</v>
      </c>
      <c r="C93" s="7">
        <f t="shared" si="1"/>
        <v>-1</v>
      </c>
      <c r="D93" s="8">
        <f t="shared" si="2"/>
        <v>0.6973110851</v>
      </c>
      <c r="F93" s="12"/>
    </row>
    <row r="94" ht="15.75" customHeight="1">
      <c r="A94" s="6">
        <v>4.0</v>
      </c>
      <c r="B94" s="6">
        <v>5.0</v>
      </c>
      <c r="C94" s="7">
        <f t="shared" si="1"/>
        <v>1</v>
      </c>
      <c r="D94" s="8">
        <f t="shared" si="2"/>
        <v>1.3571049</v>
      </c>
    </row>
    <row r="95" ht="15.75" customHeight="1">
      <c r="A95" s="6">
        <v>4.0</v>
      </c>
      <c r="B95" s="6">
        <v>2.0</v>
      </c>
      <c r="C95" s="7">
        <f t="shared" si="1"/>
        <v>-2</v>
      </c>
      <c r="D95" s="8">
        <f t="shared" si="2"/>
        <v>3.367414178</v>
      </c>
    </row>
    <row r="96" ht="15.75" customHeight="1">
      <c r="A96" s="6">
        <v>4.0</v>
      </c>
      <c r="B96" s="6">
        <v>2.0</v>
      </c>
      <c r="C96" s="7">
        <f t="shared" si="1"/>
        <v>-2</v>
      </c>
      <c r="D96" s="8">
        <f t="shared" si="2"/>
        <v>3.367414178</v>
      </c>
    </row>
    <row r="97" ht="15.75" customHeight="1">
      <c r="A97" s="6">
        <v>5.0</v>
      </c>
      <c r="B97" s="6">
        <v>5.0</v>
      </c>
      <c r="C97" s="7">
        <f t="shared" si="1"/>
        <v>0</v>
      </c>
      <c r="D97" s="8">
        <f t="shared" si="2"/>
        <v>0.02720799235</v>
      </c>
    </row>
    <row r="98" ht="15.75" customHeight="1">
      <c r="A98" s="6">
        <v>3.0</v>
      </c>
      <c r="B98" s="6">
        <v>2.0</v>
      </c>
      <c r="C98" s="7">
        <f t="shared" si="1"/>
        <v>-1</v>
      </c>
      <c r="D98" s="8">
        <f t="shared" si="2"/>
        <v>0.6973110851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2.29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60</v>
      </c>
      <c r="B1" s="13" t="s">
        <v>61</v>
      </c>
      <c r="C1" s="5" t="s">
        <v>12</v>
      </c>
      <c r="D1" s="5"/>
    </row>
    <row r="2">
      <c r="A2" s="6">
        <v>4.0</v>
      </c>
      <c r="B2" s="6">
        <v>3.0</v>
      </c>
      <c r="C2" s="7">
        <f t="shared" ref="C2:C98" si="1">B2-A2</f>
        <v>-1</v>
      </c>
      <c r="D2" s="8">
        <f t="shared" ref="D2:D98" si="2">(C2-$G$6)^2</f>
        <v>1.194175789</v>
      </c>
    </row>
    <row r="3">
      <c r="A3" s="6">
        <v>2.0</v>
      </c>
      <c r="B3" s="6">
        <v>3.0</v>
      </c>
      <c r="C3" s="7">
        <f t="shared" si="1"/>
        <v>1</v>
      </c>
      <c r="D3" s="8">
        <f t="shared" si="2"/>
        <v>0.8230417685</v>
      </c>
      <c r="F3" s="9" t="s">
        <v>14</v>
      </c>
      <c r="G3" s="9"/>
    </row>
    <row r="4">
      <c r="A4" s="6">
        <v>5.0</v>
      </c>
      <c r="B4" s="6">
        <v>4.0</v>
      </c>
      <c r="C4" s="7">
        <f t="shared" si="1"/>
        <v>-1</v>
      </c>
      <c r="D4" s="8">
        <f t="shared" si="2"/>
        <v>1.194175789</v>
      </c>
      <c r="F4" s="6" t="s">
        <v>15</v>
      </c>
      <c r="G4" s="6">
        <f>COUNT(A:A)</f>
        <v>97</v>
      </c>
    </row>
    <row r="5">
      <c r="A5" s="6">
        <v>3.0</v>
      </c>
      <c r="B5" s="6">
        <v>3.0</v>
      </c>
      <c r="C5" s="7">
        <f t="shared" si="1"/>
        <v>0</v>
      </c>
      <c r="D5" s="8">
        <f t="shared" si="2"/>
        <v>0.008608778829</v>
      </c>
      <c r="F5" s="6" t="s">
        <v>17</v>
      </c>
      <c r="G5" s="6">
        <f>SUM(C:C)</f>
        <v>9</v>
      </c>
    </row>
    <row r="6">
      <c r="A6" s="6">
        <v>3.0</v>
      </c>
      <c r="B6" s="6">
        <v>4.0</v>
      </c>
      <c r="C6" s="7">
        <f t="shared" si="1"/>
        <v>1</v>
      </c>
      <c r="D6" s="8">
        <f t="shared" si="2"/>
        <v>0.8230417685</v>
      </c>
      <c r="F6" s="6" t="s">
        <v>18</v>
      </c>
      <c r="G6" s="6">
        <f>G5/G4</f>
        <v>0.09278350515</v>
      </c>
    </row>
    <row r="7">
      <c r="A7" s="6">
        <v>1.0</v>
      </c>
      <c r="B7" s="6">
        <v>3.0</v>
      </c>
      <c r="C7" s="7">
        <f t="shared" si="1"/>
        <v>2</v>
      </c>
      <c r="D7" s="8">
        <f t="shared" si="2"/>
        <v>3.637474758</v>
      </c>
      <c r="F7" s="6" t="s">
        <v>19</v>
      </c>
      <c r="G7" s="6">
        <f>SUM(D:D)</f>
        <v>194.1649485</v>
      </c>
    </row>
    <row r="8">
      <c r="A8" s="6">
        <v>3.0</v>
      </c>
      <c r="B8" s="6">
        <v>4.0</v>
      </c>
      <c r="C8" s="7">
        <f t="shared" si="1"/>
        <v>1</v>
      </c>
      <c r="D8" s="8">
        <f t="shared" si="2"/>
        <v>0.8230417685</v>
      </c>
      <c r="F8" s="6" t="s">
        <v>21</v>
      </c>
      <c r="G8" s="6">
        <f>SQRT(G7/(G4-1))</f>
        <v>1.422164388</v>
      </c>
    </row>
    <row r="9">
      <c r="A9" s="6">
        <v>3.0</v>
      </c>
      <c r="B9" s="6">
        <v>2.0</v>
      </c>
      <c r="C9" s="7">
        <f t="shared" si="1"/>
        <v>-1</v>
      </c>
      <c r="D9" s="8">
        <f t="shared" si="2"/>
        <v>1.194175789</v>
      </c>
    </row>
    <row r="10">
      <c r="A10" s="6">
        <v>3.0</v>
      </c>
      <c r="B10" s="6">
        <v>3.0</v>
      </c>
      <c r="C10" s="7">
        <f t="shared" si="1"/>
        <v>0</v>
      </c>
      <c r="D10" s="8">
        <f t="shared" si="2"/>
        <v>0.008608778829</v>
      </c>
    </row>
    <row r="11">
      <c r="A11" s="6">
        <v>4.0</v>
      </c>
      <c r="B11" s="6">
        <v>3.0</v>
      </c>
      <c r="C11" s="7">
        <f t="shared" si="1"/>
        <v>-1</v>
      </c>
      <c r="D11" s="8">
        <f t="shared" si="2"/>
        <v>1.194175789</v>
      </c>
    </row>
    <row r="12">
      <c r="A12" s="6">
        <v>4.0</v>
      </c>
      <c r="B12" s="6">
        <v>5.0</v>
      </c>
      <c r="C12" s="7">
        <f t="shared" si="1"/>
        <v>1</v>
      </c>
      <c r="D12" s="8">
        <f t="shared" si="2"/>
        <v>0.8230417685</v>
      </c>
      <c r="F12" s="6" t="s">
        <v>23</v>
      </c>
      <c r="G12" s="6">
        <f>G6/(G8/SQRT(G4))</f>
        <v>0.6425498742</v>
      </c>
    </row>
    <row r="13">
      <c r="A13" s="6">
        <v>4.0</v>
      </c>
      <c r="B13" s="6">
        <v>4.0</v>
      </c>
      <c r="C13" s="7">
        <f t="shared" si="1"/>
        <v>0</v>
      </c>
      <c r="D13" s="8">
        <f t="shared" si="2"/>
        <v>0.008608778829</v>
      </c>
    </row>
    <row r="14">
      <c r="A14" s="6">
        <v>2.0</v>
      </c>
      <c r="B14" s="6">
        <v>5.0</v>
      </c>
      <c r="C14" s="7">
        <f t="shared" si="1"/>
        <v>3</v>
      </c>
      <c r="D14" s="8">
        <f t="shared" si="2"/>
        <v>8.451907748</v>
      </c>
    </row>
    <row r="15">
      <c r="A15" s="6">
        <v>3.0</v>
      </c>
      <c r="B15" s="6">
        <v>5.0</v>
      </c>
      <c r="C15" s="7">
        <f t="shared" si="1"/>
        <v>2</v>
      </c>
      <c r="D15" s="8">
        <f t="shared" si="2"/>
        <v>3.637474758</v>
      </c>
    </row>
    <row r="16">
      <c r="A16" s="6">
        <v>4.0</v>
      </c>
      <c r="B16" s="6">
        <v>4.0</v>
      </c>
      <c r="C16" s="7">
        <f t="shared" si="1"/>
        <v>0</v>
      </c>
      <c r="D16" s="8">
        <f t="shared" si="2"/>
        <v>0.008608778829</v>
      </c>
    </row>
    <row r="17">
      <c r="A17" s="6">
        <v>3.0</v>
      </c>
      <c r="B17" s="6">
        <v>5.0</v>
      </c>
      <c r="C17" s="7">
        <f t="shared" si="1"/>
        <v>2</v>
      </c>
      <c r="D17" s="8">
        <f t="shared" si="2"/>
        <v>3.637474758</v>
      </c>
      <c r="F17" s="6" t="s">
        <v>25</v>
      </c>
      <c r="G17" s="6">
        <v>0.05</v>
      </c>
    </row>
    <row r="18">
      <c r="A18" s="6">
        <v>4.0</v>
      </c>
      <c r="B18" s="6">
        <v>3.0</v>
      </c>
      <c r="C18" s="7">
        <f t="shared" si="1"/>
        <v>-1</v>
      </c>
      <c r="D18" s="8">
        <f t="shared" si="2"/>
        <v>1.194175789</v>
      </c>
      <c r="F18" s="6" t="s">
        <v>26</v>
      </c>
      <c r="G18" s="6">
        <f>G4-1</f>
        <v>96</v>
      </c>
    </row>
    <row r="19">
      <c r="A19" s="6">
        <v>2.0</v>
      </c>
      <c r="B19" s="6">
        <v>2.0</v>
      </c>
      <c r="C19" s="7">
        <f t="shared" si="1"/>
        <v>0</v>
      </c>
      <c r="D19" s="8">
        <f t="shared" si="2"/>
        <v>0.008608778829</v>
      </c>
    </row>
    <row r="20">
      <c r="A20" s="6">
        <v>3.0</v>
      </c>
      <c r="B20" s="6">
        <v>3.0</v>
      </c>
      <c r="C20" s="7">
        <f t="shared" si="1"/>
        <v>0</v>
      </c>
      <c r="D20" s="8">
        <f t="shared" si="2"/>
        <v>0.008608778829</v>
      </c>
    </row>
    <row r="21" ht="15.75" customHeight="1">
      <c r="A21" s="6">
        <v>5.0</v>
      </c>
      <c r="B21" s="6">
        <v>1.0</v>
      </c>
      <c r="C21" s="7">
        <f t="shared" si="1"/>
        <v>-4</v>
      </c>
      <c r="D21" s="8">
        <f t="shared" si="2"/>
        <v>16.75087682</v>
      </c>
    </row>
    <row r="22" ht="15.75" customHeight="1">
      <c r="A22" s="6">
        <v>3.0</v>
      </c>
      <c r="B22" s="6">
        <v>4.0</v>
      </c>
      <c r="C22" s="7">
        <f t="shared" si="1"/>
        <v>1</v>
      </c>
      <c r="D22" s="8">
        <f t="shared" si="2"/>
        <v>0.8230417685</v>
      </c>
      <c r="F22" s="9" t="s">
        <v>27</v>
      </c>
      <c r="G22" s="9"/>
    </row>
    <row r="23" ht="15.75" customHeight="1">
      <c r="A23" s="6">
        <v>5.0</v>
      </c>
      <c r="B23" s="6">
        <v>3.0</v>
      </c>
      <c r="C23" s="7">
        <f t="shared" si="1"/>
        <v>-2</v>
      </c>
      <c r="D23" s="8">
        <f t="shared" si="2"/>
        <v>4.379742799</v>
      </c>
      <c r="F23" s="6" t="s">
        <v>62</v>
      </c>
      <c r="G23" s="6">
        <f>_xlfn.T.INV.2T(G17,G18)</f>
        <v>1.984984312</v>
      </c>
    </row>
    <row r="24" ht="15.75" customHeight="1">
      <c r="A24" s="6">
        <v>3.0</v>
      </c>
      <c r="B24" s="6">
        <v>4.0</v>
      </c>
      <c r="C24" s="7">
        <f t="shared" si="1"/>
        <v>1</v>
      </c>
      <c r="D24" s="8">
        <f t="shared" si="2"/>
        <v>0.8230417685</v>
      </c>
      <c r="F24" s="6" t="s">
        <v>63</v>
      </c>
      <c r="G24" s="6">
        <f>_xlfn.T.INV(G17,G18)</f>
        <v>-1.66088144</v>
      </c>
    </row>
    <row r="25" ht="15.75" customHeight="1">
      <c r="A25" s="6">
        <v>4.0</v>
      </c>
      <c r="B25" s="6">
        <v>1.0</v>
      </c>
      <c r="C25" s="7">
        <f t="shared" si="1"/>
        <v>-3</v>
      </c>
      <c r="D25" s="8">
        <f t="shared" si="2"/>
        <v>9.56530981</v>
      </c>
    </row>
    <row r="26" ht="15.75" customHeight="1">
      <c r="A26" s="6">
        <v>3.0</v>
      </c>
      <c r="B26" s="6">
        <v>3.0</v>
      </c>
      <c r="C26" s="7">
        <f t="shared" si="1"/>
        <v>0</v>
      </c>
      <c r="D26" s="8">
        <f t="shared" si="2"/>
        <v>0.008608778829</v>
      </c>
    </row>
    <row r="27" ht="15.75" customHeight="1">
      <c r="A27" s="6">
        <v>3.0</v>
      </c>
      <c r="B27" s="6">
        <v>2.0</v>
      </c>
      <c r="C27" s="7">
        <f t="shared" si="1"/>
        <v>-1</v>
      </c>
      <c r="D27" s="8">
        <f t="shared" si="2"/>
        <v>1.194175789</v>
      </c>
      <c r="F27" s="9" t="s">
        <v>32</v>
      </c>
      <c r="G27" s="9"/>
    </row>
    <row r="28" ht="15.75" customHeight="1">
      <c r="A28" s="6">
        <v>3.0</v>
      </c>
      <c r="B28" s="6">
        <v>3.0</v>
      </c>
      <c r="C28" s="7">
        <f t="shared" si="1"/>
        <v>0</v>
      </c>
      <c r="D28" s="8">
        <f t="shared" si="2"/>
        <v>0.008608778829</v>
      </c>
      <c r="F28" s="6" t="s">
        <v>32</v>
      </c>
    </row>
    <row r="29" ht="15.75" customHeight="1">
      <c r="A29" s="6">
        <v>3.0</v>
      </c>
      <c r="B29" s="6">
        <v>5.0</v>
      </c>
      <c r="C29" s="7">
        <f t="shared" si="1"/>
        <v>2</v>
      </c>
      <c r="D29" s="8">
        <f t="shared" si="2"/>
        <v>3.637474758</v>
      </c>
      <c r="F29" s="6" t="s">
        <v>64</v>
      </c>
      <c r="G29" s="6">
        <f>TTEST(A:A,B:B,2,1)</f>
        <v>0.5220478403</v>
      </c>
    </row>
    <row r="30" ht="15.75" customHeight="1">
      <c r="A30" s="6">
        <v>3.0</v>
      </c>
      <c r="B30" s="6">
        <v>4.0</v>
      </c>
      <c r="C30" s="7">
        <f t="shared" si="1"/>
        <v>1</v>
      </c>
      <c r="D30" s="8">
        <f t="shared" si="2"/>
        <v>0.8230417685</v>
      </c>
      <c r="F30" s="6" t="s">
        <v>65</v>
      </c>
      <c r="G30" s="6">
        <f>TTEST(A:A,B:B,1,1)</f>
        <v>0.2610239201</v>
      </c>
    </row>
    <row r="31" ht="15.75" customHeight="1">
      <c r="A31" s="6">
        <v>3.0</v>
      </c>
      <c r="B31" s="6">
        <v>3.0</v>
      </c>
      <c r="C31" s="7">
        <f t="shared" si="1"/>
        <v>0</v>
      </c>
      <c r="D31" s="8">
        <f t="shared" si="2"/>
        <v>0.008608778829</v>
      </c>
    </row>
    <row r="32" ht="15.75" customHeight="1">
      <c r="A32" s="6">
        <v>3.0</v>
      </c>
      <c r="B32" s="6">
        <v>2.0</v>
      </c>
      <c r="C32" s="7">
        <f t="shared" si="1"/>
        <v>-1</v>
      </c>
      <c r="D32" s="8">
        <f t="shared" si="2"/>
        <v>1.194175789</v>
      </c>
    </row>
    <row r="33" ht="15.75" customHeight="1">
      <c r="A33" s="6">
        <v>3.0</v>
      </c>
      <c r="B33" s="6">
        <v>3.0</v>
      </c>
      <c r="C33" s="7">
        <f t="shared" si="1"/>
        <v>0</v>
      </c>
      <c r="D33" s="8">
        <f t="shared" si="2"/>
        <v>0.008608778829</v>
      </c>
      <c r="F33" s="10" t="s">
        <v>39</v>
      </c>
      <c r="G33" s="10"/>
    </row>
    <row r="34" ht="15.75" customHeight="1">
      <c r="A34" s="6">
        <v>5.0</v>
      </c>
      <c r="B34" s="6">
        <v>2.0</v>
      </c>
      <c r="C34" s="7">
        <f t="shared" si="1"/>
        <v>-3</v>
      </c>
      <c r="D34" s="8">
        <f t="shared" si="2"/>
        <v>9.56530981</v>
      </c>
    </row>
    <row r="35" ht="15.75" customHeight="1">
      <c r="A35" s="6">
        <v>4.0</v>
      </c>
      <c r="B35" s="6">
        <v>5.0</v>
      </c>
      <c r="C35" s="7">
        <f t="shared" si="1"/>
        <v>1</v>
      </c>
      <c r="D35" s="8">
        <f t="shared" si="2"/>
        <v>0.8230417685</v>
      </c>
      <c r="F35" s="6" t="s">
        <v>66</v>
      </c>
    </row>
    <row r="36" ht="15.75" customHeight="1">
      <c r="A36" s="6">
        <v>3.0</v>
      </c>
      <c r="B36" s="6">
        <v>3.0</v>
      </c>
      <c r="C36" s="7">
        <f t="shared" si="1"/>
        <v>0</v>
      </c>
      <c r="D36" s="8">
        <f t="shared" si="2"/>
        <v>0.008608778829</v>
      </c>
      <c r="F36" s="6" t="s">
        <v>67</v>
      </c>
    </row>
    <row r="37" ht="15.75" customHeight="1">
      <c r="A37" s="6">
        <v>2.0</v>
      </c>
      <c r="B37" s="6">
        <v>3.0</v>
      </c>
      <c r="C37" s="7">
        <f t="shared" si="1"/>
        <v>1</v>
      </c>
      <c r="D37" s="8">
        <f t="shared" si="2"/>
        <v>0.8230417685</v>
      </c>
    </row>
    <row r="38" ht="15.75" customHeight="1">
      <c r="A38" s="6">
        <v>5.0</v>
      </c>
      <c r="B38" s="6">
        <v>3.0</v>
      </c>
      <c r="C38" s="7">
        <f t="shared" si="1"/>
        <v>-2</v>
      </c>
      <c r="D38" s="8">
        <f t="shared" si="2"/>
        <v>4.379742799</v>
      </c>
    </row>
    <row r="39" ht="15.75" customHeight="1">
      <c r="A39" s="6">
        <v>3.0</v>
      </c>
      <c r="B39" s="6">
        <v>2.0</v>
      </c>
      <c r="C39" s="7">
        <f t="shared" si="1"/>
        <v>-1</v>
      </c>
      <c r="D39" s="8">
        <f t="shared" si="2"/>
        <v>1.194175789</v>
      </c>
    </row>
    <row r="40" ht="15.75" customHeight="1">
      <c r="A40" s="6">
        <v>4.0</v>
      </c>
      <c r="B40" s="6">
        <v>4.0</v>
      </c>
      <c r="C40" s="7">
        <f t="shared" si="1"/>
        <v>0</v>
      </c>
      <c r="D40" s="8">
        <f t="shared" si="2"/>
        <v>0.008608778829</v>
      </c>
      <c r="F40" s="6" t="s">
        <v>68</v>
      </c>
    </row>
    <row r="41" ht="15.75" customHeight="1">
      <c r="A41" s="6">
        <v>3.0</v>
      </c>
      <c r="B41" s="6">
        <v>2.0</v>
      </c>
      <c r="C41" s="7">
        <f t="shared" si="1"/>
        <v>-1</v>
      </c>
      <c r="D41" s="8">
        <f t="shared" si="2"/>
        <v>1.194175789</v>
      </c>
      <c r="F41" s="6" t="str">
        <f>"Dos Colas: Si t calculado ("&amp;G12&amp;") &gt; a t critico  ("&amp;G23&amp;") (de tabla) ---&gt; Se rechaza la hipotesis nula"</f>
        <v>Dos Colas: Si t calculado (0,642549874229922) &gt; a t critico  (1,98498431152245) (de tabla) ---&gt; Se rechaza la hipotesis nula</v>
      </c>
    </row>
    <row r="42" ht="15.75" customHeight="1">
      <c r="A42" s="6">
        <v>5.0</v>
      </c>
      <c r="B42" s="6">
        <v>3.0</v>
      </c>
      <c r="C42" s="7">
        <f t="shared" si="1"/>
        <v>-2</v>
      </c>
      <c r="D42" s="8">
        <f t="shared" si="2"/>
        <v>4.379742799</v>
      </c>
      <c r="F42" s="6" t="str">
        <f>"Una Cola: Si t calculado ("&amp;G12&amp;") &gt; a t critico  ("&amp;G24&amp;") (de tabla) ---&gt; Se rechaza la hipotesis nula"</f>
        <v>Una Cola: Si t calculado (0,642549874229922) &gt; a t critico  (-1,66088144032486) (de tabla) ---&gt; Se rechaza la hipotesis nula</v>
      </c>
    </row>
    <row r="43" ht="15.75" customHeight="1">
      <c r="A43" s="6">
        <v>4.0</v>
      </c>
      <c r="B43" s="6">
        <v>4.0</v>
      </c>
      <c r="C43" s="7">
        <f t="shared" si="1"/>
        <v>0</v>
      </c>
      <c r="D43" s="8">
        <f t="shared" si="2"/>
        <v>0.008608778829</v>
      </c>
    </row>
    <row r="44" ht="15.75" customHeight="1">
      <c r="A44" s="6">
        <v>2.0</v>
      </c>
      <c r="B44" s="6">
        <v>4.0</v>
      </c>
      <c r="C44" s="7">
        <f t="shared" si="1"/>
        <v>2</v>
      </c>
      <c r="D44" s="8">
        <f t="shared" si="2"/>
        <v>3.637474758</v>
      </c>
    </row>
    <row r="45" ht="15.75" customHeight="1">
      <c r="A45" s="6">
        <v>4.0</v>
      </c>
      <c r="B45" s="6">
        <v>4.0</v>
      </c>
      <c r="C45" s="7">
        <f t="shared" si="1"/>
        <v>0</v>
      </c>
      <c r="D45" s="8">
        <f t="shared" si="2"/>
        <v>0.008608778829</v>
      </c>
    </row>
    <row r="46" ht="15.75" customHeight="1">
      <c r="A46" s="6">
        <v>3.0</v>
      </c>
      <c r="B46" s="6">
        <v>5.0</v>
      </c>
      <c r="C46" s="7">
        <f t="shared" si="1"/>
        <v>2</v>
      </c>
      <c r="D46" s="8">
        <f t="shared" si="2"/>
        <v>3.637474758</v>
      </c>
      <c r="F46" s="6" t="s">
        <v>69</v>
      </c>
    </row>
    <row r="47" ht="15.75" customHeight="1">
      <c r="A47" s="6">
        <v>5.0</v>
      </c>
      <c r="B47" s="6">
        <v>3.0</v>
      </c>
      <c r="C47" s="7">
        <f t="shared" si="1"/>
        <v>-2</v>
      </c>
      <c r="D47" s="8">
        <f t="shared" si="2"/>
        <v>4.379742799</v>
      </c>
      <c r="F47" s="6" t="str">
        <f>"Dos Colas: Si p valor ("&amp;G29&amp;") &lt; Nivel Significancia ("&amp;G17&amp;") ---&gt; Se rechaza la hipotesis nula"</f>
        <v>Dos Colas: Si p valor (0,522047840254271) &lt; Nivel Significancia (0,05) ---&gt; Se rechaza la hipotesis nula</v>
      </c>
    </row>
    <row r="48" ht="15.75" customHeight="1">
      <c r="A48" s="6">
        <v>3.0</v>
      </c>
      <c r="B48" s="6">
        <v>2.0</v>
      </c>
      <c r="C48" s="7">
        <f t="shared" si="1"/>
        <v>-1</v>
      </c>
      <c r="D48" s="8">
        <f t="shared" si="2"/>
        <v>1.194175789</v>
      </c>
      <c r="F48" s="6" t="str">
        <f>"Una Cola: Si p valor ("&amp;G30&amp;") &lt; Nivel Significancia ("&amp;G17&amp;") ---&gt; Se rechaza la hipotesis nula"</f>
        <v>Una Cola: Si p valor (0,261023920127136) &lt; Nivel Significancia (0,05) ---&gt; Se rechaza la hipotesis nula</v>
      </c>
    </row>
    <row r="49" ht="15.75" customHeight="1">
      <c r="A49" s="6">
        <v>3.0</v>
      </c>
      <c r="B49" s="6">
        <v>4.0</v>
      </c>
      <c r="C49" s="7">
        <f t="shared" si="1"/>
        <v>1</v>
      </c>
      <c r="D49" s="8">
        <f t="shared" si="2"/>
        <v>0.8230417685</v>
      </c>
    </row>
    <row r="50" ht="15.75" customHeight="1">
      <c r="A50" s="6">
        <v>5.0</v>
      </c>
      <c r="B50" s="6">
        <v>2.0</v>
      </c>
      <c r="C50" s="7">
        <f t="shared" si="1"/>
        <v>-3</v>
      </c>
      <c r="D50" s="8">
        <f t="shared" si="2"/>
        <v>9.56530981</v>
      </c>
    </row>
    <row r="51" ht="15.75" customHeight="1">
      <c r="A51" s="6">
        <v>1.0</v>
      </c>
      <c r="B51" s="6">
        <v>3.0</v>
      </c>
      <c r="C51" s="7">
        <f t="shared" si="1"/>
        <v>2</v>
      </c>
      <c r="D51" s="8">
        <f t="shared" si="2"/>
        <v>3.637474758</v>
      </c>
    </row>
    <row r="52" ht="15.75" customHeight="1">
      <c r="A52" s="6">
        <v>1.0</v>
      </c>
      <c r="B52" s="6">
        <v>3.0</v>
      </c>
      <c r="C52" s="7">
        <f t="shared" si="1"/>
        <v>2</v>
      </c>
      <c r="D52" s="8">
        <f t="shared" si="2"/>
        <v>3.637474758</v>
      </c>
    </row>
    <row r="53" ht="15.75" customHeight="1">
      <c r="A53" s="6">
        <v>3.0</v>
      </c>
      <c r="B53" s="6">
        <v>3.0</v>
      </c>
      <c r="C53" s="7">
        <f t="shared" si="1"/>
        <v>0</v>
      </c>
      <c r="D53" s="8">
        <f t="shared" si="2"/>
        <v>0.008608778829</v>
      </c>
    </row>
    <row r="54" ht="15.75" customHeight="1">
      <c r="A54" s="6">
        <v>2.0</v>
      </c>
      <c r="B54" s="6">
        <v>4.0</v>
      </c>
      <c r="C54" s="7">
        <f t="shared" si="1"/>
        <v>2</v>
      </c>
      <c r="D54" s="8">
        <f t="shared" si="2"/>
        <v>3.637474758</v>
      </c>
    </row>
    <row r="55" ht="15.75" customHeight="1">
      <c r="A55" s="6">
        <v>3.0</v>
      </c>
      <c r="B55" s="6">
        <v>3.0</v>
      </c>
      <c r="C55" s="7">
        <f t="shared" si="1"/>
        <v>0</v>
      </c>
      <c r="D55" s="8">
        <f t="shared" si="2"/>
        <v>0.008608778829</v>
      </c>
    </row>
    <row r="56" ht="15.75" customHeight="1">
      <c r="A56" s="6">
        <v>4.0</v>
      </c>
      <c r="B56" s="6">
        <v>3.0</v>
      </c>
      <c r="C56" s="7">
        <f t="shared" si="1"/>
        <v>-1</v>
      </c>
      <c r="D56" s="8">
        <f t="shared" si="2"/>
        <v>1.194175789</v>
      </c>
    </row>
    <row r="57" ht="15.75" customHeight="1">
      <c r="A57" s="6">
        <v>3.0</v>
      </c>
      <c r="B57" s="6">
        <v>3.0</v>
      </c>
      <c r="C57" s="7">
        <f t="shared" si="1"/>
        <v>0</v>
      </c>
      <c r="D57" s="8">
        <f t="shared" si="2"/>
        <v>0.008608778829</v>
      </c>
    </row>
    <row r="58" ht="15.75" customHeight="1">
      <c r="A58" s="6">
        <v>2.0</v>
      </c>
      <c r="B58" s="6">
        <v>2.0</v>
      </c>
      <c r="C58" s="7">
        <f t="shared" si="1"/>
        <v>0</v>
      </c>
      <c r="D58" s="8">
        <f t="shared" si="2"/>
        <v>0.008608778829</v>
      </c>
    </row>
    <row r="59" ht="15.75" customHeight="1">
      <c r="A59" s="6">
        <v>3.0</v>
      </c>
      <c r="B59" s="6">
        <v>5.0</v>
      </c>
      <c r="C59" s="7">
        <f t="shared" si="1"/>
        <v>2</v>
      </c>
      <c r="D59" s="8">
        <f t="shared" si="2"/>
        <v>3.637474758</v>
      </c>
    </row>
    <row r="60" ht="15.75" customHeight="1">
      <c r="A60" s="6">
        <v>2.0</v>
      </c>
      <c r="B60" s="6">
        <v>4.0</v>
      </c>
      <c r="C60" s="7">
        <f t="shared" si="1"/>
        <v>2</v>
      </c>
      <c r="D60" s="8">
        <f t="shared" si="2"/>
        <v>3.637474758</v>
      </c>
    </row>
    <row r="61" ht="15.75" customHeight="1">
      <c r="A61" s="6">
        <v>3.0</v>
      </c>
      <c r="B61" s="6">
        <v>2.0</v>
      </c>
      <c r="C61" s="7">
        <f t="shared" si="1"/>
        <v>-1</v>
      </c>
      <c r="D61" s="8">
        <f t="shared" si="2"/>
        <v>1.194175789</v>
      </c>
    </row>
    <row r="62" ht="15.75" customHeight="1">
      <c r="A62" s="6">
        <v>2.0</v>
      </c>
      <c r="B62" s="6">
        <v>3.0</v>
      </c>
      <c r="C62" s="7">
        <f t="shared" si="1"/>
        <v>1</v>
      </c>
      <c r="D62" s="8">
        <f t="shared" si="2"/>
        <v>0.8230417685</v>
      </c>
    </row>
    <row r="63" ht="15.75" customHeight="1">
      <c r="A63" s="6">
        <v>2.0</v>
      </c>
      <c r="B63" s="6">
        <v>3.0</v>
      </c>
      <c r="C63" s="7">
        <f t="shared" si="1"/>
        <v>1</v>
      </c>
      <c r="D63" s="8">
        <f t="shared" si="2"/>
        <v>0.8230417685</v>
      </c>
    </row>
    <row r="64" ht="15.75" customHeight="1">
      <c r="A64" s="6">
        <v>3.0</v>
      </c>
      <c r="B64" s="6">
        <v>2.0</v>
      </c>
      <c r="C64" s="7">
        <f t="shared" si="1"/>
        <v>-1</v>
      </c>
      <c r="D64" s="8">
        <f t="shared" si="2"/>
        <v>1.194175789</v>
      </c>
    </row>
    <row r="65" ht="15.75" customHeight="1">
      <c r="A65" s="6">
        <v>3.0</v>
      </c>
      <c r="B65" s="6">
        <v>5.0</v>
      </c>
      <c r="C65" s="7">
        <f t="shared" si="1"/>
        <v>2</v>
      </c>
      <c r="D65" s="8">
        <f t="shared" si="2"/>
        <v>3.637474758</v>
      </c>
    </row>
    <row r="66" ht="15.75" customHeight="1">
      <c r="A66" s="6">
        <v>3.0</v>
      </c>
      <c r="B66" s="6">
        <v>1.0</v>
      </c>
      <c r="C66" s="7">
        <f t="shared" si="1"/>
        <v>-2</v>
      </c>
      <c r="D66" s="8">
        <f t="shared" si="2"/>
        <v>4.379742799</v>
      </c>
    </row>
    <row r="67" ht="15.75" customHeight="1">
      <c r="A67" s="6">
        <v>4.0</v>
      </c>
      <c r="B67" s="6">
        <v>3.0</v>
      </c>
      <c r="C67" s="7">
        <f t="shared" si="1"/>
        <v>-1</v>
      </c>
      <c r="D67" s="8">
        <f t="shared" si="2"/>
        <v>1.194175789</v>
      </c>
    </row>
    <row r="68" ht="15.75" customHeight="1">
      <c r="A68" s="6">
        <v>4.0</v>
      </c>
      <c r="B68" s="6">
        <v>1.0</v>
      </c>
      <c r="C68" s="7">
        <f t="shared" si="1"/>
        <v>-3</v>
      </c>
      <c r="D68" s="8">
        <f t="shared" si="2"/>
        <v>9.56530981</v>
      </c>
    </row>
    <row r="69" ht="15.75" customHeight="1">
      <c r="A69" s="6">
        <v>3.0</v>
      </c>
      <c r="B69" s="6">
        <v>2.0</v>
      </c>
      <c r="C69" s="7">
        <f t="shared" si="1"/>
        <v>-1</v>
      </c>
      <c r="D69" s="8">
        <f t="shared" si="2"/>
        <v>1.194175789</v>
      </c>
    </row>
    <row r="70" ht="15.75" customHeight="1">
      <c r="A70" s="6">
        <v>4.0</v>
      </c>
      <c r="B70" s="6">
        <v>4.0</v>
      </c>
      <c r="C70" s="7">
        <f t="shared" si="1"/>
        <v>0</v>
      </c>
      <c r="D70" s="8">
        <f t="shared" si="2"/>
        <v>0.008608778829</v>
      </c>
    </row>
    <row r="71" ht="15.75" customHeight="1">
      <c r="A71" s="6">
        <v>2.0</v>
      </c>
      <c r="B71" s="6">
        <v>3.0</v>
      </c>
      <c r="C71" s="7">
        <f t="shared" si="1"/>
        <v>1</v>
      </c>
      <c r="D71" s="8">
        <f t="shared" si="2"/>
        <v>0.8230417685</v>
      </c>
    </row>
    <row r="72" ht="15.75" customHeight="1">
      <c r="A72" s="6">
        <v>2.0</v>
      </c>
      <c r="B72" s="6">
        <v>4.0</v>
      </c>
      <c r="C72" s="7">
        <f t="shared" si="1"/>
        <v>2</v>
      </c>
      <c r="D72" s="8">
        <f t="shared" si="2"/>
        <v>3.637474758</v>
      </c>
    </row>
    <row r="73" ht="15.75" customHeight="1">
      <c r="A73" s="6">
        <v>4.0</v>
      </c>
      <c r="B73" s="6">
        <v>2.0</v>
      </c>
      <c r="C73" s="7">
        <f t="shared" si="1"/>
        <v>-2</v>
      </c>
      <c r="D73" s="8">
        <f t="shared" si="2"/>
        <v>4.379742799</v>
      </c>
    </row>
    <row r="74" ht="15.75" customHeight="1">
      <c r="A74" s="6">
        <v>4.0</v>
      </c>
      <c r="B74" s="6">
        <v>3.0</v>
      </c>
      <c r="C74" s="7">
        <f t="shared" si="1"/>
        <v>-1</v>
      </c>
      <c r="D74" s="8">
        <f t="shared" si="2"/>
        <v>1.194175789</v>
      </c>
    </row>
    <row r="75" ht="15.75" customHeight="1">
      <c r="A75" s="6">
        <v>3.0</v>
      </c>
      <c r="B75" s="6">
        <v>2.0</v>
      </c>
      <c r="C75" s="7">
        <f t="shared" si="1"/>
        <v>-1</v>
      </c>
      <c r="D75" s="8">
        <f t="shared" si="2"/>
        <v>1.194175789</v>
      </c>
    </row>
    <row r="76" ht="15.75" customHeight="1">
      <c r="A76" s="6">
        <v>2.0</v>
      </c>
      <c r="B76" s="6">
        <v>2.0</v>
      </c>
      <c r="C76" s="7">
        <f t="shared" si="1"/>
        <v>0</v>
      </c>
      <c r="D76" s="8">
        <f t="shared" si="2"/>
        <v>0.008608778829</v>
      </c>
    </row>
    <row r="77" ht="15.75" customHeight="1">
      <c r="A77" s="6">
        <v>2.0</v>
      </c>
      <c r="B77" s="6">
        <v>4.0</v>
      </c>
      <c r="C77" s="7">
        <f t="shared" si="1"/>
        <v>2</v>
      </c>
      <c r="D77" s="8">
        <f t="shared" si="2"/>
        <v>3.637474758</v>
      </c>
    </row>
    <row r="78" ht="15.75" customHeight="1">
      <c r="A78" s="6">
        <v>1.0</v>
      </c>
      <c r="B78" s="6">
        <v>3.0</v>
      </c>
      <c r="C78" s="7">
        <f t="shared" si="1"/>
        <v>2</v>
      </c>
      <c r="D78" s="8">
        <f t="shared" si="2"/>
        <v>3.637474758</v>
      </c>
    </row>
    <row r="79" ht="15.75" customHeight="1">
      <c r="A79" s="6">
        <v>2.0</v>
      </c>
      <c r="B79" s="6">
        <v>2.0</v>
      </c>
      <c r="C79" s="7">
        <f t="shared" si="1"/>
        <v>0</v>
      </c>
      <c r="D79" s="8">
        <f t="shared" si="2"/>
        <v>0.008608778829</v>
      </c>
    </row>
    <row r="80" ht="15.75" customHeight="1">
      <c r="A80" s="6">
        <v>4.0</v>
      </c>
      <c r="B80" s="6">
        <v>3.0</v>
      </c>
      <c r="C80" s="7">
        <f t="shared" si="1"/>
        <v>-1</v>
      </c>
      <c r="D80" s="8">
        <f t="shared" si="2"/>
        <v>1.194175789</v>
      </c>
    </row>
    <row r="81" ht="15.75" customHeight="1">
      <c r="A81" s="6">
        <v>3.0</v>
      </c>
      <c r="B81" s="6">
        <v>3.0</v>
      </c>
      <c r="C81" s="7">
        <f t="shared" si="1"/>
        <v>0</v>
      </c>
      <c r="D81" s="8">
        <f t="shared" si="2"/>
        <v>0.008608778829</v>
      </c>
    </row>
    <row r="82" ht="15.75" customHeight="1">
      <c r="A82" s="6">
        <v>4.0</v>
      </c>
      <c r="B82" s="6">
        <v>5.0</v>
      </c>
      <c r="C82" s="7">
        <f t="shared" si="1"/>
        <v>1</v>
      </c>
      <c r="D82" s="8">
        <f t="shared" si="2"/>
        <v>0.8230417685</v>
      </c>
    </row>
    <row r="83" ht="15.75" customHeight="1">
      <c r="A83" s="6">
        <v>2.0</v>
      </c>
      <c r="B83" s="6">
        <v>3.0</v>
      </c>
      <c r="C83" s="7">
        <f t="shared" si="1"/>
        <v>1</v>
      </c>
      <c r="D83" s="8">
        <f t="shared" si="2"/>
        <v>0.8230417685</v>
      </c>
    </row>
    <row r="84" ht="15.75" customHeight="1">
      <c r="A84" s="6">
        <v>4.0</v>
      </c>
      <c r="B84" s="6">
        <v>5.0</v>
      </c>
      <c r="C84" s="7">
        <f t="shared" si="1"/>
        <v>1</v>
      </c>
      <c r="D84" s="8">
        <f t="shared" si="2"/>
        <v>0.8230417685</v>
      </c>
    </row>
    <row r="85" ht="15.75" customHeight="1">
      <c r="A85" s="6">
        <v>4.0</v>
      </c>
      <c r="B85" s="6">
        <v>4.0</v>
      </c>
      <c r="C85" s="7">
        <f t="shared" si="1"/>
        <v>0</v>
      </c>
      <c r="D85" s="8">
        <f t="shared" si="2"/>
        <v>0.008608778829</v>
      </c>
    </row>
    <row r="86" ht="15.75" customHeight="1">
      <c r="A86" s="6">
        <v>3.0</v>
      </c>
      <c r="B86" s="6">
        <v>2.0</v>
      </c>
      <c r="C86" s="7">
        <f t="shared" si="1"/>
        <v>-1</v>
      </c>
      <c r="D86" s="8">
        <f t="shared" si="2"/>
        <v>1.194175789</v>
      </c>
    </row>
    <row r="87" ht="15.75" customHeight="1">
      <c r="A87" s="6">
        <v>3.0</v>
      </c>
      <c r="B87" s="6">
        <v>3.0</v>
      </c>
      <c r="C87" s="7">
        <f t="shared" si="1"/>
        <v>0</v>
      </c>
      <c r="D87" s="8">
        <f t="shared" si="2"/>
        <v>0.008608778829</v>
      </c>
    </row>
    <row r="88" ht="15.75" customHeight="1">
      <c r="A88" s="6">
        <v>2.0</v>
      </c>
      <c r="B88" s="6">
        <v>3.0</v>
      </c>
      <c r="C88" s="7">
        <f t="shared" si="1"/>
        <v>1</v>
      </c>
      <c r="D88" s="8">
        <f t="shared" si="2"/>
        <v>0.8230417685</v>
      </c>
    </row>
    <row r="89" ht="15.75" customHeight="1">
      <c r="A89" s="6">
        <v>1.0</v>
      </c>
      <c r="B89" s="6">
        <v>2.0</v>
      </c>
      <c r="C89" s="7">
        <f t="shared" si="1"/>
        <v>1</v>
      </c>
      <c r="D89" s="8">
        <f t="shared" si="2"/>
        <v>0.8230417685</v>
      </c>
    </row>
    <row r="90" ht="15.75" customHeight="1">
      <c r="A90" s="6">
        <v>2.0</v>
      </c>
      <c r="B90" s="6">
        <v>3.0</v>
      </c>
      <c r="C90" s="7">
        <f t="shared" si="1"/>
        <v>1</v>
      </c>
      <c r="D90" s="8">
        <f t="shared" si="2"/>
        <v>0.8230417685</v>
      </c>
    </row>
    <row r="91" ht="15.75" customHeight="1">
      <c r="A91" s="6">
        <v>3.0</v>
      </c>
      <c r="B91" s="6">
        <v>3.0</v>
      </c>
      <c r="C91" s="7">
        <f t="shared" si="1"/>
        <v>0</v>
      </c>
      <c r="D91" s="8">
        <f t="shared" si="2"/>
        <v>0.008608778829</v>
      </c>
    </row>
    <row r="92" ht="15.75" customHeight="1">
      <c r="A92" s="6">
        <v>3.0</v>
      </c>
      <c r="B92" s="6">
        <v>4.0</v>
      </c>
      <c r="C92" s="7">
        <f t="shared" si="1"/>
        <v>1</v>
      </c>
      <c r="D92" s="8">
        <f t="shared" si="2"/>
        <v>0.8230417685</v>
      </c>
    </row>
    <row r="93" ht="15.75" customHeight="1">
      <c r="A93" s="6">
        <v>3.0</v>
      </c>
      <c r="B93" s="6">
        <v>4.0</v>
      </c>
      <c r="C93" s="7">
        <f t="shared" si="1"/>
        <v>1</v>
      </c>
      <c r="D93" s="8">
        <f t="shared" si="2"/>
        <v>0.8230417685</v>
      </c>
      <c r="F93" s="12"/>
    </row>
    <row r="94" ht="15.75" customHeight="1">
      <c r="A94" s="6">
        <v>3.0</v>
      </c>
      <c r="B94" s="6">
        <v>5.0</v>
      </c>
      <c r="C94" s="7">
        <f t="shared" si="1"/>
        <v>2</v>
      </c>
      <c r="D94" s="8">
        <f t="shared" si="2"/>
        <v>3.637474758</v>
      </c>
    </row>
    <row r="95" ht="15.75" customHeight="1">
      <c r="A95" s="6">
        <v>3.0</v>
      </c>
      <c r="B95" s="6">
        <v>1.0</v>
      </c>
      <c r="C95" s="7">
        <f t="shared" si="1"/>
        <v>-2</v>
      </c>
      <c r="D95" s="8">
        <f t="shared" si="2"/>
        <v>4.379742799</v>
      </c>
    </row>
    <row r="96" ht="15.75" customHeight="1">
      <c r="A96" s="6">
        <v>3.0</v>
      </c>
      <c r="B96" s="6">
        <v>3.0</v>
      </c>
      <c r="C96" s="7">
        <f t="shared" si="1"/>
        <v>0</v>
      </c>
      <c r="D96" s="8">
        <f t="shared" si="2"/>
        <v>0.008608778829</v>
      </c>
    </row>
    <row r="97" ht="15.75" customHeight="1">
      <c r="A97" s="6">
        <v>4.0</v>
      </c>
      <c r="B97" s="6">
        <v>5.0</v>
      </c>
      <c r="C97" s="7">
        <f t="shared" si="1"/>
        <v>1</v>
      </c>
      <c r="D97" s="8">
        <f t="shared" si="2"/>
        <v>0.8230417685</v>
      </c>
    </row>
    <row r="98" ht="15.75" customHeight="1">
      <c r="A98" s="6">
        <v>3.0</v>
      </c>
      <c r="B98" s="6">
        <v>4.0</v>
      </c>
      <c r="C98" s="7">
        <f t="shared" si="1"/>
        <v>1</v>
      </c>
      <c r="D98" s="8">
        <f t="shared" si="2"/>
        <v>0.8230417685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33.0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70</v>
      </c>
      <c r="B1" s="3" t="s">
        <v>71</v>
      </c>
      <c r="C1" s="5" t="s">
        <v>12</v>
      </c>
      <c r="D1" s="5"/>
    </row>
    <row r="2">
      <c r="A2" s="6">
        <v>2.0</v>
      </c>
      <c r="B2" s="6">
        <v>4.0</v>
      </c>
      <c r="C2" s="7">
        <f t="shared" ref="C2:C98" si="1">B2-A2</f>
        <v>2</v>
      </c>
      <c r="D2" s="8">
        <f t="shared" ref="D2:D98" si="2">(C2-$G$6)^2</f>
        <v>2.858539696</v>
      </c>
    </row>
    <row r="3">
      <c r="A3" s="6">
        <v>3.0</v>
      </c>
      <c r="B3" s="6">
        <v>3.0</v>
      </c>
      <c r="C3" s="7">
        <f t="shared" si="1"/>
        <v>0</v>
      </c>
      <c r="D3" s="8">
        <f t="shared" si="2"/>
        <v>0.0956530981</v>
      </c>
      <c r="F3" s="9" t="s">
        <v>14</v>
      </c>
      <c r="G3" s="9"/>
    </row>
    <row r="4">
      <c r="A4" s="6">
        <v>4.0</v>
      </c>
      <c r="B4" s="6">
        <v>1.0</v>
      </c>
      <c r="C4" s="7">
        <f t="shared" si="1"/>
        <v>-3</v>
      </c>
      <c r="D4" s="8">
        <f t="shared" si="2"/>
        <v>10.9513232</v>
      </c>
      <c r="F4" s="6" t="s">
        <v>15</v>
      </c>
      <c r="G4" s="6">
        <f>COUNT(A:A)</f>
        <v>97</v>
      </c>
    </row>
    <row r="5">
      <c r="A5" s="6">
        <v>1.0</v>
      </c>
      <c r="B5" s="6">
        <v>3.0</v>
      </c>
      <c r="C5" s="7">
        <f t="shared" si="1"/>
        <v>2</v>
      </c>
      <c r="D5" s="8">
        <f t="shared" si="2"/>
        <v>2.858539696</v>
      </c>
      <c r="F5" s="6" t="s">
        <v>17</v>
      </c>
      <c r="G5" s="6">
        <f>SUM(C:C)</f>
        <v>30</v>
      </c>
    </row>
    <row r="6">
      <c r="A6" s="6">
        <v>3.0</v>
      </c>
      <c r="B6" s="6">
        <v>3.0</v>
      </c>
      <c r="C6" s="7">
        <f t="shared" si="1"/>
        <v>0</v>
      </c>
      <c r="D6" s="8">
        <f t="shared" si="2"/>
        <v>0.0956530981</v>
      </c>
      <c r="F6" s="6" t="s">
        <v>18</v>
      </c>
      <c r="G6" s="6">
        <f>G5/G4</f>
        <v>0.3092783505</v>
      </c>
    </row>
    <row r="7">
      <c r="A7" s="6">
        <v>4.0</v>
      </c>
      <c r="B7" s="6">
        <v>5.0</v>
      </c>
      <c r="C7" s="7">
        <f t="shared" si="1"/>
        <v>1</v>
      </c>
      <c r="D7" s="8">
        <f t="shared" si="2"/>
        <v>0.4770963971</v>
      </c>
      <c r="F7" s="6" t="s">
        <v>19</v>
      </c>
      <c r="G7" s="6">
        <f>SUM(D:D)</f>
        <v>242.7216495</v>
      </c>
    </row>
    <row r="8">
      <c r="A8" s="6">
        <v>5.0</v>
      </c>
      <c r="B8" s="6">
        <v>3.0</v>
      </c>
      <c r="C8" s="7">
        <f t="shared" si="1"/>
        <v>-2</v>
      </c>
      <c r="D8" s="8">
        <f t="shared" si="2"/>
        <v>5.3327665</v>
      </c>
      <c r="F8" s="6" t="s">
        <v>21</v>
      </c>
      <c r="G8" s="6">
        <f>SQRT(G7/(G4-1))</f>
        <v>1.590078776</v>
      </c>
    </row>
    <row r="9">
      <c r="A9" s="6">
        <v>2.0</v>
      </c>
      <c r="B9" s="6">
        <v>3.0</v>
      </c>
      <c r="C9" s="7">
        <f t="shared" si="1"/>
        <v>1</v>
      </c>
      <c r="D9" s="8">
        <f t="shared" si="2"/>
        <v>0.4770963971</v>
      </c>
    </row>
    <row r="10">
      <c r="A10" s="6">
        <v>3.0</v>
      </c>
      <c r="B10" s="6">
        <v>4.0</v>
      </c>
      <c r="C10" s="7">
        <f t="shared" si="1"/>
        <v>1</v>
      </c>
      <c r="D10" s="8">
        <f t="shared" si="2"/>
        <v>0.4770963971</v>
      </c>
    </row>
    <row r="11">
      <c r="A11" s="6">
        <v>3.0</v>
      </c>
      <c r="B11" s="6">
        <v>4.0</v>
      </c>
      <c r="C11" s="7">
        <f t="shared" si="1"/>
        <v>1</v>
      </c>
      <c r="D11" s="8">
        <f t="shared" si="2"/>
        <v>0.4770963971</v>
      </c>
    </row>
    <row r="12">
      <c r="A12" s="6">
        <v>3.0</v>
      </c>
      <c r="B12" s="6">
        <v>3.0</v>
      </c>
      <c r="C12" s="7">
        <f t="shared" si="1"/>
        <v>0</v>
      </c>
      <c r="D12" s="8">
        <f t="shared" si="2"/>
        <v>0.0956530981</v>
      </c>
      <c r="F12" s="6" t="s">
        <v>23</v>
      </c>
      <c r="G12" s="6">
        <f>G6/(G8/SQRT(G4))</f>
        <v>1.91565257</v>
      </c>
    </row>
    <row r="13">
      <c r="A13" s="6">
        <v>5.0</v>
      </c>
      <c r="B13" s="6">
        <v>3.0</v>
      </c>
      <c r="C13" s="7">
        <f t="shared" si="1"/>
        <v>-2</v>
      </c>
      <c r="D13" s="8">
        <f t="shared" si="2"/>
        <v>5.3327665</v>
      </c>
    </row>
    <row r="14">
      <c r="A14" s="6">
        <v>2.0</v>
      </c>
      <c r="B14" s="6">
        <v>4.0</v>
      </c>
      <c r="C14" s="7">
        <f t="shared" si="1"/>
        <v>2</v>
      </c>
      <c r="D14" s="8">
        <f t="shared" si="2"/>
        <v>2.858539696</v>
      </c>
    </row>
    <row r="15">
      <c r="A15" s="6">
        <v>3.0</v>
      </c>
      <c r="B15" s="6">
        <v>4.0</v>
      </c>
      <c r="C15" s="7">
        <f t="shared" si="1"/>
        <v>1</v>
      </c>
      <c r="D15" s="8">
        <f t="shared" si="2"/>
        <v>0.4770963971</v>
      </c>
    </row>
    <row r="16">
      <c r="A16" s="6">
        <v>1.0</v>
      </c>
      <c r="B16" s="6">
        <v>3.0</v>
      </c>
      <c r="C16" s="7">
        <f t="shared" si="1"/>
        <v>2</v>
      </c>
      <c r="D16" s="8">
        <f t="shared" si="2"/>
        <v>2.858539696</v>
      </c>
    </row>
    <row r="17">
      <c r="A17" s="6">
        <v>3.0</v>
      </c>
      <c r="B17" s="6">
        <v>2.0</v>
      </c>
      <c r="C17" s="7">
        <f t="shared" si="1"/>
        <v>-1</v>
      </c>
      <c r="D17" s="8">
        <f t="shared" si="2"/>
        <v>1.714209799</v>
      </c>
      <c r="F17" s="6" t="s">
        <v>25</v>
      </c>
      <c r="G17" s="6">
        <v>0.05</v>
      </c>
    </row>
    <row r="18">
      <c r="A18" s="6">
        <v>3.0</v>
      </c>
      <c r="B18" s="6">
        <v>5.0</v>
      </c>
      <c r="C18" s="7">
        <f t="shared" si="1"/>
        <v>2</v>
      </c>
      <c r="D18" s="8">
        <f t="shared" si="2"/>
        <v>2.858539696</v>
      </c>
      <c r="F18" s="6" t="s">
        <v>26</v>
      </c>
      <c r="G18" s="6">
        <f>G4-1</f>
        <v>96</v>
      </c>
    </row>
    <row r="19">
      <c r="A19" s="6">
        <v>4.0</v>
      </c>
      <c r="B19" s="6">
        <v>2.0</v>
      </c>
      <c r="C19" s="7">
        <f t="shared" si="1"/>
        <v>-2</v>
      </c>
      <c r="D19" s="8">
        <f t="shared" si="2"/>
        <v>5.3327665</v>
      </c>
    </row>
    <row r="20">
      <c r="A20" s="6">
        <v>3.0</v>
      </c>
      <c r="B20" s="6">
        <v>4.0</v>
      </c>
      <c r="C20" s="7">
        <f t="shared" si="1"/>
        <v>1</v>
      </c>
      <c r="D20" s="8">
        <f t="shared" si="2"/>
        <v>0.4770963971</v>
      </c>
    </row>
    <row r="21" ht="15.75" customHeight="1">
      <c r="A21" s="6">
        <v>3.0</v>
      </c>
      <c r="B21" s="6">
        <v>3.0</v>
      </c>
      <c r="C21" s="7">
        <f t="shared" si="1"/>
        <v>0</v>
      </c>
      <c r="D21" s="8">
        <f t="shared" si="2"/>
        <v>0.0956530981</v>
      </c>
    </row>
    <row r="22" ht="15.75" customHeight="1">
      <c r="A22" s="6">
        <v>2.0</v>
      </c>
      <c r="B22" s="6">
        <v>4.0</v>
      </c>
      <c r="C22" s="7">
        <f t="shared" si="1"/>
        <v>2</v>
      </c>
      <c r="D22" s="8">
        <f t="shared" si="2"/>
        <v>2.858539696</v>
      </c>
      <c r="F22" s="9" t="s">
        <v>27</v>
      </c>
      <c r="G22" s="9"/>
    </row>
    <row r="23" ht="15.75" customHeight="1">
      <c r="A23" s="6">
        <v>2.0</v>
      </c>
      <c r="B23" s="6">
        <v>3.0</v>
      </c>
      <c r="C23" s="7">
        <f t="shared" si="1"/>
        <v>1</v>
      </c>
      <c r="D23" s="8">
        <f t="shared" si="2"/>
        <v>0.4770963971</v>
      </c>
      <c r="F23" s="6" t="s">
        <v>72</v>
      </c>
      <c r="G23" s="6">
        <f>_xlfn.T.INV.2T(G17,G18)</f>
        <v>1.984984312</v>
      </c>
    </row>
    <row r="24" ht="15.75" customHeight="1">
      <c r="A24" s="6">
        <v>2.0</v>
      </c>
      <c r="B24" s="6">
        <v>3.0</v>
      </c>
      <c r="C24" s="7">
        <f t="shared" si="1"/>
        <v>1</v>
      </c>
      <c r="D24" s="8">
        <f t="shared" si="2"/>
        <v>0.4770963971</v>
      </c>
      <c r="F24" s="6" t="s">
        <v>73</v>
      </c>
      <c r="G24" s="6">
        <f>_xlfn.T.INV(G17,G18)</f>
        <v>-1.66088144</v>
      </c>
    </row>
    <row r="25" ht="15.75" customHeight="1">
      <c r="A25" s="6">
        <v>3.0</v>
      </c>
      <c r="B25" s="6">
        <v>4.0</v>
      </c>
      <c r="C25" s="7">
        <f t="shared" si="1"/>
        <v>1</v>
      </c>
      <c r="D25" s="8">
        <f t="shared" si="2"/>
        <v>0.4770963971</v>
      </c>
    </row>
    <row r="26" ht="15.75" customHeight="1">
      <c r="A26" s="6">
        <v>5.0</v>
      </c>
      <c r="B26" s="6">
        <v>2.0</v>
      </c>
      <c r="C26" s="7">
        <f t="shared" si="1"/>
        <v>-3</v>
      </c>
      <c r="D26" s="8">
        <f t="shared" si="2"/>
        <v>10.9513232</v>
      </c>
    </row>
    <row r="27" ht="15.75" customHeight="1">
      <c r="A27" s="6">
        <v>1.0</v>
      </c>
      <c r="B27" s="6">
        <v>5.0</v>
      </c>
      <c r="C27" s="7">
        <f t="shared" si="1"/>
        <v>4</v>
      </c>
      <c r="D27" s="8">
        <f t="shared" si="2"/>
        <v>13.62142629</v>
      </c>
      <c r="F27" s="9" t="s">
        <v>32</v>
      </c>
      <c r="G27" s="9"/>
    </row>
    <row r="28" ht="15.75" customHeight="1">
      <c r="A28" s="6">
        <v>3.0</v>
      </c>
      <c r="B28" s="6">
        <v>2.0</v>
      </c>
      <c r="C28" s="7">
        <f t="shared" si="1"/>
        <v>-1</v>
      </c>
      <c r="D28" s="8">
        <f t="shared" si="2"/>
        <v>1.714209799</v>
      </c>
      <c r="F28" s="6" t="s">
        <v>32</v>
      </c>
    </row>
    <row r="29" ht="15.75" customHeight="1">
      <c r="A29" s="6">
        <v>3.0</v>
      </c>
      <c r="B29" s="6">
        <v>1.0</v>
      </c>
      <c r="C29" s="7">
        <f t="shared" si="1"/>
        <v>-2</v>
      </c>
      <c r="D29" s="8">
        <f t="shared" si="2"/>
        <v>5.3327665</v>
      </c>
      <c r="F29" s="6" t="s">
        <v>76</v>
      </c>
      <c r="G29" s="6">
        <f>TTEST(A:A,B:B,2,1)</f>
        <v>0.05838512143</v>
      </c>
    </row>
    <row r="30" ht="15.75" customHeight="1">
      <c r="A30" s="6">
        <v>2.0</v>
      </c>
      <c r="B30" s="6">
        <v>4.0</v>
      </c>
      <c r="C30" s="7">
        <f t="shared" si="1"/>
        <v>2</v>
      </c>
      <c r="D30" s="8">
        <f t="shared" si="2"/>
        <v>2.858539696</v>
      </c>
      <c r="F30" s="6" t="s">
        <v>77</v>
      </c>
      <c r="G30" s="6">
        <f>TTEST(A:A,B:B,1,1)</f>
        <v>0.02919256071</v>
      </c>
    </row>
    <row r="31" ht="15.75" customHeight="1">
      <c r="A31" s="6">
        <v>4.0</v>
      </c>
      <c r="B31" s="6">
        <v>3.0</v>
      </c>
      <c r="C31" s="7">
        <f t="shared" si="1"/>
        <v>-1</v>
      </c>
      <c r="D31" s="8">
        <f t="shared" si="2"/>
        <v>1.714209799</v>
      </c>
    </row>
    <row r="32" ht="15.75" customHeight="1">
      <c r="A32" s="6">
        <v>5.0</v>
      </c>
      <c r="B32" s="6">
        <v>3.0</v>
      </c>
      <c r="C32" s="7">
        <f t="shared" si="1"/>
        <v>-2</v>
      </c>
      <c r="D32" s="8">
        <f t="shared" si="2"/>
        <v>5.3327665</v>
      </c>
    </row>
    <row r="33" ht="15.75" customHeight="1">
      <c r="A33" s="6">
        <v>2.0</v>
      </c>
      <c r="B33" s="6">
        <v>1.0</v>
      </c>
      <c r="C33" s="7">
        <f t="shared" si="1"/>
        <v>-1</v>
      </c>
      <c r="D33" s="8">
        <f t="shared" si="2"/>
        <v>1.714209799</v>
      </c>
      <c r="F33" s="10" t="s">
        <v>39</v>
      </c>
      <c r="G33" s="10"/>
    </row>
    <row r="34" ht="15.75" customHeight="1">
      <c r="A34" s="6">
        <v>5.0</v>
      </c>
      <c r="B34" s="6">
        <v>3.0</v>
      </c>
      <c r="C34" s="7">
        <f t="shared" si="1"/>
        <v>-2</v>
      </c>
      <c r="D34" s="8">
        <f t="shared" si="2"/>
        <v>5.3327665</v>
      </c>
    </row>
    <row r="35" ht="15.75" customHeight="1">
      <c r="A35" s="6">
        <v>5.0</v>
      </c>
      <c r="B35" s="6">
        <v>3.0</v>
      </c>
      <c r="C35" s="7">
        <f t="shared" si="1"/>
        <v>-2</v>
      </c>
      <c r="D35" s="8">
        <f t="shared" si="2"/>
        <v>5.3327665</v>
      </c>
      <c r="F35" s="6" t="s">
        <v>78</v>
      </c>
    </row>
    <row r="36" ht="15.75" customHeight="1">
      <c r="A36" s="6">
        <v>2.0</v>
      </c>
      <c r="B36" s="6">
        <v>5.0</v>
      </c>
      <c r="C36" s="7">
        <f t="shared" si="1"/>
        <v>3</v>
      </c>
      <c r="D36" s="8">
        <f t="shared" si="2"/>
        <v>7.239982995</v>
      </c>
      <c r="F36" s="6" t="s">
        <v>79</v>
      </c>
    </row>
    <row r="37" ht="15.75" customHeight="1">
      <c r="A37" s="6">
        <v>3.0</v>
      </c>
      <c r="B37" s="6">
        <v>1.0</v>
      </c>
      <c r="C37" s="7">
        <f t="shared" si="1"/>
        <v>-2</v>
      </c>
      <c r="D37" s="8">
        <f t="shared" si="2"/>
        <v>5.3327665</v>
      </c>
    </row>
    <row r="38" ht="15.75" customHeight="1">
      <c r="A38" s="6">
        <v>5.0</v>
      </c>
      <c r="B38" s="6">
        <v>4.0</v>
      </c>
      <c r="C38" s="7">
        <f t="shared" si="1"/>
        <v>-1</v>
      </c>
      <c r="D38" s="8">
        <f t="shared" si="2"/>
        <v>1.714209799</v>
      </c>
    </row>
    <row r="39" ht="15.75" customHeight="1">
      <c r="A39" s="6">
        <v>1.0</v>
      </c>
      <c r="B39" s="6">
        <v>4.0</v>
      </c>
      <c r="C39" s="7">
        <f t="shared" si="1"/>
        <v>3</v>
      </c>
      <c r="D39" s="8">
        <f t="shared" si="2"/>
        <v>7.239982995</v>
      </c>
    </row>
    <row r="40" ht="15.75" customHeight="1">
      <c r="A40" s="6">
        <v>3.0</v>
      </c>
      <c r="B40" s="6">
        <v>3.0</v>
      </c>
      <c r="C40" s="7">
        <f t="shared" si="1"/>
        <v>0</v>
      </c>
      <c r="D40" s="8">
        <f t="shared" si="2"/>
        <v>0.0956530981</v>
      </c>
      <c r="F40" s="6" t="s">
        <v>80</v>
      </c>
    </row>
    <row r="41" ht="15.75" customHeight="1">
      <c r="A41" s="6">
        <v>1.0</v>
      </c>
      <c r="B41" s="6">
        <v>2.0</v>
      </c>
      <c r="C41" s="7">
        <f t="shared" si="1"/>
        <v>1</v>
      </c>
      <c r="D41" s="8">
        <f t="shared" si="2"/>
        <v>0.4770963971</v>
      </c>
      <c r="F41" s="6" t="str">
        <f>"Dos Colas: Si t calculado ("&amp;G12&amp;") &gt; a t critico  ("&amp;G23&amp;") (de tabla) ---&gt; Se rechaza la hipotesis nula"</f>
        <v>Dos Colas: Si t calculado (1,9156525704423) &gt; a t critico  (1,98498431152245) (de tabla) ---&gt; Se rechaza la hipotesis nula</v>
      </c>
    </row>
    <row r="42" ht="15.75" customHeight="1">
      <c r="A42" s="6">
        <v>4.0</v>
      </c>
      <c r="B42" s="6">
        <v>5.0</v>
      </c>
      <c r="C42" s="7">
        <f t="shared" si="1"/>
        <v>1</v>
      </c>
      <c r="D42" s="8">
        <f t="shared" si="2"/>
        <v>0.4770963971</v>
      </c>
      <c r="F42" s="6" t="str">
        <f>"Una Cola: Si t calculado ("&amp;G12&amp;") &gt; a t critico  ("&amp;G24&amp;") (de tabla) ---&gt; Se rechaza la hipotesis nula"</f>
        <v>Una Cola: Si t calculado (1,9156525704423) &gt; a t critico  (-1,66088144032486) (de tabla) ---&gt; Se rechaza la hipotesis nula</v>
      </c>
    </row>
    <row r="43" ht="15.75" customHeight="1">
      <c r="A43" s="6">
        <v>3.0</v>
      </c>
      <c r="B43" s="6">
        <v>3.0</v>
      </c>
      <c r="C43" s="7">
        <f t="shared" si="1"/>
        <v>0</v>
      </c>
      <c r="D43" s="8">
        <f t="shared" si="2"/>
        <v>0.0956530981</v>
      </c>
    </row>
    <row r="44" ht="15.75" customHeight="1">
      <c r="A44" s="6">
        <v>3.0</v>
      </c>
      <c r="B44" s="6">
        <v>3.0</v>
      </c>
      <c r="C44" s="7">
        <f t="shared" si="1"/>
        <v>0</v>
      </c>
      <c r="D44" s="8">
        <f t="shared" si="2"/>
        <v>0.0956530981</v>
      </c>
    </row>
    <row r="45" ht="15.75" customHeight="1">
      <c r="A45" s="6">
        <v>3.0</v>
      </c>
      <c r="B45" s="6">
        <v>4.0</v>
      </c>
      <c r="C45" s="7">
        <f t="shared" si="1"/>
        <v>1</v>
      </c>
      <c r="D45" s="8">
        <f t="shared" si="2"/>
        <v>0.4770963971</v>
      </c>
    </row>
    <row r="46" ht="15.75" customHeight="1">
      <c r="A46" s="6">
        <v>5.0</v>
      </c>
      <c r="B46" s="6">
        <v>3.0</v>
      </c>
      <c r="C46" s="7">
        <f t="shared" si="1"/>
        <v>-2</v>
      </c>
      <c r="D46" s="8">
        <f t="shared" si="2"/>
        <v>5.3327665</v>
      </c>
      <c r="F46" s="6" t="s">
        <v>83</v>
      </c>
    </row>
    <row r="47" ht="15.75" customHeight="1">
      <c r="A47" s="6">
        <v>3.0</v>
      </c>
      <c r="B47" s="6">
        <v>3.0</v>
      </c>
      <c r="C47" s="7">
        <f t="shared" si="1"/>
        <v>0</v>
      </c>
      <c r="D47" s="8">
        <f t="shared" si="2"/>
        <v>0.0956530981</v>
      </c>
      <c r="F47" s="6" t="str">
        <f>"Dos Colas: Si p valor ("&amp;G29&amp;") &lt; Nivel Significancia ("&amp;G17&amp;") ---&gt; Se rechaza la hipotesis nula"</f>
        <v>Dos Colas: Si p valor (0,0583851214294267) &lt; Nivel Significancia (0,05) ---&gt; Se rechaza la hipotesis nula</v>
      </c>
    </row>
    <row r="48" ht="15.75" customHeight="1">
      <c r="A48" s="6">
        <v>1.0</v>
      </c>
      <c r="B48" s="6">
        <v>3.0</v>
      </c>
      <c r="C48" s="7">
        <f t="shared" si="1"/>
        <v>2</v>
      </c>
      <c r="D48" s="8">
        <f t="shared" si="2"/>
        <v>2.858539696</v>
      </c>
      <c r="F48" s="6" t="str">
        <f>"Una Cola: Si p valor ("&amp;G30&amp;") &lt; Nivel Significancia ("&amp;G17&amp;") ---&gt; Se rechaza la hipotesis nula"</f>
        <v>Una Cola: Si p valor (0,0291925607147133) &lt; Nivel Significancia (0,05) ---&gt; Se rechaza la hipotesis nula</v>
      </c>
    </row>
    <row r="49" ht="15.75" customHeight="1">
      <c r="A49" s="6">
        <v>3.0</v>
      </c>
      <c r="B49" s="6">
        <v>4.0</v>
      </c>
      <c r="C49" s="7">
        <f t="shared" si="1"/>
        <v>1</v>
      </c>
      <c r="D49" s="8">
        <f t="shared" si="2"/>
        <v>0.4770963971</v>
      </c>
    </row>
    <row r="50" ht="15.75" customHeight="1">
      <c r="A50" s="6">
        <v>5.0</v>
      </c>
      <c r="B50" s="6">
        <v>4.0</v>
      </c>
      <c r="C50" s="7">
        <f t="shared" si="1"/>
        <v>-1</v>
      </c>
      <c r="D50" s="8">
        <f t="shared" si="2"/>
        <v>1.714209799</v>
      </c>
    </row>
    <row r="51" ht="15.75" customHeight="1">
      <c r="A51" s="6">
        <v>4.0</v>
      </c>
      <c r="B51" s="6">
        <v>5.0</v>
      </c>
      <c r="C51" s="7">
        <f t="shared" si="1"/>
        <v>1</v>
      </c>
      <c r="D51" s="8">
        <f t="shared" si="2"/>
        <v>0.4770963971</v>
      </c>
    </row>
    <row r="52" ht="15.75" customHeight="1">
      <c r="A52" s="6">
        <v>4.0</v>
      </c>
      <c r="B52" s="6">
        <v>4.0</v>
      </c>
      <c r="C52" s="7">
        <f t="shared" si="1"/>
        <v>0</v>
      </c>
      <c r="D52" s="8">
        <f t="shared" si="2"/>
        <v>0.0956530981</v>
      </c>
    </row>
    <row r="53" ht="15.75" customHeight="1">
      <c r="A53" s="6">
        <v>3.0</v>
      </c>
      <c r="B53" s="6">
        <v>2.0</v>
      </c>
      <c r="C53" s="7">
        <f t="shared" si="1"/>
        <v>-1</v>
      </c>
      <c r="D53" s="8">
        <f t="shared" si="2"/>
        <v>1.714209799</v>
      </c>
    </row>
    <row r="54" ht="15.75" customHeight="1">
      <c r="A54" s="6">
        <v>3.0</v>
      </c>
      <c r="B54" s="6">
        <v>3.0</v>
      </c>
      <c r="C54" s="7">
        <f t="shared" si="1"/>
        <v>0</v>
      </c>
      <c r="D54" s="8">
        <f t="shared" si="2"/>
        <v>0.0956530981</v>
      </c>
    </row>
    <row r="55" ht="15.75" customHeight="1">
      <c r="A55" s="6">
        <v>3.0</v>
      </c>
      <c r="B55" s="6">
        <v>4.0</v>
      </c>
      <c r="C55" s="7">
        <f t="shared" si="1"/>
        <v>1</v>
      </c>
      <c r="D55" s="8">
        <f t="shared" si="2"/>
        <v>0.4770963971</v>
      </c>
    </row>
    <row r="56" ht="15.75" customHeight="1">
      <c r="A56" s="6">
        <v>2.0</v>
      </c>
      <c r="B56" s="6">
        <v>3.0</v>
      </c>
      <c r="C56" s="7">
        <f t="shared" si="1"/>
        <v>1</v>
      </c>
      <c r="D56" s="8">
        <f t="shared" si="2"/>
        <v>0.4770963971</v>
      </c>
    </row>
    <row r="57" ht="15.75" customHeight="1">
      <c r="A57" s="6">
        <v>3.0</v>
      </c>
      <c r="B57" s="6">
        <v>4.0</v>
      </c>
      <c r="C57" s="7">
        <f t="shared" si="1"/>
        <v>1</v>
      </c>
      <c r="D57" s="8">
        <f t="shared" si="2"/>
        <v>0.4770963971</v>
      </c>
    </row>
    <row r="58" ht="15.75" customHeight="1">
      <c r="A58" s="6">
        <v>3.0</v>
      </c>
      <c r="B58" s="6">
        <v>4.0</v>
      </c>
      <c r="C58" s="7">
        <f t="shared" si="1"/>
        <v>1</v>
      </c>
      <c r="D58" s="8">
        <f t="shared" si="2"/>
        <v>0.4770963971</v>
      </c>
    </row>
    <row r="59" ht="15.75" customHeight="1">
      <c r="A59" s="6">
        <v>4.0</v>
      </c>
      <c r="B59" s="6">
        <v>4.0</v>
      </c>
      <c r="C59" s="7">
        <f t="shared" si="1"/>
        <v>0</v>
      </c>
      <c r="D59" s="8">
        <f t="shared" si="2"/>
        <v>0.0956530981</v>
      </c>
    </row>
    <row r="60" ht="15.75" customHeight="1">
      <c r="A60" s="6">
        <v>2.0</v>
      </c>
      <c r="B60" s="6">
        <v>2.0</v>
      </c>
      <c r="C60" s="7">
        <f t="shared" si="1"/>
        <v>0</v>
      </c>
      <c r="D60" s="8">
        <f t="shared" si="2"/>
        <v>0.0956530981</v>
      </c>
    </row>
    <row r="61" ht="15.75" customHeight="1">
      <c r="A61" s="6">
        <v>3.0</v>
      </c>
      <c r="B61" s="6">
        <v>3.0</v>
      </c>
      <c r="C61" s="7">
        <f t="shared" si="1"/>
        <v>0</v>
      </c>
      <c r="D61" s="8">
        <f t="shared" si="2"/>
        <v>0.0956530981</v>
      </c>
    </row>
    <row r="62" ht="15.75" customHeight="1">
      <c r="A62" s="6">
        <v>2.0</v>
      </c>
      <c r="B62" s="6">
        <v>4.0</v>
      </c>
      <c r="C62" s="7">
        <f t="shared" si="1"/>
        <v>2</v>
      </c>
      <c r="D62" s="8">
        <f t="shared" si="2"/>
        <v>2.858539696</v>
      </c>
    </row>
    <row r="63" ht="15.75" customHeight="1">
      <c r="A63" s="6">
        <v>3.0</v>
      </c>
      <c r="B63" s="6">
        <v>5.0</v>
      </c>
      <c r="C63" s="7">
        <f t="shared" si="1"/>
        <v>2</v>
      </c>
      <c r="D63" s="8">
        <f t="shared" si="2"/>
        <v>2.858539696</v>
      </c>
    </row>
    <row r="64" ht="15.75" customHeight="1">
      <c r="A64" s="6">
        <v>3.0</v>
      </c>
      <c r="B64" s="6">
        <v>3.0</v>
      </c>
      <c r="C64" s="7">
        <f t="shared" si="1"/>
        <v>0</v>
      </c>
      <c r="D64" s="8">
        <f t="shared" si="2"/>
        <v>0.0956530981</v>
      </c>
    </row>
    <row r="65" ht="15.75" customHeight="1">
      <c r="A65" s="6">
        <v>3.0</v>
      </c>
      <c r="B65" s="6">
        <v>2.0</v>
      </c>
      <c r="C65" s="7">
        <f t="shared" si="1"/>
        <v>-1</v>
      </c>
      <c r="D65" s="8">
        <f t="shared" si="2"/>
        <v>1.714209799</v>
      </c>
    </row>
    <row r="66" ht="15.75" customHeight="1">
      <c r="A66" s="6">
        <v>3.0</v>
      </c>
      <c r="B66" s="6">
        <v>5.0</v>
      </c>
      <c r="C66" s="7">
        <f t="shared" si="1"/>
        <v>2</v>
      </c>
      <c r="D66" s="8">
        <f t="shared" si="2"/>
        <v>2.858539696</v>
      </c>
    </row>
    <row r="67" ht="15.75" customHeight="1">
      <c r="A67" s="6">
        <v>1.0</v>
      </c>
      <c r="B67" s="6">
        <v>2.0</v>
      </c>
      <c r="C67" s="7">
        <f t="shared" si="1"/>
        <v>1</v>
      </c>
      <c r="D67" s="8">
        <f t="shared" si="2"/>
        <v>0.4770963971</v>
      </c>
    </row>
    <row r="68" ht="15.75" customHeight="1">
      <c r="A68" s="6">
        <v>3.0</v>
      </c>
      <c r="B68" s="6">
        <v>4.0</v>
      </c>
      <c r="C68" s="7">
        <f t="shared" si="1"/>
        <v>1</v>
      </c>
      <c r="D68" s="8">
        <f t="shared" si="2"/>
        <v>0.4770963971</v>
      </c>
    </row>
    <row r="69" ht="15.75" customHeight="1">
      <c r="A69" s="6">
        <v>1.0</v>
      </c>
      <c r="B69" s="6">
        <v>4.0</v>
      </c>
      <c r="C69" s="7">
        <f t="shared" si="1"/>
        <v>3</v>
      </c>
      <c r="D69" s="8">
        <f t="shared" si="2"/>
        <v>7.239982995</v>
      </c>
    </row>
    <row r="70" ht="15.75" customHeight="1">
      <c r="A70" s="6">
        <v>1.0</v>
      </c>
      <c r="B70" s="6">
        <v>1.0</v>
      </c>
      <c r="C70" s="7">
        <f t="shared" si="1"/>
        <v>0</v>
      </c>
      <c r="D70" s="8">
        <f t="shared" si="2"/>
        <v>0.0956530981</v>
      </c>
    </row>
    <row r="71" ht="15.75" customHeight="1">
      <c r="A71" s="6">
        <v>2.0</v>
      </c>
      <c r="B71" s="6">
        <v>4.0</v>
      </c>
      <c r="C71" s="7">
        <f t="shared" si="1"/>
        <v>2</v>
      </c>
      <c r="D71" s="8">
        <f t="shared" si="2"/>
        <v>2.858539696</v>
      </c>
    </row>
    <row r="72" ht="15.75" customHeight="1">
      <c r="A72" s="6">
        <v>5.0</v>
      </c>
      <c r="B72" s="6">
        <v>5.0</v>
      </c>
      <c r="C72" s="7">
        <f t="shared" si="1"/>
        <v>0</v>
      </c>
      <c r="D72" s="8">
        <f t="shared" si="2"/>
        <v>0.0956530981</v>
      </c>
    </row>
    <row r="73" ht="15.75" customHeight="1">
      <c r="A73" s="6">
        <v>4.0</v>
      </c>
      <c r="B73" s="6">
        <v>1.0</v>
      </c>
      <c r="C73" s="7">
        <f t="shared" si="1"/>
        <v>-3</v>
      </c>
      <c r="D73" s="8">
        <f t="shared" si="2"/>
        <v>10.9513232</v>
      </c>
    </row>
    <row r="74" ht="15.75" customHeight="1">
      <c r="A74" s="6">
        <v>2.0</v>
      </c>
      <c r="B74" s="6">
        <v>3.0</v>
      </c>
      <c r="C74" s="7">
        <f t="shared" si="1"/>
        <v>1</v>
      </c>
      <c r="D74" s="8">
        <f t="shared" si="2"/>
        <v>0.4770963971</v>
      </c>
    </row>
    <row r="75" ht="15.75" customHeight="1">
      <c r="A75" s="6">
        <v>3.0</v>
      </c>
      <c r="B75" s="6">
        <v>3.0</v>
      </c>
      <c r="C75" s="7">
        <f t="shared" si="1"/>
        <v>0</v>
      </c>
      <c r="D75" s="8">
        <f t="shared" si="2"/>
        <v>0.0956530981</v>
      </c>
    </row>
    <row r="76" ht="15.75" customHeight="1">
      <c r="A76" s="6">
        <v>2.0</v>
      </c>
      <c r="B76" s="6">
        <v>4.0</v>
      </c>
      <c r="C76" s="7">
        <f t="shared" si="1"/>
        <v>2</v>
      </c>
      <c r="D76" s="8">
        <f t="shared" si="2"/>
        <v>2.858539696</v>
      </c>
    </row>
    <row r="77" ht="15.75" customHeight="1">
      <c r="A77" s="6">
        <v>5.0</v>
      </c>
      <c r="B77" s="6">
        <v>2.0</v>
      </c>
      <c r="C77" s="7">
        <f t="shared" si="1"/>
        <v>-3</v>
      </c>
      <c r="D77" s="8">
        <f t="shared" si="2"/>
        <v>10.9513232</v>
      </c>
    </row>
    <row r="78" ht="15.75" customHeight="1">
      <c r="A78" s="6">
        <v>3.0</v>
      </c>
      <c r="B78" s="6">
        <v>3.0</v>
      </c>
      <c r="C78" s="7">
        <f t="shared" si="1"/>
        <v>0</v>
      </c>
      <c r="D78" s="8">
        <f t="shared" si="2"/>
        <v>0.0956530981</v>
      </c>
    </row>
    <row r="79" ht="15.75" customHeight="1">
      <c r="A79" s="6">
        <v>3.0</v>
      </c>
      <c r="B79" s="6">
        <v>3.0</v>
      </c>
      <c r="C79" s="7">
        <f t="shared" si="1"/>
        <v>0</v>
      </c>
      <c r="D79" s="8">
        <f t="shared" si="2"/>
        <v>0.0956530981</v>
      </c>
    </row>
    <row r="80" ht="15.75" customHeight="1">
      <c r="A80" s="6">
        <v>4.0</v>
      </c>
      <c r="B80" s="6">
        <v>4.0</v>
      </c>
      <c r="C80" s="7">
        <f t="shared" si="1"/>
        <v>0</v>
      </c>
      <c r="D80" s="8">
        <f t="shared" si="2"/>
        <v>0.0956530981</v>
      </c>
    </row>
    <row r="81" ht="15.75" customHeight="1">
      <c r="A81" s="6">
        <v>3.0</v>
      </c>
      <c r="B81" s="6">
        <v>1.0</v>
      </c>
      <c r="C81" s="7">
        <f t="shared" si="1"/>
        <v>-2</v>
      </c>
      <c r="D81" s="8">
        <f t="shared" si="2"/>
        <v>5.3327665</v>
      </c>
    </row>
    <row r="82" ht="15.75" customHeight="1">
      <c r="A82" s="6">
        <v>3.0</v>
      </c>
      <c r="B82" s="6">
        <v>2.0</v>
      </c>
      <c r="C82" s="7">
        <f t="shared" si="1"/>
        <v>-1</v>
      </c>
      <c r="D82" s="8">
        <f t="shared" si="2"/>
        <v>1.714209799</v>
      </c>
    </row>
    <row r="83" ht="15.75" customHeight="1">
      <c r="A83" s="6">
        <v>3.0</v>
      </c>
      <c r="B83" s="6">
        <v>3.0</v>
      </c>
      <c r="C83" s="7">
        <f t="shared" si="1"/>
        <v>0</v>
      </c>
      <c r="D83" s="8">
        <f t="shared" si="2"/>
        <v>0.0956530981</v>
      </c>
    </row>
    <row r="84" ht="15.75" customHeight="1">
      <c r="A84" s="6">
        <v>2.0</v>
      </c>
      <c r="B84" s="6">
        <v>2.0</v>
      </c>
      <c r="C84" s="7">
        <f t="shared" si="1"/>
        <v>0</v>
      </c>
      <c r="D84" s="8">
        <f t="shared" si="2"/>
        <v>0.0956530981</v>
      </c>
    </row>
    <row r="85" ht="15.75" customHeight="1">
      <c r="A85" s="6">
        <v>3.0</v>
      </c>
      <c r="B85" s="6">
        <v>4.0</v>
      </c>
      <c r="C85" s="7">
        <f t="shared" si="1"/>
        <v>1</v>
      </c>
      <c r="D85" s="8">
        <f t="shared" si="2"/>
        <v>0.4770963971</v>
      </c>
    </row>
    <row r="86" ht="15.75" customHeight="1">
      <c r="A86" s="6">
        <v>3.0</v>
      </c>
      <c r="B86" s="6">
        <v>3.0</v>
      </c>
      <c r="C86" s="7">
        <f t="shared" si="1"/>
        <v>0</v>
      </c>
      <c r="D86" s="8">
        <f t="shared" si="2"/>
        <v>0.0956530981</v>
      </c>
    </row>
    <row r="87" ht="15.75" customHeight="1">
      <c r="A87" s="6">
        <v>3.0</v>
      </c>
      <c r="B87" s="6">
        <v>5.0</v>
      </c>
      <c r="C87" s="7">
        <f t="shared" si="1"/>
        <v>2</v>
      </c>
      <c r="D87" s="8">
        <f t="shared" si="2"/>
        <v>2.858539696</v>
      </c>
    </row>
    <row r="88" ht="15.75" customHeight="1">
      <c r="A88" s="6">
        <v>3.0</v>
      </c>
      <c r="B88" s="6">
        <v>1.0</v>
      </c>
      <c r="C88" s="7">
        <f t="shared" si="1"/>
        <v>-2</v>
      </c>
      <c r="D88" s="8">
        <f t="shared" si="2"/>
        <v>5.3327665</v>
      </c>
    </row>
    <row r="89" ht="15.75" customHeight="1">
      <c r="A89" s="6">
        <v>2.0</v>
      </c>
      <c r="B89" s="6">
        <v>4.0</v>
      </c>
      <c r="C89" s="7">
        <f t="shared" si="1"/>
        <v>2</v>
      </c>
      <c r="D89" s="8">
        <f t="shared" si="2"/>
        <v>2.858539696</v>
      </c>
    </row>
    <row r="90" ht="15.75" customHeight="1">
      <c r="A90" s="6">
        <v>2.0</v>
      </c>
      <c r="B90" s="6">
        <v>3.0</v>
      </c>
      <c r="C90" s="7">
        <f t="shared" si="1"/>
        <v>1</v>
      </c>
      <c r="D90" s="8">
        <f t="shared" si="2"/>
        <v>0.4770963971</v>
      </c>
    </row>
    <row r="91" ht="15.75" customHeight="1">
      <c r="A91" s="6">
        <v>2.0</v>
      </c>
      <c r="B91" s="6">
        <v>5.0</v>
      </c>
      <c r="C91" s="7">
        <f t="shared" si="1"/>
        <v>3</v>
      </c>
      <c r="D91" s="8">
        <f t="shared" si="2"/>
        <v>7.239982995</v>
      </c>
    </row>
    <row r="92" ht="15.75" customHeight="1">
      <c r="A92" s="6">
        <v>2.0</v>
      </c>
      <c r="B92" s="6">
        <v>5.0</v>
      </c>
      <c r="C92" s="7">
        <f t="shared" si="1"/>
        <v>3</v>
      </c>
      <c r="D92" s="8">
        <f t="shared" si="2"/>
        <v>7.239982995</v>
      </c>
    </row>
    <row r="93" ht="15.75" customHeight="1">
      <c r="A93" s="6">
        <v>5.0</v>
      </c>
      <c r="B93" s="6">
        <v>4.0</v>
      </c>
      <c r="C93" s="7">
        <f t="shared" si="1"/>
        <v>-1</v>
      </c>
      <c r="D93" s="8">
        <f t="shared" si="2"/>
        <v>1.714209799</v>
      </c>
      <c r="F93" s="12"/>
    </row>
    <row r="94" ht="15.75" customHeight="1">
      <c r="A94" s="6">
        <v>3.0</v>
      </c>
      <c r="B94" s="6">
        <v>5.0</v>
      </c>
      <c r="C94" s="7">
        <f t="shared" si="1"/>
        <v>2</v>
      </c>
      <c r="D94" s="8">
        <f t="shared" si="2"/>
        <v>2.858539696</v>
      </c>
    </row>
    <row r="95" ht="15.75" customHeight="1">
      <c r="A95" s="6">
        <v>4.0</v>
      </c>
      <c r="B95" s="6">
        <v>4.0</v>
      </c>
      <c r="C95" s="7">
        <f t="shared" si="1"/>
        <v>0</v>
      </c>
      <c r="D95" s="8">
        <f t="shared" si="2"/>
        <v>0.0956530981</v>
      </c>
    </row>
    <row r="96" ht="15.75" customHeight="1">
      <c r="A96" s="6">
        <v>2.0</v>
      </c>
      <c r="B96" s="6">
        <v>5.0</v>
      </c>
      <c r="C96" s="7">
        <f t="shared" si="1"/>
        <v>3</v>
      </c>
      <c r="D96" s="8">
        <f t="shared" si="2"/>
        <v>7.239982995</v>
      </c>
    </row>
    <row r="97" ht="15.75" customHeight="1">
      <c r="A97" s="6">
        <v>3.0</v>
      </c>
      <c r="B97" s="6">
        <v>1.0</v>
      </c>
      <c r="C97" s="7">
        <f t="shared" si="1"/>
        <v>-2</v>
      </c>
      <c r="D97" s="8">
        <f t="shared" si="2"/>
        <v>5.3327665</v>
      </c>
    </row>
    <row r="98" ht="15.75" customHeight="1">
      <c r="A98" s="6">
        <v>5.0</v>
      </c>
      <c r="B98" s="6">
        <v>4.0</v>
      </c>
      <c r="C98" s="7">
        <f t="shared" si="1"/>
        <v>-1</v>
      </c>
      <c r="D98" s="8">
        <f t="shared" si="2"/>
        <v>1.714209799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4.71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74</v>
      </c>
      <c r="B1" s="13" t="s">
        <v>75</v>
      </c>
      <c r="C1" s="5" t="s">
        <v>12</v>
      </c>
      <c r="D1" s="5"/>
    </row>
    <row r="2">
      <c r="A2" s="6">
        <v>2.0</v>
      </c>
      <c r="B2" s="6">
        <v>3.0</v>
      </c>
      <c r="C2" s="7">
        <f t="shared" ref="C2:C98" si="1">B2-A2</f>
        <v>1</v>
      </c>
      <c r="D2" s="8">
        <f t="shared" ref="D2:D98" si="2">(C2-$G$6)^2</f>
        <v>1.194175789</v>
      </c>
    </row>
    <row r="3">
      <c r="A3" s="6">
        <v>2.0</v>
      </c>
      <c r="B3" s="6">
        <v>4.0</v>
      </c>
      <c r="C3" s="7">
        <f t="shared" si="1"/>
        <v>2</v>
      </c>
      <c r="D3" s="8">
        <f t="shared" si="2"/>
        <v>4.379742799</v>
      </c>
      <c r="F3" s="9" t="s">
        <v>14</v>
      </c>
      <c r="G3" s="9"/>
    </row>
    <row r="4">
      <c r="A4" s="6">
        <v>5.0</v>
      </c>
      <c r="B4" s="6">
        <v>2.0</v>
      </c>
      <c r="C4" s="7">
        <f t="shared" si="1"/>
        <v>-3</v>
      </c>
      <c r="D4" s="8">
        <f t="shared" si="2"/>
        <v>8.451907748</v>
      </c>
      <c r="F4" s="6" t="s">
        <v>15</v>
      </c>
      <c r="G4" s="6">
        <f>COUNT(A:A)</f>
        <v>97</v>
      </c>
    </row>
    <row r="5">
      <c r="A5" s="6">
        <v>4.0</v>
      </c>
      <c r="B5" s="6">
        <v>2.0</v>
      </c>
      <c r="C5" s="7">
        <f t="shared" si="1"/>
        <v>-2</v>
      </c>
      <c r="D5" s="8">
        <f t="shared" si="2"/>
        <v>3.637474758</v>
      </c>
      <c r="F5" s="6" t="s">
        <v>17</v>
      </c>
      <c r="G5" s="6">
        <f>SUM(C:C)</f>
        <v>-9</v>
      </c>
    </row>
    <row r="6">
      <c r="A6" s="6">
        <v>5.0</v>
      </c>
      <c r="B6" s="6">
        <v>2.0</v>
      </c>
      <c r="C6" s="7">
        <f t="shared" si="1"/>
        <v>-3</v>
      </c>
      <c r="D6" s="8">
        <f t="shared" si="2"/>
        <v>8.451907748</v>
      </c>
      <c r="F6" s="6" t="s">
        <v>18</v>
      </c>
      <c r="G6" s="6">
        <f>G5/G4</f>
        <v>-0.09278350515</v>
      </c>
    </row>
    <row r="7">
      <c r="A7" s="6">
        <v>5.0</v>
      </c>
      <c r="B7" s="6">
        <v>3.0</v>
      </c>
      <c r="C7" s="7">
        <f t="shared" si="1"/>
        <v>-2</v>
      </c>
      <c r="D7" s="8">
        <f t="shared" si="2"/>
        <v>3.637474758</v>
      </c>
      <c r="F7" s="6" t="s">
        <v>19</v>
      </c>
      <c r="G7" s="6">
        <f>SUM(D:D)</f>
        <v>302.1649485</v>
      </c>
    </row>
    <row r="8">
      <c r="A8" s="6">
        <v>5.0</v>
      </c>
      <c r="B8" s="6">
        <v>3.0</v>
      </c>
      <c r="C8" s="7">
        <f t="shared" si="1"/>
        <v>-2</v>
      </c>
      <c r="D8" s="8">
        <f t="shared" si="2"/>
        <v>3.637474758</v>
      </c>
      <c r="F8" s="6" t="s">
        <v>21</v>
      </c>
      <c r="G8" s="6">
        <f>SQRT(G7/(G4-1))</f>
        <v>1.774134027</v>
      </c>
    </row>
    <row r="9">
      <c r="A9" s="6">
        <v>2.0</v>
      </c>
      <c r="B9" s="6">
        <v>4.0</v>
      </c>
      <c r="C9" s="7">
        <f t="shared" si="1"/>
        <v>2</v>
      </c>
      <c r="D9" s="8">
        <f t="shared" si="2"/>
        <v>4.379742799</v>
      </c>
    </row>
    <row r="10">
      <c r="A10" s="6">
        <v>4.0</v>
      </c>
      <c r="B10" s="6">
        <v>2.0</v>
      </c>
      <c r="C10" s="7">
        <f t="shared" si="1"/>
        <v>-2</v>
      </c>
      <c r="D10" s="8">
        <f t="shared" si="2"/>
        <v>3.637474758</v>
      </c>
    </row>
    <row r="11">
      <c r="A11" s="6">
        <v>3.0</v>
      </c>
      <c r="B11" s="6">
        <v>2.0</v>
      </c>
      <c r="C11" s="7">
        <f t="shared" si="1"/>
        <v>-1</v>
      </c>
      <c r="D11" s="8">
        <f t="shared" si="2"/>
        <v>0.8230417685</v>
      </c>
    </row>
    <row r="12">
      <c r="A12" s="6">
        <v>3.0</v>
      </c>
      <c r="B12" s="6">
        <v>5.0</v>
      </c>
      <c r="C12" s="7">
        <f t="shared" si="1"/>
        <v>2</v>
      </c>
      <c r="D12" s="8">
        <f t="shared" si="2"/>
        <v>4.379742799</v>
      </c>
      <c r="F12" s="6" t="s">
        <v>23</v>
      </c>
      <c r="G12" s="6">
        <f>G6/(G8/SQRT(G4))</f>
        <v>-0.5150746982</v>
      </c>
    </row>
    <row r="13">
      <c r="A13" s="6">
        <v>4.0</v>
      </c>
      <c r="B13" s="6">
        <v>5.0</v>
      </c>
      <c r="C13" s="7">
        <f t="shared" si="1"/>
        <v>1</v>
      </c>
      <c r="D13" s="8">
        <f t="shared" si="2"/>
        <v>1.194175789</v>
      </c>
    </row>
    <row r="14">
      <c r="A14" s="6">
        <v>3.0</v>
      </c>
      <c r="B14" s="6">
        <v>1.0</v>
      </c>
      <c r="C14" s="7">
        <f t="shared" si="1"/>
        <v>-2</v>
      </c>
      <c r="D14" s="8">
        <f t="shared" si="2"/>
        <v>3.637474758</v>
      </c>
    </row>
    <row r="15">
      <c r="A15" s="6">
        <v>4.0</v>
      </c>
      <c r="B15" s="6">
        <v>5.0</v>
      </c>
      <c r="C15" s="7">
        <f t="shared" si="1"/>
        <v>1</v>
      </c>
      <c r="D15" s="8">
        <f t="shared" si="2"/>
        <v>1.194175789</v>
      </c>
    </row>
    <row r="16">
      <c r="A16" s="6">
        <v>3.0</v>
      </c>
      <c r="B16" s="6">
        <v>3.0</v>
      </c>
      <c r="C16" s="7">
        <f t="shared" si="1"/>
        <v>0</v>
      </c>
      <c r="D16" s="8">
        <f t="shared" si="2"/>
        <v>0.008608778829</v>
      </c>
    </row>
    <row r="17">
      <c r="A17" s="6">
        <v>3.0</v>
      </c>
      <c r="B17" s="6">
        <v>5.0</v>
      </c>
      <c r="C17" s="7">
        <f t="shared" si="1"/>
        <v>2</v>
      </c>
      <c r="D17" s="8">
        <f t="shared" si="2"/>
        <v>4.379742799</v>
      </c>
      <c r="F17" s="6" t="s">
        <v>25</v>
      </c>
      <c r="G17" s="6">
        <v>0.05</v>
      </c>
    </row>
    <row r="18">
      <c r="A18" s="6">
        <v>4.0</v>
      </c>
      <c r="B18" s="6">
        <v>1.0</v>
      </c>
      <c r="C18" s="7">
        <f t="shared" si="1"/>
        <v>-3</v>
      </c>
      <c r="D18" s="8">
        <f t="shared" si="2"/>
        <v>8.451907748</v>
      </c>
      <c r="F18" s="6" t="s">
        <v>26</v>
      </c>
      <c r="G18" s="6">
        <f>G4-1</f>
        <v>96</v>
      </c>
    </row>
    <row r="19">
      <c r="A19" s="6">
        <v>3.0</v>
      </c>
      <c r="B19" s="6">
        <v>2.0</v>
      </c>
      <c r="C19" s="7">
        <f t="shared" si="1"/>
        <v>-1</v>
      </c>
      <c r="D19" s="8">
        <f t="shared" si="2"/>
        <v>0.8230417685</v>
      </c>
    </row>
    <row r="20">
      <c r="A20" s="6">
        <v>3.0</v>
      </c>
      <c r="B20" s="6">
        <v>3.0</v>
      </c>
      <c r="C20" s="7">
        <f t="shared" si="1"/>
        <v>0</v>
      </c>
      <c r="D20" s="8">
        <f t="shared" si="2"/>
        <v>0.008608778829</v>
      </c>
    </row>
    <row r="21" ht="15.75" customHeight="1">
      <c r="A21" s="6">
        <v>3.0</v>
      </c>
      <c r="B21" s="6">
        <v>3.0</v>
      </c>
      <c r="C21" s="7">
        <f t="shared" si="1"/>
        <v>0</v>
      </c>
      <c r="D21" s="8">
        <f t="shared" si="2"/>
        <v>0.008608778829</v>
      </c>
    </row>
    <row r="22" ht="15.75" customHeight="1">
      <c r="A22" s="6">
        <v>4.0</v>
      </c>
      <c r="B22" s="6">
        <v>4.0</v>
      </c>
      <c r="C22" s="7">
        <f t="shared" si="1"/>
        <v>0</v>
      </c>
      <c r="D22" s="8">
        <f t="shared" si="2"/>
        <v>0.008608778829</v>
      </c>
      <c r="F22" s="9" t="s">
        <v>27</v>
      </c>
      <c r="G22" s="9"/>
    </row>
    <row r="23" ht="15.75" customHeight="1">
      <c r="A23" s="6">
        <v>4.0</v>
      </c>
      <c r="B23" s="6">
        <v>4.0</v>
      </c>
      <c r="C23" s="7">
        <f t="shared" si="1"/>
        <v>0</v>
      </c>
      <c r="D23" s="8">
        <f t="shared" si="2"/>
        <v>0.008608778829</v>
      </c>
      <c r="F23" s="6" t="s">
        <v>84</v>
      </c>
      <c r="G23" s="6">
        <f>_xlfn.T.INV.2T(G17,G18)</f>
        <v>1.984984312</v>
      </c>
    </row>
    <row r="24" ht="15.75" customHeight="1">
      <c r="A24" s="6">
        <v>1.0</v>
      </c>
      <c r="B24" s="6">
        <v>4.0</v>
      </c>
      <c r="C24" s="7">
        <f t="shared" si="1"/>
        <v>3</v>
      </c>
      <c r="D24" s="8">
        <f t="shared" si="2"/>
        <v>9.56530981</v>
      </c>
      <c r="F24" s="6" t="s">
        <v>85</v>
      </c>
      <c r="G24" s="6">
        <f>_xlfn.T.INV(G17,G18)</f>
        <v>-1.66088144</v>
      </c>
    </row>
    <row r="25" ht="15.75" customHeight="1">
      <c r="A25" s="6">
        <v>5.0</v>
      </c>
      <c r="B25" s="6">
        <v>2.0</v>
      </c>
      <c r="C25" s="7">
        <f t="shared" si="1"/>
        <v>-3</v>
      </c>
      <c r="D25" s="8">
        <f t="shared" si="2"/>
        <v>8.451907748</v>
      </c>
    </row>
    <row r="26" ht="15.75" customHeight="1">
      <c r="A26" s="6">
        <v>5.0</v>
      </c>
      <c r="B26" s="6">
        <v>3.0</v>
      </c>
      <c r="C26" s="7">
        <f t="shared" si="1"/>
        <v>-2</v>
      </c>
      <c r="D26" s="8">
        <f t="shared" si="2"/>
        <v>3.637474758</v>
      </c>
    </row>
    <row r="27" ht="15.75" customHeight="1">
      <c r="A27" s="6">
        <v>4.0</v>
      </c>
      <c r="B27" s="6">
        <v>3.0</v>
      </c>
      <c r="C27" s="7">
        <f t="shared" si="1"/>
        <v>-1</v>
      </c>
      <c r="D27" s="8">
        <f t="shared" si="2"/>
        <v>0.8230417685</v>
      </c>
      <c r="F27" s="9" t="s">
        <v>32</v>
      </c>
      <c r="G27" s="9"/>
    </row>
    <row r="28" ht="15.75" customHeight="1">
      <c r="A28" s="6">
        <v>4.0</v>
      </c>
      <c r="B28" s="6">
        <v>1.0</v>
      </c>
      <c r="C28" s="7">
        <f t="shared" si="1"/>
        <v>-3</v>
      </c>
      <c r="D28" s="8">
        <f t="shared" si="2"/>
        <v>8.451907748</v>
      </c>
      <c r="F28" s="6" t="s">
        <v>32</v>
      </c>
    </row>
    <row r="29" ht="15.75" customHeight="1">
      <c r="A29" s="6">
        <v>3.0</v>
      </c>
      <c r="B29" s="6">
        <v>3.0</v>
      </c>
      <c r="C29" s="7">
        <f t="shared" si="1"/>
        <v>0</v>
      </c>
      <c r="D29" s="8">
        <f t="shared" si="2"/>
        <v>0.008608778829</v>
      </c>
      <c r="F29" s="6" t="s">
        <v>86</v>
      </c>
      <c r="G29" s="6">
        <f>TTEST(A:A,B:B,2,1)</f>
        <v>0.6076848114</v>
      </c>
    </row>
    <row r="30" ht="15.75" customHeight="1">
      <c r="A30" s="6">
        <v>2.0</v>
      </c>
      <c r="B30" s="6">
        <v>5.0</v>
      </c>
      <c r="C30" s="7">
        <f t="shared" si="1"/>
        <v>3</v>
      </c>
      <c r="D30" s="8">
        <f t="shared" si="2"/>
        <v>9.56530981</v>
      </c>
      <c r="F30" s="6" t="s">
        <v>87</v>
      </c>
      <c r="G30" s="6">
        <f>TTEST(A:A,B:B,1,1)</f>
        <v>0.3038424057</v>
      </c>
    </row>
    <row r="31" ht="15.75" customHeight="1">
      <c r="A31" s="6">
        <v>5.0</v>
      </c>
      <c r="B31" s="6">
        <v>1.0</v>
      </c>
      <c r="C31" s="7">
        <f t="shared" si="1"/>
        <v>-4</v>
      </c>
      <c r="D31" s="8">
        <f t="shared" si="2"/>
        <v>15.26634074</v>
      </c>
    </row>
    <row r="32" ht="15.75" customHeight="1">
      <c r="A32" s="6">
        <v>4.0</v>
      </c>
      <c r="B32" s="6">
        <v>5.0</v>
      </c>
      <c r="C32" s="7">
        <f t="shared" si="1"/>
        <v>1</v>
      </c>
      <c r="D32" s="8">
        <f t="shared" si="2"/>
        <v>1.194175789</v>
      </c>
    </row>
    <row r="33" ht="15.75" customHeight="1">
      <c r="A33" s="6">
        <v>3.0</v>
      </c>
      <c r="B33" s="6">
        <v>3.0</v>
      </c>
      <c r="C33" s="7">
        <f t="shared" si="1"/>
        <v>0</v>
      </c>
      <c r="D33" s="8">
        <f t="shared" si="2"/>
        <v>0.008608778829</v>
      </c>
      <c r="F33" s="10" t="s">
        <v>39</v>
      </c>
      <c r="G33" s="10"/>
    </row>
    <row r="34" ht="15.75" customHeight="1">
      <c r="A34" s="6">
        <v>4.0</v>
      </c>
      <c r="B34" s="6">
        <v>4.0</v>
      </c>
      <c r="C34" s="7">
        <f t="shared" si="1"/>
        <v>0</v>
      </c>
      <c r="D34" s="8">
        <f t="shared" si="2"/>
        <v>0.008608778829</v>
      </c>
    </row>
    <row r="35" ht="15.75" customHeight="1">
      <c r="A35" s="6">
        <v>1.0</v>
      </c>
      <c r="B35" s="6">
        <v>5.0</v>
      </c>
      <c r="C35" s="7">
        <f t="shared" si="1"/>
        <v>4</v>
      </c>
      <c r="D35" s="8">
        <f t="shared" si="2"/>
        <v>16.75087682</v>
      </c>
      <c r="F35" s="6" t="s">
        <v>88</v>
      </c>
    </row>
    <row r="36" ht="15.75" customHeight="1">
      <c r="A36" s="6">
        <v>3.0</v>
      </c>
      <c r="B36" s="6">
        <v>4.0</v>
      </c>
      <c r="C36" s="7">
        <f t="shared" si="1"/>
        <v>1</v>
      </c>
      <c r="D36" s="8">
        <f t="shared" si="2"/>
        <v>1.194175789</v>
      </c>
      <c r="F36" s="6" t="s">
        <v>89</v>
      </c>
    </row>
    <row r="37" ht="15.75" customHeight="1">
      <c r="A37" s="6">
        <v>3.0</v>
      </c>
      <c r="B37" s="6">
        <v>2.0</v>
      </c>
      <c r="C37" s="7">
        <f t="shared" si="1"/>
        <v>-1</v>
      </c>
      <c r="D37" s="8">
        <f t="shared" si="2"/>
        <v>0.8230417685</v>
      </c>
    </row>
    <row r="38" ht="15.75" customHeight="1">
      <c r="A38" s="6">
        <v>5.0</v>
      </c>
      <c r="B38" s="6">
        <v>3.0</v>
      </c>
      <c r="C38" s="7">
        <f t="shared" si="1"/>
        <v>-2</v>
      </c>
      <c r="D38" s="8">
        <f t="shared" si="2"/>
        <v>3.637474758</v>
      </c>
    </row>
    <row r="39" ht="15.75" customHeight="1">
      <c r="A39" s="6">
        <v>3.0</v>
      </c>
      <c r="B39" s="6">
        <v>2.0</v>
      </c>
      <c r="C39" s="7">
        <f t="shared" si="1"/>
        <v>-1</v>
      </c>
      <c r="D39" s="8">
        <f t="shared" si="2"/>
        <v>0.8230417685</v>
      </c>
    </row>
    <row r="40" ht="15.75" customHeight="1">
      <c r="A40" s="6">
        <v>3.0</v>
      </c>
      <c r="B40" s="6">
        <v>4.0</v>
      </c>
      <c r="C40" s="7">
        <f t="shared" si="1"/>
        <v>1</v>
      </c>
      <c r="D40" s="8">
        <f t="shared" si="2"/>
        <v>1.194175789</v>
      </c>
      <c r="F40" s="6" t="s">
        <v>90</v>
      </c>
    </row>
    <row r="41" ht="15.75" customHeight="1">
      <c r="A41" s="6">
        <v>4.0</v>
      </c>
      <c r="B41" s="6">
        <v>5.0</v>
      </c>
      <c r="C41" s="7">
        <f t="shared" si="1"/>
        <v>1</v>
      </c>
      <c r="D41" s="8">
        <f t="shared" si="2"/>
        <v>1.194175789</v>
      </c>
      <c r="F41" s="6" t="str">
        <f>"Dos Colas: Si t calculado ("&amp;G12&amp;") &gt; a t critico  ("&amp;G23&amp;") (de tabla) ---&gt; Se rechaza la hipotesis nula"</f>
        <v>Dos Colas: Si t calculado (-0,515074698202854) &gt; a t critico  (1,98498431152245) (de tabla) ---&gt; Se rechaza la hipotesis nula</v>
      </c>
    </row>
    <row r="42" ht="15.75" customHeight="1">
      <c r="A42" s="6">
        <v>4.0</v>
      </c>
      <c r="B42" s="6">
        <v>5.0</v>
      </c>
      <c r="C42" s="7">
        <f t="shared" si="1"/>
        <v>1</v>
      </c>
      <c r="D42" s="8">
        <f t="shared" si="2"/>
        <v>1.194175789</v>
      </c>
      <c r="F42" s="6" t="str">
        <f>"Una Cola: Si t calculado ("&amp;G12&amp;") &gt; a t critico  ("&amp;G24&amp;") (de tabla) ---&gt; Se rechaza la hipotesis nula"</f>
        <v>Una Cola: Si t calculado (-0,515074698202854) &gt; a t critico  (-1,66088144032486) (de tabla) ---&gt; Se rechaza la hipotesis nula</v>
      </c>
    </row>
    <row r="43" ht="15.75" customHeight="1">
      <c r="A43" s="6">
        <v>2.0</v>
      </c>
      <c r="B43" s="6">
        <v>2.0</v>
      </c>
      <c r="C43" s="7">
        <f t="shared" si="1"/>
        <v>0</v>
      </c>
      <c r="D43" s="8">
        <f t="shared" si="2"/>
        <v>0.008608778829</v>
      </c>
    </row>
    <row r="44" ht="15.75" customHeight="1">
      <c r="A44" s="6">
        <v>2.0</v>
      </c>
      <c r="B44" s="6">
        <v>3.0</v>
      </c>
      <c r="C44" s="7">
        <f t="shared" si="1"/>
        <v>1</v>
      </c>
      <c r="D44" s="8">
        <f t="shared" si="2"/>
        <v>1.194175789</v>
      </c>
    </row>
    <row r="45" ht="15.75" customHeight="1">
      <c r="A45" s="6">
        <v>4.0</v>
      </c>
      <c r="B45" s="6">
        <v>2.0</v>
      </c>
      <c r="C45" s="7">
        <f t="shared" si="1"/>
        <v>-2</v>
      </c>
      <c r="D45" s="8">
        <f t="shared" si="2"/>
        <v>3.637474758</v>
      </c>
    </row>
    <row r="46" ht="15.75" customHeight="1">
      <c r="A46" s="6">
        <v>4.0</v>
      </c>
      <c r="B46" s="6">
        <v>5.0</v>
      </c>
      <c r="C46" s="7">
        <f t="shared" si="1"/>
        <v>1</v>
      </c>
      <c r="D46" s="8">
        <f t="shared" si="2"/>
        <v>1.194175789</v>
      </c>
      <c r="F46" s="6" t="s">
        <v>93</v>
      </c>
    </row>
    <row r="47" ht="15.75" customHeight="1">
      <c r="A47" s="6">
        <v>1.0</v>
      </c>
      <c r="B47" s="6">
        <v>3.0</v>
      </c>
      <c r="C47" s="7">
        <f t="shared" si="1"/>
        <v>2</v>
      </c>
      <c r="D47" s="8">
        <f t="shared" si="2"/>
        <v>4.379742799</v>
      </c>
      <c r="F47" s="6" t="str">
        <f>"Dos Colas: Si p valor ("&amp;G29&amp;") &lt; Nivel Significancia ("&amp;G17&amp;") ---&gt; Se rechaza la hipotesis nula"</f>
        <v>Dos Colas: Si p valor (0,607684811419301) &lt; Nivel Significancia (0,05) ---&gt; Se rechaza la hipotesis nula</v>
      </c>
    </row>
    <row r="48" ht="15.75" customHeight="1">
      <c r="A48" s="6">
        <v>4.0</v>
      </c>
      <c r="B48" s="6">
        <v>2.0</v>
      </c>
      <c r="C48" s="7">
        <f t="shared" si="1"/>
        <v>-2</v>
      </c>
      <c r="D48" s="8">
        <f t="shared" si="2"/>
        <v>3.637474758</v>
      </c>
      <c r="F48" s="6" t="str">
        <f>"Una Cola: Si p valor ("&amp;G30&amp;") &lt; Nivel Significancia ("&amp;G17&amp;") ---&gt; Se rechaza la hipotesis nula"</f>
        <v>Una Cola: Si p valor (0,303842405709651) &lt; Nivel Significancia (0,05) ---&gt; Se rechaza la hipotesis nula</v>
      </c>
    </row>
    <row r="49" ht="15.75" customHeight="1">
      <c r="A49" s="6">
        <v>4.0</v>
      </c>
      <c r="B49" s="6">
        <v>5.0</v>
      </c>
      <c r="C49" s="7">
        <f t="shared" si="1"/>
        <v>1</v>
      </c>
      <c r="D49" s="8">
        <f t="shared" si="2"/>
        <v>1.194175789</v>
      </c>
    </row>
    <row r="50" ht="15.75" customHeight="1">
      <c r="A50" s="6">
        <v>4.0</v>
      </c>
      <c r="B50" s="6">
        <v>4.0</v>
      </c>
      <c r="C50" s="7">
        <f t="shared" si="1"/>
        <v>0</v>
      </c>
      <c r="D50" s="8">
        <f t="shared" si="2"/>
        <v>0.008608778829</v>
      </c>
    </row>
    <row r="51" ht="15.75" customHeight="1">
      <c r="A51" s="6">
        <v>2.0</v>
      </c>
      <c r="B51" s="6">
        <v>4.0</v>
      </c>
      <c r="C51" s="7">
        <f t="shared" si="1"/>
        <v>2</v>
      </c>
      <c r="D51" s="8">
        <f t="shared" si="2"/>
        <v>4.379742799</v>
      </c>
    </row>
    <row r="52" ht="15.75" customHeight="1">
      <c r="A52" s="6">
        <v>4.0</v>
      </c>
      <c r="B52" s="6">
        <v>2.0</v>
      </c>
      <c r="C52" s="7">
        <f t="shared" si="1"/>
        <v>-2</v>
      </c>
      <c r="D52" s="8">
        <f t="shared" si="2"/>
        <v>3.637474758</v>
      </c>
    </row>
    <row r="53" ht="15.75" customHeight="1">
      <c r="A53" s="6">
        <v>2.0</v>
      </c>
      <c r="B53" s="6">
        <v>3.0</v>
      </c>
      <c r="C53" s="7">
        <f t="shared" si="1"/>
        <v>1</v>
      </c>
      <c r="D53" s="8">
        <f t="shared" si="2"/>
        <v>1.194175789</v>
      </c>
    </row>
    <row r="54" ht="15.75" customHeight="1">
      <c r="A54" s="6">
        <v>2.0</v>
      </c>
      <c r="B54" s="6">
        <v>2.0</v>
      </c>
      <c r="C54" s="7">
        <f t="shared" si="1"/>
        <v>0</v>
      </c>
      <c r="D54" s="8">
        <f t="shared" si="2"/>
        <v>0.008608778829</v>
      </c>
    </row>
    <row r="55" ht="15.75" customHeight="1">
      <c r="A55" s="6">
        <v>4.0</v>
      </c>
      <c r="B55" s="6">
        <v>4.0</v>
      </c>
      <c r="C55" s="7">
        <f t="shared" si="1"/>
        <v>0</v>
      </c>
      <c r="D55" s="8">
        <f t="shared" si="2"/>
        <v>0.008608778829</v>
      </c>
    </row>
    <row r="56" ht="15.75" customHeight="1">
      <c r="A56" s="6">
        <v>4.0</v>
      </c>
      <c r="B56" s="6">
        <v>4.0</v>
      </c>
      <c r="C56" s="7">
        <f t="shared" si="1"/>
        <v>0</v>
      </c>
      <c r="D56" s="8">
        <f t="shared" si="2"/>
        <v>0.008608778829</v>
      </c>
    </row>
    <row r="57" ht="15.75" customHeight="1">
      <c r="A57" s="6">
        <v>3.0</v>
      </c>
      <c r="B57" s="6">
        <v>1.0</v>
      </c>
      <c r="C57" s="7">
        <f t="shared" si="1"/>
        <v>-2</v>
      </c>
      <c r="D57" s="8">
        <f t="shared" si="2"/>
        <v>3.637474758</v>
      </c>
    </row>
    <row r="58" ht="15.75" customHeight="1">
      <c r="A58" s="6">
        <v>3.0</v>
      </c>
      <c r="B58" s="6">
        <v>5.0</v>
      </c>
      <c r="C58" s="7">
        <f t="shared" si="1"/>
        <v>2</v>
      </c>
      <c r="D58" s="8">
        <f t="shared" si="2"/>
        <v>4.379742799</v>
      </c>
    </row>
    <row r="59" ht="15.75" customHeight="1">
      <c r="A59" s="6">
        <v>4.0</v>
      </c>
      <c r="B59" s="6">
        <v>3.0</v>
      </c>
      <c r="C59" s="7">
        <f t="shared" si="1"/>
        <v>-1</v>
      </c>
      <c r="D59" s="8">
        <f t="shared" si="2"/>
        <v>0.8230417685</v>
      </c>
    </row>
    <row r="60" ht="15.75" customHeight="1">
      <c r="A60" s="6">
        <v>5.0</v>
      </c>
      <c r="B60" s="6">
        <v>1.0</v>
      </c>
      <c r="C60" s="7">
        <f t="shared" si="1"/>
        <v>-4</v>
      </c>
      <c r="D60" s="8">
        <f t="shared" si="2"/>
        <v>15.26634074</v>
      </c>
    </row>
    <row r="61" ht="15.75" customHeight="1">
      <c r="A61" s="6">
        <v>5.0</v>
      </c>
      <c r="B61" s="6">
        <v>2.0</v>
      </c>
      <c r="C61" s="7">
        <f t="shared" si="1"/>
        <v>-3</v>
      </c>
      <c r="D61" s="8">
        <f t="shared" si="2"/>
        <v>8.451907748</v>
      </c>
    </row>
    <row r="62" ht="15.75" customHeight="1">
      <c r="A62" s="6">
        <v>3.0</v>
      </c>
      <c r="B62" s="6">
        <v>2.0</v>
      </c>
      <c r="C62" s="7">
        <f t="shared" si="1"/>
        <v>-1</v>
      </c>
      <c r="D62" s="8">
        <f t="shared" si="2"/>
        <v>0.8230417685</v>
      </c>
    </row>
    <row r="63" ht="15.75" customHeight="1">
      <c r="A63" s="6">
        <v>1.0</v>
      </c>
      <c r="B63" s="6">
        <v>4.0</v>
      </c>
      <c r="C63" s="7">
        <f t="shared" si="1"/>
        <v>3</v>
      </c>
      <c r="D63" s="8">
        <f t="shared" si="2"/>
        <v>9.56530981</v>
      </c>
    </row>
    <row r="64" ht="15.75" customHeight="1">
      <c r="A64" s="6">
        <v>3.0</v>
      </c>
      <c r="B64" s="6">
        <v>3.0</v>
      </c>
      <c r="C64" s="7">
        <f t="shared" si="1"/>
        <v>0</v>
      </c>
      <c r="D64" s="8">
        <f t="shared" si="2"/>
        <v>0.008608778829</v>
      </c>
    </row>
    <row r="65" ht="15.75" customHeight="1">
      <c r="A65" s="6">
        <v>1.0</v>
      </c>
      <c r="B65" s="6">
        <v>4.0</v>
      </c>
      <c r="C65" s="7">
        <f t="shared" si="1"/>
        <v>3</v>
      </c>
      <c r="D65" s="8">
        <f t="shared" si="2"/>
        <v>9.56530981</v>
      </c>
    </row>
    <row r="66" ht="15.75" customHeight="1">
      <c r="A66" s="6">
        <v>3.0</v>
      </c>
      <c r="B66" s="6">
        <v>2.0</v>
      </c>
      <c r="C66" s="7">
        <f t="shared" si="1"/>
        <v>-1</v>
      </c>
      <c r="D66" s="8">
        <f t="shared" si="2"/>
        <v>0.8230417685</v>
      </c>
    </row>
    <row r="67" ht="15.75" customHeight="1">
      <c r="A67" s="6">
        <v>3.0</v>
      </c>
      <c r="B67" s="6">
        <v>1.0</v>
      </c>
      <c r="C67" s="7">
        <f t="shared" si="1"/>
        <v>-2</v>
      </c>
      <c r="D67" s="8">
        <f t="shared" si="2"/>
        <v>3.637474758</v>
      </c>
    </row>
    <row r="68" ht="15.75" customHeight="1">
      <c r="A68" s="6">
        <v>3.0</v>
      </c>
      <c r="B68" s="6">
        <v>1.0</v>
      </c>
      <c r="C68" s="7">
        <f t="shared" si="1"/>
        <v>-2</v>
      </c>
      <c r="D68" s="8">
        <f t="shared" si="2"/>
        <v>3.637474758</v>
      </c>
    </row>
    <row r="69" ht="15.75" customHeight="1">
      <c r="A69" s="6">
        <v>5.0</v>
      </c>
      <c r="B69" s="6">
        <v>5.0</v>
      </c>
      <c r="C69" s="7">
        <f t="shared" si="1"/>
        <v>0</v>
      </c>
      <c r="D69" s="8">
        <f t="shared" si="2"/>
        <v>0.008608778829</v>
      </c>
    </row>
    <row r="70" ht="15.75" customHeight="1">
      <c r="A70" s="6">
        <v>3.0</v>
      </c>
      <c r="B70" s="6">
        <v>4.0</v>
      </c>
      <c r="C70" s="7">
        <f t="shared" si="1"/>
        <v>1</v>
      </c>
      <c r="D70" s="8">
        <f t="shared" si="2"/>
        <v>1.194175789</v>
      </c>
    </row>
    <row r="71" ht="15.75" customHeight="1">
      <c r="A71" s="6">
        <v>5.0</v>
      </c>
      <c r="B71" s="6">
        <v>4.0</v>
      </c>
      <c r="C71" s="7">
        <f t="shared" si="1"/>
        <v>-1</v>
      </c>
      <c r="D71" s="8">
        <f t="shared" si="2"/>
        <v>0.8230417685</v>
      </c>
    </row>
    <row r="72" ht="15.75" customHeight="1">
      <c r="A72" s="6">
        <v>2.0</v>
      </c>
      <c r="B72" s="6">
        <v>5.0</v>
      </c>
      <c r="C72" s="7">
        <f t="shared" si="1"/>
        <v>3</v>
      </c>
      <c r="D72" s="8">
        <f t="shared" si="2"/>
        <v>9.56530981</v>
      </c>
    </row>
    <row r="73" ht="15.75" customHeight="1">
      <c r="A73" s="6">
        <v>3.0</v>
      </c>
      <c r="B73" s="6">
        <v>4.0</v>
      </c>
      <c r="C73" s="7">
        <f t="shared" si="1"/>
        <v>1</v>
      </c>
      <c r="D73" s="8">
        <f t="shared" si="2"/>
        <v>1.194175789</v>
      </c>
    </row>
    <row r="74" ht="15.75" customHeight="1">
      <c r="A74" s="6">
        <v>1.0</v>
      </c>
      <c r="B74" s="6">
        <v>4.0</v>
      </c>
      <c r="C74" s="7">
        <f t="shared" si="1"/>
        <v>3</v>
      </c>
      <c r="D74" s="8">
        <f t="shared" si="2"/>
        <v>9.56530981</v>
      </c>
    </row>
    <row r="75" ht="15.75" customHeight="1">
      <c r="A75" s="6">
        <v>1.0</v>
      </c>
      <c r="B75" s="6">
        <v>3.0</v>
      </c>
      <c r="C75" s="7">
        <f t="shared" si="1"/>
        <v>2</v>
      </c>
      <c r="D75" s="8">
        <f t="shared" si="2"/>
        <v>4.379742799</v>
      </c>
    </row>
    <row r="76" ht="15.75" customHeight="1">
      <c r="A76" s="6">
        <v>3.0</v>
      </c>
      <c r="B76" s="6">
        <v>1.0</v>
      </c>
      <c r="C76" s="7">
        <f t="shared" si="1"/>
        <v>-2</v>
      </c>
      <c r="D76" s="8">
        <f t="shared" si="2"/>
        <v>3.637474758</v>
      </c>
    </row>
    <row r="77" ht="15.75" customHeight="1">
      <c r="A77" s="6">
        <v>4.0</v>
      </c>
      <c r="B77" s="6">
        <v>3.0</v>
      </c>
      <c r="C77" s="7">
        <f t="shared" si="1"/>
        <v>-1</v>
      </c>
      <c r="D77" s="8">
        <f t="shared" si="2"/>
        <v>0.8230417685</v>
      </c>
    </row>
    <row r="78" ht="15.75" customHeight="1">
      <c r="A78" s="6">
        <v>5.0</v>
      </c>
      <c r="B78" s="6">
        <v>2.0</v>
      </c>
      <c r="C78" s="7">
        <f t="shared" si="1"/>
        <v>-3</v>
      </c>
      <c r="D78" s="8">
        <f t="shared" si="2"/>
        <v>8.451907748</v>
      </c>
    </row>
    <row r="79" ht="15.75" customHeight="1">
      <c r="A79" s="6">
        <v>2.0</v>
      </c>
      <c r="B79" s="6">
        <v>2.0</v>
      </c>
      <c r="C79" s="7">
        <f t="shared" si="1"/>
        <v>0</v>
      </c>
      <c r="D79" s="8">
        <f t="shared" si="2"/>
        <v>0.008608778829</v>
      </c>
    </row>
    <row r="80" ht="15.75" customHeight="1">
      <c r="A80" s="6">
        <v>3.0</v>
      </c>
      <c r="B80" s="6">
        <v>4.0</v>
      </c>
      <c r="C80" s="7">
        <f t="shared" si="1"/>
        <v>1</v>
      </c>
      <c r="D80" s="8">
        <f t="shared" si="2"/>
        <v>1.194175789</v>
      </c>
    </row>
    <row r="81" ht="15.75" customHeight="1">
      <c r="A81" s="6">
        <v>3.0</v>
      </c>
      <c r="B81" s="6">
        <v>4.0</v>
      </c>
      <c r="C81" s="7">
        <f t="shared" si="1"/>
        <v>1</v>
      </c>
      <c r="D81" s="8">
        <f t="shared" si="2"/>
        <v>1.194175789</v>
      </c>
    </row>
    <row r="82" ht="15.75" customHeight="1">
      <c r="A82" s="6">
        <v>1.0</v>
      </c>
      <c r="B82" s="6">
        <v>3.0</v>
      </c>
      <c r="C82" s="7">
        <f t="shared" si="1"/>
        <v>2</v>
      </c>
      <c r="D82" s="8">
        <f t="shared" si="2"/>
        <v>4.379742799</v>
      </c>
    </row>
    <row r="83" ht="15.75" customHeight="1">
      <c r="A83" s="6">
        <v>2.0</v>
      </c>
      <c r="B83" s="6">
        <v>2.0</v>
      </c>
      <c r="C83" s="7">
        <f t="shared" si="1"/>
        <v>0</v>
      </c>
      <c r="D83" s="8">
        <f t="shared" si="2"/>
        <v>0.008608778829</v>
      </c>
    </row>
    <row r="84" ht="15.75" customHeight="1">
      <c r="A84" s="6">
        <v>2.0</v>
      </c>
      <c r="B84" s="6">
        <v>4.0</v>
      </c>
      <c r="C84" s="7">
        <f t="shared" si="1"/>
        <v>2</v>
      </c>
      <c r="D84" s="8">
        <f t="shared" si="2"/>
        <v>4.379742799</v>
      </c>
    </row>
    <row r="85" ht="15.75" customHeight="1">
      <c r="A85" s="6">
        <v>5.0</v>
      </c>
      <c r="B85" s="6">
        <v>3.0</v>
      </c>
      <c r="C85" s="7">
        <f t="shared" si="1"/>
        <v>-2</v>
      </c>
      <c r="D85" s="8">
        <f t="shared" si="2"/>
        <v>3.637474758</v>
      </c>
    </row>
    <row r="86" ht="15.75" customHeight="1">
      <c r="A86" s="6">
        <v>3.0</v>
      </c>
      <c r="B86" s="6">
        <v>3.0</v>
      </c>
      <c r="C86" s="7">
        <f t="shared" si="1"/>
        <v>0</v>
      </c>
      <c r="D86" s="8">
        <f t="shared" si="2"/>
        <v>0.008608778829</v>
      </c>
    </row>
    <row r="87" ht="15.75" customHeight="1">
      <c r="A87" s="6">
        <v>4.0</v>
      </c>
      <c r="B87" s="6">
        <v>4.0</v>
      </c>
      <c r="C87" s="7">
        <f t="shared" si="1"/>
        <v>0</v>
      </c>
      <c r="D87" s="8">
        <f t="shared" si="2"/>
        <v>0.008608778829</v>
      </c>
    </row>
    <row r="88" ht="15.75" customHeight="1">
      <c r="A88" s="6">
        <v>3.0</v>
      </c>
      <c r="B88" s="6">
        <v>5.0</v>
      </c>
      <c r="C88" s="7">
        <f t="shared" si="1"/>
        <v>2</v>
      </c>
      <c r="D88" s="8">
        <f t="shared" si="2"/>
        <v>4.379742799</v>
      </c>
    </row>
    <row r="89" ht="15.75" customHeight="1">
      <c r="A89" s="6">
        <v>2.0</v>
      </c>
      <c r="B89" s="6">
        <v>2.0</v>
      </c>
      <c r="C89" s="7">
        <f t="shared" si="1"/>
        <v>0</v>
      </c>
      <c r="D89" s="8">
        <f t="shared" si="2"/>
        <v>0.008608778829</v>
      </c>
    </row>
    <row r="90" ht="15.75" customHeight="1">
      <c r="A90" s="6">
        <v>3.0</v>
      </c>
      <c r="B90" s="6">
        <v>3.0</v>
      </c>
      <c r="C90" s="7">
        <f t="shared" si="1"/>
        <v>0</v>
      </c>
      <c r="D90" s="8">
        <f t="shared" si="2"/>
        <v>0.008608778829</v>
      </c>
    </row>
    <row r="91" ht="15.75" customHeight="1">
      <c r="A91" s="6">
        <v>3.0</v>
      </c>
      <c r="B91" s="6">
        <v>2.0</v>
      </c>
      <c r="C91" s="7">
        <f t="shared" si="1"/>
        <v>-1</v>
      </c>
      <c r="D91" s="8">
        <f t="shared" si="2"/>
        <v>0.8230417685</v>
      </c>
    </row>
    <row r="92" ht="15.75" customHeight="1">
      <c r="A92" s="6">
        <v>3.0</v>
      </c>
      <c r="B92" s="6">
        <v>2.0</v>
      </c>
      <c r="C92" s="7">
        <f t="shared" si="1"/>
        <v>-1</v>
      </c>
      <c r="D92" s="8">
        <f t="shared" si="2"/>
        <v>0.8230417685</v>
      </c>
    </row>
    <row r="93" ht="15.75" customHeight="1">
      <c r="A93" s="6">
        <v>3.0</v>
      </c>
      <c r="B93" s="6">
        <v>3.0</v>
      </c>
      <c r="C93" s="7">
        <f t="shared" si="1"/>
        <v>0</v>
      </c>
      <c r="D93" s="8">
        <f t="shared" si="2"/>
        <v>0.008608778829</v>
      </c>
      <c r="F93" s="12"/>
    </row>
    <row r="94" ht="15.75" customHeight="1">
      <c r="A94" s="6">
        <v>3.0</v>
      </c>
      <c r="B94" s="6">
        <v>5.0</v>
      </c>
      <c r="C94" s="7">
        <f t="shared" si="1"/>
        <v>2</v>
      </c>
      <c r="D94" s="8">
        <f t="shared" si="2"/>
        <v>4.379742799</v>
      </c>
    </row>
    <row r="95" ht="15.75" customHeight="1">
      <c r="A95" s="6">
        <v>3.0</v>
      </c>
      <c r="B95" s="6">
        <v>2.0</v>
      </c>
      <c r="C95" s="7">
        <f t="shared" si="1"/>
        <v>-1</v>
      </c>
      <c r="D95" s="8">
        <f t="shared" si="2"/>
        <v>0.8230417685</v>
      </c>
    </row>
    <row r="96" ht="15.75" customHeight="1">
      <c r="A96" s="6">
        <v>3.0</v>
      </c>
      <c r="B96" s="6">
        <v>3.0</v>
      </c>
      <c r="C96" s="7">
        <f t="shared" si="1"/>
        <v>0</v>
      </c>
      <c r="D96" s="8">
        <f t="shared" si="2"/>
        <v>0.008608778829</v>
      </c>
    </row>
    <row r="97" ht="15.75" customHeight="1">
      <c r="A97" s="6">
        <v>3.0</v>
      </c>
      <c r="B97" s="6">
        <v>4.0</v>
      </c>
      <c r="C97" s="7">
        <f t="shared" si="1"/>
        <v>1</v>
      </c>
      <c r="D97" s="8">
        <f t="shared" si="2"/>
        <v>1.194175789</v>
      </c>
    </row>
    <row r="98" ht="15.75" customHeight="1">
      <c r="A98" s="6">
        <v>3.0</v>
      </c>
      <c r="B98" s="6">
        <v>3.0</v>
      </c>
      <c r="C98" s="7">
        <f t="shared" si="1"/>
        <v>0</v>
      </c>
      <c r="D98" s="8">
        <f t="shared" si="2"/>
        <v>0.008608778829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3.29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14" t="s">
        <v>81</v>
      </c>
      <c r="B1" s="14" t="s">
        <v>82</v>
      </c>
      <c r="C1" s="5" t="s">
        <v>12</v>
      </c>
      <c r="D1" s="5"/>
    </row>
    <row r="2">
      <c r="A2" s="6">
        <v>3.0</v>
      </c>
      <c r="B2" s="6">
        <v>3.0</v>
      </c>
      <c r="C2" s="7">
        <f t="shared" ref="C2:C98" si="1">B2-A2</f>
        <v>0</v>
      </c>
      <c r="D2" s="8">
        <f t="shared" ref="D2:D98" si="2">(C2-$G$6)^2</f>
        <v>0.02720799235</v>
      </c>
    </row>
    <row r="3">
      <c r="A3" s="6">
        <v>4.0</v>
      </c>
      <c r="B3" s="6">
        <v>2.0</v>
      </c>
      <c r="C3" s="7">
        <f t="shared" si="1"/>
        <v>-2</v>
      </c>
      <c r="D3" s="8">
        <f t="shared" si="2"/>
        <v>3.367414178</v>
      </c>
      <c r="F3" s="9" t="s">
        <v>14</v>
      </c>
      <c r="G3" s="9"/>
    </row>
    <row r="4">
      <c r="A4" s="6">
        <v>3.0</v>
      </c>
      <c r="B4" s="6">
        <v>1.0</v>
      </c>
      <c r="C4" s="7">
        <f t="shared" si="1"/>
        <v>-2</v>
      </c>
      <c r="D4" s="8">
        <f t="shared" si="2"/>
        <v>3.367414178</v>
      </c>
      <c r="F4" s="6" t="s">
        <v>15</v>
      </c>
      <c r="G4" s="6">
        <f>COUNT(A:A)</f>
        <v>97</v>
      </c>
    </row>
    <row r="5">
      <c r="A5" s="6">
        <v>3.0</v>
      </c>
      <c r="B5" s="6">
        <v>2.0</v>
      </c>
      <c r="C5" s="7">
        <f t="shared" si="1"/>
        <v>-1</v>
      </c>
      <c r="D5" s="8">
        <f t="shared" si="2"/>
        <v>0.6973110851</v>
      </c>
      <c r="F5" s="6" t="s">
        <v>17</v>
      </c>
      <c r="G5" s="6">
        <f>SUM(C:C)</f>
        <v>-16</v>
      </c>
    </row>
    <row r="6">
      <c r="A6" s="6">
        <v>2.0</v>
      </c>
      <c r="B6" s="6">
        <v>5.0</v>
      </c>
      <c r="C6" s="7">
        <f t="shared" si="1"/>
        <v>3</v>
      </c>
      <c r="D6" s="8">
        <f t="shared" si="2"/>
        <v>10.01689871</v>
      </c>
      <c r="F6" s="6" t="s">
        <v>18</v>
      </c>
      <c r="G6" s="6">
        <f>G5/G4</f>
        <v>-0.1649484536</v>
      </c>
    </row>
    <row r="7">
      <c r="A7" s="6">
        <v>2.0</v>
      </c>
      <c r="B7" s="6">
        <v>2.0</v>
      </c>
      <c r="C7" s="7">
        <f t="shared" si="1"/>
        <v>0</v>
      </c>
      <c r="D7" s="8">
        <f t="shared" si="2"/>
        <v>0.02720799235</v>
      </c>
      <c r="F7" s="6" t="s">
        <v>19</v>
      </c>
      <c r="G7" s="6">
        <f>SUM(D:D)</f>
        <v>255.3608247</v>
      </c>
    </row>
    <row r="8">
      <c r="A8" s="6">
        <v>3.0</v>
      </c>
      <c r="B8" s="6">
        <v>4.0</v>
      </c>
      <c r="C8" s="7">
        <f t="shared" si="1"/>
        <v>1</v>
      </c>
      <c r="D8" s="8">
        <f t="shared" si="2"/>
        <v>1.3571049</v>
      </c>
      <c r="F8" s="6" t="s">
        <v>21</v>
      </c>
      <c r="G8" s="6">
        <f>SQRT(G7/(G4-1))</f>
        <v>1.630953277</v>
      </c>
    </row>
    <row r="9">
      <c r="A9" s="6">
        <v>1.0</v>
      </c>
      <c r="B9" s="6">
        <v>4.0</v>
      </c>
      <c r="C9" s="7">
        <f t="shared" si="1"/>
        <v>3</v>
      </c>
      <c r="D9" s="8">
        <f t="shared" si="2"/>
        <v>10.01689871</v>
      </c>
    </row>
    <row r="10">
      <c r="A10" s="6">
        <v>4.0</v>
      </c>
      <c r="B10" s="6">
        <v>2.0</v>
      </c>
      <c r="C10" s="7">
        <f t="shared" si="1"/>
        <v>-2</v>
      </c>
      <c r="D10" s="8">
        <f t="shared" si="2"/>
        <v>3.367414178</v>
      </c>
    </row>
    <row r="11">
      <c r="A11" s="6">
        <v>5.0</v>
      </c>
      <c r="B11" s="6">
        <v>2.0</v>
      </c>
      <c r="C11" s="7">
        <f t="shared" si="1"/>
        <v>-3</v>
      </c>
      <c r="D11" s="8">
        <f t="shared" si="2"/>
        <v>8.037517271</v>
      </c>
    </row>
    <row r="12">
      <c r="A12" s="6">
        <v>1.0</v>
      </c>
      <c r="B12" s="6">
        <v>3.0</v>
      </c>
      <c r="C12" s="7">
        <f t="shared" si="1"/>
        <v>2</v>
      </c>
      <c r="D12" s="8">
        <f t="shared" si="2"/>
        <v>4.687001807</v>
      </c>
      <c r="F12" s="6" t="s">
        <v>23</v>
      </c>
      <c r="G12" s="6">
        <f>G6/(G8/SQRT(G4))</f>
        <v>-0.9960762747</v>
      </c>
    </row>
    <row r="13">
      <c r="A13" s="6">
        <v>3.0</v>
      </c>
      <c r="B13" s="6">
        <v>5.0</v>
      </c>
      <c r="C13" s="7">
        <f t="shared" si="1"/>
        <v>2</v>
      </c>
      <c r="D13" s="8">
        <f t="shared" si="2"/>
        <v>4.687001807</v>
      </c>
    </row>
    <row r="14">
      <c r="A14" s="6">
        <v>5.0</v>
      </c>
      <c r="B14" s="6">
        <v>3.0</v>
      </c>
      <c r="C14" s="7">
        <f t="shared" si="1"/>
        <v>-2</v>
      </c>
      <c r="D14" s="8">
        <f t="shared" si="2"/>
        <v>3.367414178</v>
      </c>
    </row>
    <row r="15">
      <c r="A15" s="6">
        <v>3.0</v>
      </c>
      <c r="B15" s="6">
        <v>1.0</v>
      </c>
      <c r="C15" s="7">
        <f t="shared" si="1"/>
        <v>-2</v>
      </c>
      <c r="D15" s="8">
        <f t="shared" si="2"/>
        <v>3.367414178</v>
      </c>
    </row>
    <row r="16">
      <c r="A16" s="6">
        <v>3.0</v>
      </c>
      <c r="B16" s="6">
        <v>1.0</v>
      </c>
      <c r="C16" s="7">
        <f t="shared" si="1"/>
        <v>-2</v>
      </c>
      <c r="D16" s="8">
        <f t="shared" si="2"/>
        <v>3.367414178</v>
      </c>
    </row>
    <row r="17">
      <c r="A17" s="6">
        <v>3.0</v>
      </c>
      <c r="B17" s="6">
        <v>3.0</v>
      </c>
      <c r="C17" s="7">
        <f t="shared" si="1"/>
        <v>0</v>
      </c>
      <c r="D17" s="8">
        <f t="shared" si="2"/>
        <v>0.02720799235</v>
      </c>
      <c r="F17" s="6" t="s">
        <v>25</v>
      </c>
      <c r="G17" s="6">
        <v>0.05</v>
      </c>
    </row>
    <row r="18">
      <c r="A18" s="6">
        <v>2.0</v>
      </c>
      <c r="B18" s="6">
        <v>3.0</v>
      </c>
      <c r="C18" s="7">
        <f t="shared" si="1"/>
        <v>1</v>
      </c>
      <c r="D18" s="8">
        <f t="shared" si="2"/>
        <v>1.3571049</v>
      </c>
      <c r="F18" s="6" t="s">
        <v>26</v>
      </c>
      <c r="G18" s="6">
        <f>G4-1</f>
        <v>96</v>
      </c>
    </row>
    <row r="19">
      <c r="A19" s="6">
        <v>3.0</v>
      </c>
      <c r="B19" s="6">
        <v>2.0</v>
      </c>
      <c r="C19" s="7">
        <f t="shared" si="1"/>
        <v>-1</v>
      </c>
      <c r="D19" s="8">
        <f t="shared" si="2"/>
        <v>0.6973110851</v>
      </c>
    </row>
    <row r="20">
      <c r="A20" s="6">
        <v>3.0</v>
      </c>
      <c r="B20" s="6">
        <v>4.0</v>
      </c>
      <c r="C20" s="7">
        <f t="shared" si="1"/>
        <v>1</v>
      </c>
      <c r="D20" s="8">
        <f t="shared" si="2"/>
        <v>1.3571049</v>
      </c>
    </row>
    <row r="21" ht="15.75" customHeight="1">
      <c r="A21" s="6">
        <v>4.0</v>
      </c>
      <c r="B21" s="6">
        <v>2.0</v>
      </c>
      <c r="C21" s="7">
        <f t="shared" si="1"/>
        <v>-2</v>
      </c>
      <c r="D21" s="8">
        <f t="shared" si="2"/>
        <v>3.367414178</v>
      </c>
    </row>
    <row r="22" ht="15.75" customHeight="1">
      <c r="A22" s="6">
        <v>3.0</v>
      </c>
      <c r="B22" s="6">
        <v>3.0</v>
      </c>
      <c r="C22" s="7">
        <f t="shared" si="1"/>
        <v>0</v>
      </c>
      <c r="D22" s="8">
        <f t="shared" si="2"/>
        <v>0.02720799235</v>
      </c>
      <c r="F22" s="9" t="s">
        <v>27</v>
      </c>
      <c r="G22" s="9"/>
    </row>
    <row r="23" ht="15.75" customHeight="1">
      <c r="A23" s="6">
        <v>4.0</v>
      </c>
      <c r="B23" s="6">
        <v>1.0</v>
      </c>
      <c r="C23" s="7">
        <f t="shared" si="1"/>
        <v>-3</v>
      </c>
      <c r="D23" s="8">
        <f t="shared" si="2"/>
        <v>8.037517271</v>
      </c>
      <c r="F23" s="6" t="s">
        <v>91</v>
      </c>
      <c r="G23" s="6">
        <f>_xlfn.T.INV.2T(G17,G18)</f>
        <v>1.984984312</v>
      </c>
    </row>
    <row r="24" ht="15.75" customHeight="1">
      <c r="A24" s="6">
        <v>3.0</v>
      </c>
      <c r="B24" s="6">
        <v>4.0</v>
      </c>
      <c r="C24" s="7">
        <f t="shared" si="1"/>
        <v>1</v>
      </c>
      <c r="D24" s="8">
        <f t="shared" si="2"/>
        <v>1.3571049</v>
      </c>
      <c r="F24" s="6" t="s">
        <v>92</v>
      </c>
      <c r="G24" s="6">
        <f>_xlfn.T.INV(G17,G18)</f>
        <v>-1.66088144</v>
      </c>
    </row>
    <row r="25" ht="15.75" customHeight="1">
      <c r="A25" s="6">
        <v>3.0</v>
      </c>
      <c r="B25" s="6">
        <v>3.0</v>
      </c>
      <c r="C25" s="7">
        <f t="shared" si="1"/>
        <v>0</v>
      </c>
      <c r="D25" s="8">
        <f t="shared" si="2"/>
        <v>0.02720799235</v>
      </c>
    </row>
    <row r="26" ht="15.75" customHeight="1">
      <c r="A26" s="6">
        <v>4.0</v>
      </c>
      <c r="B26" s="6">
        <v>3.0</v>
      </c>
      <c r="C26" s="7">
        <f t="shared" si="1"/>
        <v>-1</v>
      </c>
      <c r="D26" s="8">
        <f t="shared" si="2"/>
        <v>0.6973110851</v>
      </c>
    </row>
    <row r="27" ht="15.75" customHeight="1">
      <c r="A27" s="6">
        <v>2.0</v>
      </c>
      <c r="B27" s="6">
        <v>3.0</v>
      </c>
      <c r="C27" s="7">
        <f t="shared" si="1"/>
        <v>1</v>
      </c>
      <c r="D27" s="8">
        <f t="shared" si="2"/>
        <v>1.3571049</v>
      </c>
      <c r="F27" s="9" t="s">
        <v>32</v>
      </c>
      <c r="G27" s="9"/>
    </row>
    <row r="28" ht="15.75" customHeight="1">
      <c r="A28" s="6">
        <v>2.0</v>
      </c>
      <c r="B28" s="6">
        <v>1.0</v>
      </c>
      <c r="C28" s="7">
        <f t="shared" si="1"/>
        <v>-1</v>
      </c>
      <c r="D28" s="8">
        <f t="shared" si="2"/>
        <v>0.6973110851</v>
      </c>
      <c r="F28" s="6" t="s">
        <v>32</v>
      </c>
    </row>
    <row r="29" ht="15.75" customHeight="1">
      <c r="A29" s="6">
        <v>2.0</v>
      </c>
      <c r="B29" s="6">
        <v>2.0</v>
      </c>
      <c r="C29" s="7">
        <f t="shared" si="1"/>
        <v>0</v>
      </c>
      <c r="D29" s="8">
        <f t="shared" si="2"/>
        <v>0.02720799235</v>
      </c>
      <c r="F29" s="6" t="s">
        <v>94</v>
      </c>
      <c r="G29" s="6">
        <f>TTEST(A:A,B:B,2,1)</f>
        <v>0.3217171733</v>
      </c>
    </row>
    <row r="30" ht="15.75" customHeight="1">
      <c r="A30" s="6">
        <v>1.0</v>
      </c>
      <c r="B30" s="6">
        <v>3.0</v>
      </c>
      <c r="C30" s="7">
        <f t="shared" si="1"/>
        <v>2</v>
      </c>
      <c r="D30" s="8">
        <f t="shared" si="2"/>
        <v>4.687001807</v>
      </c>
      <c r="F30" s="6" t="s">
        <v>95</v>
      </c>
      <c r="G30" s="6">
        <f>TTEST(A:A,B:B,1,1)</f>
        <v>0.1608585866</v>
      </c>
    </row>
    <row r="31" ht="15.75" customHeight="1">
      <c r="A31" s="6">
        <v>3.0</v>
      </c>
      <c r="B31" s="6">
        <v>1.0</v>
      </c>
      <c r="C31" s="7">
        <f t="shared" si="1"/>
        <v>-2</v>
      </c>
      <c r="D31" s="8">
        <f t="shared" si="2"/>
        <v>3.367414178</v>
      </c>
    </row>
    <row r="32" ht="15.75" customHeight="1">
      <c r="A32" s="6">
        <v>4.0</v>
      </c>
      <c r="B32" s="6">
        <v>1.0</v>
      </c>
      <c r="C32" s="7">
        <f t="shared" si="1"/>
        <v>-3</v>
      </c>
      <c r="D32" s="8">
        <f t="shared" si="2"/>
        <v>8.037517271</v>
      </c>
    </row>
    <row r="33" ht="15.75" customHeight="1">
      <c r="A33" s="6">
        <v>3.0</v>
      </c>
      <c r="B33" s="6">
        <v>3.0</v>
      </c>
      <c r="C33" s="7">
        <f t="shared" si="1"/>
        <v>0</v>
      </c>
      <c r="D33" s="8">
        <f t="shared" si="2"/>
        <v>0.02720799235</v>
      </c>
      <c r="F33" s="10" t="s">
        <v>39</v>
      </c>
      <c r="G33" s="10"/>
    </row>
    <row r="34" ht="15.75" customHeight="1">
      <c r="A34" s="6">
        <v>4.0</v>
      </c>
      <c r="B34" s="6">
        <v>5.0</v>
      </c>
      <c r="C34" s="7">
        <f t="shared" si="1"/>
        <v>1</v>
      </c>
      <c r="D34" s="8">
        <f t="shared" si="2"/>
        <v>1.3571049</v>
      </c>
    </row>
    <row r="35" ht="15.75" customHeight="1">
      <c r="A35" s="6">
        <v>2.0</v>
      </c>
      <c r="B35" s="6">
        <v>5.0</v>
      </c>
      <c r="C35" s="7">
        <f t="shared" si="1"/>
        <v>3</v>
      </c>
      <c r="D35" s="8">
        <f t="shared" si="2"/>
        <v>10.01689871</v>
      </c>
      <c r="F35" s="6" t="s">
        <v>96</v>
      </c>
    </row>
    <row r="36" ht="15.75" customHeight="1">
      <c r="A36" s="6">
        <v>1.0</v>
      </c>
      <c r="B36" s="6">
        <v>1.0</v>
      </c>
      <c r="C36" s="7">
        <f t="shared" si="1"/>
        <v>0</v>
      </c>
      <c r="D36" s="8">
        <f t="shared" si="2"/>
        <v>0.02720799235</v>
      </c>
      <c r="F36" s="6" t="s">
        <v>97</v>
      </c>
    </row>
    <row r="37" ht="15.75" customHeight="1">
      <c r="A37" s="6">
        <v>5.0</v>
      </c>
      <c r="B37" s="6">
        <v>3.0</v>
      </c>
      <c r="C37" s="7">
        <f t="shared" si="1"/>
        <v>-2</v>
      </c>
      <c r="D37" s="8">
        <f t="shared" si="2"/>
        <v>3.367414178</v>
      </c>
    </row>
    <row r="38" ht="15.75" customHeight="1">
      <c r="A38" s="6">
        <v>2.0</v>
      </c>
      <c r="B38" s="6">
        <v>2.0</v>
      </c>
      <c r="C38" s="7">
        <f t="shared" si="1"/>
        <v>0</v>
      </c>
      <c r="D38" s="8">
        <f t="shared" si="2"/>
        <v>0.02720799235</v>
      </c>
    </row>
    <row r="39" ht="15.75" customHeight="1">
      <c r="A39" s="6">
        <v>3.0</v>
      </c>
      <c r="B39" s="6">
        <v>2.0</v>
      </c>
      <c r="C39" s="7">
        <f t="shared" si="1"/>
        <v>-1</v>
      </c>
      <c r="D39" s="8">
        <f t="shared" si="2"/>
        <v>0.6973110851</v>
      </c>
    </row>
    <row r="40" ht="15.75" customHeight="1">
      <c r="A40" s="6">
        <v>3.0</v>
      </c>
      <c r="B40" s="6">
        <v>1.0</v>
      </c>
      <c r="C40" s="7">
        <f t="shared" si="1"/>
        <v>-2</v>
      </c>
      <c r="D40" s="8">
        <f t="shared" si="2"/>
        <v>3.367414178</v>
      </c>
      <c r="F40" s="6" t="s">
        <v>98</v>
      </c>
    </row>
    <row r="41" ht="15.75" customHeight="1">
      <c r="A41" s="6">
        <v>1.0</v>
      </c>
      <c r="B41" s="6">
        <v>1.0</v>
      </c>
      <c r="C41" s="7">
        <f t="shared" si="1"/>
        <v>0</v>
      </c>
      <c r="D41" s="8">
        <f t="shared" si="2"/>
        <v>0.02720799235</v>
      </c>
      <c r="F41" s="6" t="str">
        <f>"Dos Colas: Si t calculado ("&amp;G12&amp;") &gt; a t critico  ("&amp;G23&amp;") (de tabla) ---&gt; Se rechaza la hipotesis nula"</f>
        <v>Dos Colas: Si t calculado (-0,996076274737469) &gt; a t critico  (1,98498431152245) (de tabla) ---&gt; Se rechaza la hipotesis nula</v>
      </c>
    </row>
    <row r="42" ht="15.75" customHeight="1">
      <c r="A42" s="6">
        <v>3.0</v>
      </c>
      <c r="B42" s="6">
        <v>3.0</v>
      </c>
      <c r="C42" s="7">
        <f t="shared" si="1"/>
        <v>0</v>
      </c>
      <c r="D42" s="8">
        <f t="shared" si="2"/>
        <v>0.02720799235</v>
      </c>
      <c r="F42" s="6" t="str">
        <f>"Una Cola: Si t calculado ("&amp;G12&amp;") &gt; a t critico  ("&amp;G24&amp;") (de tabla) ---&gt; Se rechaza la hipotesis nula"</f>
        <v>Una Cola: Si t calculado (-0,996076274737469) &gt; a t critico  (-1,66088144032486) (de tabla) ---&gt; Se rechaza la hipotesis nula</v>
      </c>
    </row>
    <row r="43" ht="15.75" customHeight="1">
      <c r="A43" s="6">
        <v>4.0</v>
      </c>
      <c r="B43" s="6">
        <v>1.0</v>
      </c>
      <c r="C43" s="7">
        <f t="shared" si="1"/>
        <v>-3</v>
      </c>
      <c r="D43" s="8">
        <f t="shared" si="2"/>
        <v>8.037517271</v>
      </c>
    </row>
    <row r="44" ht="15.75" customHeight="1">
      <c r="A44" s="6">
        <v>5.0</v>
      </c>
      <c r="B44" s="6">
        <v>3.0</v>
      </c>
      <c r="C44" s="7">
        <f t="shared" si="1"/>
        <v>-2</v>
      </c>
      <c r="D44" s="8">
        <f t="shared" si="2"/>
        <v>3.367414178</v>
      </c>
    </row>
    <row r="45" ht="15.75" customHeight="1">
      <c r="A45" s="6">
        <v>5.0</v>
      </c>
      <c r="B45" s="6">
        <v>4.0</v>
      </c>
      <c r="C45" s="7">
        <f t="shared" si="1"/>
        <v>-1</v>
      </c>
      <c r="D45" s="8">
        <f t="shared" si="2"/>
        <v>0.6973110851</v>
      </c>
    </row>
    <row r="46" ht="15.75" customHeight="1">
      <c r="A46" s="6">
        <v>1.0</v>
      </c>
      <c r="B46" s="6">
        <v>2.0</v>
      </c>
      <c r="C46" s="7">
        <f t="shared" si="1"/>
        <v>1</v>
      </c>
      <c r="D46" s="8">
        <f t="shared" si="2"/>
        <v>1.3571049</v>
      </c>
      <c r="F46" s="6" t="s">
        <v>99</v>
      </c>
    </row>
    <row r="47" ht="15.75" customHeight="1">
      <c r="A47" s="6">
        <v>2.0</v>
      </c>
      <c r="B47" s="6">
        <v>3.0</v>
      </c>
      <c r="C47" s="7">
        <f t="shared" si="1"/>
        <v>1</v>
      </c>
      <c r="D47" s="8">
        <f t="shared" si="2"/>
        <v>1.3571049</v>
      </c>
      <c r="F47" s="6" t="str">
        <f>"Dos Colas: Si p valor ("&amp;G29&amp;") &lt; Nivel Significancia ("&amp;G17&amp;") ---&gt; Se rechaza la hipotesis nula"</f>
        <v>Dos Colas: Si p valor (0,321717173283736) &lt; Nivel Significancia (0,05) ---&gt; Se rechaza la hipotesis nula</v>
      </c>
    </row>
    <row r="48" ht="15.75" customHeight="1">
      <c r="A48" s="6">
        <v>3.0</v>
      </c>
      <c r="B48" s="6">
        <v>3.0</v>
      </c>
      <c r="C48" s="7">
        <f t="shared" si="1"/>
        <v>0</v>
      </c>
      <c r="D48" s="8">
        <f t="shared" si="2"/>
        <v>0.02720799235</v>
      </c>
      <c r="F48" s="6" t="str">
        <f>"Una Cola: Si p valor ("&amp;G30&amp;") &lt; Nivel Significancia ("&amp;G17&amp;") ---&gt; Se rechaza la hipotesis nula"</f>
        <v>Una Cola: Si p valor (0,160858586641868) &lt; Nivel Significancia (0,05) ---&gt; Se rechaza la hipotesis nula</v>
      </c>
    </row>
    <row r="49" ht="15.75" customHeight="1">
      <c r="A49" s="6">
        <v>4.0</v>
      </c>
      <c r="B49" s="6">
        <v>2.0</v>
      </c>
      <c r="C49" s="7">
        <f t="shared" si="1"/>
        <v>-2</v>
      </c>
      <c r="D49" s="8">
        <f t="shared" si="2"/>
        <v>3.367414178</v>
      </c>
    </row>
    <row r="50" ht="15.75" customHeight="1">
      <c r="A50" s="6">
        <v>3.0</v>
      </c>
      <c r="B50" s="6">
        <v>5.0</v>
      </c>
      <c r="C50" s="7">
        <f t="shared" si="1"/>
        <v>2</v>
      </c>
      <c r="D50" s="8">
        <f t="shared" si="2"/>
        <v>4.687001807</v>
      </c>
    </row>
    <row r="51" ht="15.75" customHeight="1">
      <c r="A51" s="6">
        <v>4.0</v>
      </c>
      <c r="B51" s="6">
        <v>3.0</v>
      </c>
      <c r="C51" s="7">
        <f t="shared" si="1"/>
        <v>-1</v>
      </c>
      <c r="D51" s="8">
        <f t="shared" si="2"/>
        <v>0.6973110851</v>
      </c>
    </row>
    <row r="52" ht="15.75" customHeight="1">
      <c r="A52" s="6">
        <v>4.0</v>
      </c>
      <c r="B52" s="6">
        <v>4.0</v>
      </c>
      <c r="C52" s="7">
        <f t="shared" si="1"/>
        <v>0</v>
      </c>
      <c r="D52" s="8">
        <f t="shared" si="2"/>
        <v>0.02720799235</v>
      </c>
    </row>
    <row r="53" ht="15.75" customHeight="1">
      <c r="A53" s="6">
        <v>5.0</v>
      </c>
      <c r="B53" s="6">
        <v>3.0</v>
      </c>
      <c r="C53" s="7">
        <f t="shared" si="1"/>
        <v>-2</v>
      </c>
      <c r="D53" s="8">
        <f t="shared" si="2"/>
        <v>3.367414178</v>
      </c>
    </row>
    <row r="54" ht="15.75" customHeight="1">
      <c r="A54" s="6">
        <v>3.0</v>
      </c>
      <c r="B54" s="6">
        <v>3.0</v>
      </c>
      <c r="C54" s="7">
        <f t="shared" si="1"/>
        <v>0</v>
      </c>
      <c r="D54" s="8">
        <f t="shared" si="2"/>
        <v>0.02720799235</v>
      </c>
    </row>
    <row r="55" ht="15.75" customHeight="1">
      <c r="A55" s="6">
        <v>3.0</v>
      </c>
      <c r="B55" s="6">
        <v>2.0</v>
      </c>
      <c r="C55" s="7">
        <f t="shared" si="1"/>
        <v>-1</v>
      </c>
      <c r="D55" s="8">
        <f t="shared" si="2"/>
        <v>0.6973110851</v>
      </c>
    </row>
    <row r="56" ht="15.75" customHeight="1">
      <c r="A56" s="6">
        <v>4.0</v>
      </c>
      <c r="B56" s="6">
        <v>1.0</v>
      </c>
      <c r="C56" s="7">
        <f t="shared" si="1"/>
        <v>-3</v>
      </c>
      <c r="D56" s="8">
        <f t="shared" si="2"/>
        <v>8.037517271</v>
      </c>
    </row>
    <row r="57" ht="15.75" customHeight="1">
      <c r="A57" s="6">
        <v>2.0</v>
      </c>
      <c r="B57" s="6">
        <v>3.0</v>
      </c>
      <c r="C57" s="7">
        <f t="shared" si="1"/>
        <v>1</v>
      </c>
      <c r="D57" s="8">
        <f t="shared" si="2"/>
        <v>1.3571049</v>
      </c>
    </row>
    <row r="58" ht="15.75" customHeight="1">
      <c r="A58" s="6">
        <v>3.0</v>
      </c>
      <c r="B58" s="6">
        <v>3.0</v>
      </c>
      <c r="C58" s="7">
        <f t="shared" si="1"/>
        <v>0</v>
      </c>
      <c r="D58" s="8">
        <f t="shared" si="2"/>
        <v>0.02720799235</v>
      </c>
    </row>
    <row r="59" ht="15.75" customHeight="1">
      <c r="A59" s="6">
        <v>2.0</v>
      </c>
      <c r="B59" s="6">
        <v>2.0</v>
      </c>
      <c r="C59" s="7">
        <f t="shared" si="1"/>
        <v>0</v>
      </c>
      <c r="D59" s="8">
        <f t="shared" si="2"/>
        <v>0.02720799235</v>
      </c>
    </row>
    <row r="60" ht="15.75" customHeight="1">
      <c r="A60" s="6">
        <v>2.0</v>
      </c>
      <c r="B60" s="6">
        <v>3.0</v>
      </c>
      <c r="C60" s="7">
        <f t="shared" si="1"/>
        <v>1</v>
      </c>
      <c r="D60" s="8">
        <f t="shared" si="2"/>
        <v>1.3571049</v>
      </c>
    </row>
    <row r="61" ht="15.75" customHeight="1">
      <c r="A61" s="6">
        <v>3.0</v>
      </c>
      <c r="B61" s="6">
        <v>4.0</v>
      </c>
      <c r="C61" s="7">
        <f t="shared" si="1"/>
        <v>1</v>
      </c>
      <c r="D61" s="8">
        <f t="shared" si="2"/>
        <v>1.3571049</v>
      </c>
    </row>
    <row r="62" ht="15.75" customHeight="1">
      <c r="A62" s="6">
        <v>2.0</v>
      </c>
      <c r="B62" s="6">
        <v>2.0</v>
      </c>
      <c r="C62" s="7">
        <f t="shared" si="1"/>
        <v>0</v>
      </c>
      <c r="D62" s="8">
        <f t="shared" si="2"/>
        <v>0.02720799235</v>
      </c>
    </row>
    <row r="63" ht="15.75" customHeight="1">
      <c r="A63" s="6">
        <v>3.0</v>
      </c>
      <c r="B63" s="6">
        <v>4.0</v>
      </c>
      <c r="C63" s="7">
        <f t="shared" si="1"/>
        <v>1</v>
      </c>
      <c r="D63" s="8">
        <f t="shared" si="2"/>
        <v>1.3571049</v>
      </c>
    </row>
    <row r="64" ht="15.75" customHeight="1">
      <c r="A64" s="6">
        <v>5.0</v>
      </c>
      <c r="B64" s="6">
        <v>1.0</v>
      </c>
      <c r="C64" s="7">
        <f t="shared" si="1"/>
        <v>-4</v>
      </c>
      <c r="D64" s="8">
        <f t="shared" si="2"/>
        <v>14.70762036</v>
      </c>
    </row>
    <row r="65" ht="15.75" customHeight="1">
      <c r="A65" s="6">
        <v>2.0</v>
      </c>
      <c r="B65" s="6">
        <v>2.0</v>
      </c>
      <c r="C65" s="7">
        <f t="shared" si="1"/>
        <v>0</v>
      </c>
      <c r="D65" s="8">
        <f t="shared" si="2"/>
        <v>0.02720799235</v>
      </c>
    </row>
    <row r="66" ht="15.75" customHeight="1">
      <c r="A66" s="6">
        <v>1.0</v>
      </c>
      <c r="B66" s="6">
        <v>4.0</v>
      </c>
      <c r="C66" s="7">
        <f t="shared" si="1"/>
        <v>3</v>
      </c>
      <c r="D66" s="8">
        <f t="shared" si="2"/>
        <v>10.01689871</v>
      </c>
    </row>
    <row r="67" ht="15.75" customHeight="1">
      <c r="A67" s="6">
        <v>2.0</v>
      </c>
      <c r="B67" s="6">
        <v>4.0</v>
      </c>
      <c r="C67" s="7">
        <f t="shared" si="1"/>
        <v>2</v>
      </c>
      <c r="D67" s="8">
        <f t="shared" si="2"/>
        <v>4.687001807</v>
      </c>
    </row>
    <row r="68" ht="15.75" customHeight="1">
      <c r="A68" s="6">
        <v>4.0</v>
      </c>
      <c r="B68" s="6">
        <v>3.0</v>
      </c>
      <c r="C68" s="7">
        <f t="shared" si="1"/>
        <v>-1</v>
      </c>
      <c r="D68" s="8">
        <f t="shared" si="2"/>
        <v>0.6973110851</v>
      </c>
    </row>
    <row r="69" ht="15.75" customHeight="1">
      <c r="A69" s="6">
        <v>3.0</v>
      </c>
      <c r="B69" s="6">
        <v>1.0</v>
      </c>
      <c r="C69" s="7">
        <f t="shared" si="1"/>
        <v>-2</v>
      </c>
      <c r="D69" s="8">
        <f t="shared" si="2"/>
        <v>3.367414178</v>
      </c>
    </row>
    <row r="70" ht="15.75" customHeight="1">
      <c r="A70" s="6">
        <v>3.0</v>
      </c>
      <c r="B70" s="6">
        <v>3.0</v>
      </c>
      <c r="C70" s="7">
        <f t="shared" si="1"/>
        <v>0</v>
      </c>
      <c r="D70" s="8">
        <f t="shared" si="2"/>
        <v>0.02720799235</v>
      </c>
    </row>
    <row r="71" ht="15.75" customHeight="1">
      <c r="A71" s="6">
        <v>3.0</v>
      </c>
      <c r="B71" s="6">
        <v>5.0</v>
      </c>
      <c r="C71" s="7">
        <f t="shared" si="1"/>
        <v>2</v>
      </c>
      <c r="D71" s="8">
        <f t="shared" si="2"/>
        <v>4.687001807</v>
      </c>
    </row>
    <row r="72" ht="15.75" customHeight="1">
      <c r="A72" s="6">
        <v>4.0</v>
      </c>
      <c r="B72" s="6">
        <v>3.0</v>
      </c>
      <c r="C72" s="7">
        <f t="shared" si="1"/>
        <v>-1</v>
      </c>
      <c r="D72" s="8">
        <f t="shared" si="2"/>
        <v>0.6973110851</v>
      </c>
    </row>
    <row r="73" ht="15.75" customHeight="1">
      <c r="A73" s="6">
        <v>5.0</v>
      </c>
      <c r="B73" s="6">
        <v>3.0</v>
      </c>
      <c r="C73" s="7">
        <f t="shared" si="1"/>
        <v>-2</v>
      </c>
      <c r="D73" s="8">
        <f t="shared" si="2"/>
        <v>3.367414178</v>
      </c>
    </row>
    <row r="74" ht="15.75" customHeight="1">
      <c r="A74" s="6">
        <v>3.0</v>
      </c>
      <c r="B74" s="6">
        <v>4.0</v>
      </c>
      <c r="C74" s="7">
        <f t="shared" si="1"/>
        <v>1</v>
      </c>
      <c r="D74" s="8">
        <f t="shared" si="2"/>
        <v>1.3571049</v>
      </c>
    </row>
    <row r="75" ht="15.75" customHeight="1">
      <c r="A75" s="6">
        <v>3.0</v>
      </c>
      <c r="B75" s="6">
        <v>3.0</v>
      </c>
      <c r="C75" s="7">
        <f t="shared" si="1"/>
        <v>0</v>
      </c>
      <c r="D75" s="8">
        <f t="shared" si="2"/>
        <v>0.02720799235</v>
      </c>
    </row>
    <row r="76" ht="15.75" customHeight="1">
      <c r="A76" s="6">
        <v>3.0</v>
      </c>
      <c r="B76" s="6">
        <v>3.0</v>
      </c>
      <c r="C76" s="7">
        <f t="shared" si="1"/>
        <v>0</v>
      </c>
      <c r="D76" s="8">
        <f t="shared" si="2"/>
        <v>0.02720799235</v>
      </c>
    </row>
    <row r="77" ht="15.75" customHeight="1">
      <c r="A77" s="6">
        <v>4.0</v>
      </c>
      <c r="B77" s="6">
        <v>3.0</v>
      </c>
      <c r="C77" s="7">
        <f t="shared" si="1"/>
        <v>-1</v>
      </c>
      <c r="D77" s="8">
        <f t="shared" si="2"/>
        <v>0.6973110851</v>
      </c>
    </row>
    <row r="78" ht="15.75" customHeight="1">
      <c r="A78" s="6">
        <v>3.0</v>
      </c>
      <c r="B78" s="6">
        <v>3.0</v>
      </c>
      <c r="C78" s="7">
        <f t="shared" si="1"/>
        <v>0</v>
      </c>
      <c r="D78" s="8">
        <f t="shared" si="2"/>
        <v>0.02720799235</v>
      </c>
    </row>
    <row r="79" ht="15.75" customHeight="1">
      <c r="A79" s="6">
        <v>3.0</v>
      </c>
      <c r="B79" s="6">
        <v>1.0</v>
      </c>
      <c r="C79" s="7">
        <f t="shared" si="1"/>
        <v>-2</v>
      </c>
      <c r="D79" s="8">
        <f t="shared" si="2"/>
        <v>3.367414178</v>
      </c>
    </row>
    <row r="80" ht="15.75" customHeight="1">
      <c r="A80" s="6">
        <v>2.0</v>
      </c>
      <c r="B80" s="6">
        <v>3.0</v>
      </c>
      <c r="C80" s="7">
        <f t="shared" si="1"/>
        <v>1</v>
      </c>
      <c r="D80" s="8">
        <f t="shared" si="2"/>
        <v>1.3571049</v>
      </c>
    </row>
    <row r="81" ht="15.75" customHeight="1">
      <c r="A81" s="6">
        <v>2.0</v>
      </c>
      <c r="B81" s="6">
        <v>4.0</v>
      </c>
      <c r="C81" s="7">
        <f t="shared" si="1"/>
        <v>2</v>
      </c>
      <c r="D81" s="8">
        <f t="shared" si="2"/>
        <v>4.687001807</v>
      </c>
    </row>
    <row r="82" ht="15.75" customHeight="1">
      <c r="A82" s="6">
        <v>3.0</v>
      </c>
      <c r="B82" s="6">
        <v>4.0</v>
      </c>
      <c r="C82" s="7">
        <f t="shared" si="1"/>
        <v>1</v>
      </c>
      <c r="D82" s="8">
        <f t="shared" si="2"/>
        <v>1.3571049</v>
      </c>
    </row>
    <row r="83" ht="15.75" customHeight="1">
      <c r="A83" s="6">
        <v>3.0</v>
      </c>
      <c r="B83" s="6">
        <v>3.0</v>
      </c>
      <c r="C83" s="7">
        <f t="shared" si="1"/>
        <v>0</v>
      </c>
      <c r="D83" s="8">
        <f t="shared" si="2"/>
        <v>0.02720799235</v>
      </c>
    </row>
    <row r="84" ht="15.75" customHeight="1">
      <c r="A84" s="6">
        <v>3.0</v>
      </c>
      <c r="B84" s="6">
        <v>3.0</v>
      </c>
      <c r="C84" s="7">
        <f t="shared" si="1"/>
        <v>0</v>
      </c>
      <c r="D84" s="8">
        <f t="shared" si="2"/>
        <v>0.02720799235</v>
      </c>
    </row>
    <row r="85" ht="15.75" customHeight="1">
      <c r="A85" s="6">
        <v>2.0</v>
      </c>
      <c r="B85" s="6">
        <v>1.0</v>
      </c>
      <c r="C85" s="7">
        <f t="shared" si="1"/>
        <v>-1</v>
      </c>
      <c r="D85" s="8">
        <f t="shared" si="2"/>
        <v>0.6973110851</v>
      </c>
    </row>
    <row r="86" ht="15.75" customHeight="1">
      <c r="A86" s="6">
        <v>1.0</v>
      </c>
      <c r="B86" s="6">
        <v>5.0</v>
      </c>
      <c r="C86" s="7">
        <f t="shared" si="1"/>
        <v>4</v>
      </c>
      <c r="D86" s="8">
        <f t="shared" si="2"/>
        <v>17.34679562</v>
      </c>
    </row>
    <row r="87" ht="15.75" customHeight="1">
      <c r="A87" s="6">
        <v>5.0</v>
      </c>
      <c r="B87" s="6">
        <v>4.0</v>
      </c>
      <c r="C87" s="7">
        <f t="shared" si="1"/>
        <v>-1</v>
      </c>
      <c r="D87" s="8">
        <f t="shared" si="2"/>
        <v>0.6973110851</v>
      </c>
    </row>
    <row r="88" ht="15.75" customHeight="1">
      <c r="A88" s="6">
        <v>3.0</v>
      </c>
      <c r="B88" s="6">
        <v>2.0</v>
      </c>
      <c r="C88" s="7">
        <f t="shared" si="1"/>
        <v>-1</v>
      </c>
      <c r="D88" s="8">
        <f t="shared" si="2"/>
        <v>0.6973110851</v>
      </c>
    </row>
    <row r="89" ht="15.75" customHeight="1">
      <c r="A89" s="6">
        <v>3.0</v>
      </c>
      <c r="B89" s="6">
        <v>1.0</v>
      </c>
      <c r="C89" s="7">
        <f t="shared" si="1"/>
        <v>-2</v>
      </c>
      <c r="D89" s="8">
        <f t="shared" si="2"/>
        <v>3.367414178</v>
      </c>
    </row>
    <row r="90" ht="15.75" customHeight="1">
      <c r="A90" s="6">
        <v>3.0</v>
      </c>
      <c r="B90" s="6">
        <v>3.0</v>
      </c>
      <c r="C90" s="7">
        <f t="shared" si="1"/>
        <v>0</v>
      </c>
      <c r="D90" s="8">
        <f t="shared" si="2"/>
        <v>0.02720799235</v>
      </c>
    </row>
    <row r="91" ht="15.75" customHeight="1">
      <c r="A91" s="6">
        <v>1.0</v>
      </c>
      <c r="B91" s="6">
        <v>3.0</v>
      </c>
      <c r="C91" s="7">
        <f t="shared" si="1"/>
        <v>2</v>
      </c>
      <c r="D91" s="8">
        <f t="shared" si="2"/>
        <v>4.687001807</v>
      </c>
    </row>
    <row r="92" ht="15.75" customHeight="1">
      <c r="A92" s="6">
        <v>4.0</v>
      </c>
      <c r="B92" s="6">
        <v>3.0</v>
      </c>
      <c r="C92" s="7">
        <f t="shared" si="1"/>
        <v>-1</v>
      </c>
      <c r="D92" s="8">
        <f t="shared" si="2"/>
        <v>0.6973110851</v>
      </c>
    </row>
    <row r="93" ht="15.75" customHeight="1">
      <c r="A93" s="6">
        <v>1.0</v>
      </c>
      <c r="B93" s="6">
        <v>1.0</v>
      </c>
      <c r="C93" s="7">
        <f t="shared" si="1"/>
        <v>0</v>
      </c>
      <c r="D93" s="8">
        <f t="shared" si="2"/>
        <v>0.02720799235</v>
      </c>
      <c r="F93" s="12"/>
    </row>
    <row r="94" ht="15.75" customHeight="1">
      <c r="A94" s="6">
        <v>2.0</v>
      </c>
      <c r="B94" s="6">
        <v>3.0</v>
      </c>
      <c r="C94" s="7">
        <f t="shared" si="1"/>
        <v>1</v>
      </c>
      <c r="D94" s="8">
        <f t="shared" si="2"/>
        <v>1.3571049</v>
      </c>
    </row>
    <row r="95" ht="15.75" customHeight="1">
      <c r="A95" s="6">
        <v>3.0</v>
      </c>
      <c r="B95" s="6">
        <v>3.0</v>
      </c>
      <c r="C95" s="7">
        <f t="shared" si="1"/>
        <v>0</v>
      </c>
      <c r="D95" s="8">
        <f t="shared" si="2"/>
        <v>0.02720799235</v>
      </c>
    </row>
    <row r="96" ht="15.75" customHeight="1">
      <c r="A96" s="6">
        <v>1.0</v>
      </c>
      <c r="B96" s="6">
        <v>4.0</v>
      </c>
      <c r="C96" s="7">
        <f t="shared" si="1"/>
        <v>3</v>
      </c>
      <c r="D96" s="8">
        <f t="shared" si="2"/>
        <v>10.01689871</v>
      </c>
    </row>
    <row r="97" ht="15.75" customHeight="1">
      <c r="A97" s="6">
        <v>3.0</v>
      </c>
      <c r="B97" s="6">
        <v>5.0</v>
      </c>
      <c r="C97" s="7">
        <f t="shared" si="1"/>
        <v>2</v>
      </c>
      <c r="D97" s="8">
        <f t="shared" si="2"/>
        <v>4.687001807</v>
      </c>
    </row>
    <row r="98" ht="15.75" customHeight="1">
      <c r="A98" s="6">
        <v>4.0</v>
      </c>
      <c r="B98" s="6">
        <v>3.0</v>
      </c>
      <c r="C98" s="7">
        <f t="shared" si="1"/>
        <v>-1</v>
      </c>
      <c r="D98" s="8">
        <f t="shared" si="2"/>
        <v>0.6973110851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1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100</v>
      </c>
      <c r="B1" s="3" t="s">
        <v>101</v>
      </c>
      <c r="C1" s="5" t="s">
        <v>12</v>
      </c>
      <c r="D1" s="5"/>
    </row>
    <row r="2">
      <c r="A2" s="6">
        <v>3.0</v>
      </c>
      <c r="B2" s="6">
        <v>3.0</v>
      </c>
      <c r="C2" s="7">
        <f t="shared" ref="C2:C98" si="1">B2-A2</f>
        <v>0</v>
      </c>
      <c r="D2" s="8">
        <f t="shared" ref="D2:D98" si="2">(C2-$G$6)^2</f>
        <v>0.005207779785</v>
      </c>
    </row>
    <row r="3">
      <c r="A3" s="6">
        <v>3.0</v>
      </c>
      <c r="B3" s="6">
        <v>5.0</v>
      </c>
      <c r="C3" s="7">
        <f t="shared" si="1"/>
        <v>2</v>
      </c>
      <c r="D3" s="8">
        <f t="shared" si="2"/>
        <v>4.293867574</v>
      </c>
      <c r="F3" s="9" t="s">
        <v>14</v>
      </c>
      <c r="G3" s="9"/>
    </row>
    <row r="4">
      <c r="A4" s="6">
        <v>1.0</v>
      </c>
      <c r="B4" s="6">
        <v>2.0</v>
      </c>
      <c r="C4" s="7">
        <f t="shared" si="1"/>
        <v>1</v>
      </c>
      <c r="D4" s="8">
        <f t="shared" si="2"/>
        <v>1.149537677</v>
      </c>
      <c r="F4" s="6" t="s">
        <v>15</v>
      </c>
      <c r="G4" s="6">
        <f>COUNT(A:A)</f>
        <v>97</v>
      </c>
    </row>
    <row r="5">
      <c r="A5" s="6">
        <v>3.0</v>
      </c>
      <c r="B5" s="6">
        <v>3.0</v>
      </c>
      <c r="C5" s="7">
        <f t="shared" si="1"/>
        <v>0</v>
      </c>
      <c r="D5" s="8">
        <f t="shared" si="2"/>
        <v>0.005207779785</v>
      </c>
      <c r="F5" s="6" t="s">
        <v>17</v>
      </c>
      <c r="G5" s="6">
        <f>SUM(C:C)</f>
        <v>-7</v>
      </c>
    </row>
    <row r="6">
      <c r="A6" s="6">
        <v>3.0</v>
      </c>
      <c r="B6" s="6">
        <v>3.0</v>
      </c>
      <c r="C6" s="7">
        <f t="shared" si="1"/>
        <v>0</v>
      </c>
      <c r="D6" s="8">
        <f t="shared" si="2"/>
        <v>0.005207779785</v>
      </c>
      <c r="F6" s="6" t="s">
        <v>18</v>
      </c>
      <c r="G6" s="6">
        <f>G5/G4</f>
        <v>-0.07216494845</v>
      </c>
    </row>
    <row r="7">
      <c r="A7" s="6">
        <v>3.0</v>
      </c>
      <c r="B7" s="6">
        <v>3.0</v>
      </c>
      <c r="C7" s="7">
        <f t="shared" si="1"/>
        <v>0</v>
      </c>
      <c r="D7" s="8">
        <f t="shared" si="2"/>
        <v>0.005207779785</v>
      </c>
      <c r="F7" s="6" t="s">
        <v>19</v>
      </c>
      <c r="G7" s="6">
        <f>SUM(D:D)</f>
        <v>306.4948454</v>
      </c>
    </row>
    <row r="8">
      <c r="A8" s="6">
        <v>3.0</v>
      </c>
      <c r="B8" s="6">
        <v>2.0</v>
      </c>
      <c r="C8" s="7">
        <f t="shared" si="1"/>
        <v>-1</v>
      </c>
      <c r="D8" s="8">
        <f t="shared" si="2"/>
        <v>0.8608778829</v>
      </c>
      <c r="F8" s="6" t="s">
        <v>21</v>
      </c>
      <c r="G8" s="6">
        <f>SQRT(G7/(G4-1))</f>
        <v>1.786800112</v>
      </c>
    </row>
    <row r="9">
      <c r="A9" s="6">
        <v>4.0</v>
      </c>
      <c r="B9" s="6">
        <v>1.0</v>
      </c>
      <c r="C9" s="7">
        <f t="shared" si="1"/>
        <v>-3</v>
      </c>
      <c r="D9" s="8">
        <f t="shared" si="2"/>
        <v>8.572218089</v>
      </c>
    </row>
    <row r="10">
      <c r="A10" s="6">
        <v>3.0</v>
      </c>
      <c r="B10" s="6">
        <v>3.0</v>
      </c>
      <c r="C10" s="7">
        <f t="shared" si="1"/>
        <v>0</v>
      </c>
      <c r="D10" s="8">
        <f t="shared" si="2"/>
        <v>0.005207779785</v>
      </c>
    </row>
    <row r="11">
      <c r="A11" s="6">
        <v>5.0</v>
      </c>
      <c r="B11" s="6">
        <v>3.0</v>
      </c>
      <c r="C11" s="7">
        <f t="shared" si="1"/>
        <v>-2</v>
      </c>
      <c r="D11" s="8">
        <f t="shared" si="2"/>
        <v>3.716547986</v>
      </c>
    </row>
    <row r="12">
      <c r="A12" s="6">
        <v>1.0</v>
      </c>
      <c r="B12" s="6">
        <v>3.0</v>
      </c>
      <c r="C12" s="7">
        <f t="shared" si="1"/>
        <v>2</v>
      </c>
      <c r="D12" s="8">
        <f t="shared" si="2"/>
        <v>4.293867574</v>
      </c>
      <c r="F12" s="6" t="s">
        <v>23</v>
      </c>
      <c r="G12" s="6">
        <f>G6/(G8/SQRT(G4))</f>
        <v>-0.3977738254</v>
      </c>
    </row>
    <row r="13">
      <c r="A13" s="6">
        <v>2.0</v>
      </c>
      <c r="B13" s="6">
        <v>2.0</v>
      </c>
      <c r="C13" s="7">
        <f t="shared" si="1"/>
        <v>0</v>
      </c>
      <c r="D13" s="8">
        <f t="shared" si="2"/>
        <v>0.005207779785</v>
      </c>
    </row>
    <row r="14">
      <c r="A14" s="6">
        <v>5.0</v>
      </c>
      <c r="B14" s="6">
        <v>2.0</v>
      </c>
      <c r="C14" s="7">
        <f t="shared" si="1"/>
        <v>-3</v>
      </c>
      <c r="D14" s="8">
        <f t="shared" si="2"/>
        <v>8.572218089</v>
      </c>
    </row>
    <row r="15">
      <c r="A15" s="6">
        <v>2.0</v>
      </c>
      <c r="B15" s="6">
        <v>5.0</v>
      </c>
      <c r="C15" s="7">
        <f t="shared" si="1"/>
        <v>3</v>
      </c>
      <c r="D15" s="8">
        <f t="shared" si="2"/>
        <v>9.438197471</v>
      </c>
    </row>
    <row r="16">
      <c r="A16" s="6">
        <v>3.0</v>
      </c>
      <c r="B16" s="6">
        <v>4.0</v>
      </c>
      <c r="C16" s="7">
        <f t="shared" si="1"/>
        <v>1</v>
      </c>
      <c r="D16" s="8">
        <f t="shared" si="2"/>
        <v>1.149537677</v>
      </c>
    </row>
    <row r="17">
      <c r="A17" s="6">
        <v>4.0</v>
      </c>
      <c r="B17" s="6">
        <v>3.0</v>
      </c>
      <c r="C17" s="7">
        <f t="shared" si="1"/>
        <v>-1</v>
      </c>
      <c r="D17" s="8">
        <f t="shared" si="2"/>
        <v>0.8608778829</v>
      </c>
      <c r="F17" s="6" t="s">
        <v>25</v>
      </c>
      <c r="G17" s="6">
        <v>0.05</v>
      </c>
    </row>
    <row r="18">
      <c r="A18" s="6">
        <v>4.0</v>
      </c>
      <c r="B18" s="6">
        <v>3.0</v>
      </c>
      <c r="C18" s="7">
        <f t="shared" si="1"/>
        <v>-1</v>
      </c>
      <c r="D18" s="8">
        <f t="shared" si="2"/>
        <v>0.8608778829</v>
      </c>
      <c r="F18" s="6" t="s">
        <v>26</v>
      </c>
      <c r="G18" s="6">
        <f>G4-1</f>
        <v>96</v>
      </c>
    </row>
    <row r="19">
      <c r="A19" s="6">
        <v>3.0</v>
      </c>
      <c r="B19" s="6">
        <v>5.0</v>
      </c>
      <c r="C19" s="7">
        <f t="shared" si="1"/>
        <v>2</v>
      </c>
      <c r="D19" s="8">
        <f t="shared" si="2"/>
        <v>4.293867574</v>
      </c>
    </row>
    <row r="20">
      <c r="A20" s="6">
        <v>2.0</v>
      </c>
      <c r="B20" s="6">
        <v>4.0</v>
      </c>
      <c r="C20" s="7">
        <f t="shared" si="1"/>
        <v>2</v>
      </c>
      <c r="D20" s="8">
        <f t="shared" si="2"/>
        <v>4.293867574</v>
      </c>
    </row>
    <row r="21" ht="15.75" customHeight="1">
      <c r="A21" s="6">
        <v>4.0</v>
      </c>
      <c r="B21" s="6">
        <v>3.0</v>
      </c>
      <c r="C21" s="7">
        <f t="shared" si="1"/>
        <v>-1</v>
      </c>
      <c r="D21" s="8">
        <f t="shared" si="2"/>
        <v>0.8608778829</v>
      </c>
    </row>
    <row r="22" ht="15.75" customHeight="1">
      <c r="A22" s="6">
        <v>3.0</v>
      </c>
      <c r="B22" s="6">
        <v>1.0</v>
      </c>
      <c r="C22" s="7">
        <f t="shared" si="1"/>
        <v>-2</v>
      </c>
      <c r="D22" s="8">
        <f t="shared" si="2"/>
        <v>3.716547986</v>
      </c>
      <c r="F22" s="9" t="s">
        <v>27</v>
      </c>
      <c r="G22" s="9"/>
    </row>
    <row r="23" ht="15.75" customHeight="1">
      <c r="A23" s="6">
        <v>4.0</v>
      </c>
      <c r="B23" s="6">
        <v>2.0</v>
      </c>
      <c r="C23" s="7">
        <f t="shared" si="1"/>
        <v>-2</v>
      </c>
      <c r="D23" s="8">
        <f t="shared" si="2"/>
        <v>3.716547986</v>
      </c>
      <c r="F23" s="6" t="s">
        <v>102</v>
      </c>
      <c r="G23" s="6">
        <f>_xlfn.T.INV.2T(G17,G18)</f>
        <v>1.984984312</v>
      </c>
    </row>
    <row r="24" ht="15.75" customHeight="1">
      <c r="A24" s="6">
        <v>5.0</v>
      </c>
      <c r="B24" s="6">
        <v>5.0</v>
      </c>
      <c r="C24" s="7">
        <f t="shared" si="1"/>
        <v>0</v>
      </c>
      <c r="D24" s="8">
        <f t="shared" si="2"/>
        <v>0.005207779785</v>
      </c>
      <c r="F24" s="6" t="s">
        <v>103</v>
      </c>
      <c r="G24" s="6">
        <f>_xlfn.T.INV(G17,G18)</f>
        <v>-1.66088144</v>
      </c>
    </row>
    <row r="25" ht="15.75" customHeight="1">
      <c r="A25" s="6">
        <v>4.0</v>
      </c>
      <c r="B25" s="6">
        <v>3.0</v>
      </c>
      <c r="C25" s="7">
        <f t="shared" si="1"/>
        <v>-1</v>
      </c>
      <c r="D25" s="8">
        <f t="shared" si="2"/>
        <v>0.8608778829</v>
      </c>
    </row>
    <row r="26" ht="15.75" customHeight="1">
      <c r="A26" s="6">
        <v>4.0</v>
      </c>
      <c r="B26" s="6">
        <v>3.0</v>
      </c>
      <c r="C26" s="7">
        <f t="shared" si="1"/>
        <v>-1</v>
      </c>
      <c r="D26" s="8">
        <f t="shared" si="2"/>
        <v>0.8608778829</v>
      </c>
    </row>
    <row r="27" ht="15.75" customHeight="1">
      <c r="A27" s="6">
        <v>5.0</v>
      </c>
      <c r="B27" s="6">
        <v>3.0</v>
      </c>
      <c r="C27" s="7">
        <f t="shared" si="1"/>
        <v>-2</v>
      </c>
      <c r="D27" s="8">
        <f t="shared" si="2"/>
        <v>3.716547986</v>
      </c>
      <c r="F27" s="9" t="s">
        <v>32</v>
      </c>
      <c r="G27" s="9"/>
    </row>
    <row r="28" ht="15.75" customHeight="1">
      <c r="A28" s="6">
        <v>3.0</v>
      </c>
      <c r="B28" s="6">
        <v>1.0</v>
      </c>
      <c r="C28" s="7">
        <f t="shared" si="1"/>
        <v>-2</v>
      </c>
      <c r="D28" s="8">
        <f t="shared" si="2"/>
        <v>3.716547986</v>
      </c>
      <c r="F28" s="6" t="s">
        <v>32</v>
      </c>
    </row>
    <row r="29" ht="15.75" customHeight="1">
      <c r="A29" s="6">
        <v>3.0</v>
      </c>
      <c r="B29" s="6">
        <v>3.0</v>
      </c>
      <c r="C29" s="7">
        <f t="shared" si="1"/>
        <v>0</v>
      </c>
      <c r="D29" s="8">
        <f t="shared" si="2"/>
        <v>0.005207779785</v>
      </c>
      <c r="F29" s="6" t="s">
        <v>104</v>
      </c>
      <c r="G29" s="6">
        <f>TTEST(A:A,B:B,2,1)</f>
        <v>0.6916800522</v>
      </c>
    </row>
    <row r="30" ht="15.75" customHeight="1">
      <c r="A30" s="6">
        <v>2.0</v>
      </c>
      <c r="B30" s="6">
        <v>2.0</v>
      </c>
      <c r="C30" s="7">
        <f t="shared" si="1"/>
        <v>0</v>
      </c>
      <c r="D30" s="8">
        <f t="shared" si="2"/>
        <v>0.005207779785</v>
      </c>
      <c r="F30" s="6" t="s">
        <v>105</v>
      </c>
      <c r="G30" s="6">
        <f>TTEST(A:A,B:B,1,1)</f>
        <v>0.3458400261</v>
      </c>
    </row>
    <row r="31" ht="15.75" customHeight="1">
      <c r="A31" s="6">
        <v>2.0</v>
      </c>
      <c r="B31" s="6">
        <v>2.0</v>
      </c>
      <c r="C31" s="7">
        <f t="shared" si="1"/>
        <v>0</v>
      </c>
      <c r="D31" s="8">
        <f t="shared" si="2"/>
        <v>0.005207779785</v>
      </c>
    </row>
    <row r="32" ht="15.75" customHeight="1">
      <c r="A32" s="6">
        <v>5.0</v>
      </c>
      <c r="B32" s="6">
        <v>5.0</v>
      </c>
      <c r="C32" s="7">
        <f t="shared" si="1"/>
        <v>0</v>
      </c>
      <c r="D32" s="8">
        <f t="shared" si="2"/>
        <v>0.005207779785</v>
      </c>
    </row>
    <row r="33" ht="15.75" customHeight="1">
      <c r="A33" s="6">
        <v>3.0</v>
      </c>
      <c r="B33" s="6">
        <v>4.0</v>
      </c>
      <c r="C33" s="7">
        <f t="shared" si="1"/>
        <v>1</v>
      </c>
      <c r="D33" s="8">
        <f t="shared" si="2"/>
        <v>1.149537677</v>
      </c>
      <c r="F33" s="10" t="s">
        <v>39</v>
      </c>
      <c r="G33" s="10"/>
    </row>
    <row r="34" ht="15.75" customHeight="1">
      <c r="A34" s="6">
        <v>4.0</v>
      </c>
      <c r="B34" s="6">
        <v>4.0</v>
      </c>
      <c r="C34" s="7">
        <f t="shared" si="1"/>
        <v>0</v>
      </c>
      <c r="D34" s="8">
        <f t="shared" si="2"/>
        <v>0.005207779785</v>
      </c>
    </row>
    <row r="35" ht="15.75" customHeight="1">
      <c r="A35" s="6">
        <v>4.0</v>
      </c>
      <c r="B35" s="6">
        <v>5.0</v>
      </c>
      <c r="C35" s="7">
        <f t="shared" si="1"/>
        <v>1</v>
      </c>
      <c r="D35" s="8">
        <f t="shared" si="2"/>
        <v>1.149537677</v>
      </c>
      <c r="F35" s="6" t="s">
        <v>106</v>
      </c>
    </row>
    <row r="36" ht="15.75" customHeight="1">
      <c r="A36" s="6">
        <v>4.0</v>
      </c>
      <c r="B36" s="6">
        <v>3.0</v>
      </c>
      <c r="C36" s="7">
        <f t="shared" si="1"/>
        <v>-1</v>
      </c>
      <c r="D36" s="8">
        <f t="shared" si="2"/>
        <v>0.8608778829</v>
      </c>
      <c r="F36" s="6" t="s">
        <v>107</v>
      </c>
    </row>
    <row r="37" ht="15.75" customHeight="1">
      <c r="A37" s="6">
        <v>2.0</v>
      </c>
      <c r="B37" s="6">
        <v>5.0</v>
      </c>
      <c r="C37" s="7">
        <f t="shared" si="1"/>
        <v>3</v>
      </c>
      <c r="D37" s="8">
        <f t="shared" si="2"/>
        <v>9.438197471</v>
      </c>
    </row>
    <row r="38" ht="15.75" customHeight="1">
      <c r="A38" s="6">
        <v>3.0</v>
      </c>
      <c r="B38" s="6">
        <v>1.0</v>
      </c>
      <c r="C38" s="7">
        <f t="shared" si="1"/>
        <v>-2</v>
      </c>
      <c r="D38" s="8">
        <f t="shared" si="2"/>
        <v>3.716547986</v>
      </c>
    </row>
    <row r="39" ht="15.75" customHeight="1">
      <c r="A39" s="6">
        <v>2.0</v>
      </c>
      <c r="B39" s="6">
        <v>4.0</v>
      </c>
      <c r="C39" s="7">
        <f t="shared" si="1"/>
        <v>2</v>
      </c>
      <c r="D39" s="8">
        <f t="shared" si="2"/>
        <v>4.293867574</v>
      </c>
    </row>
    <row r="40" ht="15.75" customHeight="1">
      <c r="A40" s="6">
        <v>3.0</v>
      </c>
      <c r="B40" s="6">
        <v>1.0</v>
      </c>
      <c r="C40" s="7">
        <f t="shared" si="1"/>
        <v>-2</v>
      </c>
      <c r="D40" s="8">
        <f t="shared" si="2"/>
        <v>3.716547986</v>
      </c>
      <c r="F40" s="6" t="s">
        <v>108</v>
      </c>
    </row>
    <row r="41" ht="15.75" customHeight="1">
      <c r="A41" s="6">
        <v>3.0</v>
      </c>
      <c r="B41" s="6">
        <v>2.0</v>
      </c>
      <c r="C41" s="7">
        <f t="shared" si="1"/>
        <v>-1</v>
      </c>
      <c r="D41" s="8">
        <f t="shared" si="2"/>
        <v>0.8608778829</v>
      </c>
      <c r="F41" s="6" t="str">
        <f>"Dos Colas: Si t calculado ("&amp;G12&amp;") &gt; a t critico  ("&amp;G23&amp;") (de tabla) ---&gt; Se rechaza la hipotesis nula"</f>
        <v>Dos Colas: Si t calculado (-0,397773825364751) &gt; a t critico  (1,98498431152245) (de tabla) ---&gt; Se rechaza la hipotesis nula</v>
      </c>
    </row>
    <row r="42" ht="15.75" customHeight="1">
      <c r="A42" s="6">
        <v>2.0</v>
      </c>
      <c r="B42" s="6">
        <v>5.0</v>
      </c>
      <c r="C42" s="7">
        <f t="shared" si="1"/>
        <v>3</v>
      </c>
      <c r="D42" s="8">
        <f t="shared" si="2"/>
        <v>9.438197471</v>
      </c>
      <c r="F42" s="6" t="str">
        <f>"Una Cola: Si t calculado ("&amp;G12&amp;") &gt; a t critico  ("&amp;G24&amp;") (de tabla) ---&gt; Se rechaza la hipotesis nula"</f>
        <v>Una Cola: Si t calculado (-0,397773825364751) &gt; a t critico  (-1,66088144032486) (de tabla) ---&gt; Se rechaza la hipotesis nula</v>
      </c>
    </row>
    <row r="43" ht="15.75" customHeight="1">
      <c r="A43" s="6">
        <v>4.0</v>
      </c>
      <c r="B43" s="6">
        <v>3.0</v>
      </c>
      <c r="C43" s="7">
        <f t="shared" si="1"/>
        <v>-1</v>
      </c>
      <c r="D43" s="8">
        <f t="shared" si="2"/>
        <v>0.8608778829</v>
      </c>
    </row>
    <row r="44" ht="15.75" customHeight="1">
      <c r="A44" s="6">
        <v>3.0</v>
      </c>
      <c r="B44" s="6">
        <v>2.0</v>
      </c>
      <c r="C44" s="7">
        <f t="shared" si="1"/>
        <v>-1</v>
      </c>
      <c r="D44" s="8">
        <f t="shared" si="2"/>
        <v>0.8608778829</v>
      </c>
    </row>
    <row r="45" ht="15.75" customHeight="1">
      <c r="A45" s="6">
        <v>5.0</v>
      </c>
      <c r="B45" s="6">
        <v>5.0</v>
      </c>
      <c r="C45" s="7">
        <f t="shared" si="1"/>
        <v>0</v>
      </c>
      <c r="D45" s="8">
        <f t="shared" si="2"/>
        <v>0.005207779785</v>
      </c>
    </row>
    <row r="46" ht="15.75" customHeight="1">
      <c r="A46" s="6">
        <v>3.0</v>
      </c>
      <c r="B46" s="6">
        <v>4.0</v>
      </c>
      <c r="C46" s="7">
        <f t="shared" si="1"/>
        <v>1</v>
      </c>
      <c r="D46" s="8">
        <f t="shared" si="2"/>
        <v>1.149537677</v>
      </c>
      <c r="F46" s="6" t="s">
        <v>109</v>
      </c>
    </row>
    <row r="47" ht="15.75" customHeight="1">
      <c r="A47" s="6">
        <v>2.0</v>
      </c>
      <c r="B47" s="6">
        <v>4.0</v>
      </c>
      <c r="C47" s="7">
        <f t="shared" si="1"/>
        <v>2</v>
      </c>
      <c r="D47" s="8">
        <f t="shared" si="2"/>
        <v>4.293867574</v>
      </c>
      <c r="F47" s="6" t="str">
        <f>"Dos Colas: Si p valor ("&amp;G29&amp;") &lt; Nivel Significancia ("&amp;G17&amp;") ---&gt; Se rechaza la hipotesis nula"</f>
        <v>Dos Colas: Si p valor (0,691680052208128) &lt; Nivel Significancia (0,05) ---&gt; Se rechaza la hipotesis nula</v>
      </c>
    </row>
    <row r="48" ht="15.75" customHeight="1">
      <c r="A48" s="6">
        <v>1.0</v>
      </c>
      <c r="B48" s="6">
        <v>2.0</v>
      </c>
      <c r="C48" s="7">
        <f t="shared" si="1"/>
        <v>1</v>
      </c>
      <c r="D48" s="8">
        <f t="shared" si="2"/>
        <v>1.149537677</v>
      </c>
      <c r="F48" s="6" t="str">
        <f>"Una Cola: Si p valor ("&amp;G30&amp;") &lt; Nivel Significancia ("&amp;G17&amp;") ---&gt; Se rechaza la hipotesis nula"</f>
        <v>Una Cola: Si p valor (0,345840026104064) &lt; Nivel Significancia (0,05) ---&gt; Se rechaza la hipotesis nula</v>
      </c>
    </row>
    <row r="49" ht="15.75" customHeight="1">
      <c r="A49" s="6">
        <v>3.0</v>
      </c>
      <c r="B49" s="6">
        <v>3.0</v>
      </c>
      <c r="C49" s="7">
        <f t="shared" si="1"/>
        <v>0</v>
      </c>
      <c r="D49" s="8">
        <f t="shared" si="2"/>
        <v>0.005207779785</v>
      </c>
    </row>
    <row r="50" ht="15.75" customHeight="1">
      <c r="A50" s="6">
        <v>3.0</v>
      </c>
      <c r="B50" s="6">
        <v>2.0</v>
      </c>
      <c r="C50" s="7">
        <f t="shared" si="1"/>
        <v>-1</v>
      </c>
      <c r="D50" s="8">
        <f t="shared" si="2"/>
        <v>0.8608778829</v>
      </c>
    </row>
    <row r="51" ht="15.75" customHeight="1">
      <c r="A51" s="6">
        <v>2.0</v>
      </c>
      <c r="B51" s="6">
        <v>3.0</v>
      </c>
      <c r="C51" s="7">
        <f t="shared" si="1"/>
        <v>1</v>
      </c>
      <c r="D51" s="8">
        <f t="shared" si="2"/>
        <v>1.149537677</v>
      </c>
    </row>
    <row r="52" ht="15.75" customHeight="1">
      <c r="A52" s="6">
        <v>4.0</v>
      </c>
      <c r="B52" s="6">
        <v>3.0</v>
      </c>
      <c r="C52" s="7">
        <f t="shared" si="1"/>
        <v>-1</v>
      </c>
      <c r="D52" s="8">
        <f t="shared" si="2"/>
        <v>0.8608778829</v>
      </c>
    </row>
    <row r="53" ht="15.75" customHeight="1">
      <c r="A53" s="6">
        <v>4.0</v>
      </c>
      <c r="B53" s="6">
        <v>1.0</v>
      </c>
      <c r="C53" s="7">
        <f t="shared" si="1"/>
        <v>-3</v>
      </c>
      <c r="D53" s="8">
        <f t="shared" si="2"/>
        <v>8.572218089</v>
      </c>
    </row>
    <row r="54" ht="15.75" customHeight="1">
      <c r="A54" s="6">
        <v>2.0</v>
      </c>
      <c r="B54" s="6">
        <v>5.0</v>
      </c>
      <c r="C54" s="7">
        <f t="shared" si="1"/>
        <v>3</v>
      </c>
      <c r="D54" s="8">
        <f t="shared" si="2"/>
        <v>9.438197471</v>
      </c>
    </row>
    <row r="55" ht="15.75" customHeight="1">
      <c r="A55" s="6">
        <v>5.0</v>
      </c>
      <c r="B55" s="6">
        <v>3.0</v>
      </c>
      <c r="C55" s="7">
        <f t="shared" si="1"/>
        <v>-2</v>
      </c>
      <c r="D55" s="8">
        <f t="shared" si="2"/>
        <v>3.716547986</v>
      </c>
    </row>
    <row r="56" ht="15.75" customHeight="1">
      <c r="A56" s="6">
        <v>1.0</v>
      </c>
      <c r="B56" s="6">
        <v>2.0</v>
      </c>
      <c r="C56" s="7">
        <f t="shared" si="1"/>
        <v>1</v>
      </c>
      <c r="D56" s="8">
        <f t="shared" si="2"/>
        <v>1.149537677</v>
      </c>
    </row>
    <row r="57" ht="15.75" customHeight="1">
      <c r="A57" s="6">
        <v>1.0</v>
      </c>
      <c r="B57" s="6">
        <v>3.0</v>
      </c>
      <c r="C57" s="7">
        <f t="shared" si="1"/>
        <v>2</v>
      </c>
      <c r="D57" s="8">
        <f t="shared" si="2"/>
        <v>4.293867574</v>
      </c>
    </row>
    <row r="58" ht="15.75" customHeight="1">
      <c r="A58" s="6">
        <v>4.0</v>
      </c>
      <c r="B58" s="6">
        <v>2.0</v>
      </c>
      <c r="C58" s="7">
        <f t="shared" si="1"/>
        <v>-2</v>
      </c>
      <c r="D58" s="8">
        <f t="shared" si="2"/>
        <v>3.716547986</v>
      </c>
    </row>
    <row r="59" ht="15.75" customHeight="1">
      <c r="A59" s="6">
        <v>4.0</v>
      </c>
      <c r="B59" s="6">
        <v>1.0</v>
      </c>
      <c r="C59" s="7">
        <f t="shared" si="1"/>
        <v>-3</v>
      </c>
      <c r="D59" s="8">
        <f t="shared" si="2"/>
        <v>8.572218089</v>
      </c>
    </row>
    <row r="60" ht="15.75" customHeight="1">
      <c r="A60" s="6">
        <v>2.0</v>
      </c>
      <c r="B60" s="6">
        <v>5.0</v>
      </c>
      <c r="C60" s="7">
        <f t="shared" si="1"/>
        <v>3</v>
      </c>
      <c r="D60" s="8">
        <f t="shared" si="2"/>
        <v>9.438197471</v>
      </c>
    </row>
    <row r="61" ht="15.75" customHeight="1">
      <c r="A61" s="6">
        <v>1.0</v>
      </c>
      <c r="B61" s="6">
        <v>4.0</v>
      </c>
      <c r="C61" s="7">
        <f t="shared" si="1"/>
        <v>3</v>
      </c>
      <c r="D61" s="8">
        <f t="shared" si="2"/>
        <v>9.438197471</v>
      </c>
    </row>
    <row r="62" ht="15.75" customHeight="1">
      <c r="A62" s="6">
        <v>5.0</v>
      </c>
      <c r="B62" s="6">
        <v>2.0</v>
      </c>
      <c r="C62" s="7">
        <f t="shared" si="1"/>
        <v>-3</v>
      </c>
      <c r="D62" s="8">
        <f t="shared" si="2"/>
        <v>8.572218089</v>
      </c>
    </row>
    <row r="63" ht="15.75" customHeight="1">
      <c r="A63" s="6">
        <v>5.0</v>
      </c>
      <c r="B63" s="6">
        <v>2.0</v>
      </c>
      <c r="C63" s="7">
        <f t="shared" si="1"/>
        <v>-3</v>
      </c>
      <c r="D63" s="8">
        <f t="shared" si="2"/>
        <v>8.572218089</v>
      </c>
    </row>
    <row r="64" ht="15.75" customHeight="1">
      <c r="A64" s="6">
        <v>4.0</v>
      </c>
      <c r="B64" s="6">
        <v>2.0</v>
      </c>
      <c r="C64" s="7">
        <f t="shared" si="1"/>
        <v>-2</v>
      </c>
      <c r="D64" s="8">
        <f t="shared" si="2"/>
        <v>3.716547986</v>
      </c>
    </row>
    <row r="65" ht="15.75" customHeight="1">
      <c r="A65" s="6">
        <v>1.0</v>
      </c>
      <c r="B65" s="6">
        <v>2.0</v>
      </c>
      <c r="C65" s="7">
        <f t="shared" si="1"/>
        <v>1</v>
      </c>
      <c r="D65" s="8">
        <f t="shared" si="2"/>
        <v>1.149537677</v>
      </c>
    </row>
    <row r="66" ht="15.75" customHeight="1">
      <c r="A66" s="6">
        <v>5.0</v>
      </c>
      <c r="B66" s="6">
        <v>3.0</v>
      </c>
      <c r="C66" s="7">
        <f t="shared" si="1"/>
        <v>-2</v>
      </c>
      <c r="D66" s="8">
        <f t="shared" si="2"/>
        <v>3.716547986</v>
      </c>
    </row>
    <row r="67" ht="15.75" customHeight="1">
      <c r="A67" s="6">
        <v>5.0</v>
      </c>
      <c r="B67" s="6">
        <v>2.0</v>
      </c>
      <c r="C67" s="7">
        <f t="shared" si="1"/>
        <v>-3</v>
      </c>
      <c r="D67" s="8">
        <f t="shared" si="2"/>
        <v>8.572218089</v>
      </c>
    </row>
    <row r="68" ht="15.75" customHeight="1">
      <c r="A68" s="6">
        <v>3.0</v>
      </c>
      <c r="B68" s="6">
        <v>5.0</v>
      </c>
      <c r="C68" s="7">
        <f t="shared" si="1"/>
        <v>2</v>
      </c>
      <c r="D68" s="8">
        <f t="shared" si="2"/>
        <v>4.293867574</v>
      </c>
    </row>
    <row r="69" ht="15.75" customHeight="1">
      <c r="A69" s="6">
        <v>1.0</v>
      </c>
      <c r="B69" s="6">
        <v>3.0</v>
      </c>
      <c r="C69" s="7">
        <f t="shared" si="1"/>
        <v>2</v>
      </c>
      <c r="D69" s="8">
        <f t="shared" si="2"/>
        <v>4.293867574</v>
      </c>
    </row>
    <row r="70" ht="15.75" customHeight="1">
      <c r="A70" s="6">
        <v>5.0</v>
      </c>
      <c r="B70" s="6">
        <v>2.0</v>
      </c>
      <c r="C70" s="7">
        <f t="shared" si="1"/>
        <v>-3</v>
      </c>
      <c r="D70" s="8">
        <f t="shared" si="2"/>
        <v>8.572218089</v>
      </c>
    </row>
    <row r="71" ht="15.75" customHeight="1">
      <c r="A71" s="6">
        <v>1.0</v>
      </c>
      <c r="B71" s="6">
        <v>3.0</v>
      </c>
      <c r="C71" s="7">
        <f t="shared" si="1"/>
        <v>2</v>
      </c>
      <c r="D71" s="8">
        <f t="shared" si="2"/>
        <v>4.293867574</v>
      </c>
    </row>
    <row r="72" ht="15.75" customHeight="1">
      <c r="A72" s="6">
        <v>4.0</v>
      </c>
      <c r="B72" s="6">
        <v>1.0</v>
      </c>
      <c r="C72" s="7">
        <f t="shared" si="1"/>
        <v>-3</v>
      </c>
      <c r="D72" s="8">
        <f t="shared" si="2"/>
        <v>8.572218089</v>
      </c>
    </row>
    <row r="73" ht="15.75" customHeight="1">
      <c r="A73" s="6">
        <v>5.0</v>
      </c>
      <c r="B73" s="6">
        <v>3.0</v>
      </c>
      <c r="C73" s="7">
        <f t="shared" si="1"/>
        <v>-2</v>
      </c>
      <c r="D73" s="8">
        <f t="shared" si="2"/>
        <v>3.716547986</v>
      </c>
    </row>
    <row r="74" ht="15.75" customHeight="1">
      <c r="A74" s="6">
        <v>1.0</v>
      </c>
      <c r="B74" s="6">
        <v>2.0</v>
      </c>
      <c r="C74" s="7">
        <f t="shared" si="1"/>
        <v>1</v>
      </c>
      <c r="D74" s="8">
        <f t="shared" si="2"/>
        <v>1.149537677</v>
      </c>
    </row>
    <row r="75" ht="15.75" customHeight="1">
      <c r="A75" s="6">
        <v>3.0</v>
      </c>
      <c r="B75" s="6">
        <v>3.0</v>
      </c>
      <c r="C75" s="7">
        <f t="shared" si="1"/>
        <v>0</v>
      </c>
      <c r="D75" s="8">
        <f t="shared" si="2"/>
        <v>0.005207779785</v>
      </c>
    </row>
    <row r="76" ht="15.75" customHeight="1">
      <c r="A76" s="6">
        <v>3.0</v>
      </c>
      <c r="B76" s="6">
        <v>5.0</v>
      </c>
      <c r="C76" s="7">
        <f t="shared" si="1"/>
        <v>2</v>
      </c>
      <c r="D76" s="8">
        <f t="shared" si="2"/>
        <v>4.293867574</v>
      </c>
    </row>
    <row r="77" ht="15.75" customHeight="1">
      <c r="A77" s="6">
        <v>4.0</v>
      </c>
      <c r="B77" s="6">
        <v>3.0</v>
      </c>
      <c r="C77" s="7">
        <f t="shared" si="1"/>
        <v>-1</v>
      </c>
      <c r="D77" s="8">
        <f t="shared" si="2"/>
        <v>0.8608778829</v>
      </c>
    </row>
    <row r="78" ht="15.75" customHeight="1">
      <c r="A78" s="6">
        <v>3.0</v>
      </c>
      <c r="B78" s="6">
        <v>3.0</v>
      </c>
      <c r="C78" s="7">
        <f t="shared" si="1"/>
        <v>0</v>
      </c>
      <c r="D78" s="8">
        <f t="shared" si="2"/>
        <v>0.005207779785</v>
      </c>
    </row>
    <row r="79" ht="15.75" customHeight="1">
      <c r="A79" s="6">
        <v>4.0</v>
      </c>
      <c r="B79" s="6">
        <v>3.0</v>
      </c>
      <c r="C79" s="7">
        <f t="shared" si="1"/>
        <v>-1</v>
      </c>
      <c r="D79" s="8">
        <f t="shared" si="2"/>
        <v>0.8608778829</v>
      </c>
    </row>
    <row r="80" ht="15.75" customHeight="1">
      <c r="A80" s="6">
        <v>3.0</v>
      </c>
      <c r="B80" s="6">
        <v>3.0</v>
      </c>
      <c r="C80" s="7">
        <f t="shared" si="1"/>
        <v>0</v>
      </c>
      <c r="D80" s="8">
        <f t="shared" si="2"/>
        <v>0.005207779785</v>
      </c>
    </row>
    <row r="81" ht="15.75" customHeight="1">
      <c r="A81" s="6">
        <v>3.0</v>
      </c>
      <c r="B81" s="6">
        <v>4.0</v>
      </c>
      <c r="C81" s="7">
        <f t="shared" si="1"/>
        <v>1</v>
      </c>
      <c r="D81" s="8">
        <f t="shared" si="2"/>
        <v>1.149537677</v>
      </c>
    </row>
    <row r="82" ht="15.75" customHeight="1">
      <c r="A82" s="6">
        <v>2.0</v>
      </c>
      <c r="B82" s="6">
        <v>3.0</v>
      </c>
      <c r="C82" s="7">
        <f t="shared" si="1"/>
        <v>1</v>
      </c>
      <c r="D82" s="8">
        <f t="shared" si="2"/>
        <v>1.149537677</v>
      </c>
    </row>
    <row r="83" ht="15.75" customHeight="1">
      <c r="A83" s="6">
        <v>1.0</v>
      </c>
      <c r="B83" s="6">
        <v>5.0</v>
      </c>
      <c r="C83" s="7">
        <f t="shared" si="1"/>
        <v>4</v>
      </c>
      <c r="D83" s="8">
        <f t="shared" si="2"/>
        <v>16.58252737</v>
      </c>
    </row>
    <row r="84" ht="15.75" customHeight="1">
      <c r="A84" s="6">
        <v>3.0</v>
      </c>
      <c r="B84" s="6">
        <v>2.0</v>
      </c>
      <c r="C84" s="7">
        <f t="shared" si="1"/>
        <v>-1</v>
      </c>
      <c r="D84" s="8">
        <f t="shared" si="2"/>
        <v>0.8608778829</v>
      </c>
    </row>
    <row r="85" ht="15.75" customHeight="1">
      <c r="A85" s="6">
        <v>3.0</v>
      </c>
      <c r="B85" s="6">
        <v>3.0</v>
      </c>
      <c r="C85" s="7">
        <f t="shared" si="1"/>
        <v>0</v>
      </c>
      <c r="D85" s="8">
        <f t="shared" si="2"/>
        <v>0.005207779785</v>
      </c>
    </row>
    <row r="86" ht="15.75" customHeight="1">
      <c r="A86" s="6">
        <v>3.0</v>
      </c>
      <c r="B86" s="6">
        <v>3.0</v>
      </c>
      <c r="C86" s="7">
        <f t="shared" si="1"/>
        <v>0</v>
      </c>
      <c r="D86" s="8">
        <f t="shared" si="2"/>
        <v>0.005207779785</v>
      </c>
    </row>
    <row r="87" ht="15.75" customHeight="1">
      <c r="A87" s="6">
        <v>2.0</v>
      </c>
      <c r="B87" s="6">
        <v>4.0</v>
      </c>
      <c r="C87" s="7">
        <f t="shared" si="1"/>
        <v>2</v>
      </c>
      <c r="D87" s="8">
        <f t="shared" si="2"/>
        <v>4.293867574</v>
      </c>
    </row>
    <row r="88" ht="15.75" customHeight="1">
      <c r="A88" s="6">
        <v>5.0</v>
      </c>
      <c r="B88" s="6">
        <v>3.0</v>
      </c>
      <c r="C88" s="7">
        <f t="shared" si="1"/>
        <v>-2</v>
      </c>
      <c r="D88" s="8">
        <f t="shared" si="2"/>
        <v>3.716547986</v>
      </c>
    </row>
    <row r="89" ht="15.75" customHeight="1">
      <c r="A89" s="6">
        <v>3.0</v>
      </c>
      <c r="B89" s="6">
        <v>1.0</v>
      </c>
      <c r="C89" s="7">
        <f t="shared" si="1"/>
        <v>-2</v>
      </c>
      <c r="D89" s="8">
        <f t="shared" si="2"/>
        <v>3.716547986</v>
      </c>
    </row>
    <row r="90" ht="15.75" customHeight="1">
      <c r="A90" s="6">
        <v>5.0</v>
      </c>
      <c r="B90" s="6">
        <v>5.0</v>
      </c>
      <c r="C90" s="7">
        <f t="shared" si="1"/>
        <v>0</v>
      </c>
      <c r="D90" s="8">
        <f t="shared" si="2"/>
        <v>0.005207779785</v>
      </c>
    </row>
    <row r="91" ht="15.75" customHeight="1">
      <c r="A91" s="6">
        <v>2.0</v>
      </c>
      <c r="B91" s="6">
        <v>4.0</v>
      </c>
      <c r="C91" s="7">
        <f t="shared" si="1"/>
        <v>2</v>
      </c>
      <c r="D91" s="8">
        <f t="shared" si="2"/>
        <v>4.293867574</v>
      </c>
    </row>
    <row r="92" ht="15.75" customHeight="1">
      <c r="A92" s="6">
        <v>1.0</v>
      </c>
      <c r="B92" s="6">
        <v>2.0</v>
      </c>
      <c r="C92" s="7">
        <f t="shared" si="1"/>
        <v>1</v>
      </c>
      <c r="D92" s="8">
        <f t="shared" si="2"/>
        <v>1.149537677</v>
      </c>
    </row>
    <row r="93" ht="15.75" customHeight="1">
      <c r="A93" s="6">
        <v>3.0</v>
      </c>
      <c r="B93" s="6">
        <v>5.0</v>
      </c>
      <c r="C93" s="7">
        <f t="shared" si="1"/>
        <v>2</v>
      </c>
      <c r="D93" s="8">
        <f t="shared" si="2"/>
        <v>4.293867574</v>
      </c>
      <c r="F93" s="12"/>
    </row>
    <row r="94" ht="15.75" customHeight="1">
      <c r="A94" s="6">
        <v>4.0</v>
      </c>
      <c r="B94" s="6">
        <v>2.0</v>
      </c>
      <c r="C94" s="7">
        <f t="shared" si="1"/>
        <v>-2</v>
      </c>
      <c r="D94" s="8">
        <f t="shared" si="2"/>
        <v>3.716547986</v>
      </c>
    </row>
    <row r="95" ht="15.75" customHeight="1">
      <c r="A95" s="6">
        <v>3.0</v>
      </c>
      <c r="B95" s="6">
        <v>3.0</v>
      </c>
      <c r="C95" s="7">
        <f t="shared" si="1"/>
        <v>0</v>
      </c>
      <c r="D95" s="8">
        <f t="shared" si="2"/>
        <v>0.005207779785</v>
      </c>
    </row>
    <row r="96" ht="15.75" customHeight="1">
      <c r="A96" s="6">
        <v>3.0</v>
      </c>
      <c r="B96" s="6">
        <v>5.0</v>
      </c>
      <c r="C96" s="7">
        <f t="shared" si="1"/>
        <v>2</v>
      </c>
      <c r="D96" s="8">
        <f t="shared" si="2"/>
        <v>4.293867574</v>
      </c>
    </row>
    <row r="97" ht="15.75" customHeight="1">
      <c r="A97" s="6">
        <v>5.0</v>
      </c>
      <c r="B97" s="6">
        <v>3.0</v>
      </c>
      <c r="C97" s="7">
        <f t="shared" si="1"/>
        <v>-2</v>
      </c>
      <c r="D97" s="8">
        <f t="shared" si="2"/>
        <v>3.716547986</v>
      </c>
    </row>
    <row r="98" ht="15.75" customHeight="1">
      <c r="A98" s="6">
        <v>3.0</v>
      </c>
      <c r="B98" s="6">
        <v>5.0</v>
      </c>
      <c r="C98" s="7">
        <f t="shared" si="1"/>
        <v>2</v>
      </c>
      <c r="D98" s="8">
        <f t="shared" si="2"/>
        <v>4.293867574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31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110</v>
      </c>
      <c r="B1" s="13" t="s">
        <v>111</v>
      </c>
      <c r="C1" s="5" t="s">
        <v>12</v>
      </c>
      <c r="D1" s="5"/>
    </row>
    <row r="2">
      <c r="A2" s="6">
        <v>4.0</v>
      </c>
      <c r="B2" s="6">
        <v>4.0</v>
      </c>
      <c r="C2" s="7">
        <f t="shared" ref="C2:C98" si="1">B2-A2</f>
        <v>0</v>
      </c>
      <c r="D2" s="8">
        <f t="shared" ref="D2:D98" si="2">(C2-$G$6)^2</f>
        <v>0.003826123924</v>
      </c>
    </row>
    <row r="3">
      <c r="A3" s="6">
        <v>4.0</v>
      </c>
      <c r="B3" s="6">
        <v>4.0</v>
      </c>
      <c r="C3" s="7">
        <f t="shared" si="1"/>
        <v>0</v>
      </c>
      <c r="D3" s="8">
        <f t="shared" si="2"/>
        <v>0.003826123924</v>
      </c>
      <c r="F3" s="9" t="s">
        <v>14</v>
      </c>
      <c r="G3" s="9"/>
    </row>
    <row r="4">
      <c r="A4" s="6">
        <v>3.0</v>
      </c>
      <c r="B4" s="6">
        <v>4.0</v>
      </c>
      <c r="C4" s="7">
        <f t="shared" si="1"/>
        <v>1</v>
      </c>
      <c r="D4" s="8">
        <f t="shared" si="2"/>
        <v>1.127537464</v>
      </c>
      <c r="F4" s="6" t="s">
        <v>15</v>
      </c>
      <c r="G4" s="6">
        <f>COUNT(A:A)</f>
        <v>97</v>
      </c>
    </row>
    <row r="5">
      <c r="A5" s="6">
        <v>3.0</v>
      </c>
      <c r="B5" s="6">
        <v>2.0</v>
      </c>
      <c r="C5" s="7">
        <f t="shared" si="1"/>
        <v>-1</v>
      </c>
      <c r="D5" s="8">
        <f t="shared" si="2"/>
        <v>0.8801147837</v>
      </c>
      <c r="F5" s="6" t="s">
        <v>17</v>
      </c>
      <c r="G5" s="6">
        <f>SUM(C:C)</f>
        <v>-6</v>
      </c>
    </row>
    <row r="6">
      <c r="A6" s="6">
        <v>5.0</v>
      </c>
      <c r="B6" s="6">
        <v>1.0</v>
      </c>
      <c r="C6" s="7">
        <f t="shared" si="1"/>
        <v>-4</v>
      </c>
      <c r="D6" s="8">
        <f t="shared" si="2"/>
        <v>15.50898076</v>
      </c>
      <c r="F6" s="6" t="s">
        <v>18</v>
      </c>
      <c r="G6" s="6">
        <f>G5/G4</f>
        <v>-0.0618556701</v>
      </c>
    </row>
    <row r="7">
      <c r="A7" s="6">
        <v>3.0</v>
      </c>
      <c r="B7" s="6">
        <v>5.0</v>
      </c>
      <c r="C7" s="7">
        <f t="shared" si="1"/>
        <v>2</v>
      </c>
      <c r="D7" s="8">
        <f t="shared" si="2"/>
        <v>4.251248804</v>
      </c>
      <c r="F7" s="6" t="s">
        <v>19</v>
      </c>
      <c r="G7" s="6">
        <f>SUM(D:D)</f>
        <v>257.628866</v>
      </c>
    </row>
    <row r="8">
      <c r="A8" s="6">
        <v>4.0</v>
      </c>
      <c r="B8" s="6">
        <v>4.0</v>
      </c>
      <c r="C8" s="7">
        <f t="shared" si="1"/>
        <v>0</v>
      </c>
      <c r="D8" s="8">
        <f t="shared" si="2"/>
        <v>0.003826123924</v>
      </c>
      <c r="F8" s="6" t="s">
        <v>21</v>
      </c>
      <c r="G8" s="6">
        <f>SQRT(G7/(G4-1))</f>
        <v>1.638180094</v>
      </c>
    </row>
    <row r="9">
      <c r="A9" s="6">
        <v>3.0</v>
      </c>
      <c r="B9" s="6">
        <v>2.0</v>
      </c>
      <c r="C9" s="7">
        <f t="shared" si="1"/>
        <v>-1</v>
      </c>
      <c r="D9" s="8">
        <f t="shared" si="2"/>
        <v>0.8801147837</v>
      </c>
    </row>
    <row r="10">
      <c r="A10" s="6">
        <v>5.0</v>
      </c>
      <c r="B10" s="6">
        <v>1.0</v>
      </c>
      <c r="C10" s="7">
        <f t="shared" si="1"/>
        <v>-4</v>
      </c>
      <c r="D10" s="8">
        <f t="shared" si="2"/>
        <v>15.50898076</v>
      </c>
    </row>
    <row r="11">
      <c r="A11" s="6">
        <v>4.0</v>
      </c>
      <c r="B11" s="6">
        <v>4.0</v>
      </c>
      <c r="C11" s="7">
        <f t="shared" si="1"/>
        <v>0</v>
      </c>
      <c r="D11" s="8">
        <f t="shared" si="2"/>
        <v>0.003826123924</v>
      </c>
    </row>
    <row r="12">
      <c r="A12" s="6">
        <v>3.0</v>
      </c>
      <c r="B12" s="6">
        <v>2.0</v>
      </c>
      <c r="C12" s="7">
        <f t="shared" si="1"/>
        <v>-1</v>
      </c>
      <c r="D12" s="8">
        <f t="shared" si="2"/>
        <v>0.8801147837</v>
      </c>
      <c r="F12" s="6" t="s">
        <v>23</v>
      </c>
      <c r="G12" s="6">
        <f>G6/(G8/SQRT(G4))</f>
        <v>-0.3718807848</v>
      </c>
    </row>
    <row r="13">
      <c r="A13" s="6">
        <v>3.0</v>
      </c>
      <c r="B13" s="6">
        <v>3.0</v>
      </c>
      <c r="C13" s="7">
        <f t="shared" si="1"/>
        <v>0</v>
      </c>
      <c r="D13" s="8">
        <f t="shared" si="2"/>
        <v>0.003826123924</v>
      </c>
    </row>
    <row r="14">
      <c r="A14" s="6">
        <v>3.0</v>
      </c>
      <c r="B14" s="6">
        <v>5.0</v>
      </c>
      <c r="C14" s="7">
        <f t="shared" si="1"/>
        <v>2</v>
      </c>
      <c r="D14" s="8">
        <f t="shared" si="2"/>
        <v>4.251248804</v>
      </c>
    </row>
    <row r="15">
      <c r="A15" s="6">
        <v>1.0</v>
      </c>
      <c r="B15" s="6">
        <v>2.0</v>
      </c>
      <c r="C15" s="7">
        <f t="shared" si="1"/>
        <v>1</v>
      </c>
      <c r="D15" s="8">
        <f t="shared" si="2"/>
        <v>1.127537464</v>
      </c>
    </row>
    <row r="16">
      <c r="A16" s="6">
        <v>3.0</v>
      </c>
      <c r="B16" s="6">
        <v>3.0</v>
      </c>
      <c r="C16" s="7">
        <f t="shared" si="1"/>
        <v>0</v>
      </c>
      <c r="D16" s="8">
        <f t="shared" si="2"/>
        <v>0.003826123924</v>
      </c>
    </row>
    <row r="17">
      <c r="A17" s="6">
        <v>1.0</v>
      </c>
      <c r="B17" s="6">
        <v>4.0</v>
      </c>
      <c r="C17" s="7">
        <f t="shared" si="1"/>
        <v>3</v>
      </c>
      <c r="D17" s="8">
        <f t="shared" si="2"/>
        <v>9.374960145</v>
      </c>
      <c r="F17" s="6" t="s">
        <v>25</v>
      </c>
      <c r="G17" s="6">
        <v>0.05</v>
      </c>
    </row>
    <row r="18">
      <c r="A18" s="6">
        <v>5.0</v>
      </c>
      <c r="B18" s="6">
        <v>4.0</v>
      </c>
      <c r="C18" s="7">
        <f t="shared" si="1"/>
        <v>-1</v>
      </c>
      <c r="D18" s="8">
        <f t="shared" si="2"/>
        <v>0.8801147837</v>
      </c>
      <c r="F18" s="6" t="s">
        <v>26</v>
      </c>
      <c r="G18" s="6">
        <f>G4-1</f>
        <v>96</v>
      </c>
    </row>
    <row r="19">
      <c r="A19" s="6">
        <v>1.0</v>
      </c>
      <c r="B19" s="6">
        <v>3.0</v>
      </c>
      <c r="C19" s="7">
        <f t="shared" si="1"/>
        <v>2</v>
      </c>
      <c r="D19" s="8">
        <f t="shared" si="2"/>
        <v>4.251248804</v>
      </c>
    </row>
    <row r="20">
      <c r="A20" s="6">
        <v>4.0</v>
      </c>
      <c r="B20" s="6">
        <v>3.0</v>
      </c>
      <c r="C20" s="7">
        <f t="shared" si="1"/>
        <v>-1</v>
      </c>
      <c r="D20" s="8">
        <f t="shared" si="2"/>
        <v>0.8801147837</v>
      </c>
    </row>
    <row r="21" ht="15.75" customHeight="1">
      <c r="A21" s="6">
        <v>4.0</v>
      </c>
      <c r="B21" s="6">
        <v>3.0</v>
      </c>
      <c r="C21" s="7">
        <f t="shared" si="1"/>
        <v>-1</v>
      </c>
      <c r="D21" s="8">
        <f t="shared" si="2"/>
        <v>0.8801147837</v>
      </c>
    </row>
    <row r="22" ht="15.75" customHeight="1">
      <c r="A22" s="6">
        <v>2.0</v>
      </c>
      <c r="B22" s="6">
        <v>2.0</v>
      </c>
      <c r="C22" s="7">
        <f t="shared" si="1"/>
        <v>0</v>
      </c>
      <c r="D22" s="8">
        <f t="shared" si="2"/>
        <v>0.003826123924</v>
      </c>
      <c r="F22" s="9" t="s">
        <v>27</v>
      </c>
      <c r="G22" s="9"/>
    </row>
    <row r="23" ht="15.75" customHeight="1">
      <c r="A23" s="6">
        <v>2.0</v>
      </c>
      <c r="B23" s="6">
        <v>5.0</v>
      </c>
      <c r="C23" s="7">
        <f t="shared" si="1"/>
        <v>3</v>
      </c>
      <c r="D23" s="8">
        <f t="shared" si="2"/>
        <v>9.374960145</v>
      </c>
      <c r="F23" s="6" t="s">
        <v>112</v>
      </c>
      <c r="G23" s="6">
        <f>_xlfn.T.INV.2T(G17,G18)</f>
        <v>1.984984312</v>
      </c>
    </row>
    <row r="24" ht="15.75" customHeight="1">
      <c r="A24" s="6">
        <v>4.0</v>
      </c>
      <c r="B24" s="6">
        <v>3.0</v>
      </c>
      <c r="C24" s="7">
        <f t="shared" si="1"/>
        <v>-1</v>
      </c>
      <c r="D24" s="8">
        <f t="shared" si="2"/>
        <v>0.8801147837</v>
      </c>
      <c r="F24" s="6" t="s">
        <v>113</v>
      </c>
      <c r="G24" s="6">
        <f>_xlfn.T.INV(G17,G18)</f>
        <v>-1.66088144</v>
      </c>
    </row>
    <row r="25" ht="15.75" customHeight="1">
      <c r="A25" s="6">
        <v>3.0</v>
      </c>
      <c r="B25" s="6">
        <v>3.0</v>
      </c>
      <c r="C25" s="7">
        <f t="shared" si="1"/>
        <v>0</v>
      </c>
      <c r="D25" s="8">
        <f t="shared" si="2"/>
        <v>0.003826123924</v>
      </c>
    </row>
    <row r="26" ht="15.75" customHeight="1">
      <c r="A26" s="6">
        <v>4.0</v>
      </c>
      <c r="B26" s="6">
        <v>4.0</v>
      </c>
      <c r="C26" s="7">
        <f t="shared" si="1"/>
        <v>0</v>
      </c>
      <c r="D26" s="8">
        <f t="shared" si="2"/>
        <v>0.003826123924</v>
      </c>
    </row>
    <row r="27" ht="15.75" customHeight="1">
      <c r="A27" s="6">
        <v>4.0</v>
      </c>
      <c r="B27" s="6">
        <v>1.0</v>
      </c>
      <c r="C27" s="7">
        <f t="shared" si="1"/>
        <v>-3</v>
      </c>
      <c r="D27" s="8">
        <f t="shared" si="2"/>
        <v>8.632692103</v>
      </c>
      <c r="F27" s="9" t="s">
        <v>32</v>
      </c>
      <c r="G27" s="9"/>
    </row>
    <row r="28" ht="15.75" customHeight="1">
      <c r="A28" s="6">
        <v>2.0</v>
      </c>
      <c r="B28" s="6">
        <v>5.0</v>
      </c>
      <c r="C28" s="7">
        <f t="shared" si="1"/>
        <v>3</v>
      </c>
      <c r="D28" s="8">
        <f t="shared" si="2"/>
        <v>9.374960145</v>
      </c>
      <c r="F28" s="6" t="s">
        <v>32</v>
      </c>
    </row>
    <row r="29" ht="15.75" customHeight="1">
      <c r="A29" s="6">
        <v>2.0</v>
      </c>
      <c r="B29" s="6">
        <v>5.0</v>
      </c>
      <c r="C29" s="7">
        <f t="shared" si="1"/>
        <v>3</v>
      </c>
      <c r="D29" s="8">
        <f t="shared" si="2"/>
        <v>9.374960145</v>
      </c>
      <c r="F29" s="6" t="s">
        <v>114</v>
      </c>
      <c r="G29" s="6">
        <f>TTEST(A:A,B:B,2,1)</f>
        <v>0.7108012046</v>
      </c>
    </row>
    <row r="30" ht="15.75" customHeight="1">
      <c r="A30" s="6">
        <v>3.0</v>
      </c>
      <c r="B30" s="6">
        <v>1.0</v>
      </c>
      <c r="C30" s="7">
        <f t="shared" si="1"/>
        <v>-2</v>
      </c>
      <c r="D30" s="8">
        <f t="shared" si="2"/>
        <v>3.756403444</v>
      </c>
      <c r="F30" s="6" t="s">
        <v>115</v>
      </c>
      <c r="G30" s="6">
        <f>TTEST(A:A,B:B,1,1)</f>
        <v>0.3554006023</v>
      </c>
    </row>
    <row r="31" ht="15.75" customHeight="1">
      <c r="A31" s="6">
        <v>3.0</v>
      </c>
      <c r="B31" s="6">
        <v>2.0</v>
      </c>
      <c r="C31" s="7">
        <f t="shared" si="1"/>
        <v>-1</v>
      </c>
      <c r="D31" s="8">
        <f t="shared" si="2"/>
        <v>0.8801147837</v>
      </c>
    </row>
    <row r="32" ht="15.75" customHeight="1">
      <c r="A32" s="6">
        <v>5.0</v>
      </c>
      <c r="B32" s="6">
        <v>3.0</v>
      </c>
      <c r="C32" s="7">
        <f t="shared" si="1"/>
        <v>-2</v>
      </c>
      <c r="D32" s="8">
        <f t="shared" si="2"/>
        <v>3.756403444</v>
      </c>
    </row>
    <row r="33" ht="15.75" customHeight="1">
      <c r="A33" s="6">
        <v>3.0</v>
      </c>
      <c r="B33" s="6">
        <v>3.0</v>
      </c>
      <c r="C33" s="7">
        <f t="shared" si="1"/>
        <v>0</v>
      </c>
      <c r="D33" s="8">
        <f t="shared" si="2"/>
        <v>0.003826123924</v>
      </c>
      <c r="F33" s="10" t="s">
        <v>39</v>
      </c>
      <c r="G33" s="10"/>
    </row>
    <row r="34" ht="15.75" customHeight="1">
      <c r="A34" s="6">
        <v>4.0</v>
      </c>
      <c r="B34" s="6">
        <v>2.0</v>
      </c>
      <c r="C34" s="7">
        <f t="shared" si="1"/>
        <v>-2</v>
      </c>
      <c r="D34" s="8">
        <f t="shared" si="2"/>
        <v>3.756403444</v>
      </c>
    </row>
    <row r="35" ht="15.75" customHeight="1">
      <c r="A35" s="6">
        <v>3.0</v>
      </c>
      <c r="B35" s="6">
        <v>4.0</v>
      </c>
      <c r="C35" s="7">
        <f t="shared" si="1"/>
        <v>1</v>
      </c>
      <c r="D35" s="8">
        <f t="shared" si="2"/>
        <v>1.127537464</v>
      </c>
      <c r="F35" s="6" t="s">
        <v>118</v>
      </c>
    </row>
    <row r="36" ht="15.75" customHeight="1">
      <c r="A36" s="6">
        <v>3.0</v>
      </c>
      <c r="B36" s="6">
        <v>4.0</v>
      </c>
      <c r="C36" s="7">
        <f t="shared" si="1"/>
        <v>1</v>
      </c>
      <c r="D36" s="8">
        <f t="shared" si="2"/>
        <v>1.127537464</v>
      </c>
      <c r="F36" s="6" t="s">
        <v>119</v>
      </c>
    </row>
    <row r="37" ht="15.75" customHeight="1">
      <c r="A37" s="6">
        <v>4.0</v>
      </c>
      <c r="B37" s="6">
        <v>4.0</v>
      </c>
      <c r="C37" s="7">
        <f t="shared" si="1"/>
        <v>0</v>
      </c>
      <c r="D37" s="8">
        <f t="shared" si="2"/>
        <v>0.003826123924</v>
      </c>
    </row>
    <row r="38" ht="15.75" customHeight="1">
      <c r="A38" s="6">
        <v>2.0</v>
      </c>
      <c r="B38" s="6">
        <v>4.0</v>
      </c>
      <c r="C38" s="7">
        <f t="shared" si="1"/>
        <v>2</v>
      </c>
      <c r="D38" s="8">
        <f t="shared" si="2"/>
        <v>4.251248804</v>
      </c>
    </row>
    <row r="39" ht="15.75" customHeight="1">
      <c r="A39" s="6">
        <v>2.0</v>
      </c>
      <c r="B39" s="6">
        <v>2.0</v>
      </c>
      <c r="C39" s="7">
        <f t="shared" si="1"/>
        <v>0</v>
      </c>
      <c r="D39" s="8">
        <f t="shared" si="2"/>
        <v>0.003826123924</v>
      </c>
    </row>
    <row r="40" ht="15.75" customHeight="1">
      <c r="A40" s="6">
        <v>5.0</v>
      </c>
      <c r="B40" s="6">
        <v>5.0</v>
      </c>
      <c r="C40" s="7">
        <f t="shared" si="1"/>
        <v>0</v>
      </c>
      <c r="D40" s="8">
        <f t="shared" si="2"/>
        <v>0.003826123924</v>
      </c>
      <c r="F40" s="6" t="s">
        <v>120</v>
      </c>
    </row>
    <row r="41" ht="15.75" customHeight="1">
      <c r="A41" s="6">
        <v>3.0</v>
      </c>
      <c r="B41" s="6">
        <v>2.0</v>
      </c>
      <c r="C41" s="7">
        <f t="shared" si="1"/>
        <v>-1</v>
      </c>
      <c r="D41" s="8">
        <f t="shared" si="2"/>
        <v>0.8801147837</v>
      </c>
      <c r="F41" s="6" t="str">
        <f>"Dos Colas: Si t calculado ("&amp;G12&amp;") &gt; a t critico  ("&amp;G23&amp;") (de tabla) ---&gt; Se rechaza la hipotesis nula"</f>
        <v>Dos Colas: Si t calculado (-0,371880784831982) &gt; a t critico  (1,98498431152245) (de tabla) ---&gt; Se rechaza la hipotesis nula</v>
      </c>
    </row>
    <row r="42" ht="15.75" customHeight="1">
      <c r="A42" s="6">
        <v>4.0</v>
      </c>
      <c r="B42" s="6">
        <v>4.0</v>
      </c>
      <c r="C42" s="7">
        <f t="shared" si="1"/>
        <v>0</v>
      </c>
      <c r="D42" s="8">
        <f t="shared" si="2"/>
        <v>0.003826123924</v>
      </c>
      <c r="F42" s="6" t="str">
        <f>"Una Cola: Si t calculado ("&amp;G12&amp;") &gt; a t critico  ("&amp;G24&amp;") (de tabla) ---&gt; Se rechaza la hipotesis nula"</f>
        <v>Una Cola: Si t calculado (-0,371880784831982) &gt; a t critico  (-1,66088144032486) (de tabla) ---&gt; Se rechaza la hipotesis nula</v>
      </c>
    </row>
    <row r="43" ht="15.75" customHeight="1">
      <c r="A43" s="6">
        <v>2.0</v>
      </c>
      <c r="B43" s="6">
        <v>3.0</v>
      </c>
      <c r="C43" s="7">
        <f t="shared" si="1"/>
        <v>1</v>
      </c>
      <c r="D43" s="8">
        <f t="shared" si="2"/>
        <v>1.127537464</v>
      </c>
    </row>
    <row r="44" ht="15.75" customHeight="1">
      <c r="A44" s="6">
        <v>2.0</v>
      </c>
      <c r="B44" s="6">
        <v>2.0</v>
      </c>
      <c r="C44" s="7">
        <f t="shared" si="1"/>
        <v>0</v>
      </c>
      <c r="D44" s="8">
        <f t="shared" si="2"/>
        <v>0.003826123924</v>
      </c>
    </row>
    <row r="45" ht="15.75" customHeight="1">
      <c r="A45" s="6">
        <v>4.0</v>
      </c>
      <c r="B45" s="6">
        <v>1.0</v>
      </c>
      <c r="C45" s="7">
        <f t="shared" si="1"/>
        <v>-3</v>
      </c>
      <c r="D45" s="8">
        <f t="shared" si="2"/>
        <v>8.632692103</v>
      </c>
    </row>
    <row r="46" ht="15.75" customHeight="1">
      <c r="A46" s="6">
        <v>2.0</v>
      </c>
      <c r="B46" s="6">
        <v>4.0</v>
      </c>
      <c r="C46" s="7">
        <f t="shared" si="1"/>
        <v>2</v>
      </c>
      <c r="D46" s="8">
        <f t="shared" si="2"/>
        <v>4.251248804</v>
      </c>
      <c r="F46" s="6" t="s">
        <v>121</v>
      </c>
    </row>
    <row r="47" ht="15.75" customHeight="1">
      <c r="A47" s="6">
        <v>4.0</v>
      </c>
      <c r="B47" s="6">
        <v>3.0</v>
      </c>
      <c r="C47" s="7">
        <f t="shared" si="1"/>
        <v>-1</v>
      </c>
      <c r="D47" s="8">
        <f t="shared" si="2"/>
        <v>0.8801147837</v>
      </c>
      <c r="F47" s="6" t="str">
        <f>"Dos Colas: Si p valor ("&amp;G29&amp;") &lt; Nivel Significancia ("&amp;G17&amp;") ---&gt; Se rechaza la hipotesis nula"</f>
        <v>Dos Colas: Si p valor (0,710801204612084) &lt; Nivel Significancia (0,05) ---&gt; Se rechaza la hipotesis nula</v>
      </c>
    </row>
    <row r="48" ht="15.75" customHeight="1">
      <c r="A48" s="6">
        <v>1.0</v>
      </c>
      <c r="B48" s="6">
        <v>3.0</v>
      </c>
      <c r="C48" s="7">
        <f t="shared" si="1"/>
        <v>2</v>
      </c>
      <c r="D48" s="8">
        <f t="shared" si="2"/>
        <v>4.251248804</v>
      </c>
      <c r="F48" s="6" t="str">
        <f>"Una Cola: Si p valor ("&amp;G30&amp;") &lt; Nivel Significancia ("&amp;G17&amp;") ---&gt; Se rechaza la hipotesis nula"</f>
        <v>Una Cola: Si p valor (0,355400602306042) &lt; Nivel Significancia (0,05) ---&gt; Se rechaza la hipotesis nula</v>
      </c>
    </row>
    <row r="49" ht="15.75" customHeight="1">
      <c r="A49" s="6">
        <v>2.0</v>
      </c>
      <c r="B49" s="6">
        <v>4.0</v>
      </c>
      <c r="C49" s="7">
        <f t="shared" si="1"/>
        <v>2</v>
      </c>
      <c r="D49" s="8">
        <f t="shared" si="2"/>
        <v>4.251248804</v>
      </c>
    </row>
    <row r="50" ht="15.75" customHeight="1">
      <c r="A50" s="6">
        <v>3.0</v>
      </c>
      <c r="B50" s="6">
        <v>2.0</v>
      </c>
      <c r="C50" s="7">
        <f t="shared" si="1"/>
        <v>-1</v>
      </c>
      <c r="D50" s="8">
        <f t="shared" si="2"/>
        <v>0.8801147837</v>
      </c>
    </row>
    <row r="51" ht="15.75" customHeight="1">
      <c r="A51" s="6">
        <v>2.0</v>
      </c>
      <c r="B51" s="6">
        <v>2.0</v>
      </c>
      <c r="C51" s="7">
        <f t="shared" si="1"/>
        <v>0</v>
      </c>
      <c r="D51" s="8">
        <f t="shared" si="2"/>
        <v>0.003826123924</v>
      </c>
    </row>
    <row r="52" ht="15.75" customHeight="1">
      <c r="A52" s="6">
        <v>2.0</v>
      </c>
      <c r="B52" s="6">
        <v>4.0</v>
      </c>
      <c r="C52" s="7">
        <f t="shared" si="1"/>
        <v>2</v>
      </c>
      <c r="D52" s="8">
        <f t="shared" si="2"/>
        <v>4.251248804</v>
      </c>
    </row>
    <row r="53" ht="15.75" customHeight="1">
      <c r="A53" s="6">
        <v>2.0</v>
      </c>
      <c r="B53" s="6">
        <v>4.0</v>
      </c>
      <c r="C53" s="7">
        <f t="shared" si="1"/>
        <v>2</v>
      </c>
      <c r="D53" s="8">
        <f t="shared" si="2"/>
        <v>4.251248804</v>
      </c>
    </row>
    <row r="54" ht="15.75" customHeight="1">
      <c r="A54" s="6">
        <v>3.0</v>
      </c>
      <c r="B54" s="6">
        <v>1.0</v>
      </c>
      <c r="C54" s="7">
        <f t="shared" si="1"/>
        <v>-2</v>
      </c>
      <c r="D54" s="8">
        <f t="shared" si="2"/>
        <v>3.756403444</v>
      </c>
    </row>
    <row r="55" ht="15.75" customHeight="1">
      <c r="A55" s="6">
        <v>3.0</v>
      </c>
      <c r="B55" s="6">
        <v>3.0</v>
      </c>
      <c r="C55" s="7">
        <f t="shared" si="1"/>
        <v>0</v>
      </c>
      <c r="D55" s="8">
        <f t="shared" si="2"/>
        <v>0.003826123924</v>
      </c>
    </row>
    <row r="56" ht="15.75" customHeight="1">
      <c r="A56" s="6">
        <v>4.0</v>
      </c>
      <c r="B56" s="6">
        <v>2.0</v>
      </c>
      <c r="C56" s="7">
        <f t="shared" si="1"/>
        <v>-2</v>
      </c>
      <c r="D56" s="8">
        <f t="shared" si="2"/>
        <v>3.756403444</v>
      </c>
    </row>
    <row r="57" ht="15.75" customHeight="1">
      <c r="A57" s="6">
        <v>2.0</v>
      </c>
      <c r="B57" s="6">
        <v>5.0</v>
      </c>
      <c r="C57" s="7">
        <f t="shared" si="1"/>
        <v>3</v>
      </c>
      <c r="D57" s="8">
        <f t="shared" si="2"/>
        <v>9.374960145</v>
      </c>
    </row>
    <row r="58" ht="15.75" customHeight="1">
      <c r="A58" s="6">
        <v>2.0</v>
      </c>
      <c r="B58" s="6">
        <v>2.0</v>
      </c>
      <c r="C58" s="7">
        <f t="shared" si="1"/>
        <v>0</v>
      </c>
      <c r="D58" s="8">
        <f t="shared" si="2"/>
        <v>0.003826123924</v>
      </c>
    </row>
    <row r="59" ht="15.75" customHeight="1">
      <c r="A59" s="6">
        <v>2.0</v>
      </c>
      <c r="B59" s="6">
        <v>3.0</v>
      </c>
      <c r="C59" s="7">
        <f t="shared" si="1"/>
        <v>1</v>
      </c>
      <c r="D59" s="8">
        <f t="shared" si="2"/>
        <v>1.127537464</v>
      </c>
    </row>
    <row r="60" ht="15.75" customHeight="1">
      <c r="A60" s="6">
        <v>5.0</v>
      </c>
      <c r="B60" s="6">
        <v>3.0</v>
      </c>
      <c r="C60" s="7">
        <f t="shared" si="1"/>
        <v>-2</v>
      </c>
      <c r="D60" s="8">
        <f t="shared" si="2"/>
        <v>3.756403444</v>
      </c>
    </row>
    <row r="61" ht="15.75" customHeight="1">
      <c r="A61" s="6">
        <v>5.0</v>
      </c>
      <c r="B61" s="6">
        <v>4.0</v>
      </c>
      <c r="C61" s="7">
        <f t="shared" si="1"/>
        <v>-1</v>
      </c>
      <c r="D61" s="8">
        <f t="shared" si="2"/>
        <v>0.8801147837</v>
      </c>
    </row>
    <row r="62" ht="15.75" customHeight="1">
      <c r="A62" s="6">
        <v>5.0</v>
      </c>
      <c r="B62" s="6">
        <v>3.0</v>
      </c>
      <c r="C62" s="7">
        <f t="shared" si="1"/>
        <v>-2</v>
      </c>
      <c r="D62" s="8">
        <f t="shared" si="2"/>
        <v>3.756403444</v>
      </c>
    </row>
    <row r="63" ht="15.75" customHeight="1">
      <c r="A63" s="6">
        <v>4.0</v>
      </c>
      <c r="B63" s="6">
        <v>3.0</v>
      </c>
      <c r="C63" s="7">
        <f t="shared" si="1"/>
        <v>-1</v>
      </c>
      <c r="D63" s="8">
        <f t="shared" si="2"/>
        <v>0.8801147837</v>
      </c>
    </row>
    <row r="64" ht="15.75" customHeight="1">
      <c r="A64" s="6">
        <v>3.0</v>
      </c>
      <c r="B64" s="6">
        <v>2.0</v>
      </c>
      <c r="C64" s="7">
        <f t="shared" si="1"/>
        <v>-1</v>
      </c>
      <c r="D64" s="8">
        <f t="shared" si="2"/>
        <v>0.8801147837</v>
      </c>
    </row>
    <row r="65" ht="15.75" customHeight="1">
      <c r="A65" s="6">
        <v>3.0</v>
      </c>
      <c r="B65" s="6">
        <v>4.0</v>
      </c>
      <c r="C65" s="7">
        <f t="shared" si="1"/>
        <v>1</v>
      </c>
      <c r="D65" s="8">
        <f t="shared" si="2"/>
        <v>1.127537464</v>
      </c>
    </row>
    <row r="66" ht="15.75" customHeight="1">
      <c r="A66" s="6">
        <v>2.0</v>
      </c>
      <c r="B66" s="6">
        <v>2.0</v>
      </c>
      <c r="C66" s="7">
        <f t="shared" si="1"/>
        <v>0</v>
      </c>
      <c r="D66" s="8">
        <f t="shared" si="2"/>
        <v>0.003826123924</v>
      </c>
    </row>
    <row r="67" ht="15.75" customHeight="1">
      <c r="A67" s="6">
        <v>5.0</v>
      </c>
      <c r="B67" s="6">
        <v>3.0</v>
      </c>
      <c r="C67" s="7">
        <f t="shared" si="1"/>
        <v>-2</v>
      </c>
      <c r="D67" s="8">
        <f t="shared" si="2"/>
        <v>3.756403444</v>
      </c>
    </row>
    <row r="68" ht="15.75" customHeight="1">
      <c r="A68" s="6">
        <v>3.0</v>
      </c>
      <c r="B68" s="6">
        <v>2.0</v>
      </c>
      <c r="C68" s="7">
        <f t="shared" si="1"/>
        <v>-1</v>
      </c>
      <c r="D68" s="8">
        <f t="shared" si="2"/>
        <v>0.8801147837</v>
      </c>
    </row>
    <row r="69" ht="15.75" customHeight="1">
      <c r="A69" s="6">
        <v>3.0</v>
      </c>
      <c r="B69" s="6">
        <v>4.0</v>
      </c>
      <c r="C69" s="7">
        <f t="shared" si="1"/>
        <v>1</v>
      </c>
      <c r="D69" s="8">
        <f t="shared" si="2"/>
        <v>1.127537464</v>
      </c>
    </row>
    <row r="70" ht="15.75" customHeight="1">
      <c r="A70" s="6">
        <v>2.0</v>
      </c>
      <c r="B70" s="6">
        <v>4.0</v>
      </c>
      <c r="C70" s="7">
        <f t="shared" si="1"/>
        <v>2</v>
      </c>
      <c r="D70" s="8">
        <f t="shared" si="2"/>
        <v>4.251248804</v>
      </c>
    </row>
    <row r="71" ht="15.75" customHeight="1">
      <c r="A71" s="6">
        <v>2.0</v>
      </c>
      <c r="B71" s="6">
        <v>5.0</v>
      </c>
      <c r="C71" s="7">
        <f t="shared" si="1"/>
        <v>3</v>
      </c>
      <c r="D71" s="8">
        <f t="shared" si="2"/>
        <v>9.374960145</v>
      </c>
    </row>
    <row r="72" ht="15.75" customHeight="1">
      <c r="A72" s="6">
        <v>3.0</v>
      </c>
      <c r="B72" s="6">
        <v>2.0</v>
      </c>
      <c r="C72" s="7">
        <f t="shared" si="1"/>
        <v>-1</v>
      </c>
      <c r="D72" s="8">
        <f t="shared" si="2"/>
        <v>0.8801147837</v>
      </c>
    </row>
    <row r="73" ht="15.75" customHeight="1">
      <c r="A73" s="6">
        <v>5.0</v>
      </c>
      <c r="B73" s="6">
        <v>4.0</v>
      </c>
      <c r="C73" s="7">
        <f t="shared" si="1"/>
        <v>-1</v>
      </c>
      <c r="D73" s="8">
        <f t="shared" si="2"/>
        <v>0.8801147837</v>
      </c>
    </row>
    <row r="74" ht="15.75" customHeight="1">
      <c r="A74" s="6">
        <v>5.0</v>
      </c>
      <c r="B74" s="6">
        <v>3.0</v>
      </c>
      <c r="C74" s="7">
        <f t="shared" si="1"/>
        <v>-2</v>
      </c>
      <c r="D74" s="8">
        <f t="shared" si="2"/>
        <v>3.756403444</v>
      </c>
    </row>
    <row r="75" ht="15.75" customHeight="1">
      <c r="A75" s="6">
        <v>3.0</v>
      </c>
      <c r="B75" s="6">
        <v>5.0</v>
      </c>
      <c r="C75" s="7">
        <f t="shared" si="1"/>
        <v>2</v>
      </c>
      <c r="D75" s="8">
        <f t="shared" si="2"/>
        <v>4.251248804</v>
      </c>
    </row>
    <row r="76" ht="15.75" customHeight="1">
      <c r="A76" s="6">
        <v>2.0</v>
      </c>
      <c r="B76" s="6">
        <v>3.0</v>
      </c>
      <c r="C76" s="7">
        <f t="shared" si="1"/>
        <v>1</v>
      </c>
      <c r="D76" s="8">
        <f t="shared" si="2"/>
        <v>1.127537464</v>
      </c>
    </row>
    <row r="77" ht="15.75" customHeight="1">
      <c r="A77" s="6">
        <v>3.0</v>
      </c>
      <c r="B77" s="6">
        <v>4.0</v>
      </c>
      <c r="C77" s="7">
        <f t="shared" si="1"/>
        <v>1</v>
      </c>
      <c r="D77" s="8">
        <f t="shared" si="2"/>
        <v>1.127537464</v>
      </c>
    </row>
    <row r="78" ht="15.75" customHeight="1">
      <c r="A78" s="6">
        <v>3.0</v>
      </c>
      <c r="B78" s="6">
        <v>3.0</v>
      </c>
      <c r="C78" s="7">
        <f t="shared" si="1"/>
        <v>0</v>
      </c>
      <c r="D78" s="8">
        <f t="shared" si="2"/>
        <v>0.003826123924</v>
      </c>
    </row>
    <row r="79" ht="15.75" customHeight="1">
      <c r="A79" s="6">
        <v>4.0</v>
      </c>
      <c r="B79" s="6">
        <v>5.0</v>
      </c>
      <c r="C79" s="7">
        <f t="shared" si="1"/>
        <v>1</v>
      </c>
      <c r="D79" s="8">
        <f t="shared" si="2"/>
        <v>1.127537464</v>
      </c>
    </row>
    <row r="80" ht="15.75" customHeight="1">
      <c r="A80" s="6">
        <v>5.0</v>
      </c>
      <c r="B80" s="6">
        <v>3.0</v>
      </c>
      <c r="C80" s="7">
        <f t="shared" si="1"/>
        <v>-2</v>
      </c>
      <c r="D80" s="8">
        <f t="shared" si="2"/>
        <v>3.756403444</v>
      </c>
    </row>
    <row r="81" ht="15.75" customHeight="1">
      <c r="A81" s="6">
        <v>2.0</v>
      </c>
      <c r="B81" s="6">
        <v>1.0</v>
      </c>
      <c r="C81" s="7">
        <f t="shared" si="1"/>
        <v>-1</v>
      </c>
      <c r="D81" s="8">
        <f t="shared" si="2"/>
        <v>0.8801147837</v>
      </c>
    </row>
    <row r="82" ht="15.75" customHeight="1">
      <c r="A82" s="6">
        <v>4.0</v>
      </c>
      <c r="B82" s="6">
        <v>2.0</v>
      </c>
      <c r="C82" s="7">
        <f t="shared" si="1"/>
        <v>-2</v>
      </c>
      <c r="D82" s="8">
        <f t="shared" si="2"/>
        <v>3.756403444</v>
      </c>
    </row>
    <row r="83" ht="15.75" customHeight="1">
      <c r="A83" s="6">
        <v>2.0</v>
      </c>
      <c r="B83" s="6">
        <v>2.0</v>
      </c>
      <c r="C83" s="7">
        <f t="shared" si="1"/>
        <v>0</v>
      </c>
      <c r="D83" s="8">
        <f t="shared" si="2"/>
        <v>0.003826123924</v>
      </c>
    </row>
    <row r="84" ht="15.75" customHeight="1">
      <c r="A84" s="6">
        <v>3.0</v>
      </c>
      <c r="B84" s="6">
        <v>5.0</v>
      </c>
      <c r="C84" s="7">
        <f t="shared" si="1"/>
        <v>2</v>
      </c>
      <c r="D84" s="8">
        <f t="shared" si="2"/>
        <v>4.251248804</v>
      </c>
    </row>
    <row r="85" ht="15.75" customHeight="1">
      <c r="A85" s="6">
        <v>1.0</v>
      </c>
      <c r="B85" s="6">
        <v>3.0</v>
      </c>
      <c r="C85" s="7">
        <f t="shared" si="1"/>
        <v>2</v>
      </c>
      <c r="D85" s="8">
        <f t="shared" si="2"/>
        <v>4.251248804</v>
      </c>
    </row>
    <row r="86" ht="15.75" customHeight="1">
      <c r="A86" s="6">
        <v>1.0</v>
      </c>
      <c r="B86" s="6">
        <v>3.0</v>
      </c>
      <c r="C86" s="7">
        <f t="shared" si="1"/>
        <v>2</v>
      </c>
      <c r="D86" s="8">
        <f t="shared" si="2"/>
        <v>4.251248804</v>
      </c>
    </row>
    <row r="87" ht="15.75" customHeight="1">
      <c r="A87" s="6">
        <v>4.0</v>
      </c>
      <c r="B87" s="6">
        <v>4.0</v>
      </c>
      <c r="C87" s="7">
        <f t="shared" si="1"/>
        <v>0</v>
      </c>
      <c r="D87" s="8">
        <f t="shared" si="2"/>
        <v>0.003826123924</v>
      </c>
    </row>
    <row r="88" ht="15.75" customHeight="1">
      <c r="A88" s="6">
        <v>4.0</v>
      </c>
      <c r="B88" s="6">
        <v>3.0</v>
      </c>
      <c r="C88" s="7">
        <f t="shared" si="1"/>
        <v>-1</v>
      </c>
      <c r="D88" s="8">
        <f t="shared" si="2"/>
        <v>0.8801147837</v>
      </c>
    </row>
    <row r="89" ht="15.75" customHeight="1">
      <c r="A89" s="6">
        <v>4.0</v>
      </c>
      <c r="B89" s="6">
        <v>2.0</v>
      </c>
      <c r="C89" s="7">
        <f t="shared" si="1"/>
        <v>-2</v>
      </c>
      <c r="D89" s="8">
        <f t="shared" si="2"/>
        <v>3.756403444</v>
      </c>
    </row>
    <row r="90" ht="15.75" customHeight="1">
      <c r="A90" s="6">
        <v>3.0</v>
      </c>
      <c r="B90" s="6">
        <v>3.0</v>
      </c>
      <c r="C90" s="7">
        <f t="shared" si="1"/>
        <v>0</v>
      </c>
      <c r="D90" s="8">
        <f t="shared" si="2"/>
        <v>0.003826123924</v>
      </c>
    </row>
    <row r="91" ht="15.75" customHeight="1">
      <c r="A91" s="6">
        <v>4.0</v>
      </c>
      <c r="B91" s="6">
        <v>5.0</v>
      </c>
      <c r="C91" s="7">
        <f t="shared" si="1"/>
        <v>1</v>
      </c>
      <c r="D91" s="8">
        <f t="shared" si="2"/>
        <v>1.127537464</v>
      </c>
    </row>
    <row r="92" ht="15.75" customHeight="1">
      <c r="A92" s="6">
        <v>5.0</v>
      </c>
      <c r="B92" s="6">
        <v>3.0</v>
      </c>
      <c r="C92" s="7">
        <f t="shared" si="1"/>
        <v>-2</v>
      </c>
      <c r="D92" s="8">
        <f t="shared" si="2"/>
        <v>3.756403444</v>
      </c>
    </row>
    <row r="93" ht="15.75" customHeight="1">
      <c r="A93" s="6">
        <v>4.0</v>
      </c>
      <c r="B93" s="6">
        <v>2.0</v>
      </c>
      <c r="C93" s="7">
        <f t="shared" si="1"/>
        <v>-2</v>
      </c>
      <c r="D93" s="8">
        <f t="shared" si="2"/>
        <v>3.756403444</v>
      </c>
      <c r="F93" s="12"/>
    </row>
    <row r="94" ht="15.75" customHeight="1">
      <c r="A94" s="6">
        <v>3.0</v>
      </c>
      <c r="B94" s="6">
        <v>2.0</v>
      </c>
      <c r="C94" s="7">
        <f t="shared" si="1"/>
        <v>-1</v>
      </c>
      <c r="D94" s="8">
        <f t="shared" si="2"/>
        <v>0.8801147837</v>
      </c>
    </row>
    <row r="95" ht="15.75" customHeight="1">
      <c r="A95" s="6">
        <v>3.0</v>
      </c>
      <c r="B95" s="6">
        <v>5.0</v>
      </c>
      <c r="C95" s="7">
        <f t="shared" si="1"/>
        <v>2</v>
      </c>
      <c r="D95" s="8">
        <f t="shared" si="2"/>
        <v>4.251248804</v>
      </c>
    </row>
    <row r="96" ht="15.75" customHeight="1">
      <c r="A96" s="6">
        <v>3.0</v>
      </c>
      <c r="B96" s="6">
        <v>2.0</v>
      </c>
      <c r="C96" s="7">
        <f t="shared" si="1"/>
        <v>-1</v>
      </c>
      <c r="D96" s="8">
        <f t="shared" si="2"/>
        <v>0.8801147837</v>
      </c>
    </row>
    <row r="97" ht="15.75" customHeight="1">
      <c r="A97" s="6">
        <v>3.0</v>
      </c>
      <c r="B97" s="6">
        <v>2.0</v>
      </c>
      <c r="C97" s="7">
        <f t="shared" si="1"/>
        <v>-1</v>
      </c>
      <c r="D97" s="8">
        <f t="shared" si="2"/>
        <v>0.8801147837</v>
      </c>
    </row>
    <row r="98" ht="15.75" customHeight="1">
      <c r="A98" s="6">
        <v>3.0</v>
      </c>
      <c r="B98" s="6">
        <v>1.0</v>
      </c>
      <c r="C98" s="7">
        <f t="shared" si="1"/>
        <v>-2</v>
      </c>
      <c r="D98" s="8">
        <f t="shared" si="2"/>
        <v>3.756403444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30.71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3" t="s">
        <v>116</v>
      </c>
      <c r="B1" s="15" t="s">
        <v>117</v>
      </c>
      <c r="C1" s="5" t="s">
        <v>12</v>
      </c>
      <c r="D1" s="5"/>
    </row>
    <row r="2">
      <c r="A2" s="6">
        <v>3.0</v>
      </c>
      <c r="B2" s="6">
        <v>3.0</v>
      </c>
      <c r="C2" s="7">
        <f t="shared" ref="C2:C98" si="1">B2-A2</f>
        <v>0</v>
      </c>
      <c r="D2" s="8">
        <f t="shared" ref="D2:D98" si="2">(C2-$G$6)^2</f>
        <v>0.0004251248804</v>
      </c>
    </row>
    <row r="3">
      <c r="A3" s="6">
        <v>4.0</v>
      </c>
      <c r="B3" s="6">
        <v>2.0</v>
      </c>
      <c r="C3" s="7">
        <f t="shared" si="1"/>
        <v>-2</v>
      </c>
      <c r="D3" s="8">
        <f t="shared" si="2"/>
        <v>3.917950898</v>
      </c>
      <c r="F3" s="9" t="s">
        <v>14</v>
      </c>
      <c r="G3" s="9"/>
    </row>
    <row r="4">
      <c r="A4" s="6">
        <v>3.0</v>
      </c>
      <c r="B4" s="6">
        <v>5.0</v>
      </c>
      <c r="C4" s="7">
        <f t="shared" si="1"/>
        <v>2</v>
      </c>
      <c r="D4" s="8">
        <f t="shared" si="2"/>
        <v>4.082899352</v>
      </c>
      <c r="F4" s="6" t="s">
        <v>15</v>
      </c>
      <c r="G4" s="6">
        <f>COUNT(A:A)</f>
        <v>97</v>
      </c>
    </row>
    <row r="5">
      <c r="A5" s="6">
        <v>3.0</v>
      </c>
      <c r="B5" s="6">
        <v>5.0</v>
      </c>
      <c r="C5" s="7">
        <f t="shared" si="1"/>
        <v>2</v>
      </c>
      <c r="D5" s="8">
        <f t="shared" si="2"/>
        <v>4.082899352</v>
      </c>
      <c r="F5" s="6" t="s">
        <v>17</v>
      </c>
      <c r="G5" s="6">
        <f>SUM(C:C)</f>
        <v>-2</v>
      </c>
    </row>
    <row r="6">
      <c r="A6" s="6">
        <v>3.0</v>
      </c>
      <c r="B6" s="6">
        <v>4.0</v>
      </c>
      <c r="C6" s="7">
        <f t="shared" si="1"/>
        <v>1</v>
      </c>
      <c r="D6" s="8">
        <f t="shared" si="2"/>
        <v>1.041662238</v>
      </c>
      <c r="F6" s="6" t="s">
        <v>18</v>
      </c>
      <c r="G6" s="6">
        <f>G5/G4</f>
        <v>-0.0206185567</v>
      </c>
    </row>
    <row r="7">
      <c r="A7" s="6">
        <v>3.0</v>
      </c>
      <c r="B7" s="6">
        <v>2.0</v>
      </c>
      <c r="C7" s="7">
        <f t="shared" si="1"/>
        <v>-1</v>
      </c>
      <c r="D7" s="8">
        <f t="shared" si="2"/>
        <v>0.9591880115</v>
      </c>
      <c r="F7" s="6" t="s">
        <v>19</v>
      </c>
      <c r="G7" s="6">
        <f>SUM(D:D)</f>
        <v>205.9587629</v>
      </c>
    </row>
    <row r="8">
      <c r="A8" s="6">
        <v>3.0</v>
      </c>
      <c r="B8" s="6">
        <v>4.0</v>
      </c>
      <c r="C8" s="7">
        <f t="shared" si="1"/>
        <v>1</v>
      </c>
      <c r="D8" s="8">
        <f t="shared" si="2"/>
        <v>1.041662238</v>
      </c>
      <c r="F8" s="6" t="s">
        <v>21</v>
      </c>
      <c r="G8" s="6">
        <f>SQRT(G7/(G4-1))</f>
        <v>1.464719693</v>
      </c>
    </row>
    <row r="9">
      <c r="A9" s="6">
        <v>3.0</v>
      </c>
      <c r="B9" s="6">
        <v>3.0</v>
      </c>
      <c r="C9" s="7">
        <f t="shared" si="1"/>
        <v>0</v>
      </c>
      <c r="D9" s="8">
        <f t="shared" si="2"/>
        <v>0.0004251248804</v>
      </c>
    </row>
    <row r="10">
      <c r="A10" s="6">
        <v>4.0</v>
      </c>
      <c r="B10" s="6">
        <v>3.0</v>
      </c>
      <c r="C10" s="7">
        <f t="shared" si="1"/>
        <v>-1</v>
      </c>
      <c r="D10" s="8">
        <f t="shared" si="2"/>
        <v>0.9591880115</v>
      </c>
    </row>
    <row r="11">
      <c r="A11" s="6">
        <v>3.0</v>
      </c>
      <c r="B11" s="6">
        <v>3.0</v>
      </c>
      <c r="C11" s="7">
        <f t="shared" si="1"/>
        <v>0</v>
      </c>
      <c r="D11" s="8">
        <f t="shared" si="2"/>
        <v>0.0004251248804</v>
      </c>
    </row>
    <row r="12">
      <c r="A12" s="6">
        <v>5.0</v>
      </c>
      <c r="B12" s="6">
        <v>5.0</v>
      </c>
      <c r="C12" s="7">
        <f t="shared" si="1"/>
        <v>0</v>
      </c>
      <c r="D12" s="8">
        <f t="shared" si="2"/>
        <v>0.0004251248804</v>
      </c>
      <c r="F12" s="6" t="s">
        <v>23</v>
      </c>
      <c r="G12" s="6">
        <f>G6/(G8/SQRT(G4))</f>
        <v>-0.1386403378</v>
      </c>
    </row>
    <row r="13">
      <c r="A13" s="6">
        <v>3.0</v>
      </c>
      <c r="B13" s="6">
        <v>5.0</v>
      </c>
      <c r="C13" s="7">
        <f t="shared" si="1"/>
        <v>2</v>
      </c>
      <c r="D13" s="8">
        <f t="shared" si="2"/>
        <v>4.082899352</v>
      </c>
    </row>
    <row r="14">
      <c r="A14" s="6">
        <v>1.0</v>
      </c>
      <c r="B14" s="6">
        <v>4.0</v>
      </c>
      <c r="C14" s="7">
        <f t="shared" si="1"/>
        <v>3</v>
      </c>
      <c r="D14" s="8">
        <f t="shared" si="2"/>
        <v>9.124136465</v>
      </c>
    </row>
    <row r="15">
      <c r="A15" s="6">
        <v>2.0</v>
      </c>
      <c r="B15" s="6">
        <v>3.0</v>
      </c>
      <c r="C15" s="7">
        <f t="shared" si="1"/>
        <v>1</v>
      </c>
      <c r="D15" s="8">
        <f t="shared" si="2"/>
        <v>1.041662238</v>
      </c>
    </row>
    <row r="16">
      <c r="A16" s="6">
        <v>2.0</v>
      </c>
      <c r="B16" s="6">
        <v>3.0</v>
      </c>
      <c r="C16" s="7">
        <f t="shared" si="1"/>
        <v>1</v>
      </c>
      <c r="D16" s="8">
        <f t="shared" si="2"/>
        <v>1.041662238</v>
      </c>
    </row>
    <row r="17">
      <c r="A17" s="6">
        <v>3.0</v>
      </c>
      <c r="B17" s="6">
        <v>3.0</v>
      </c>
      <c r="C17" s="7">
        <f t="shared" si="1"/>
        <v>0</v>
      </c>
      <c r="D17" s="8">
        <f t="shared" si="2"/>
        <v>0.0004251248804</v>
      </c>
      <c r="F17" s="6" t="s">
        <v>25</v>
      </c>
      <c r="G17" s="6">
        <v>0.05</v>
      </c>
    </row>
    <row r="18">
      <c r="A18" s="6">
        <v>2.0</v>
      </c>
      <c r="B18" s="6">
        <v>3.0</v>
      </c>
      <c r="C18" s="7">
        <f t="shared" si="1"/>
        <v>1</v>
      </c>
      <c r="D18" s="8">
        <f t="shared" si="2"/>
        <v>1.041662238</v>
      </c>
      <c r="F18" s="6" t="s">
        <v>26</v>
      </c>
      <c r="G18" s="6">
        <f>G4-1</f>
        <v>96</v>
      </c>
    </row>
    <row r="19">
      <c r="A19" s="6">
        <v>3.0</v>
      </c>
      <c r="B19" s="6">
        <v>4.0</v>
      </c>
      <c r="C19" s="7">
        <f t="shared" si="1"/>
        <v>1</v>
      </c>
      <c r="D19" s="8">
        <f t="shared" si="2"/>
        <v>1.041662238</v>
      </c>
    </row>
    <row r="20">
      <c r="A20" s="6">
        <v>4.0</v>
      </c>
      <c r="B20" s="6">
        <v>3.0</v>
      </c>
      <c r="C20" s="7">
        <f t="shared" si="1"/>
        <v>-1</v>
      </c>
      <c r="D20" s="8">
        <f t="shared" si="2"/>
        <v>0.9591880115</v>
      </c>
    </row>
    <row r="21" ht="15.75" customHeight="1">
      <c r="A21" s="6">
        <v>5.0</v>
      </c>
      <c r="B21" s="6">
        <v>4.0</v>
      </c>
      <c r="C21" s="7">
        <f t="shared" si="1"/>
        <v>-1</v>
      </c>
      <c r="D21" s="8">
        <f t="shared" si="2"/>
        <v>0.9591880115</v>
      </c>
    </row>
    <row r="22" ht="15.75" customHeight="1">
      <c r="A22" s="6">
        <v>2.0</v>
      </c>
      <c r="B22" s="6">
        <v>2.0</v>
      </c>
      <c r="C22" s="7">
        <f t="shared" si="1"/>
        <v>0</v>
      </c>
      <c r="D22" s="8">
        <f t="shared" si="2"/>
        <v>0.0004251248804</v>
      </c>
      <c r="F22" s="9" t="s">
        <v>27</v>
      </c>
      <c r="G22" s="9"/>
    </row>
    <row r="23" ht="15.75" customHeight="1">
      <c r="A23" s="6">
        <v>3.0</v>
      </c>
      <c r="B23" s="6">
        <v>5.0</v>
      </c>
      <c r="C23" s="7">
        <f t="shared" si="1"/>
        <v>2</v>
      </c>
      <c r="D23" s="8">
        <f t="shared" si="2"/>
        <v>4.082899352</v>
      </c>
      <c r="F23" s="6" t="s">
        <v>124</v>
      </c>
      <c r="G23" s="6">
        <f>_xlfn.T.INV.2T(G17,G18)</f>
        <v>1.984984312</v>
      </c>
    </row>
    <row r="24" ht="15.75" customHeight="1">
      <c r="A24" s="6">
        <v>3.0</v>
      </c>
      <c r="B24" s="6">
        <v>4.0</v>
      </c>
      <c r="C24" s="7">
        <f t="shared" si="1"/>
        <v>1</v>
      </c>
      <c r="D24" s="8">
        <f t="shared" si="2"/>
        <v>1.041662238</v>
      </c>
      <c r="F24" s="6" t="s">
        <v>125</v>
      </c>
      <c r="G24" s="6">
        <f>_xlfn.T.INV(G17,G18)</f>
        <v>-1.66088144</v>
      </c>
    </row>
    <row r="25" ht="15.75" customHeight="1">
      <c r="A25" s="6">
        <v>4.0</v>
      </c>
      <c r="B25" s="6">
        <v>2.0</v>
      </c>
      <c r="C25" s="7">
        <f t="shared" si="1"/>
        <v>-2</v>
      </c>
      <c r="D25" s="8">
        <f t="shared" si="2"/>
        <v>3.917950898</v>
      </c>
    </row>
    <row r="26" ht="15.75" customHeight="1">
      <c r="A26" s="6">
        <v>5.0</v>
      </c>
      <c r="B26" s="6">
        <v>4.0</v>
      </c>
      <c r="C26" s="7">
        <f t="shared" si="1"/>
        <v>-1</v>
      </c>
      <c r="D26" s="8">
        <f t="shared" si="2"/>
        <v>0.9591880115</v>
      </c>
    </row>
    <row r="27" ht="15.75" customHeight="1">
      <c r="A27" s="6">
        <v>2.0</v>
      </c>
      <c r="B27" s="6">
        <v>3.0</v>
      </c>
      <c r="C27" s="7">
        <f t="shared" si="1"/>
        <v>1</v>
      </c>
      <c r="D27" s="8">
        <f t="shared" si="2"/>
        <v>1.041662238</v>
      </c>
      <c r="F27" s="9" t="s">
        <v>32</v>
      </c>
      <c r="G27" s="9"/>
    </row>
    <row r="28" ht="15.75" customHeight="1">
      <c r="A28" s="6">
        <v>2.0</v>
      </c>
      <c r="B28" s="6">
        <v>3.0</v>
      </c>
      <c r="C28" s="7">
        <f t="shared" si="1"/>
        <v>1</v>
      </c>
      <c r="D28" s="8">
        <f t="shared" si="2"/>
        <v>1.041662238</v>
      </c>
      <c r="F28" s="6" t="s">
        <v>32</v>
      </c>
    </row>
    <row r="29" ht="15.75" customHeight="1">
      <c r="A29" s="6">
        <v>2.0</v>
      </c>
      <c r="B29" s="6">
        <v>3.0</v>
      </c>
      <c r="C29" s="7">
        <f t="shared" si="1"/>
        <v>1</v>
      </c>
      <c r="D29" s="8">
        <f t="shared" si="2"/>
        <v>1.041662238</v>
      </c>
      <c r="F29" s="6" t="s">
        <v>126</v>
      </c>
      <c r="G29" s="6">
        <f>TTEST(A:A,B:B,2,1)</f>
        <v>0.8900247767</v>
      </c>
    </row>
    <row r="30" ht="15.75" customHeight="1">
      <c r="A30" s="6">
        <v>2.0</v>
      </c>
      <c r="B30" s="6">
        <v>1.0</v>
      </c>
      <c r="C30" s="7">
        <f t="shared" si="1"/>
        <v>-1</v>
      </c>
      <c r="D30" s="8">
        <f t="shared" si="2"/>
        <v>0.9591880115</v>
      </c>
      <c r="F30" s="6" t="s">
        <v>127</v>
      </c>
      <c r="G30" s="6">
        <f>TTEST(A:A,B:B,1,1)</f>
        <v>0.4450123884</v>
      </c>
    </row>
    <row r="31" ht="15.75" customHeight="1">
      <c r="A31" s="6">
        <v>4.0</v>
      </c>
      <c r="B31" s="6">
        <v>3.0</v>
      </c>
      <c r="C31" s="7">
        <f t="shared" si="1"/>
        <v>-1</v>
      </c>
      <c r="D31" s="8">
        <f t="shared" si="2"/>
        <v>0.9591880115</v>
      </c>
    </row>
    <row r="32" ht="15.75" customHeight="1">
      <c r="A32" s="6">
        <v>3.0</v>
      </c>
      <c r="B32" s="6">
        <v>1.0</v>
      </c>
      <c r="C32" s="7">
        <f t="shared" si="1"/>
        <v>-2</v>
      </c>
      <c r="D32" s="8">
        <f t="shared" si="2"/>
        <v>3.917950898</v>
      </c>
    </row>
    <row r="33" ht="15.75" customHeight="1">
      <c r="A33" s="6">
        <v>4.0</v>
      </c>
      <c r="B33" s="6">
        <v>3.0</v>
      </c>
      <c r="C33" s="7">
        <f t="shared" si="1"/>
        <v>-1</v>
      </c>
      <c r="D33" s="8">
        <f t="shared" si="2"/>
        <v>0.9591880115</v>
      </c>
      <c r="F33" s="10" t="s">
        <v>39</v>
      </c>
      <c r="G33" s="10"/>
    </row>
    <row r="34" ht="15.75" customHeight="1">
      <c r="A34" s="6">
        <v>3.0</v>
      </c>
      <c r="B34" s="6">
        <v>3.0</v>
      </c>
      <c r="C34" s="7">
        <f t="shared" si="1"/>
        <v>0</v>
      </c>
      <c r="D34" s="8">
        <f t="shared" si="2"/>
        <v>0.0004251248804</v>
      </c>
    </row>
    <row r="35" ht="15.75" customHeight="1">
      <c r="A35" s="6">
        <v>3.0</v>
      </c>
      <c r="B35" s="6">
        <v>3.0</v>
      </c>
      <c r="C35" s="7">
        <f t="shared" si="1"/>
        <v>0</v>
      </c>
      <c r="D35" s="8">
        <f t="shared" si="2"/>
        <v>0.0004251248804</v>
      </c>
      <c r="F35" s="6" t="s">
        <v>130</v>
      </c>
    </row>
    <row r="36" ht="15.75" customHeight="1">
      <c r="A36" s="6">
        <v>2.0</v>
      </c>
      <c r="B36" s="6">
        <v>3.0</v>
      </c>
      <c r="C36" s="7">
        <f t="shared" si="1"/>
        <v>1</v>
      </c>
      <c r="D36" s="8">
        <f t="shared" si="2"/>
        <v>1.041662238</v>
      </c>
      <c r="F36" s="6" t="s">
        <v>131</v>
      </c>
    </row>
    <row r="37" ht="15.75" customHeight="1">
      <c r="A37" s="6">
        <v>1.0</v>
      </c>
      <c r="B37" s="6">
        <v>4.0</v>
      </c>
      <c r="C37" s="7">
        <f t="shared" si="1"/>
        <v>3</v>
      </c>
      <c r="D37" s="8">
        <f t="shared" si="2"/>
        <v>9.124136465</v>
      </c>
    </row>
    <row r="38" ht="15.75" customHeight="1">
      <c r="A38" s="6">
        <v>3.0</v>
      </c>
      <c r="B38" s="6">
        <v>3.0</v>
      </c>
      <c r="C38" s="7">
        <f t="shared" si="1"/>
        <v>0</v>
      </c>
      <c r="D38" s="8">
        <f t="shared" si="2"/>
        <v>0.0004251248804</v>
      </c>
    </row>
    <row r="39" ht="15.75" customHeight="1">
      <c r="A39" s="6">
        <v>3.0</v>
      </c>
      <c r="B39" s="6">
        <v>2.0</v>
      </c>
      <c r="C39" s="7">
        <f t="shared" si="1"/>
        <v>-1</v>
      </c>
      <c r="D39" s="8">
        <f t="shared" si="2"/>
        <v>0.9591880115</v>
      </c>
    </row>
    <row r="40" ht="15.75" customHeight="1">
      <c r="A40" s="6">
        <v>2.0</v>
      </c>
      <c r="B40" s="6">
        <v>2.0</v>
      </c>
      <c r="C40" s="7">
        <f t="shared" si="1"/>
        <v>0</v>
      </c>
      <c r="D40" s="8">
        <f t="shared" si="2"/>
        <v>0.0004251248804</v>
      </c>
      <c r="F40" s="6" t="s">
        <v>132</v>
      </c>
    </row>
    <row r="41" ht="15.75" customHeight="1">
      <c r="A41" s="6">
        <v>4.0</v>
      </c>
      <c r="B41" s="6">
        <v>3.0</v>
      </c>
      <c r="C41" s="7">
        <f t="shared" si="1"/>
        <v>-1</v>
      </c>
      <c r="D41" s="8">
        <f t="shared" si="2"/>
        <v>0.9591880115</v>
      </c>
      <c r="F41" s="6" t="str">
        <f>"Dos Colas: Si t calculado ("&amp;G12&amp;") &gt; a t critico  ("&amp;G23&amp;") (de tabla) ---&gt; Se rechaza la hipotesis nula"</f>
        <v>Dos Colas: Si t calculado (-0,138640337772177) &gt; a t critico  (1,98498431152245) (de tabla) ---&gt; Se rechaza la hipotesis nula</v>
      </c>
    </row>
    <row r="42" ht="15.75" customHeight="1">
      <c r="A42" s="6">
        <v>2.0</v>
      </c>
      <c r="B42" s="6">
        <v>5.0</v>
      </c>
      <c r="C42" s="7">
        <f t="shared" si="1"/>
        <v>3</v>
      </c>
      <c r="D42" s="8">
        <f t="shared" si="2"/>
        <v>9.124136465</v>
      </c>
      <c r="F42" s="6" t="str">
        <f>"Una Cola: Si t calculado ("&amp;G12&amp;") &gt; a t critico  ("&amp;G24&amp;") (de tabla) ---&gt; Se rechaza la hipotesis nula"</f>
        <v>Una Cola: Si t calculado (-0,138640337772177) &gt; a t critico  (-1,66088144032486) (de tabla) ---&gt; Se rechaza la hipotesis nula</v>
      </c>
    </row>
    <row r="43" ht="15.75" customHeight="1">
      <c r="A43" s="6">
        <v>2.0</v>
      </c>
      <c r="B43" s="6">
        <v>1.0</v>
      </c>
      <c r="C43" s="7">
        <f t="shared" si="1"/>
        <v>-1</v>
      </c>
      <c r="D43" s="8">
        <f t="shared" si="2"/>
        <v>0.9591880115</v>
      </c>
    </row>
    <row r="44" ht="15.75" customHeight="1">
      <c r="A44" s="6">
        <v>2.0</v>
      </c>
      <c r="B44" s="6">
        <v>2.0</v>
      </c>
      <c r="C44" s="7">
        <f t="shared" si="1"/>
        <v>0</v>
      </c>
      <c r="D44" s="8">
        <f t="shared" si="2"/>
        <v>0.0004251248804</v>
      </c>
    </row>
    <row r="45" ht="15.75" customHeight="1">
      <c r="A45" s="6">
        <v>5.0</v>
      </c>
      <c r="B45" s="6">
        <v>2.0</v>
      </c>
      <c r="C45" s="7">
        <f t="shared" si="1"/>
        <v>-3</v>
      </c>
      <c r="D45" s="8">
        <f t="shared" si="2"/>
        <v>8.876713785</v>
      </c>
    </row>
    <row r="46" ht="15.75" customHeight="1">
      <c r="A46" s="6">
        <v>3.0</v>
      </c>
      <c r="B46" s="6">
        <v>2.0</v>
      </c>
      <c r="C46" s="7">
        <f t="shared" si="1"/>
        <v>-1</v>
      </c>
      <c r="D46" s="8">
        <f t="shared" si="2"/>
        <v>0.9591880115</v>
      </c>
      <c r="F46" s="6" t="s">
        <v>135</v>
      </c>
    </row>
    <row r="47" ht="15.75" customHeight="1">
      <c r="A47" s="6">
        <v>2.0</v>
      </c>
      <c r="B47" s="6">
        <v>2.0</v>
      </c>
      <c r="C47" s="7">
        <f t="shared" si="1"/>
        <v>0</v>
      </c>
      <c r="D47" s="8">
        <f t="shared" si="2"/>
        <v>0.0004251248804</v>
      </c>
      <c r="F47" s="6" t="str">
        <f>"Dos Colas: Si p valor ("&amp;G29&amp;") &lt; Nivel Significancia ("&amp;G17&amp;") ---&gt; Se rechaza la hipotesis nula"</f>
        <v>Dos Colas: Si p valor (0,890024776700673) &lt; Nivel Significancia (0,05) ---&gt; Se rechaza la hipotesis nula</v>
      </c>
    </row>
    <row r="48" ht="15.75" customHeight="1">
      <c r="A48" s="6">
        <v>3.0</v>
      </c>
      <c r="B48" s="6">
        <v>4.0</v>
      </c>
      <c r="C48" s="7">
        <f t="shared" si="1"/>
        <v>1</v>
      </c>
      <c r="D48" s="8">
        <f t="shared" si="2"/>
        <v>1.041662238</v>
      </c>
      <c r="F48" s="6" t="str">
        <f>"Una Cola: Si p valor ("&amp;G30&amp;") &lt; Nivel Significancia ("&amp;G17&amp;") ---&gt; Se rechaza la hipotesis nula"</f>
        <v>Una Cola: Si p valor (0,445012388350337) &lt; Nivel Significancia (0,05) ---&gt; Se rechaza la hipotesis nula</v>
      </c>
    </row>
    <row r="49" ht="15.75" customHeight="1">
      <c r="A49" s="6">
        <v>2.0</v>
      </c>
      <c r="B49" s="6">
        <v>2.0</v>
      </c>
      <c r="C49" s="7">
        <f t="shared" si="1"/>
        <v>0</v>
      </c>
      <c r="D49" s="8">
        <f t="shared" si="2"/>
        <v>0.0004251248804</v>
      </c>
    </row>
    <row r="50" ht="15.75" customHeight="1">
      <c r="A50" s="6">
        <v>2.0</v>
      </c>
      <c r="B50" s="6">
        <v>2.0</v>
      </c>
      <c r="C50" s="7">
        <f t="shared" si="1"/>
        <v>0</v>
      </c>
      <c r="D50" s="8">
        <f t="shared" si="2"/>
        <v>0.0004251248804</v>
      </c>
    </row>
    <row r="51" ht="15.75" customHeight="1">
      <c r="A51" s="6">
        <v>4.0</v>
      </c>
      <c r="B51" s="6">
        <v>1.0</v>
      </c>
      <c r="C51" s="7">
        <f t="shared" si="1"/>
        <v>-3</v>
      </c>
      <c r="D51" s="8">
        <f t="shared" si="2"/>
        <v>8.876713785</v>
      </c>
    </row>
    <row r="52" ht="15.75" customHeight="1">
      <c r="A52" s="6">
        <v>3.0</v>
      </c>
      <c r="B52" s="6">
        <v>1.0</v>
      </c>
      <c r="C52" s="7">
        <f t="shared" si="1"/>
        <v>-2</v>
      </c>
      <c r="D52" s="8">
        <f t="shared" si="2"/>
        <v>3.917950898</v>
      </c>
    </row>
    <row r="53" ht="15.75" customHeight="1">
      <c r="A53" s="6">
        <v>2.0</v>
      </c>
      <c r="B53" s="6">
        <v>5.0</v>
      </c>
      <c r="C53" s="7">
        <f t="shared" si="1"/>
        <v>3</v>
      </c>
      <c r="D53" s="8">
        <f t="shared" si="2"/>
        <v>9.124136465</v>
      </c>
    </row>
    <row r="54" ht="15.75" customHeight="1">
      <c r="A54" s="6">
        <v>3.0</v>
      </c>
      <c r="B54" s="6">
        <v>3.0</v>
      </c>
      <c r="C54" s="7">
        <f t="shared" si="1"/>
        <v>0</v>
      </c>
      <c r="D54" s="8">
        <f t="shared" si="2"/>
        <v>0.0004251248804</v>
      </c>
    </row>
    <row r="55" ht="15.75" customHeight="1">
      <c r="A55" s="6">
        <v>3.0</v>
      </c>
      <c r="B55" s="6">
        <v>2.0</v>
      </c>
      <c r="C55" s="7">
        <f t="shared" si="1"/>
        <v>-1</v>
      </c>
      <c r="D55" s="8">
        <f t="shared" si="2"/>
        <v>0.9591880115</v>
      </c>
    </row>
    <row r="56" ht="15.75" customHeight="1">
      <c r="A56" s="6">
        <v>1.0</v>
      </c>
      <c r="B56" s="6">
        <v>3.0</v>
      </c>
      <c r="C56" s="7">
        <f t="shared" si="1"/>
        <v>2</v>
      </c>
      <c r="D56" s="8">
        <f t="shared" si="2"/>
        <v>4.082899352</v>
      </c>
    </row>
    <row r="57" ht="15.75" customHeight="1">
      <c r="A57" s="6">
        <v>2.0</v>
      </c>
      <c r="B57" s="6">
        <v>3.0</v>
      </c>
      <c r="C57" s="7">
        <f t="shared" si="1"/>
        <v>1</v>
      </c>
      <c r="D57" s="8">
        <f t="shared" si="2"/>
        <v>1.041662238</v>
      </c>
    </row>
    <row r="58" ht="15.75" customHeight="1">
      <c r="A58" s="6">
        <v>3.0</v>
      </c>
      <c r="B58" s="6">
        <v>3.0</v>
      </c>
      <c r="C58" s="7">
        <f t="shared" si="1"/>
        <v>0</v>
      </c>
      <c r="D58" s="8">
        <f t="shared" si="2"/>
        <v>0.0004251248804</v>
      </c>
    </row>
    <row r="59" ht="15.75" customHeight="1">
      <c r="A59" s="6">
        <v>2.0</v>
      </c>
      <c r="B59" s="6">
        <v>3.0</v>
      </c>
      <c r="C59" s="7">
        <f t="shared" si="1"/>
        <v>1</v>
      </c>
      <c r="D59" s="8">
        <f t="shared" si="2"/>
        <v>1.041662238</v>
      </c>
    </row>
    <row r="60" ht="15.75" customHeight="1">
      <c r="A60" s="6">
        <v>3.0</v>
      </c>
      <c r="B60" s="6">
        <v>4.0</v>
      </c>
      <c r="C60" s="7">
        <f t="shared" si="1"/>
        <v>1</v>
      </c>
      <c r="D60" s="8">
        <f t="shared" si="2"/>
        <v>1.041662238</v>
      </c>
    </row>
    <row r="61" ht="15.75" customHeight="1">
      <c r="A61" s="6">
        <v>4.0</v>
      </c>
      <c r="B61" s="6">
        <v>2.0</v>
      </c>
      <c r="C61" s="7">
        <f t="shared" si="1"/>
        <v>-2</v>
      </c>
      <c r="D61" s="8">
        <f t="shared" si="2"/>
        <v>3.917950898</v>
      </c>
    </row>
    <row r="62" ht="15.75" customHeight="1">
      <c r="A62" s="6">
        <v>1.0</v>
      </c>
      <c r="B62" s="6">
        <v>3.0</v>
      </c>
      <c r="C62" s="7">
        <f t="shared" si="1"/>
        <v>2</v>
      </c>
      <c r="D62" s="8">
        <f t="shared" si="2"/>
        <v>4.082899352</v>
      </c>
    </row>
    <row r="63" ht="15.75" customHeight="1">
      <c r="A63" s="6">
        <v>3.0</v>
      </c>
      <c r="B63" s="6">
        <v>4.0</v>
      </c>
      <c r="C63" s="7">
        <f t="shared" si="1"/>
        <v>1</v>
      </c>
      <c r="D63" s="8">
        <f t="shared" si="2"/>
        <v>1.041662238</v>
      </c>
    </row>
    <row r="64" ht="15.75" customHeight="1">
      <c r="A64" s="6">
        <v>2.0</v>
      </c>
      <c r="B64" s="6">
        <v>2.0</v>
      </c>
      <c r="C64" s="7">
        <f t="shared" si="1"/>
        <v>0</v>
      </c>
      <c r="D64" s="8">
        <f t="shared" si="2"/>
        <v>0.0004251248804</v>
      </c>
    </row>
    <row r="65" ht="15.75" customHeight="1">
      <c r="A65" s="6">
        <v>1.0</v>
      </c>
      <c r="B65" s="6">
        <v>2.0</v>
      </c>
      <c r="C65" s="7">
        <f t="shared" si="1"/>
        <v>1</v>
      </c>
      <c r="D65" s="8">
        <f t="shared" si="2"/>
        <v>1.041662238</v>
      </c>
    </row>
    <row r="66" ht="15.75" customHeight="1">
      <c r="A66" s="6">
        <v>2.0</v>
      </c>
      <c r="B66" s="6">
        <v>2.0</v>
      </c>
      <c r="C66" s="7">
        <f t="shared" si="1"/>
        <v>0</v>
      </c>
      <c r="D66" s="8">
        <f t="shared" si="2"/>
        <v>0.0004251248804</v>
      </c>
    </row>
    <row r="67" ht="15.75" customHeight="1">
      <c r="A67" s="6">
        <v>4.0</v>
      </c>
      <c r="B67" s="6">
        <v>3.0</v>
      </c>
      <c r="C67" s="7">
        <f t="shared" si="1"/>
        <v>-1</v>
      </c>
      <c r="D67" s="8">
        <f t="shared" si="2"/>
        <v>0.9591880115</v>
      </c>
    </row>
    <row r="68" ht="15.75" customHeight="1">
      <c r="A68" s="6">
        <v>3.0</v>
      </c>
      <c r="B68" s="6">
        <v>1.0</v>
      </c>
      <c r="C68" s="7">
        <f t="shared" si="1"/>
        <v>-2</v>
      </c>
      <c r="D68" s="8">
        <f t="shared" si="2"/>
        <v>3.917950898</v>
      </c>
    </row>
    <row r="69" ht="15.75" customHeight="1">
      <c r="A69" s="6">
        <v>2.0</v>
      </c>
      <c r="B69" s="6">
        <v>3.0</v>
      </c>
      <c r="C69" s="7">
        <f t="shared" si="1"/>
        <v>1</v>
      </c>
      <c r="D69" s="8">
        <f t="shared" si="2"/>
        <v>1.041662238</v>
      </c>
    </row>
    <row r="70" ht="15.75" customHeight="1">
      <c r="A70" s="6">
        <v>3.0</v>
      </c>
      <c r="B70" s="6">
        <v>3.0</v>
      </c>
      <c r="C70" s="7">
        <f t="shared" si="1"/>
        <v>0</v>
      </c>
      <c r="D70" s="8">
        <f t="shared" si="2"/>
        <v>0.0004251248804</v>
      </c>
    </row>
    <row r="71" ht="15.75" customHeight="1">
      <c r="A71" s="6">
        <v>2.0</v>
      </c>
      <c r="B71" s="6">
        <v>1.0</v>
      </c>
      <c r="C71" s="7">
        <f t="shared" si="1"/>
        <v>-1</v>
      </c>
      <c r="D71" s="8">
        <f t="shared" si="2"/>
        <v>0.9591880115</v>
      </c>
    </row>
    <row r="72" ht="15.75" customHeight="1">
      <c r="A72" s="6">
        <v>5.0</v>
      </c>
      <c r="B72" s="6">
        <v>3.0</v>
      </c>
      <c r="C72" s="7">
        <f t="shared" si="1"/>
        <v>-2</v>
      </c>
      <c r="D72" s="8">
        <f t="shared" si="2"/>
        <v>3.917950898</v>
      </c>
    </row>
    <row r="73" ht="15.75" customHeight="1">
      <c r="A73" s="6">
        <v>5.0</v>
      </c>
      <c r="B73" s="6">
        <v>4.0</v>
      </c>
      <c r="C73" s="7">
        <f t="shared" si="1"/>
        <v>-1</v>
      </c>
      <c r="D73" s="8">
        <f t="shared" si="2"/>
        <v>0.9591880115</v>
      </c>
    </row>
    <row r="74" ht="15.75" customHeight="1">
      <c r="A74" s="6">
        <v>1.0</v>
      </c>
      <c r="B74" s="6">
        <v>2.0</v>
      </c>
      <c r="C74" s="7">
        <f t="shared" si="1"/>
        <v>1</v>
      </c>
      <c r="D74" s="8">
        <f t="shared" si="2"/>
        <v>1.041662238</v>
      </c>
    </row>
    <row r="75" ht="15.75" customHeight="1">
      <c r="A75" s="6">
        <v>2.0</v>
      </c>
      <c r="B75" s="6">
        <v>3.0</v>
      </c>
      <c r="C75" s="7">
        <f t="shared" si="1"/>
        <v>1</v>
      </c>
      <c r="D75" s="8">
        <f t="shared" si="2"/>
        <v>1.041662238</v>
      </c>
    </row>
    <row r="76" ht="15.75" customHeight="1">
      <c r="A76" s="6">
        <v>3.0</v>
      </c>
      <c r="B76" s="6">
        <v>4.0</v>
      </c>
      <c r="C76" s="7">
        <f t="shared" si="1"/>
        <v>1</v>
      </c>
      <c r="D76" s="8">
        <f t="shared" si="2"/>
        <v>1.041662238</v>
      </c>
    </row>
    <row r="77" ht="15.75" customHeight="1">
      <c r="A77" s="6">
        <v>4.0</v>
      </c>
      <c r="B77" s="6">
        <v>1.0</v>
      </c>
      <c r="C77" s="7">
        <f t="shared" si="1"/>
        <v>-3</v>
      </c>
      <c r="D77" s="8">
        <f t="shared" si="2"/>
        <v>8.876713785</v>
      </c>
    </row>
    <row r="78" ht="15.75" customHeight="1">
      <c r="A78" s="6">
        <v>3.0</v>
      </c>
      <c r="B78" s="6">
        <v>4.0</v>
      </c>
      <c r="C78" s="7">
        <f t="shared" si="1"/>
        <v>1</v>
      </c>
      <c r="D78" s="8">
        <f t="shared" si="2"/>
        <v>1.041662238</v>
      </c>
    </row>
    <row r="79" ht="15.75" customHeight="1">
      <c r="A79" s="6">
        <v>3.0</v>
      </c>
      <c r="B79" s="6">
        <v>5.0</v>
      </c>
      <c r="C79" s="7">
        <f t="shared" si="1"/>
        <v>2</v>
      </c>
      <c r="D79" s="8">
        <f t="shared" si="2"/>
        <v>4.082899352</v>
      </c>
    </row>
    <row r="80" ht="15.75" customHeight="1">
      <c r="A80" s="6">
        <v>3.0</v>
      </c>
      <c r="B80" s="6">
        <v>3.0</v>
      </c>
      <c r="C80" s="7">
        <f t="shared" si="1"/>
        <v>0</v>
      </c>
      <c r="D80" s="8">
        <f t="shared" si="2"/>
        <v>0.0004251248804</v>
      </c>
    </row>
    <row r="81" ht="15.75" customHeight="1">
      <c r="A81" s="6">
        <v>2.0</v>
      </c>
      <c r="B81" s="6">
        <v>5.0</v>
      </c>
      <c r="C81" s="7">
        <f t="shared" si="1"/>
        <v>3</v>
      </c>
      <c r="D81" s="8">
        <f t="shared" si="2"/>
        <v>9.124136465</v>
      </c>
    </row>
    <row r="82" ht="15.75" customHeight="1">
      <c r="A82" s="6">
        <v>4.0</v>
      </c>
      <c r="B82" s="6">
        <v>3.0</v>
      </c>
      <c r="C82" s="7">
        <f t="shared" si="1"/>
        <v>-1</v>
      </c>
      <c r="D82" s="8">
        <f t="shared" si="2"/>
        <v>0.9591880115</v>
      </c>
    </row>
    <row r="83" ht="15.75" customHeight="1">
      <c r="A83" s="6">
        <v>4.0</v>
      </c>
      <c r="B83" s="6">
        <v>3.0</v>
      </c>
      <c r="C83" s="7">
        <f t="shared" si="1"/>
        <v>-1</v>
      </c>
      <c r="D83" s="8">
        <f t="shared" si="2"/>
        <v>0.9591880115</v>
      </c>
    </row>
    <row r="84" ht="15.75" customHeight="1">
      <c r="A84" s="6">
        <v>3.0</v>
      </c>
      <c r="B84" s="6">
        <v>4.0</v>
      </c>
      <c r="C84" s="7">
        <f t="shared" si="1"/>
        <v>1</v>
      </c>
      <c r="D84" s="8">
        <f t="shared" si="2"/>
        <v>1.041662238</v>
      </c>
    </row>
    <row r="85" ht="15.75" customHeight="1">
      <c r="A85" s="6">
        <v>3.0</v>
      </c>
      <c r="B85" s="6">
        <v>3.0</v>
      </c>
      <c r="C85" s="7">
        <f t="shared" si="1"/>
        <v>0</v>
      </c>
      <c r="D85" s="8">
        <f t="shared" si="2"/>
        <v>0.0004251248804</v>
      </c>
    </row>
    <row r="86" ht="15.75" customHeight="1">
      <c r="A86" s="6">
        <v>3.0</v>
      </c>
      <c r="B86" s="6">
        <v>3.0</v>
      </c>
      <c r="C86" s="7">
        <f t="shared" si="1"/>
        <v>0</v>
      </c>
      <c r="D86" s="8">
        <f t="shared" si="2"/>
        <v>0.0004251248804</v>
      </c>
    </row>
    <row r="87" ht="15.75" customHeight="1">
      <c r="A87" s="6">
        <v>5.0</v>
      </c>
      <c r="B87" s="6">
        <v>4.0</v>
      </c>
      <c r="C87" s="7">
        <f t="shared" si="1"/>
        <v>-1</v>
      </c>
      <c r="D87" s="8">
        <f t="shared" si="2"/>
        <v>0.9591880115</v>
      </c>
    </row>
    <row r="88" ht="15.75" customHeight="1">
      <c r="A88" s="6">
        <v>4.0</v>
      </c>
      <c r="B88" s="6">
        <v>1.0</v>
      </c>
      <c r="C88" s="7">
        <f t="shared" si="1"/>
        <v>-3</v>
      </c>
      <c r="D88" s="8">
        <f t="shared" si="2"/>
        <v>8.876713785</v>
      </c>
    </row>
    <row r="89" ht="15.75" customHeight="1">
      <c r="A89" s="6">
        <v>3.0</v>
      </c>
      <c r="B89" s="6">
        <v>2.0</v>
      </c>
      <c r="C89" s="7">
        <f t="shared" si="1"/>
        <v>-1</v>
      </c>
      <c r="D89" s="8">
        <f t="shared" si="2"/>
        <v>0.9591880115</v>
      </c>
    </row>
    <row r="90" ht="15.75" customHeight="1">
      <c r="A90" s="6">
        <v>3.0</v>
      </c>
      <c r="B90" s="6">
        <v>3.0</v>
      </c>
      <c r="C90" s="7">
        <f t="shared" si="1"/>
        <v>0</v>
      </c>
      <c r="D90" s="8">
        <f t="shared" si="2"/>
        <v>0.0004251248804</v>
      </c>
    </row>
    <row r="91" ht="15.75" customHeight="1">
      <c r="A91" s="6">
        <v>5.0</v>
      </c>
      <c r="B91" s="6">
        <v>2.0</v>
      </c>
      <c r="C91" s="7">
        <f t="shared" si="1"/>
        <v>-3</v>
      </c>
      <c r="D91" s="8">
        <f t="shared" si="2"/>
        <v>8.876713785</v>
      </c>
    </row>
    <row r="92" ht="15.75" customHeight="1">
      <c r="A92" s="6">
        <v>4.0</v>
      </c>
      <c r="B92" s="6">
        <v>2.0</v>
      </c>
      <c r="C92" s="7">
        <f t="shared" si="1"/>
        <v>-2</v>
      </c>
      <c r="D92" s="8">
        <f t="shared" si="2"/>
        <v>3.917950898</v>
      </c>
    </row>
    <row r="93" ht="15.75" customHeight="1">
      <c r="A93" s="6">
        <v>5.0</v>
      </c>
      <c r="B93" s="6">
        <v>2.0</v>
      </c>
      <c r="C93" s="7">
        <f t="shared" si="1"/>
        <v>-3</v>
      </c>
      <c r="D93" s="8">
        <f t="shared" si="2"/>
        <v>8.876713785</v>
      </c>
      <c r="F93" s="12"/>
    </row>
    <row r="94" ht="15.75" customHeight="1">
      <c r="A94" s="6">
        <v>4.0</v>
      </c>
      <c r="B94" s="6">
        <v>3.0</v>
      </c>
      <c r="C94" s="7">
        <f t="shared" si="1"/>
        <v>-1</v>
      </c>
      <c r="D94" s="8">
        <f t="shared" si="2"/>
        <v>0.9591880115</v>
      </c>
    </row>
    <row r="95" ht="15.75" customHeight="1">
      <c r="A95" s="6">
        <v>3.0</v>
      </c>
      <c r="B95" s="6">
        <v>4.0</v>
      </c>
      <c r="C95" s="7">
        <f t="shared" si="1"/>
        <v>1</v>
      </c>
      <c r="D95" s="8">
        <f t="shared" si="2"/>
        <v>1.041662238</v>
      </c>
    </row>
    <row r="96" ht="15.75" customHeight="1">
      <c r="A96" s="6">
        <v>2.0</v>
      </c>
      <c r="B96" s="6">
        <v>2.0</v>
      </c>
      <c r="C96" s="7">
        <f t="shared" si="1"/>
        <v>0</v>
      </c>
      <c r="D96" s="8">
        <f t="shared" si="2"/>
        <v>0.0004251248804</v>
      </c>
    </row>
    <row r="97" ht="15.75" customHeight="1">
      <c r="A97" s="6">
        <v>5.0</v>
      </c>
      <c r="B97" s="6">
        <v>4.0</v>
      </c>
      <c r="C97" s="7">
        <f t="shared" si="1"/>
        <v>-1</v>
      </c>
      <c r="D97" s="8">
        <f t="shared" si="2"/>
        <v>0.9591880115</v>
      </c>
    </row>
    <row r="98" ht="15.75" customHeight="1">
      <c r="A98" s="6">
        <v>3.0</v>
      </c>
      <c r="B98" s="6">
        <v>4.0</v>
      </c>
      <c r="C98" s="7">
        <f t="shared" si="1"/>
        <v>1</v>
      </c>
      <c r="D98" s="8">
        <f t="shared" si="2"/>
        <v>1.041662238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2.14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>
      <c r="A1" s="16" t="s">
        <v>122</v>
      </c>
      <c r="B1" s="15" t="s">
        <v>123</v>
      </c>
      <c r="C1" s="5" t="s">
        <v>12</v>
      </c>
      <c r="D1" s="5"/>
    </row>
    <row r="2">
      <c r="A2" s="6">
        <v>4.0</v>
      </c>
      <c r="B2" s="6">
        <v>3.0</v>
      </c>
      <c r="C2" s="7">
        <f t="shared" ref="C2:C98" si="1">B2-A2</f>
        <v>-1</v>
      </c>
      <c r="D2" s="8">
        <f t="shared" ref="D2:D98" si="2">(C2-$G$6)^2</f>
        <v>0.804442555</v>
      </c>
    </row>
    <row r="3">
      <c r="A3" s="6">
        <v>4.0</v>
      </c>
      <c r="B3" s="6">
        <v>3.0</v>
      </c>
      <c r="C3" s="7">
        <f t="shared" si="1"/>
        <v>-1</v>
      </c>
      <c r="D3" s="8">
        <f t="shared" si="2"/>
        <v>0.804442555</v>
      </c>
      <c r="F3" s="9" t="s">
        <v>14</v>
      </c>
      <c r="G3" s="9"/>
    </row>
    <row r="4">
      <c r="A4" s="6">
        <v>2.0</v>
      </c>
      <c r="B4" s="6">
        <v>5.0</v>
      </c>
      <c r="C4" s="7">
        <f t="shared" si="1"/>
        <v>3</v>
      </c>
      <c r="D4" s="8">
        <f t="shared" si="2"/>
        <v>9.629184823</v>
      </c>
      <c r="F4" s="6" t="s">
        <v>15</v>
      </c>
      <c r="G4" s="6">
        <f>COUNT(A:A)</f>
        <v>97</v>
      </c>
    </row>
    <row r="5">
      <c r="A5" s="6">
        <v>3.0</v>
      </c>
      <c r="B5" s="6">
        <v>5.0</v>
      </c>
      <c r="C5" s="7">
        <f t="shared" si="1"/>
        <v>2</v>
      </c>
      <c r="D5" s="8">
        <f t="shared" si="2"/>
        <v>4.422999256</v>
      </c>
      <c r="F5" s="6" t="s">
        <v>17</v>
      </c>
      <c r="G5" s="6">
        <f>SUM(C:C)</f>
        <v>-10</v>
      </c>
    </row>
    <row r="6">
      <c r="A6" s="6">
        <v>3.0</v>
      </c>
      <c r="B6" s="6">
        <v>2.0</v>
      </c>
      <c r="C6" s="7">
        <f t="shared" si="1"/>
        <v>-1</v>
      </c>
      <c r="D6" s="8">
        <f t="shared" si="2"/>
        <v>0.804442555</v>
      </c>
      <c r="F6" s="6" t="s">
        <v>18</v>
      </c>
      <c r="G6" s="6">
        <f>G5/G4</f>
        <v>-0.1030927835</v>
      </c>
    </row>
    <row r="7">
      <c r="A7" s="6">
        <v>2.0</v>
      </c>
      <c r="B7" s="6">
        <v>3.0</v>
      </c>
      <c r="C7" s="7">
        <f t="shared" si="1"/>
        <v>1</v>
      </c>
      <c r="D7" s="8">
        <f t="shared" si="2"/>
        <v>1.216813689</v>
      </c>
      <c r="F7" s="6" t="s">
        <v>19</v>
      </c>
      <c r="G7" s="6">
        <f>SUM(D:D)</f>
        <v>238.9690722</v>
      </c>
    </row>
    <row r="8">
      <c r="A8" s="6">
        <v>4.0</v>
      </c>
      <c r="B8" s="6">
        <v>3.0</v>
      </c>
      <c r="C8" s="7">
        <f t="shared" si="1"/>
        <v>-1</v>
      </c>
      <c r="D8" s="8">
        <f t="shared" si="2"/>
        <v>0.804442555</v>
      </c>
      <c r="F8" s="6" t="s">
        <v>21</v>
      </c>
      <c r="G8" s="6">
        <f>SQRT(G7/(G4-1))</f>
        <v>1.577739259</v>
      </c>
    </row>
    <row r="9">
      <c r="A9" s="6">
        <v>3.0</v>
      </c>
      <c r="B9" s="6">
        <v>1.0</v>
      </c>
      <c r="C9" s="7">
        <f t="shared" si="1"/>
        <v>-2</v>
      </c>
      <c r="D9" s="8">
        <f t="shared" si="2"/>
        <v>3.598256988</v>
      </c>
    </row>
    <row r="10">
      <c r="A10" s="6">
        <v>3.0</v>
      </c>
      <c r="B10" s="6">
        <v>2.0</v>
      </c>
      <c r="C10" s="7">
        <f t="shared" si="1"/>
        <v>-1</v>
      </c>
      <c r="D10" s="8">
        <f t="shared" si="2"/>
        <v>0.804442555</v>
      </c>
    </row>
    <row r="11">
      <c r="A11" s="6">
        <v>1.0</v>
      </c>
      <c r="B11" s="6">
        <v>3.0</v>
      </c>
      <c r="C11" s="7">
        <f t="shared" si="1"/>
        <v>2</v>
      </c>
      <c r="D11" s="8">
        <f t="shared" si="2"/>
        <v>4.422999256</v>
      </c>
    </row>
    <row r="12">
      <c r="A12" s="6">
        <v>1.0</v>
      </c>
      <c r="B12" s="6">
        <v>3.0</v>
      </c>
      <c r="C12" s="7">
        <f t="shared" si="1"/>
        <v>2</v>
      </c>
      <c r="D12" s="8">
        <f t="shared" si="2"/>
        <v>4.422999256</v>
      </c>
      <c r="F12" s="6" t="s">
        <v>23</v>
      </c>
      <c r="G12" s="6">
        <f>G6/(G8/SQRT(G4))</f>
        <v>-0.6435449708</v>
      </c>
    </row>
    <row r="13">
      <c r="A13" s="6">
        <v>4.0</v>
      </c>
      <c r="B13" s="6">
        <v>5.0</v>
      </c>
      <c r="C13" s="7">
        <f t="shared" si="1"/>
        <v>1</v>
      </c>
      <c r="D13" s="8">
        <f t="shared" si="2"/>
        <v>1.216813689</v>
      </c>
    </row>
    <row r="14">
      <c r="A14" s="6">
        <v>4.0</v>
      </c>
      <c r="B14" s="6">
        <v>4.0</v>
      </c>
      <c r="C14" s="7">
        <f t="shared" si="1"/>
        <v>0</v>
      </c>
      <c r="D14" s="8">
        <f t="shared" si="2"/>
        <v>0.01062812201</v>
      </c>
    </row>
    <row r="15">
      <c r="A15" s="6">
        <v>5.0</v>
      </c>
      <c r="B15" s="6">
        <v>3.0</v>
      </c>
      <c r="C15" s="7">
        <f t="shared" si="1"/>
        <v>-2</v>
      </c>
      <c r="D15" s="8">
        <f t="shared" si="2"/>
        <v>3.598256988</v>
      </c>
    </row>
    <row r="16">
      <c r="A16" s="6">
        <v>5.0</v>
      </c>
      <c r="B16" s="6">
        <v>4.0</v>
      </c>
      <c r="C16" s="7">
        <f t="shared" si="1"/>
        <v>-1</v>
      </c>
      <c r="D16" s="8">
        <f t="shared" si="2"/>
        <v>0.804442555</v>
      </c>
    </row>
    <row r="17">
      <c r="A17" s="6">
        <v>2.0</v>
      </c>
      <c r="B17" s="6">
        <v>4.0</v>
      </c>
      <c r="C17" s="7">
        <f t="shared" si="1"/>
        <v>2</v>
      </c>
      <c r="D17" s="8">
        <f t="shared" si="2"/>
        <v>4.422999256</v>
      </c>
      <c r="F17" s="6" t="s">
        <v>25</v>
      </c>
      <c r="G17" s="6">
        <v>0.05</v>
      </c>
    </row>
    <row r="18">
      <c r="A18" s="6">
        <v>3.0</v>
      </c>
      <c r="B18" s="6">
        <v>2.0</v>
      </c>
      <c r="C18" s="7">
        <f t="shared" si="1"/>
        <v>-1</v>
      </c>
      <c r="D18" s="8">
        <f t="shared" si="2"/>
        <v>0.804442555</v>
      </c>
      <c r="F18" s="6" t="s">
        <v>26</v>
      </c>
      <c r="G18" s="6">
        <f>G4-1</f>
        <v>96</v>
      </c>
    </row>
    <row r="19">
      <c r="A19" s="6">
        <v>3.0</v>
      </c>
      <c r="B19" s="6">
        <v>2.0</v>
      </c>
      <c r="C19" s="7">
        <f t="shared" si="1"/>
        <v>-1</v>
      </c>
      <c r="D19" s="8">
        <f t="shared" si="2"/>
        <v>0.804442555</v>
      </c>
    </row>
    <row r="20">
      <c r="A20" s="6">
        <v>4.0</v>
      </c>
      <c r="B20" s="6">
        <v>3.0</v>
      </c>
      <c r="C20" s="7">
        <f t="shared" si="1"/>
        <v>-1</v>
      </c>
      <c r="D20" s="8">
        <f t="shared" si="2"/>
        <v>0.804442555</v>
      </c>
    </row>
    <row r="21" ht="15.75" customHeight="1">
      <c r="A21" s="6">
        <v>3.0</v>
      </c>
      <c r="B21" s="6">
        <v>5.0</v>
      </c>
      <c r="C21" s="7">
        <f t="shared" si="1"/>
        <v>2</v>
      </c>
      <c r="D21" s="8">
        <f t="shared" si="2"/>
        <v>4.422999256</v>
      </c>
    </row>
    <row r="22" ht="15.75" customHeight="1">
      <c r="A22" s="6">
        <v>2.0</v>
      </c>
      <c r="B22" s="6">
        <v>1.0</v>
      </c>
      <c r="C22" s="7">
        <f t="shared" si="1"/>
        <v>-1</v>
      </c>
      <c r="D22" s="8">
        <f t="shared" si="2"/>
        <v>0.804442555</v>
      </c>
      <c r="F22" s="9" t="s">
        <v>27</v>
      </c>
      <c r="G22" s="9"/>
    </row>
    <row r="23" ht="15.75" customHeight="1">
      <c r="A23" s="6">
        <v>3.0</v>
      </c>
      <c r="B23" s="6">
        <v>2.0</v>
      </c>
      <c r="C23" s="7">
        <f t="shared" si="1"/>
        <v>-1</v>
      </c>
      <c r="D23" s="8">
        <f t="shared" si="2"/>
        <v>0.804442555</v>
      </c>
      <c r="F23" s="6" t="s">
        <v>128</v>
      </c>
      <c r="G23" s="6">
        <f>_xlfn.T.INV.2T(G17,G18)</f>
        <v>1.984984312</v>
      </c>
    </row>
    <row r="24" ht="15.75" customHeight="1">
      <c r="A24" s="6">
        <v>1.0</v>
      </c>
      <c r="B24" s="6">
        <v>3.0</v>
      </c>
      <c r="C24" s="7">
        <f t="shared" si="1"/>
        <v>2</v>
      </c>
      <c r="D24" s="8">
        <f t="shared" si="2"/>
        <v>4.422999256</v>
      </c>
      <c r="F24" s="6" t="s">
        <v>129</v>
      </c>
      <c r="G24" s="6">
        <f>_xlfn.T.INV(G17,G18)</f>
        <v>-1.66088144</v>
      </c>
    </row>
    <row r="25" ht="15.75" customHeight="1">
      <c r="A25" s="6">
        <v>3.0</v>
      </c>
      <c r="B25" s="6">
        <v>3.0</v>
      </c>
      <c r="C25" s="7">
        <f t="shared" si="1"/>
        <v>0</v>
      </c>
      <c r="D25" s="8">
        <f t="shared" si="2"/>
        <v>0.01062812201</v>
      </c>
    </row>
    <row r="26" ht="15.75" customHeight="1">
      <c r="A26" s="6">
        <v>3.0</v>
      </c>
      <c r="B26" s="6">
        <v>4.0</v>
      </c>
      <c r="C26" s="7">
        <f t="shared" si="1"/>
        <v>1</v>
      </c>
      <c r="D26" s="8">
        <f t="shared" si="2"/>
        <v>1.216813689</v>
      </c>
    </row>
    <row r="27" ht="15.75" customHeight="1">
      <c r="A27" s="6">
        <v>4.0</v>
      </c>
      <c r="B27" s="6">
        <v>1.0</v>
      </c>
      <c r="C27" s="7">
        <f t="shared" si="1"/>
        <v>-3</v>
      </c>
      <c r="D27" s="8">
        <f t="shared" si="2"/>
        <v>8.392071421</v>
      </c>
      <c r="F27" s="9" t="s">
        <v>32</v>
      </c>
      <c r="G27" s="9"/>
    </row>
    <row r="28" ht="15.75" customHeight="1">
      <c r="A28" s="6">
        <v>3.0</v>
      </c>
      <c r="B28" s="6">
        <v>1.0</v>
      </c>
      <c r="C28" s="7">
        <f t="shared" si="1"/>
        <v>-2</v>
      </c>
      <c r="D28" s="8">
        <f t="shared" si="2"/>
        <v>3.598256988</v>
      </c>
      <c r="F28" s="6" t="s">
        <v>32</v>
      </c>
    </row>
    <row r="29" ht="15.75" customHeight="1">
      <c r="A29" s="6">
        <v>3.0</v>
      </c>
      <c r="B29" s="6">
        <v>4.0</v>
      </c>
      <c r="C29" s="7">
        <f t="shared" si="1"/>
        <v>1</v>
      </c>
      <c r="D29" s="8">
        <f t="shared" si="2"/>
        <v>1.216813689</v>
      </c>
      <c r="F29" s="6" t="s">
        <v>133</v>
      </c>
      <c r="G29" s="6">
        <f>TTEST(A:A,B:B,2,1)</f>
        <v>0.5214049434</v>
      </c>
    </row>
    <row r="30" ht="15.75" customHeight="1">
      <c r="A30" s="6">
        <v>3.0</v>
      </c>
      <c r="B30" s="6">
        <v>1.0</v>
      </c>
      <c r="C30" s="7">
        <f t="shared" si="1"/>
        <v>-2</v>
      </c>
      <c r="D30" s="8">
        <f t="shared" si="2"/>
        <v>3.598256988</v>
      </c>
      <c r="F30" s="6" t="s">
        <v>134</v>
      </c>
      <c r="G30" s="6">
        <f>TTEST(A:A,B:B,1,1)</f>
        <v>0.2607024717</v>
      </c>
    </row>
    <row r="31" ht="15.75" customHeight="1">
      <c r="A31" s="6">
        <v>3.0</v>
      </c>
      <c r="B31" s="6">
        <v>1.0</v>
      </c>
      <c r="C31" s="7">
        <f t="shared" si="1"/>
        <v>-2</v>
      </c>
      <c r="D31" s="8">
        <f t="shared" si="2"/>
        <v>3.598256988</v>
      </c>
    </row>
    <row r="32" ht="15.75" customHeight="1">
      <c r="A32" s="6">
        <v>5.0</v>
      </c>
      <c r="B32" s="6">
        <v>4.0</v>
      </c>
      <c r="C32" s="7">
        <f t="shared" si="1"/>
        <v>-1</v>
      </c>
      <c r="D32" s="8">
        <f t="shared" si="2"/>
        <v>0.804442555</v>
      </c>
    </row>
    <row r="33" ht="15.75" customHeight="1">
      <c r="A33" s="6">
        <v>3.0</v>
      </c>
      <c r="B33" s="6">
        <v>2.0</v>
      </c>
      <c r="C33" s="7">
        <f t="shared" si="1"/>
        <v>-1</v>
      </c>
      <c r="D33" s="8">
        <f t="shared" si="2"/>
        <v>0.804442555</v>
      </c>
      <c r="F33" s="10" t="s">
        <v>39</v>
      </c>
      <c r="G33" s="10"/>
    </row>
    <row r="34" ht="15.75" customHeight="1">
      <c r="A34" s="6">
        <v>1.0</v>
      </c>
      <c r="B34" s="6">
        <v>3.0</v>
      </c>
      <c r="C34" s="7">
        <f t="shared" si="1"/>
        <v>2</v>
      </c>
      <c r="D34" s="8">
        <f t="shared" si="2"/>
        <v>4.422999256</v>
      </c>
    </row>
    <row r="35" ht="15.75" customHeight="1">
      <c r="A35" s="6">
        <v>5.0</v>
      </c>
      <c r="B35" s="6">
        <v>3.0</v>
      </c>
      <c r="C35" s="7">
        <f t="shared" si="1"/>
        <v>-2</v>
      </c>
      <c r="D35" s="8">
        <f t="shared" si="2"/>
        <v>3.598256988</v>
      </c>
      <c r="F35" s="6" t="s">
        <v>136</v>
      </c>
    </row>
    <row r="36" ht="15.75" customHeight="1">
      <c r="A36" s="6">
        <v>1.0</v>
      </c>
      <c r="B36" s="6">
        <v>5.0</v>
      </c>
      <c r="C36" s="7">
        <f t="shared" si="1"/>
        <v>4</v>
      </c>
      <c r="D36" s="8">
        <f t="shared" si="2"/>
        <v>16.83537039</v>
      </c>
      <c r="F36" s="6" t="s">
        <v>137</v>
      </c>
    </row>
    <row r="37" ht="15.75" customHeight="1">
      <c r="A37" s="6">
        <v>3.0</v>
      </c>
      <c r="B37" s="6">
        <v>2.0</v>
      </c>
      <c r="C37" s="7">
        <f t="shared" si="1"/>
        <v>-1</v>
      </c>
      <c r="D37" s="8">
        <f t="shared" si="2"/>
        <v>0.804442555</v>
      </c>
    </row>
    <row r="38" ht="15.75" customHeight="1">
      <c r="A38" s="6">
        <v>2.0</v>
      </c>
      <c r="B38" s="6">
        <v>5.0</v>
      </c>
      <c r="C38" s="7">
        <f t="shared" si="1"/>
        <v>3</v>
      </c>
      <c r="D38" s="8">
        <f t="shared" si="2"/>
        <v>9.629184823</v>
      </c>
    </row>
    <row r="39" ht="15.75" customHeight="1">
      <c r="A39" s="6">
        <v>2.0</v>
      </c>
      <c r="B39" s="6">
        <v>2.0</v>
      </c>
      <c r="C39" s="7">
        <f t="shared" si="1"/>
        <v>0</v>
      </c>
      <c r="D39" s="8">
        <f t="shared" si="2"/>
        <v>0.01062812201</v>
      </c>
    </row>
    <row r="40" ht="15.75" customHeight="1">
      <c r="A40" s="6">
        <v>3.0</v>
      </c>
      <c r="B40" s="6">
        <v>5.0</v>
      </c>
      <c r="C40" s="7">
        <f t="shared" si="1"/>
        <v>2</v>
      </c>
      <c r="D40" s="8">
        <f t="shared" si="2"/>
        <v>4.422999256</v>
      </c>
      <c r="F40" s="6" t="s">
        <v>138</v>
      </c>
    </row>
    <row r="41" ht="15.75" customHeight="1">
      <c r="A41" s="6">
        <v>2.0</v>
      </c>
      <c r="B41" s="6">
        <v>3.0</v>
      </c>
      <c r="C41" s="7">
        <f t="shared" si="1"/>
        <v>1</v>
      </c>
      <c r="D41" s="8">
        <f t="shared" si="2"/>
        <v>1.216813689</v>
      </c>
      <c r="F41" s="6" t="str">
        <f>"Dos Colas: Si t calculado ("&amp;G12&amp;") &gt; a t critico  ("&amp;G23&amp;") (de tabla) ---&gt; Se rechaza la hipotesis nula"</f>
        <v>Dos Colas: Si t calculado (-0,643544970784417) &gt; a t critico  (1,98498431152245) (de tabla) ---&gt; Se rechaza la hipotesis nula</v>
      </c>
    </row>
    <row r="42" ht="15.75" customHeight="1">
      <c r="A42" s="6">
        <v>4.0</v>
      </c>
      <c r="B42" s="6">
        <v>3.0</v>
      </c>
      <c r="C42" s="7">
        <f t="shared" si="1"/>
        <v>-1</v>
      </c>
      <c r="D42" s="8">
        <f t="shared" si="2"/>
        <v>0.804442555</v>
      </c>
      <c r="F42" s="6" t="str">
        <f>"Una Cola: Si t calculado ("&amp;G12&amp;") &gt; a t critico  ("&amp;G24&amp;") (de tabla) ---&gt; Se rechaza la hipotesis nula"</f>
        <v>Una Cola: Si t calculado (-0,643544970784417) &gt; a t critico  (-1,66088144032486) (de tabla) ---&gt; Se rechaza la hipotesis nula</v>
      </c>
    </row>
    <row r="43" ht="15.75" customHeight="1">
      <c r="A43" s="6">
        <v>4.0</v>
      </c>
      <c r="B43" s="6">
        <v>1.0</v>
      </c>
      <c r="C43" s="7">
        <f t="shared" si="1"/>
        <v>-3</v>
      </c>
      <c r="D43" s="8">
        <f t="shared" si="2"/>
        <v>8.392071421</v>
      </c>
    </row>
    <row r="44" ht="15.75" customHeight="1">
      <c r="A44" s="6">
        <v>3.0</v>
      </c>
      <c r="B44" s="6">
        <v>3.0</v>
      </c>
      <c r="C44" s="7">
        <f t="shared" si="1"/>
        <v>0</v>
      </c>
      <c r="D44" s="8">
        <f t="shared" si="2"/>
        <v>0.01062812201</v>
      </c>
    </row>
    <row r="45" ht="15.75" customHeight="1">
      <c r="A45" s="6">
        <v>4.0</v>
      </c>
      <c r="B45" s="6">
        <v>5.0</v>
      </c>
      <c r="C45" s="7">
        <f t="shared" si="1"/>
        <v>1</v>
      </c>
      <c r="D45" s="8">
        <f t="shared" si="2"/>
        <v>1.216813689</v>
      </c>
    </row>
    <row r="46" ht="15.75" customHeight="1">
      <c r="A46" s="6">
        <v>3.0</v>
      </c>
      <c r="B46" s="6">
        <v>3.0</v>
      </c>
      <c r="C46" s="7">
        <f t="shared" si="1"/>
        <v>0</v>
      </c>
      <c r="D46" s="8">
        <f t="shared" si="2"/>
        <v>0.01062812201</v>
      </c>
      <c r="F46" s="6" t="s">
        <v>139</v>
      </c>
    </row>
    <row r="47" ht="15.75" customHeight="1">
      <c r="A47" s="6">
        <v>1.0</v>
      </c>
      <c r="B47" s="6">
        <v>3.0</v>
      </c>
      <c r="C47" s="7">
        <f t="shared" si="1"/>
        <v>2</v>
      </c>
      <c r="D47" s="8">
        <f t="shared" si="2"/>
        <v>4.422999256</v>
      </c>
      <c r="F47" s="6" t="str">
        <f>"Dos Colas: Si p valor ("&amp;G29&amp;") &lt; Nivel Significancia ("&amp;G17&amp;") ---&gt; Se rechaza la hipotesis nula"</f>
        <v>Dos Colas: Si p valor (0,521404943448452) &lt; Nivel Significancia (0,05) ---&gt; Se rechaza la hipotesis nula</v>
      </c>
    </row>
    <row r="48" ht="15.75" customHeight="1">
      <c r="A48" s="6">
        <v>2.0</v>
      </c>
      <c r="B48" s="6">
        <v>1.0</v>
      </c>
      <c r="C48" s="7">
        <f t="shared" si="1"/>
        <v>-1</v>
      </c>
      <c r="D48" s="8">
        <f t="shared" si="2"/>
        <v>0.804442555</v>
      </c>
      <c r="F48" s="6" t="str">
        <f>"Una Cola: Si p valor ("&amp;G30&amp;") &lt; Nivel Significancia ("&amp;G17&amp;") ---&gt; Se rechaza la hipotesis nula"</f>
        <v>Una Cola: Si p valor (0,260702471724226) &lt; Nivel Significancia (0,05) ---&gt; Se rechaza la hipotesis nula</v>
      </c>
    </row>
    <row r="49" ht="15.75" customHeight="1">
      <c r="A49" s="6">
        <v>3.0</v>
      </c>
      <c r="B49" s="6">
        <v>2.0</v>
      </c>
      <c r="C49" s="7">
        <f t="shared" si="1"/>
        <v>-1</v>
      </c>
      <c r="D49" s="8">
        <f t="shared" si="2"/>
        <v>0.804442555</v>
      </c>
    </row>
    <row r="50" ht="15.75" customHeight="1">
      <c r="A50" s="6">
        <v>5.0</v>
      </c>
      <c r="B50" s="6">
        <v>4.0</v>
      </c>
      <c r="C50" s="7">
        <f t="shared" si="1"/>
        <v>-1</v>
      </c>
      <c r="D50" s="8">
        <f t="shared" si="2"/>
        <v>0.804442555</v>
      </c>
    </row>
    <row r="51" ht="15.75" customHeight="1">
      <c r="A51" s="6">
        <v>3.0</v>
      </c>
      <c r="B51" s="6">
        <v>3.0</v>
      </c>
      <c r="C51" s="7">
        <f t="shared" si="1"/>
        <v>0</v>
      </c>
      <c r="D51" s="8">
        <f t="shared" si="2"/>
        <v>0.01062812201</v>
      </c>
    </row>
    <row r="52" ht="15.75" customHeight="1">
      <c r="A52" s="6">
        <v>1.0</v>
      </c>
      <c r="B52" s="6">
        <v>4.0</v>
      </c>
      <c r="C52" s="7">
        <f t="shared" si="1"/>
        <v>3</v>
      </c>
      <c r="D52" s="8">
        <f t="shared" si="2"/>
        <v>9.629184823</v>
      </c>
    </row>
    <row r="53" ht="15.75" customHeight="1">
      <c r="A53" s="6">
        <v>5.0</v>
      </c>
      <c r="B53" s="6">
        <v>3.0</v>
      </c>
      <c r="C53" s="7">
        <f t="shared" si="1"/>
        <v>-2</v>
      </c>
      <c r="D53" s="8">
        <f t="shared" si="2"/>
        <v>3.598256988</v>
      </c>
    </row>
    <row r="54" ht="15.75" customHeight="1">
      <c r="A54" s="6">
        <v>3.0</v>
      </c>
      <c r="B54" s="6">
        <v>3.0</v>
      </c>
      <c r="C54" s="7">
        <f t="shared" si="1"/>
        <v>0</v>
      </c>
      <c r="D54" s="8">
        <f t="shared" si="2"/>
        <v>0.01062812201</v>
      </c>
    </row>
    <row r="55" ht="15.75" customHeight="1">
      <c r="A55" s="6">
        <v>3.0</v>
      </c>
      <c r="B55" s="6">
        <v>3.0</v>
      </c>
      <c r="C55" s="7">
        <f t="shared" si="1"/>
        <v>0</v>
      </c>
      <c r="D55" s="8">
        <f t="shared" si="2"/>
        <v>0.01062812201</v>
      </c>
    </row>
    <row r="56" ht="15.75" customHeight="1">
      <c r="A56" s="6">
        <v>4.0</v>
      </c>
      <c r="B56" s="6">
        <v>3.0</v>
      </c>
      <c r="C56" s="7">
        <f t="shared" si="1"/>
        <v>-1</v>
      </c>
      <c r="D56" s="8">
        <f t="shared" si="2"/>
        <v>0.804442555</v>
      </c>
    </row>
    <row r="57" ht="15.75" customHeight="1">
      <c r="A57" s="6">
        <v>3.0</v>
      </c>
      <c r="B57" s="6">
        <v>3.0</v>
      </c>
      <c r="C57" s="7">
        <f t="shared" si="1"/>
        <v>0</v>
      </c>
      <c r="D57" s="8">
        <f t="shared" si="2"/>
        <v>0.01062812201</v>
      </c>
    </row>
    <row r="58" ht="15.75" customHeight="1">
      <c r="A58" s="6">
        <v>4.0</v>
      </c>
      <c r="B58" s="6">
        <v>3.0</v>
      </c>
      <c r="C58" s="7">
        <f t="shared" si="1"/>
        <v>-1</v>
      </c>
      <c r="D58" s="8">
        <f t="shared" si="2"/>
        <v>0.804442555</v>
      </c>
    </row>
    <row r="59" ht="15.75" customHeight="1">
      <c r="A59" s="6">
        <v>4.0</v>
      </c>
      <c r="B59" s="6">
        <v>3.0</v>
      </c>
      <c r="C59" s="7">
        <f t="shared" si="1"/>
        <v>-1</v>
      </c>
      <c r="D59" s="8">
        <f t="shared" si="2"/>
        <v>0.804442555</v>
      </c>
    </row>
    <row r="60" ht="15.75" customHeight="1">
      <c r="A60" s="6">
        <v>3.0</v>
      </c>
      <c r="B60" s="6">
        <v>5.0</v>
      </c>
      <c r="C60" s="7">
        <f t="shared" si="1"/>
        <v>2</v>
      </c>
      <c r="D60" s="8">
        <f t="shared" si="2"/>
        <v>4.422999256</v>
      </c>
    </row>
    <row r="61" ht="15.75" customHeight="1">
      <c r="A61" s="6">
        <v>2.0</v>
      </c>
      <c r="B61" s="6">
        <v>2.0</v>
      </c>
      <c r="C61" s="7">
        <f t="shared" si="1"/>
        <v>0</v>
      </c>
      <c r="D61" s="8">
        <f t="shared" si="2"/>
        <v>0.01062812201</v>
      </c>
    </row>
    <row r="62" ht="15.75" customHeight="1">
      <c r="A62" s="6">
        <v>5.0</v>
      </c>
      <c r="B62" s="6">
        <v>3.0</v>
      </c>
      <c r="C62" s="7">
        <f t="shared" si="1"/>
        <v>-2</v>
      </c>
      <c r="D62" s="8">
        <f t="shared" si="2"/>
        <v>3.598256988</v>
      </c>
    </row>
    <row r="63" ht="15.75" customHeight="1">
      <c r="A63" s="6">
        <v>2.0</v>
      </c>
      <c r="B63" s="6">
        <v>5.0</v>
      </c>
      <c r="C63" s="7">
        <f t="shared" si="1"/>
        <v>3</v>
      </c>
      <c r="D63" s="8">
        <f t="shared" si="2"/>
        <v>9.629184823</v>
      </c>
    </row>
    <row r="64" ht="15.75" customHeight="1">
      <c r="A64" s="6">
        <v>4.0</v>
      </c>
      <c r="B64" s="6">
        <v>3.0</v>
      </c>
      <c r="C64" s="7">
        <f t="shared" si="1"/>
        <v>-1</v>
      </c>
      <c r="D64" s="8">
        <f t="shared" si="2"/>
        <v>0.804442555</v>
      </c>
    </row>
    <row r="65" ht="15.75" customHeight="1">
      <c r="A65" s="6">
        <v>5.0</v>
      </c>
      <c r="B65" s="6">
        <v>3.0</v>
      </c>
      <c r="C65" s="7">
        <f t="shared" si="1"/>
        <v>-2</v>
      </c>
      <c r="D65" s="8">
        <f t="shared" si="2"/>
        <v>3.598256988</v>
      </c>
    </row>
    <row r="66" ht="15.75" customHeight="1">
      <c r="A66" s="6">
        <v>1.0</v>
      </c>
      <c r="B66" s="6">
        <v>3.0</v>
      </c>
      <c r="C66" s="7">
        <f t="shared" si="1"/>
        <v>2</v>
      </c>
      <c r="D66" s="8">
        <f t="shared" si="2"/>
        <v>4.422999256</v>
      </c>
    </row>
    <row r="67" ht="15.75" customHeight="1">
      <c r="A67" s="6">
        <v>3.0</v>
      </c>
      <c r="B67" s="6">
        <v>4.0</v>
      </c>
      <c r="C67" s="7">
        <f t="shared" si="1"/>
        <v>1</v>
      </c>
      <c r="D67" s="8">
        <f t="shared" si="2"/>
        <v>1.216813689</v>
      </c>
    </row>
    <row r="68" ht="15.75" customHeight="1">
      <c r="A68" s="6">
        <v>3.0</v>
      </c>
      <c r="B68" s="6">
        <v>5.0</v>
      </c>
      <c r="C68" s="7">
        <f t="shared" si="1"/>
        <v>2</v>
      </c>
      <c r="D68" s="8">
        <f t="shared" si="2"/>
        <v>4.422999256</v>
      </c>
    </row>
    <row r="69" ht="15.75" customHeight="1">
      <c r="A69" s="6">
        <v>2.0</v>
      </c>
      <c r="B69" s="6">
        <v>5.0</v>
      </c>
      <c r="C69" s="7">
        <f t="shared" si="1"/>
        <v>3</v>
      </c>
      <c r="D69" s="8">
        <f t="shared" si="2"/>
        <v>9.629184823</v>
      </c>
    </row>
    <row r="70" ht="15.75" customHeight="1">
      <c r="A70" s="6">
        <v>2.0</v>
      </c>
      <c r="B70" s="6">
        <v>4.0</v>
      </c>
      <c r="C70" s="7">
        <f t="shared" si="1"/>
        <v>2</v>
      </c>
      <c r="D70" s="8">
        <f t="shared" si="2"/>
        <v>4.422999256</v>
      </c>
    </row>
    <row r="71" ht="15.75" customHeight="1">
      <c r="A71" s="6">
        <v>4.0</v>
      </c>
      <c r="B71" s="6">
        <v>1.0</v>
      </c>
      <c r="C71" s="7">
        <f t="shared" si="1"/>
        <v>-3</v>
      </c>
      <c r="D71" s="8">
        <f t="shared" si="2"/>
        <v>8.392071421</v>
      </c>
    </row>
    <row r="72" ht="15.75" customHeight="1">
      <c r="A72" s="6">
        <v>3.0</v>
      </c>
      <c r="B72" s="6">
        <v>3.0</v>
      </c>
      <c r="C72" s="7">
        <f t="shared" si="1"/>
        <v>0</v>
      </c>
      <c r="D72" s="8">
        <f t="shared" si="2"/>
        <v>0.01062812201</v>
      </c>
    </row>
    <row r="73" ht="15.75" customHeight="1">
      <c r="A73" s="6">
        <v>4.0</v>
      </c>
      <c r="B73" s="6">
        <v>3.0</v>
      </c>
      <c r="C73" s="7">
        <f t="shared" si="1"/>
        <v>-1</v>
      </c>
      <c r="D73" s="8">
        <f t="shared" si="2"/>
        <v>0.804442555</v>
      </c>
    </row>
    <row r="74" ht="15.75" customHeight="1">
      <c r="A74" s="6">
        <v>4.0</v>
      </c>
      <c r="B74" s="6">
        <v>1.0</v>
      </c>
      <c r="C74" s="7">
        <f t="shared" si="1"/>
        <v>-3</v>
      </c>
      <c r="D74" s="8">
        <f t="shared" si="2"/>
        <v>8.392071421</v>
      </c>
    </row>
    <row r="75" ht="15.75" customHeight="1">
      <c r="A75" s="6">
        <v>1.0</v>
      </c>
      <c r="B75" s="6">
        <v>3.0</v>
      </c>
      <c r="C75" s="7">
        <f t="shared" si="1"/>
        <v>2</v>
      </c>
      <c r="D75" s="8">
        <f t="shared" si="2"/>
        <v>4.422999256</v>
      </c>
    </row>
    <row r="76" ht="15.75" customHeight="1">
      <c r="A76" s="6">
        <v>2.0</v>
      </c>
      <c r="B76" s="6">
        <v>3.0</v>
      </c>
      <c r="C76" s="7">
        <f t="shared" si="1"/>
        <v>1</v>
      </c>
      <c r="D76" s="8">
        <f t="shared" si="2"/>
        <v>1.216813689</v>
      </c>
    </row>
    <row r="77" ht="15.75" customHeight="1">
      <c r="A77" s="6">
        <v>4.0</v>
      </c>
      <c r="B77" s="6">
        <v>3.0</v>
      </c>
      <c r="C77" s="7">
        <f t="shared" si="1"/>
        <v>-1</v>
      </c>
      <c r="D77" s="8">
        <f t="shared" si="2"/>
        <v>0.804442555</v>
      </c>
    </row>
    <row r="78" ht="15.75" customHeight="1">
      <c r="A78" s="6">
        <v>3.0</v>
      </c>
      <c r="B78" s="6">
        <v>2.0</v>
      </c>
      <c r="C78" s="7">
        <f t="shared" si="1"/>
        <v>-1</v>
      </c>
      <c r="D78" s="8">
        <f t="shared" si="2"/>
        <v>0.804442555</v>
      </c>
    </row>
    <row r="79" ht="15.75" customHeight="1">
      <c r="A79" s="6">
        <v>3.0</v>
      </c>
      <c r="B79" s="6">
        <v>2.0</v>
      </c>
      <c r="C79" s="7">
        <f t="shared" si="1"/>
        <v>-1</v>
      </c>
      <c r="D79" s="8">
        <f t="shared" si="2"/>
        <v>0.804442555</v>
      </c>
    </row>
    <row r="80" ht="15.75" customHeight="1">
      <c r="A80" s="6">
        <v>3.0</v>
      </c>
      <c r="B80" s="6">
        <v>3.0</v>
      </c>
      <c r="C80" s="7">
        <f t="shared" si="1"/>
        <v>0</v>
      </c>
      <c r="D80" s="8">
        <f t="shared" si="2"/>
        <v>0.01062812201</v>
      </c>
    </row>
    <row r="81" ht="15.75" customHeight="1">
      <c r="A81" s="6">
        <v>3.0</v>
      </c>
      <c r="B81" s="6">
        <v>3.0</v>
      </c>
      <c r="C81" s="7">
        <f t="shared" si="1"/>
        <v>0</v>
      </c>
      <c r="D81" s="8">
        <f t="shared" si="2"/>
        <v>0.01062812201</v>
      </c>
    </row>
    <row r="82" ht="15.75" customHeight="1">
      <c r="A82" s="6">
        <v>4.0</v>
      </c>
      <c r="B82" s="6">
        <v>4.0</v>
      </c>
      <c r="C82" s="7">
        <f t="shared" si="1"/>
        <v>0</v>
      </c>
      <c r="D82" s="8">
        <f t="shared" si="2"/>
        <v>0.01062812201</v>
      </c>
    </row>
    <row r="83" ht="15.75" customHeight="1">
      <c r="A83" s="6">
        <v>4.0</v>
      </c>
      <c r="B83" s="6">
        <v>2.0</v>
      </c>
      <c r="C83" s="7">
        <f t="shared" si="1"/>
        <v>-2</v>
      </c>
      <c r="D83" s="8">
        <f t="shared" si="2"/>
        <v>3.598256988</v>
      </c>
    </row>
    <row r="84" ht="15.75" customHeight="1">
      <c r="A84" s="6">
        <v>3.0</v>
      </c>
      <c r="B84" s="6">
        <v>1.0</v>
      </c>
      <c r="C84" s="7">
        <f t="shared" si="1"/>
        <v>-2</v>
      </c>
      <c r="D84" s="8">
        <f t="shared" si="2"/>
        <v>3.598256988</v>
      </c>
    </row>
    <row r="85" ht="15.75" customHeight="1">
      <c r="A85" s="6">
        <v>2.0</v>
      </c>
      <c r="B85" s="6">
        <v>2.0</v>
      </c>
      <c r="C85" s="7">
        <f t="shared" si="1"/>
        <v>0</v>
      </c>
      <c r="D85" s="8">
        <f t="shared" si="2"/>
        <v>0.01062812201</v>
      </c>
    </row>
    <row r="86" ht="15.75" customHeight="1">
      <c r="A86" s="6">
        <v>3.0</v>
      </c>
      <c r="B86" s="6">
        <v>1.0</v>
      </c>
      <c r="C86" s="7">
        <f t="shared" si="1"/>
        <v>-2</v>
      </c>
      <c r="D86" s="8">
        <f t="shared" si="2"/>
        <v>3.598256988</v>
      </c>
    </row>
    <row r="87" ht="15.75" customHeight="1">
      <c r="A87" s="6">
        <v>3.0</v>
      </c>
      <c r="B87" s="6">
        <v>3.0</v>
      </c>
      <c r="C87" s="7">
        <f t="shared" si="1"/>
        <v>0</v>
      </c>
      <c r="D87" s="8">
        <f t="shared" si="2"/>
        <v>0.01062812201</v>
      </c>
    </row>
    <row r="88" ht="15.75" customHeight="1">
      <c r="A88" s="6">
        <v>3.0</v>
      </c>
      <c r="B88" s="6">
        <v>3.0</v>
      </c>
      <c r="C88" s="7">
        <f t="shared" si="1"/>
        <v>0</v>
      </c>
      <c r="D88" s="8">
        <f t="shared" si="2"/>
        <v>0.01062812201</v>
      </c>
    </row>
    <row r="89" ht="15.75" customHeight="1">
      <c r="A89" s="6">
        <v>2.0</v>
      </c>
      <c r="B89" s="6">
        <v>1.0</v>
      </c>
      <c r="C89" s="7">
        <f t="shared" si="1"/>
        <v>-1</v>
      </c>
      <c r="D89" s="8">
        <f t="shared" si="2"/>
        <v>0.804442555</v>
      </c>
    </row>
    <row r="90" ht="15.75" customHeight="1">
      <c r="A90" s="6">
        <v>3.0</v>
      </c>
      <c r="B90" s="6">
        <v>3.0</v>
      </c>
      <c r="C90" s="7">
        <f t="shared" si="1"/>
        <v>0</v>
      </c>
      <c r="D90" s="8">
        <f t="shared" si="2"/>
        <v>0.01062812201</v>
      </c>
    </row>
    <row r="91" ht="15.75" customHeight="1">
      <c r="A91" s="6">
        <v>3.0</v>
      </c>
      <c r="B91" s="6">
        <v>3.0</v>
      </c>
      <c r="C91" s="7">
        <f t="shared" si="1"/>
        <v>0</v>
      </c>
      <c r="D91" s="8">
        <f t="shared" si="2"/>
        <v>0.01062812201</v>
      </c>
    </row>
    <row r="92" ht="15.75" customHeight="1">
      <c r="A92" s="6">
        <v>3.0</v>
      </c>
      <c r="B92" s="6">
        <v>3.0</v>
      </c>
      <c r="C92" s="7">
        <f t="shared" si="1"/>
        <v>0</v>
      </c>
      <c r="D92" s="8">
        <f t="shared" si="2"/>
        <v>0.01062812201</v>
      </c>
    </row>
    <row r="93" ht="15.75" customHeight="1">
      <c r="A93" s="6">
        <v>3.0</v>
      </c>
      <c r="B93" s="6">
        <v>2.0</v>
      </c>
      <c r="C93" s="7">
        <f t="shared" si="1"/>
        <v>-1</v>
      </c>
      <c r="D93" s="8">
        <f t="shared" si="2"/>
        <v>0.804442555</v>
      </c>
      <c r="F93" s="12"/>
    </row>
    <row r="94" ht="15.75" customHeight="1">
      <c r="A94" s="6">
        <v>2.0</v>
      </c>
      <c r="B94" s="6">
        <v>2.0</v>
      </c>
      <c r="C94" s="7">
        <f t="shared" si="1"/>
        <v>0</v>
      </c>
      <c r="D94" s="8">
        <f t="shared" si="2"/>
        <v>0.01062812201</v>
      </c>
    </row>
    <row r="95" ht="15.75" customHeight="1">
      <c r="A95" s="6">
        <v>4.0</v>
      </c>
      <c r="B95" s="6">
        <v>4.0</v>
      </c>
      <c r="C95" s="7">
        <f t="shared" si="1"/>
        <v>0</v>
      </c>
      <c r="D95" s="8">
        <f t="shared" si="2"/>
        <v>0.01062812201</v>
      </c>
    </row>
    <row r="96" ht="15.75" customHeight="1">
      <c r="A96" s="6">
        <v>4.0</v>
      </c>
      <c r="B96" s="6">
        <v>3.0</v>
      </c>
      <c r="C96" s="7">
        <f t="shared" si="1"/>
        <v>-1</v>
      </c>
      <c r="D96" s="8">
        <f t="shared" si="2"/>
        <v>0.804442555</v>
      </c>
    </row>
    <row r="97" ht="15.75" customHeight="1">
      <c r="A97" s="6">
        <v>2.0</v>
      </c>
      <c r="B97" s="6">
        <v>1.0</v>
      </c>
      <c r="C97" s="7">
        <f t="shared" si="1"/>
        <v>-1</v>
      </c>
      <c r="D97" s="8">
        <f t="shared" si="2"/>
        <v>0.804442555</v>
      </c>
    </row>
    <row r="98" ht="15.75" customHeight="1">
      <c r="A98" s="6">
        <v>3.0</v>
      </c>
      <c r="B98" s="6">
        <v>4.0</v>
      </c>
      <c r="C98" s="7">
        <f t="shared" si="1"/>
        <v>1</v>
      </c>
      <c r="D98" s="8">
        <f t="shared" si="2"/>
        <v>1.216813689</v>
      </c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
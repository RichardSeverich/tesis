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tabRatio="991"/>
  </bookViews>
  <sheets>
    <sheet name="Resumen" sheetId="27" r:id="rId1"/>
    <sheet name="Participación-activa" sheetId="1" r:id="rId2"/>
    <sheet name="Comunicación-equipo" sheetId="17" r:id="rId3"/>
    <sheet name="Cumplimiento-tareas" sheetId="19" r:id="rId4"/>
    <sheet name="Contribución-grupo" sheetId="18" r:id="rId5"/>
    <sheet name="Resolución-problemas" sheetId="20" r:id="rId6"/>
    <sheet name="Conocimientos-adquiridos" sheetId="21" r:id="rId7"/>
    <sheet name="Nota-final" sheetId="22" r:id="rId8"/>
    <sheet name="Comprensión" sheetId="23" r:id="rId9"/>
    <sheet name="Habilidades" sheetId="24" r:id="rId10"/>
    <sheet name="Resolución-autónoma" sheetId="25" r:id="rId11"/>
    <sheet name="Motivación" sheetId="26" r:id="rId12"/>
  </sheets>
  <calcPr calcId="152511"/>
</workbook>
</file>

<file path=xl/calcChain.xml><?xml version="1.0" encoding="utf-8"?>
<calcChain xmlns="http://schemas.openxmlformats.org/spreadsheetml/2006/main">
  <c r="F12" i="27" l="1"/>
  <c r="F11" i="27"/>
  <c r="F10" i="27"/>
  <c r="F9" i="27"/>
  <c r="F8" i="27"/>
  <c r="F7" i="27"/>
  <c r="F6" i="27"/>
  <c r="F5" i="27"/>
  <c r="F4" i="27"/>
  <c r="F3" i="27"/>
  <c r="F2" i="27"/>
  <c r="E12" i="27"/>
  <c r="E11" i="27"/>
  <c r="E10" i="27"/>
  <c r="E9" i="27"/>
  <c r="E8" i="27"/>
  <c r="E7" i="27"/>
  <c r="E6" i="27"/>
  <c r="E5" i="27"/>
  <c r="E4" i="27"/>
  <c r="E3" i="27"/>
  <c r="E2" i="27"/>
  <c r="E8" i="19" l="1"/>
  <c r="E6" i="1"/>
  <c r="E5" i="1"/>
  <c r="E4" i="1"/>
  <c r="E3" i="1"/>
  <c r="E2" i="1"/>
  <c r="E2" i="19"/>
  <c r="E12" i="19"/>
  <c r="E6" i="19"/>
  <c r="E5" i="19"/>
  <c r="E4" i="19"/>
  <c r="E3" i="19"/>
  <c r="E56" i="26" l="1"/>
  <c r="E55" i="26"/>
  <c r="E12" i="26"/>
  <c r="E11" i="26"/>
  <c r="E10" i="26"/>
  <c r="E9" i="26"/>
  <c r="E8" i="26"/>
  <c r="E6" i="26"/>
  <c r="E5" i="26"/>
  <c r="E4" i="26"/>
  <c r="E3" i="26"/>
  <c r="E2" i="26"/>
  <c r="E56" i="25"/>
  <c r="E55" i="25"/>
  <c r="E12" i="25"/>
  <c r="E11" i="25"/>
  <c r="E10" i="25"/>
  <c r="E9" i="25"/>
  <c r="E8" i="25"/>
  <c r="E6" i="25"/>
  <c r="E5" i="25"/>
  <c r="E42" i="25" s="1"/>
  <c r="E4" i="25"/>
  <c r="E3" i="25"/>
  <c r="E2" i="25"/>
  <c r="E56" i="24"/>
  <c r="E55" i="24"/>
  <c r="E12" i="24"/>
  <c r="E11" i="24"/>
  <c r="E10" i="24"/>
  <c r="E9" i="24"/>
  <c r="E8" i="24"/>
  <c r="E6" i="24"/>
  <c r="E5" i="24"/>
  <c r="E4" i="24"/>
  <c r="E3" i="24"/>
  <c r="E2" i="24"/>
  <c r="E56" i="23"/>
  <c r="E55" i="23"/>
  <c r="E12" i="23"/>
  <c r="E11" i="23"/>
  <c r="E10" i="23"/>
  <c r="E9" i="23"/>
  <c r="E8" i="23"/>
  <c r="E6" i="23"/>
  <c r="E5" i="23"/>
  <c r="E41" i="23" s="1"/>
  <c r="E4" i="23"/>
  <c r="E3" i="23"/>
  <c r="E2" i="23"/>
  <c r="E56" i="22"/>
  <c r="E55" i="22"/>
  <c r="E12" i="22"/>
  <c r="E11" i="22"/>
  <c r="E10" i="22"/>
  <c r="E9" i="22"/>
  <c r="E8" i="22"/>
  <c r="E6" i="22"/>
  <c r="E5" i="22"/>
  <c r="E4" i="22"/>
  <c r="E3" i="22"/>
  <c r="E2" i="22"/>
  <c r="E56" i="21"/>
  <c r="E55" i="21"/>
  <c r="E12" i="21"/>
  <c r="E11" i="21"/>
  <c r="E10" i="21"/>
  <c r="E9" i="21"/>
  <c r="E8" i="21"/>
  <c r="E6" i="21"/>
  <c r="E5" i="21"/>
  <c r="E4" i="21"/>
  <c r="E3" i="21"/>
  <c r="E2" i="21"/>
  <c r="E56" i="20"/>
  <c r="E55" i="20"/>
  <c r="E12" i="20"/>
  <c r="E11" i="20"/>
  <c r="E10" i="20"/>
  <c r="E9" i="20"/>
  <c r="E8" i="20"/>
  <c r="E6" i="20"/>
  <c r="E5" i="20"/>
  <c r="E41" i="20" s="1"/>
  <c r="E4" i="20"/>
  <c r="E3" i="20"/>
  <c r="E2" i="20"/>
  <c r="E56" i="19"/>
  <c r="E55" i="19"/>
  <c r="E11" i="19"/>
  <c r="E10" i="19"/>
  <c r="E9" i="19"/>
  <c r="E29" i="19"/>
  <c r="B4" i="27" s="1"/>
  <c r="E56" i="18"/>
  <c r="E55" i="18"/>
  <c r="E12" i="18"/>
  <c r="E11" i="18"/>
  <c r="E10" i="18"/>
  <c r="E9" i="18"/>
  <c r="E8" i="18"/>
  <c r="E6" i="18"/>
  <c r="E5" i="18"/>
  <c r="E4" i="18"/>
  <c r="E3" i="18"/>
  <c r="E2" i="18"/>
  <c r="E56" i="17"/>
  <c r="E55" i="17"/>
  <c r="E12" i="17"/>
  <c r="E11" i="17"/>
  <c r="E10" i="17"/>
  <c r="E9" i="17"/>
  <c r="E8" i="17"/>
  <c r="E6" i="17"/>
  <c r="E5" i="17"/>
  <c r="E4" i="17"/>
  <c r="E3" i="17"/>
  <c r="E2" i="17"/>
  <c r="D73" i="26" l="1"/>
  <c r="D74" i="26"/>
  <c r="D74" i="25"/>
  <c r="D73" i="25"/>
  <c r="D74" i="24"/>
  <c r="D73" i="24"/>
  <c r="D73" i="23"/>
  <c r="D74" i="23"/>
  <c r="D74" i="22"/>
  <c r="D73" i="22"/>
  <c r="E43" i="21"/>
  <c r="D74" i="21"/>
  <c r="D73" i="21"/>
  <c r="D73" i="20"/>
  <c r="D74" i="20"/>
  <c r="D74" i="18"/>
  <c r="D73" i="18"/>
  <c r="D74" i="19"/>
  <c r="D73" i="19"/>
  <c r="D73" i="17"/>
  <c r="D74" i="17"/>
  <c r="E43" i="25"/>
  <c r="E43" i="20"/>
  <c r="E42" i="24"/>
  <c r="E43" i="22"/>
  <c r="E41" i="17"/>
  <c r="E42" i="26"/>
  <c r="E43" i="26"/>
  <c r="E41" i="26"/>
  <c r="E29" i="26"/>
  <c r="B12" i="27" s="1"/>
  <c r="E29" i="25"/>
  <c r="B11" i="27" s="1"/>
  <c r="E41" i="25"/>
  <c r="E43" i="24"/>
  <c r="E41" i="24"/>
  <c r="E29" i="24"/>
  <c r="B10" i="27" s="1"/>
  <c r="E29" i="23"/>
  <c r="B9" i="27" s="1"/>
  <c r="E43" i="23"/>
  <c r="E42" i="23"/>
  <c r="E42" i="22"/>
  <c r="E41" i="22"/>
  <c r="E29" i="22"/>
  <c r="B8" i="27" s="1"/>
  <c r="E41" i="21"/>
  <c r="E42" i="21"/>
  <c r="E29" i="21"/>
  <c r="B7" i="27" s="1"/>
  <c r="E42" i="20"/>
  <c r="E29" i="20"/>
  <c r="B6" i="27" s="1"/>
  <c r="E43" i="19"/>
  <c r="E42" i="19"/>
  <c r="E41" i="19"/>
  <c r="E42" i="18"/>
  <c r="E29" i="18"/>
  <c r="B5" i="27" s="1"/>
  <c r="E43" i="18"/>
  <c r="E41" i="18"/>
  <c r="E43" i="17"/>
  <c r="E42" i="17"/>
  <c r="E29" i="17"/>
  <c r="B3" i="27" s="1"/>
  <c r="E45" i="25" l="1"/>
  <c r="E52" i="25" s="1"/>
  <c r="E45" i="23"/>
  <c r="E52" i="23" s="1"/>
  <c r="E45" i="20"/>
  <c r="E52" i="20" s="1"/>
  <c r="E45" i="19"/>
  <c r="E53" i="19" s="1"/>
  <c r="E45" i="24"/>
  <c r="E53" i="24" s="1"/>
  <c r="E45" i="22"/>
  <c r="E53" i="22" s="1"/>
  <c r="D8" i="27" s="1"/>
  <c r="E45" i="21"/>
  <c r="E53" i="21" s="1"/>
  <c r="E45" i="26"/>
  <c r="E53" i="26" s="1"/>
  <c r="E53" i="25"/>
  <c r="E45" i="18"/>
  <c r="E52" i="18" s="1"/>
  <c r="E45" i="17"/>
  <c r="E52" i="17" s="1"/>
  <c r="E56" i="1"/>
  <c r="E55" i="1"/>
  <c r="D68" i="26" l="1"/>
  <c r="D12" i="27"/>
  <c r="D67" i="25"/>
  <c r="C11" i="27"/>
  <c r="D68" i="25"/>
  <c r="D11" i="27"/>
  <c r="D68" i="24"/>
  <c r="D10" i="27"/>
  <c r="E53" i="23"/>
  <c r="D68" i="23" s="1"/>
  <c r="D67" i="23"/>
  <c r="C9" i="27"/>
  <c r="D68" i="22"/>
  <c r="D68" i="21"/>
  <c r="D7" i="27"/>
  <c r="D67" i="20"/>
  <c r="C6" i="27"/>
  <c r="D67" i="18"/>
  <c r="C5" i="27"/>
  <c r="D68" i="19"/>
  <c r="D4" i="27"/>
  <c r="D67" i="17"/>
  <c r="C3" i="27"/>
  <c r="D74" i="1"/>
  <c r="D73" i="1"/>
  <c r="E53" i="20"/>
  <c r="E52" i="19"/>
  <c r="E52" i="26"/>
  <c r="E52" i="24"/>
  <c r="E52" i="22"/>
  <c r="C8" i="27" s="1"/>
  <c r="E52" i="21"/>
  <c r="E53" i="18"/>
  <c r="E53" i="17"/>
  <c r="E12" i="1"/>
  <c r="E11" i="1"/>
  <c r="E10" i="1"/>
  <c r="E9" i="1"/>
  <c r="E8" i="1"/>
  <c r="D67" i="26" l="1"/>
  <c r="C12" i="27"/>
  <c r="D67" i="24"/>
  <c r="C10" i="27"/>
  <c r="D9" i="27"/>
  <c r="D67" i="22"/>
  <c r="D67" i="21"/>
  <c r="C7" i="27"/>
  <c r="D68" i="20"/>
  <c r="D6" i="27"/>
  <c r="D68" i="18"/>
  <c r="D5" i="27"/>
  <c r="D67" i="19"/>
  <c r="C4" i="27"/>
  <c r="D68" i="17"/>
  <c r="D3" i="27"/>
  <c r="E29" i="1"/>
  <c r="B2" i="27" s="1"/>
  <c r="E42" i="1"/>
  <c r="E41" i="1"/>
  <c r="E43" i="1"/>
  <c r="E45" i="1" l="1"/>
  <c r="E53" i="1" l="1"/>
  <c r="E52" i="1"/>
  <c r="D68" i="1" l="1"/>
  <c r="D2" i="27"/>
  <c r="D67" i="1"/>
  <c r="C2" i="27"/>
</calcChain>
</file>

<file path=xl/sharedStrings.xml><?xml version="1.0" encoding="utf-8"?>
<sst xmlns="http://schemas.openxmlformats.org/spreadsheetml/2006/main" count="358" uniqueCount="66">
  <si>
    <r>
      <t>Mediana (Me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</si>
  <si>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Moda (Mo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</si>
  <si>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Mediana (Me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</si>
  <si>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Moda (Mo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</si>
  <si>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t>n1</t>
  </si>
  <si>
    <t>n2</t>
  </si>
  <si>
    <t>t de student</t>
  </si>
  <si>
    <t>df grados de libertad</t>
  </si>
  <si>
    <t>parte 1</t>
  </si>
  <si>
    <t>parte 2</t>
  </si>
  <si>
    <t>parte 3</t>
  </si>
  <si>
    <t>Valor de t</t>
  </si>
  <si>
    <t>Buscar Tabla</t>
  </si>
  <si>
    <t>Nivel de significancia (α) (para dos colas)</t>
  </si>
  <si>
    <r>
      <t>Desviacion Tipica o Estandar (S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</si>
  <si>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Desviacion Tipica o Estandar (S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</si>
  <si>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</si>
  <si>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</si>
  <si>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</si>
  <si>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</si>
  <si>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t>Hipotesis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</si>
  <si>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</si>
  <si>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</si>
  <si>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</si>
  <si>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r>
      <t>Media (X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 Grupo Control</t>
    </r>
  </si>
  <si>
    <r>
      <t>Media (X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 Grupo Experimental</t>
    </r>
  </si>
  <si>
    <r>
      <t xml:space="preserve">Si </t>
    </r>
    <r>
      <rPr>
        <sz val="11"/>
        <color rgb="FF00B050"/>
        <rFont val="Calibri"/>
        <family val="2"/>
        <scheme val="minor"/>
      </rPr>
      <t>p valor</t>
    </r>
    <r>
      <rPr>
        <sz val="11"/>
        <color rgb="FFC00000"/>
        <rFont val="Calibri"/>
        <family val="2"/>
        <scheme val="minor"/>
      </rPr>
      <t xml:space="preserve"> &lt; Nivel Significancia</t>
    </r>
  </si>
  <si>
    <t>Indicador</t>
  </si>
  <si>
    <t>T
Calculado</t>
  </si>
  <si>
    <t>T Critico
2 Colas</t>
  </si>
  <si>
    <t>T Critico
1 Cola</t>
  </si>
  <si>
    <t>P valor
2 Colas</t>
  </si>
  <si>
    <t>P valor
1 Cola</t>
  </si>
  <si>
    <t>Resolución problemas</t>
  </si>
  <si>
    <t>Motivación</t>
  </si>
  <si>
    <t>Participación activa</t>
  </si>
  <si>
    <t>Comunicación equipo</t>
  </si>
  <si>
    <t>Cumplimiento tareas</t>
  </si>
  <si>
    <t>Contribución grupo</t>
  </si>
  <si>
    <t>Conocimientos adquiridos</t>
  </si>
  <si>
    <t>Nota final</t>
  </si>
  <si>
    <t>Comprensión</t>
  </si>
  <si>
    <t>Habilidades</t>
  </si>
  <si>
    <t>Resolución autónoma</t>
  </si>
  <si>
    <r>
      <t>(Sin Aprendizaje Colaborativo) 
Grupo Control - Post-test</t>
    </r>
    <r>
      <rPr>
        <sz val="11"/>
        <color theme="1"/>
        <rFont val="Calibri"/>
        <family val="2"/>
        <scheme val="minor"/>
      </rPr>
      <t xml:space="preserve">
Participación-activa
</t>
    </r>
  </si>
  <si>
    <r>
      <t xml:space="preserve">(Sin Aprendizaje Colaborativo) 
Grupo Control - Post-test   </t>
    </r>
    <r>
      <rPr>
        <sz val="11"/>
        <color theme="1"/>
        <rFont val="Calibri"/>
        <family val="2"/>
        <scheme val="minor"/>
      </rPr>
      <t xml:space="preserve">         
Comunicación-equipo
</t>
    </r>
  </si>
  <si>
    <r>
      <t xml:space="preserve">(Sin Aprendizaje Colaborativo) 
Grupo Control - Post-test
</t>
    </r>
    <r>
      <rPr>
        <sz val="11"/>
        <color theme="1"/>
        <rFont val="Calibri"/>
        <family val="2"/>
        <scheme val="minor"/>
      </rPr>
      <t xml:space="preserve">Cumplimiento-tareas
</t>
    </r>
  </si>
  <si>
    <r>
      <t xml:space="preserve">(Sin Aprendizaje Colaborativo) 
Grupo control - Post-test   </t>
    </r>
    <r>
      <rPr>
        <sz val="11"/>
        <color theme="1"/>
        <rFont val="Calibri"/>
        <family val="2"/>
        <scheme val="minor"/>
      </rPr>
      <t xml:space="preserve">         
Contribución-grupo
</t>
    </r>
  </si>
  <si>
    <r>
      <t xml:space="preserve">(Sin Aprendizaje Colaborativo) 
Grupo Control - Post-test
</t>
    </r>
    <r>
      <rPr>
        <sz val="11"/>
        <color theme="1"/>
        <rFont val="Calibri"/>
        <family val="2"/>
        <scheme val="minor"/>
      </rPr>
      <t xml:space="preserve">Resolución-problemas
</t>
    </r>
  </si>
  <si>
    <r>
      <t xml:space="preserve">(Sin Aprendizaje Colaborativo) 
Grupo Control - Post-test   </t>
    </r>
    <r>
      <rPr>
        <sz val="11"/>
        <color theme="1"/>
        <rFont val="Calibri"/>
        <family val="2"/>
        <scheme val="minor"/>
      </rPr>
      <t xml:space="preserve">         
Conocimientos-adquiridos
</t>
    </r>
  </si>
  <si>
    <r>
      <rPr>
        <sz val="11"/>
        <color rgb="FFC00000"/>
        <rFont val="Calibri"/>
        <family val="2"/>
        <scheme val="minor"/>
      </rPr>
      <t xml:space="preserve">(Sin Aprendizaje Colaborativo) 
Grupo Control - Post-test
</t>
    </r>
    <r>
      <rPr>
        <sz val="11"/>
        <color theme="1"/>
        <rFont val="Calibri"/>
        <family val="2"/>
        <scheme val="minor"/>
      </rPr>
      <t>Nota-final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</si>
  <si>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(Sin Aprendizaje Colaborativo) 
Grupo Control - Post-test
</t>
    </r>
    <r>
      <rPr>
        <sz val="11"/>
        <color theme="1"/>
        <rFont val="Calibri"/>
        <family val="2"/>
        <scheme val="minor"/>
      </rPr>
      <t xml:space="preserve">Comprensión
</t>
    </r>
  </si>
  <si>
    <r>
      <t xml:space="preserve">(Sin Aprendizaje Colaborativo) 
Grupo Control - Post-test
</t>
    </r>
    <r>
      <rPr>
        <sz val="11"/>
        <color theme="1"/>
        <rFont val="Calibri"/>
        <family val="2"/>
        <scheme val="minor"/>
      </rPr>
      <t xml:space="preserve">Habilidades
</t>
    </r>
  </si>
  <si>
    <r>
      <t xml:space="preserve">(Sin Aprendizaje Colaborativo) 
Grupo Control - Post-test
</t>
    </r>
    <r>
      <rPr>
        <sz val="11"/>
        <color theme="1"/>
        <rFont val="Calibri"/>
        <family val="2"/>
        <scheme val="minor"/>
      </rPr>
      <t xml:space="preserve">Resolución-autónoma
</t>
    </r>
    <r>
      <rPr>
        <sz val="11"/>
        <color rgb="FFC00000"/>
        <rFont val="Calibri"/>
        <family val="2"/>
        <scheme val="minor"/>
      </rPr>
      <t xml:space="preserve">
</t>
    </r>
  </si>
  <si>
    <r>
      <t xml:space="preserve">(Sin Aprendizaje Colaborativo) 
Grupo Control - Post-test
</t>
    </r>
    <r>
      <rPr>
        <sz val="11"/>
        <color theme="1"/>
        <rFont val="Calibri"/>
        <family val="2"/>
        <scheme val="minor"/>
      </rPr>
      <t xml:space="preserve">Motivación
</t>
    </r>
    <r>
      <rPr>
        <sz val="11"/>
        <color rgb="FFC00000"/>
        <rFont val="Calibri"/>
        <family val="2"/>
        <scheme val="minor"/>
      </rPr>
      <t xml:space="preserve">
</t>
    </r>
  </si>
  <si>
    <r>
      <t>(Con Aprendizaje Colaborativo) 
Grupo Experimental - Post-test</t>
    </r>
    <r>
      <rPr>
        <sz val="11"/>
        <color theme="1"/>
        <rFont val="Calibri"/>
        <family val="2"/>
        <scheme val="minor"/>
      </rPr>
      <t xml:space="preserve">
Participación-activa
</t>
    </r>
  </si>
  <si>
    <r>
      <t xml:space="preserve">(Con Aprendizaje Colaborativo) 
Grupo Experimental - Post-test       </t>
    </r>
    <r>
      <rPr>
        <sz val="11"/>
        <color theme="1"/>
        <rFont val="Calibri"/>
        <family val="2"/>
        <scheme val="minor"/>
      </rPr>
      <t xml:space="preserve">     
Comprensión-contenidos
</t>
    </r>
  </si>
  <si>
    <r>
      <t xml:space="preserve">(Con Aprendizaje Colaborativo)  
Grupo Experimental - Post-test
</t>
    </r>
    <r>
      <rPr>
        <sz val="11"/>
        <color theme="1"/>
        <rFont val="Calibri"/>
        <family val="2"/>
        <scheme val="minor"/>
      </rPr>
      <t xml:space="preserve">Cumplimiento-tareas
</t>
    </r>
  </si>
  <si>
    <r>
      <t xml:space="preserve">(Con Aprendizaje Colaborativo) 
Grupo Experimental - Post-test           </t>
    </r>
    <r>
      <rPr>
        <sz val="11"/>
        <color theme="1"/>
        <rFont val="Calibri"/>
        <family val="2"/>
        <scheme val="minor"/>
      </rPr>
      <t xml:space="preserve">     
Contribución-grupo
</t>
    </r>
  </si>
  <si>
    <r>
      <t xml:space="preserve">(Con Aprendizaje Colaborativo) 
Grupo Experimental - Post-test
</t>
    </r>
    <r>
      <rPr>
        <sz val="11"/>
        <color theme="1"/>
        <rFont val="Calibri"/>
        <family val="2"/>
        <scheme val="minor"/>
      </rPr>
      <t xml:space="preserve">Resolución-problemas
</t>
    </r>
  </si>
  <si>
    <r>
      <t xml:space="preserve">(Con Aprendizaje Colaborativo) 
Grupo Experimental - Post-test       </t>
    </r>
    <r>
      <rPr>
        <sz val="11"/>
        <color theme="1"/>
        <rFont val="Calibri"/>
        <family val="2"/>
        <scheme val="minor"/>
      </rPr>
      <t xml:space="preserve">     
Conocimientos-adquiridos
</t>
    </r>
  </si>
  <si>
    <r>
      <rPr>
        <sz val="11"/>
        <color rgb="FFC00000"/>
        <rFont val="Calibri"/>
        <family val="2"/>
        <scheme val="minor"/>
      </rPr>
      <t xml:space="preserve">(Con Aprendizaje Colaborativo) 
Grupo Experimental - Post-test
</t>
    </r>
    <r>
      <rPr>
        <sz val="11"/>
        <color theme="1"/>
        <rFont val="Calibri"/>
        <family val="2"/>
        <scheme val="minor"/>
      </rPr>
      <t>Nota-final</t>
    </r>
  </si>
  <si>
    <r>
      <t xml:space="preserve">(Con Aprendizaje Colaborativo) 
Grupo Experimental - Post-test
</t>
    </r>
    <r>
      <rPr>
        <sz val="11"/>
        <color theme="1"/>
        <rFont val="Calibri"/>
        <family val="2"/>
        <scheme val="minor"/>
      </rPr>
      <t xml:space="preserve">Comprensión
</t>
    </r>
  </si>
  <si>
    <r>
      <t xml:space="preserve">(Con Aprendizaje Colaborativo) 
Grupo Experimental - Post-test
</t>
    </r>
    <r>
      <rPr>
        <sz val="11"/>
        <color theme="1"/>
        <rFont val="Calibri"/>
        <family val="2"/>
        <scheme val="minor"/>
      </rPr>
      <t xml:space="preserve">Habilidades
</t>
    </r>
  </si>
  <si>
    <r>
      <t xml:space="preserve">(Con Aprendizaje Colaborativo) 
Grupo Experimental - Post-test
</t>
    </r>
    <r>
      <rPr>
        <sz val="11"/>
        <color theme="1"/>
        <rFont val="Calibri"/>
        <family val="2"/>
        <scheme val="minor"/>
      </rPr>
      <t xml:space="preserve">Resolución-autónoma
</t>
    </r>
  </si>
  <si>
    <r>
      <t>(Con Aprendizaje Colaborativo) 
Grupo Experimental - Post-test</t>
    </r>
    <r>
      <rPr>
        <sz val="11"/>
        <color theme="1"/>
        <rFont val="Calibri"/>
        <family val="2"/>
        <scheme val="minor"/>
      </rPr>
      <t xml:space="preserve">
Motivación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</si>
</sst>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8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2" fillId="0" borderId="0"/>
  </cellStyleXfs>
  <cellXfs count="16">
    <xf numFmtId="0" fontId="0" fillId="0" borderId="0" xfId="0"/>
    <xf numFmtId="0" fontId="2" fillId="3" borderId="3" xfId="2" applyBorder="1"/>
    <xf numFmtId="0" fontId="3" fillId="4" borderId="1" xfId="3"/>
    <xf numFmtId="0" fontId="1" fillId="2" borderId="3" xfId="1" applyBorder="1"/>
    <xf numFmtId="0" fontId="2" fillId="3" borderId="0" xfId="2" applyBorder="1"/>
    <xf numFmtId="0" fontId="1" fillId="2" borderId="0" xfId="1"/>
    <xf numFmtId="0" fontId="4" fillId="5" borderId="2" xfId="4"/>
    <xf numFmtId="0" fontId="0" fillId="0" borderId="0" xfId="0" applyAlignment="1">
      <alignment horizontal="center"/>
    </xf>
    <xf numFmtId="0" fontId="9" fillId="0" borderId="4" xfId="0" applyFont="1" applyBorder="1" applyAlignment="1">
      <alignment horizontal="center" vertical="top" wrapText="1"/>
    </xf>
    <xf numFmtId="0" fontId="9" fillId="6" borderId="4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14" fillId="0" borderId="4" xfId="0" applyFont="1" applyBorder="1" applyAlignment="1">
      <alignment horizontal="justify" vertical="center" wrapText="1"/>
    </xf>
  </cellXfs>
  <cellStyles count="11">
    <cellStyle name="Buena" xfId="1" builtinId="26"/>
    <cellStyle name="Entrada" xfId="3" builtinId="20"/>
    <cellStyle name="Incorrecto" xfId="2" builtinId="27"/>
    <cellStyle name="Normal" xfId="0" builtinId="0"/>
    <cellStyle name="Normal 2" xfId="7"/>
    <cellStyle name="Normal 2 2" xfId="9"/>
    <cellStyle name="Normal 3" xfId="5"/>
    <cellStyle name="Normal 3 2" xfId="8"/>
    <cellStyle name="Normal 4" xfId="6"/>
    <cellStyle name="Normal 5" xfId="10"/>
    <cellStyle name="Salida" xfId="4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6" y="3852686"/>
          <a:ext cx="203102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65598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8021" y="82427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8021" y="8645770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7" name="Imagen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3780692" y="93125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7684293" y="8620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7684293" y="8620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7698271" y="9682369"/>
          <a:ext cx="2467826" cy="291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7E18131-8F69-4822-840C-25ADA20A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B7F7ECE2-67DD-4C51-8352-46D75D38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8DB9F1B2-30DE-44A0-994D-EE9034BD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A516E991-A16A-45FA-99DE-76A3B27C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42522425-5D18-4949-8F80-4B96A446C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497871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9758D304-E02A-48BF-8BB5-2AD7AA64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49EAD59-50F3-4956-B76D-7AC58F37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60086B95-1149-497A-A853-9C6D0495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9A5D6787-7FB8-440B-BB8C-FCA60425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E71F7BEB-FE3B-49CD-A73F-2FCC35227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483893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497871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45A4E578-9FFC-4C4E-B5DD-B269F41C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E21A36E-983F-4351-BEA8-068D5F1B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8A443A27-E041-44A9-856C-355268B7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5C9B6F7A-F6B7-4CBB-92BF-E160E2D7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7C1142C4-00BA-4BAC-923E-E0A11BAB9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521993" y="14592300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521993" y="14592300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535971" y="15654544"/>
          <a:ext cx="2467826" cy="291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2D1D70F1-FFD7-4540-ADA2-E9F4DB1D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5E2F120-D28C-4BA8-B376-F38967270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31F938C9-5B6A-413B-A79D-53727117F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94727F1F-9107-4167-93A9-1D609D5D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169A5533-AACE-44DD-968A-04ACEE1D4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C267AFF3-BE47-40CA-B1C9-B6C992461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ECAA63AD-CD06-4257-95B9-27579D90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6EEA2082-6FC5-4D9A-9010-0C6BC204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0C9A5ED7-7A6D-47BF-934A-E286E67C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B519E7A1-6CB7-4645-8F08-841FB44E4D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89F52E8B-8C6E-4599-89F5-E149DDA7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50242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89FDA9D7-3D0E-4062-AFE8-2DF26F95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7314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11493BE7-F811-4FF9-8339-895FCBA46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4143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47AFA635-8C7F-4838-9829-6480FEB0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8151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A2C9199F-F392-4A41-9ED6-25EDE51E1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4078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166E40C-121D-4BC7-ACA9-9C07EDD2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813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AA3E7832-84BA-4D50-92C8-3BE5D618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C555F114-99E6-4839-AA16-B526A188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87937A26-9B02-4BBA-B478-26C3F072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FFD1BFCF-2EA1-47A2-9904-5C30B7851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2922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4A7E89F-7E63-4CF4-8936-839C5938C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504331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24A5661-84C7-40C3-B356-3DA3BB91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7504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A0501E2E-1A19-4313-B417-3F5B7D89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4334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23D6026B-0E53-479C-9F2C-E0EE250A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8341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FCF378D2-8253-49ED-80F2-CBF0D257D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4269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31496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63B85410-A6C5-4FE3-ACDC-B9E8D7BE5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B17ACE87-F854-4DEA-BBD7-B78091F9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79DEF1E7-B14F-4C8B-9930-E79FDA50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E40B7891-5DA4-4152-B7E1-0DC8DDF4E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3D0F386A-17AE-4EFA-9431-8B5147C00D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3</xdr:col>
      <xdr:colOff>2517522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DAF456B-33AD-4CF0-B72A-2C6BD6AB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6185A7C6-7F74-45F8-82B1-6851C0F69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="" xmlns:a16="http://schemas.microsoft.com/office/drawing/2014/main" id="{FBF29B3C-211B-4E97-A565-26A13950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606B44F7-E925-453D-9B42-0AA67F62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="" xmlns:a16="http://schemas.microsoft.com/office/drawing/2014/main" id="{6B005975-7130-485D-A6B7-416A5FE8C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</xdr:colOff>
      <xdr:row>63</xdr:row>
      <xdr:rowOff>47625</xdr:rowOff>
    </xdr:from>
    <xdr:to>
      <xdr:col>3</xdr:col>
      <xdr:colOff>1827609</xdr:colOff>
      <xdr:row>64</xdr:row>
      <xdr:rowOff>119062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00000000-0008-0000-0A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900" t="21222" b="18592"/>
        <a:stretch/>
      </xdr:blipFill>
      <xdr:spPr>
        <a:xfrm>
          <a:off x="4855368" y="14335125"/>
          <a:ext cx="1791891" cy="261937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68</xdr:row>
      <xdr:rowOff>157369</xdr:rowOff>
    </xdr:from>
    <xdr:to>
      <xdr:col>4</xdr:col>
      <xdr:colOff>12447</xdr:colOff>
      <xdr:row>70</xdr:row>
      <xdr:rowOff>68074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00000000-0008-0000-0A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670" t="14244" r="6473" b="48973"/>
        <a:stretch/>
      </xdr:blipFill>
      <xdr:spPr>
        <a:xfrm>
          <a:off x="4869346" y="15397369"/>
          <a:ext cx="2467826" cy="291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75" zoomScaleNormal="175" workbookViewId="0">
      <selection activeCell="G5" sqref="G5"/>
    </sheetView>
  </sheetViews>
  <sheetFormatPr baseColWidth="10" defaultRowHeight="15" x14ac:dyDescent="0.25"/>
  <cols>
    <col min="1" max="1" width="23.85546875" bestFit="1" customWidth="1"/>
    <col min="6" max="6" width="12.5703125" customWidth="1"/>
  </cols>
  <sheetData>
    <row r="1" spans="1:6" ht="30" x14ac:dyDescent="0.25">
      <c r="A1" s="13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</row>
    <row r="2" spans="1:6" x14ac:dyDescent="0.25">
      <c r="A2" s="15" t="s">
        <v>35</v>
      </c>
      <c r="B2" s="15">
        <f>ROUND('Participación-activa'!E29, 4)</f>
        <v>-7.2149999999999999</v>
      </c>
      <c r="C2" s="15">
        <f>ROUND('Participación-activa'!E52, 4)</f>
        <v>1.9728000000000001</v>
      </c>
      <c r="D2" s="15">
        <f>ROUND('Participación-activa'!E53, 4)</f>
        <v>-1.6531</v>
      </c>
      <c r="E2" s="15">
        <f>'Participación-activa'!E55</f>
        <v>1.216472753358062E-11</v>
      </c>
      <c r="F2" s="15">
        <f>'Participación-activa'!E56</f>
        <v>6.0823637667903101E-12</v>
      </c>
    </row>
    <row r="3" spans="1:6" x14ac:dyDescent="0.25">
      <c r="A3" s="15" t="s">
        <v>36</v>
      </c>
      <c r="B3" s="15">
        <f>ROUND('Comunicación-equipo'!E29, 4)</f>
        <v>-5.9490999999999996</v>
      </c>
      <c r="C3" s="15">
        <f>ROUND('Comunicación-equipo'!E52, 4)</f>
        <v>1.9731000000000001</v>
      </c>
      <c r="D3" s="15">
        <f>ROUND('Comunicación-equipo'!E53, 4)</f>
        <v>-1.6533</v>
      </c>
      <c r="E3" s="15">
        <f>'Comunicación-equipo'!E55</f>
        <v>1.2551529212537478E-8</v>
      </c>
      <c r="F3" s="15">
        <f>'Comunicación-equipo'!E56</f>
        <v>6.2757646062687391E-9</v>
      </c>
    </row>
    <row r="4" spans="1:6" x14ac:dyDescent="0.25">
      <c r="A4" s="15" t="s">
        <v>37</v>
      </c>
      <c r="B4" s="15">
        <f>ROUND('Cumplimiento-tareas'!E29, 4)</f>
        <v>-6.2949999999999999</v>
      </c>
      <c r="C4" s="15">
        <f>ROUND('Cumplimiento-tareas'!E52, 4)</f>
        <v>1.9729000000000001</v>
      </c>
      <c r="D4" s="15">
        <f>ROUND('Cumplimiento-tareas'!E53, 4)</f>
        <v>-1.6532</v>
      </c>
      <c r="E4" s="15">
        <f>'Cumplimiento-tareas'!E55</f>
        <v>2.0418738926169247E-9</v>
      </c>
      <c r="F4" s="15">
        <f>'Cumplimiento-tareas'!E56</f>
        <v>1.0209369463084623E-9</v>
      </c>
    </row>
    <row r="5" spans="1:6" x14ac:dyDescent="0.25">
      <c r="A5" s="15" t="s">
        <v>38</v>
      </c>
      <c r="B5" s="15">
        <f>ROUND('Contribución-grupo'!E29, 4)</f>
        <v>-7.2118000000000002</v>
      </c>
      <c r="C5" s="15">
        <f>ROUND('Contribución-grupo'!E52, 4)</f>
        <v>1.9726999999999999</v>
      </c>
      <c r="D5" s="15">
        <f>ROUND('Contribución-grupo'!E53, 4)</f>
        <v>-1.653</v>
      </c>
      <c r="E5" s="15">
        <f>'Contribución-grupo'!E55</f>
        <v>1.2395623439632074E-11</v>
      </c>
      <c r="F5" s="15">
        <f>'Contribución-grupo'!E56</f>
        <v>6.1978117198160369E-12</v>
      </c>
    </row>
    <row r="6" spans="1:6" x14ac:dyDescent="0.25">
      <c r="A6" s="15" t="s">
        <v>33</v>
      </c>
      <c r="B6" s="15">
        <f>ROUND('Resolución-problemas'!E29, 4)</f>
        <v>-4.4748000000000001</v>
      </c>
      <c r="C6" s="15">
        <f>ROUND('Resolución-problemas'!E52, 4)</f>
        <v>1.9726999999999999</v>
      </c>
      <c r="D6" s="15">
        <f>ROUND('Resolución-problemas'!E53, 4)</f>
        <v>-1.653</v>
      </c>
      <c r="E6" s="15">
        <f>'Resolución-problemas'!E55</f>
        <v>1.3088744301357439E-5</v>
      </c>
      <c r="F6" s="15">
        <f>'Resolución-problemas'!E56</f>
        <v>6.5443721506787194E-6</v>
      </c>
    </row>
    <row r="7" spans="1:6" x14ac:dyDescent="0.25">
      <c r="A7" s="15" t="s">
        <v>39</v>
      </c>
      <c r="B7" s="15">
        <f>ROUND('Conocimientos-adquiridos'!E29, 4)</f>
        <v>-6.9263000000000003</v>
      </c>
      <c r="C7" s="15">
        <f>ROUND('Conocimientos-adquiridos'!E52, 4)</f>
        <v>1.9736</v>
      </c>
      <c r="D7" s="15">
        <f>ROUND('Conocimientos-adquiridos'!E53, 4)</f>
        <v>-1.6536</v>
      </c>
      <c r="E7" s="15">
        <f>'Conocimientos-adquiridos'!E55</f>
        <v>6.3390533345929276E-11</v>
      </c>
      <c r="F7" s="15">
        <f>'Conocimientos-adquiridos'!E56</f>
        <v>3.1695266672964638E-11</v>
      </c>
    </row>
    <row r="8" spans="1:6" x14ac:dyDescent="0.25">
      <c r="A8" s="15" t="s">
        <v>40</v>
      </c>
      <c r="B8" s="15">
        <f>ROUND('Nota-final'!E29, 4)</f>
        <v>-9.1623000000000001</v>
      </c>
      <c r="C8" s="15">
        <f>ROUND('Nota-final'!E52, 4)</f>
        <v>1.9732000000000001</v>
      </c>
      <c r="D8" s="15">
        <f>ROUND('Nota-final'!E53, 4)</f>
        <v>-1.6533</v>
      </c>
      <c r="E8" s="15">
        <f>'Nota-final'!E55</f>
        <v>7.7758254063764223E-17</v>
      </c>
      <c r="F8" s="15">
        <f>'Nota-final'!E56</f>
        <v>3.8879127031882111E-17</v>
      </c>
    </row>
    <row r="9" spans="1:6" x14ac:dyDescent="0.25">
      <c r="A9" s="15" t="s">
        <v>41</v>
      </c>
      <c r="B9" s="15">
        <f>ROUND(Comprensión!E29, 4)</f>
        <v>-6.8139000000000003</v>
      </c>
      <c r="C9" s="15">
        <f>ROUND(Comprensión!E52, 4)</f>
        <v>1.9732000000000001</v>
      </c>
      <c r="D9" s="15">
        <f>ROUND(Comprensión!E53, 4)</f>
        <v>-1.6534</v>
      </c>
      <c r="E9" s="15">
        <f>Comprensión!E55</f>
        <v>1.1930592134802352E-10</v>
      </c>
      <c r="F9" s="15">
        <f>Comprensión!E56</f>
        <v>5.9652960674011758E-11</v>
      </c>
    </row>
    <row r="10" spans="1:6" x14ac:dyDescent="0.25">
      <c r="A10" s="15" t="s">
        <v>42</v>
      </c>
      <c r="B10" s="15">
        <f>ROUND(Habilidades!E29, 4)</f>
        <v>-6.0175999999999998</v>
      </c>
      <c r="C10" s="15">
        <f>ROUND(Habilidades!E52, 4)</f>
        <v>1.9724999999999999</v>
      </c>
      <c r="D10" s="15">
        <f>ROUND(Habilidades!E53, 4)</f>
        <v>-1.6529</v>
      </c>
      <c r="E10" s="15">
        <f>Habilidades!E55</f>
        <v>8.8064005268554789E-9</v>
      </c>
      <c r="F10" s="15">
        <f>Habilidades!E56</f>
        <v>4.4032002634277394E-9</v>
      </c>
    </row>
    <row r="11" spans="1:6" x14ac:dyDescent="0.25">
      <c r="A11" s="15" t="s">
        <v>43</v>
      </c>
      <c r="B11" s="15">
        <f>ROUND('Resolución-autónoma'!E29, 4)</f>
        <v>-8.65</v>
      </c>
      <c r="C11" s="15">
        <f>ROUND('Resolución-autónoma'!E52, 4)</f>
        <v>1.9725999999999999</v>
      </c>
      <c r="D11" s="15">
        <f>ROUND('Resolución-autónoma'!E53, 4)</f>
        <v>-1.653</v>
      </c>
      <c r="E11" s="15">
        <f>'Resolución-autónoma'!E55</f>
        <v>2.0409500590752745E-15</v>
      </c>
      <c r="F11" s="15">
        <f>'Resolución-autónoma'!E56</f>
        <v>1.0204750295376373E-15</v>
      </c>
    </row>
    <row r="12" spans="1:6" x14ac:dyDescent="0.25">
      <c r="A12" s="15" t="s">
        <v>34</v>
      </c>
      <c r="B12" s="15">
        <f>ROUND(Motivación!E29, 4)</f>
        <v>-6.1890000000000001</v>
      </c>
      <c r="C12" s="15">
        <f>ROUND(Motivación!E52, 4)</f>
        <v>1.9724999999999999</v>
      </c>
      <c r="D12" s="15">
        <f>ROUND(Motivación!E53, 4)</f>
        <v>-1.6529</v>
      </c>
      <c r="E12" s="15">
        <f>Motivación!E55</f>
        <v>3.5865188419763193E-9</v>
      </c>
      <c r="F12" s="15">
        <f>Motivación!E56</f>
        <v>1.7932594209881596E-9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45" zoomScaleNormal="145" workbookViewId="0">
      <selection activeCell="C2" sqref="C2"/>
    </sheetView>
  </sheetViews>
  <sheetFormatPr baseColWidth="10" defaultColWidth="9.140625" defaultRowHeight="15" x14ac:dyDescent="0.25"/>
  <cols>
    <col min="1" max="1" width="28.42578125" customWidth="1"/>
    <col min="2" max="2" width="29.140625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44</v>
      </c>
      <c r="B1" s="8" t="s">
        <v>55</v>
      </c>
    </row>
    <row r="2" spans="1:5" x14ac:dyDescent="0.25">
      <c r="A2">
        <v>2</v>
      </c>
      <c r="B2">
        <v>4</v>
      </c>
      <c r="D2" s="1" t="s">
        <v>24</v>
      </c>
      <c r="E2">
        <f>AVERAGE(A:A)</f>
        <v>3</v>
      </c>
    </row>
    <row r="3" spans="1:5" x14ac:dyDescent="0.25">
      <c r="A3">
        <v>2</v>
      </c>
      <c r="B3">
        <v>5</v>
      </c>
      <c r="D3" s="1" t="s">
        <v>0</v>
      </c>
      <c r="E3">
        <f>MEDIAN(A:A)</f>
        <v>3</v>
      </c>
    </row>
    <row r="4" spans="1:5" x14ac:dyDescent="0.25">
      <c r="A4">
        <v>2</v>
      </c>
      <c r="B4">
        <v>2</v>
      </c>
      <c r="D4" s="1" t="s">
        <v>1</v>
      </c>
      <c r="E4">
        <f>MODE(A:A)</f>
        <v>3</v>
      </c>
    </row>
    <row r="5" spans="1:5" x14ac:dyDescent="0.25">
      <c r="A5">
        <v>3</v>
      </c>
      <c r="B5">
        <v>3</v>
      </c>
      <c r="D5" s="1" t="s">
        <v>15</v>
      </c>
      <c r="E5">
        <f>STDEV(A:A)</f>
        <v>1.1636866703140785</v>
      </c>
    </row>
    <row r="6" spans="1:5" x14ac:dyDescent="0.25">
      <c r="A6">
        <v>4</v>
      </c>
      <c r="B6">
        <v>4</v>
      </c>
      <c r="D6" s="4" t="s">
        <v>4</v>
      </c>
      <c r="E6">
        <f>COUNT(A:A)</f>
        <v>97</v>
      </c>
    </row>
    <row r="7" spans="1:5" x14ac:dyDescent="0.25">
      <c r="A7">
        <v>5</v>
      </c>
      <c r="B7">
        <v>4</v>
      </c>
    </row>
    <row r="8" spans="1:5" x14ac:dyDescent="0.25">
      <c r="A8">
        <v>1</v>
      </c>
      <c r="B8">
        <v>5</v>
      </c>
      <c r="D8" s="3" t="s">
        <v>25</v>
      </c>
      <c r="E8">
        <f>AVERAGE(B:B)</f>
        <v>4.1134020618556697</v>
      </c>
    </row>
    <row r="9" spans="1:5" x14ac:dyDescent="0.25">
      <c r="A9">
        <v>2</v>
      </c>
      <c r="B9">
        <v>4</v>
      </c>
      <c r="D9" s="3" t="s">
        <v>2</v>
      </c>
      <c r="E9">
        <f>MEDIAN(B:B)</f>
        <v>4</v>
      </c>
    </row>
    <row r="10" spans="1:5" x14ac:dyDescent="0.25">
      <c r="A10">
        <v>3</v>
      </c>
      <c r="B10">
        <v>5</v>
      </c>
      <c r="D10" s="3" t="s">
        <v>3</v>
      </c>
      <c r="E10">
        <f>MODE(B:B)</f>
        <v>5</v>
      </c>
    </row>
    <row r="11" spans="1:5" x14ac:dyDescent="0.25">
      <c r="A11">
        <v>3</v>
      </c>
      <c r="B11">
        <v>4</v>
      </c>
      <c r="D11" s="3" t="s">
        <v>14</v>
      </c>
      <c r="E11">
        <f>STDEV(B:B)</f>
        <v>0.97762774804406183</v>
      </c>
    </row>
    <row r="12" spans="1:5" x14ac:dyDescent="0.25">
      <c r="A12">
        <v>3</v>
      </c>
      <c r="B12">
        <v>5</v>
      </c>
      <c r="D12" s="5" t="s">
        <v>5</v>
      </c>
      <c r="E12">
        <f>COUNT(B:B)</f>
        <v>97</v>
      </c>
    </row>
    <row r="13" spans="1:5" x14ac:dyDescent="0.25">
      <c r="A13">
        <v>5</v>
      </c>
      <c r="B13">
        <v>5</v>
      </c>
    </row>
    <row r="14" spans="1:5" x14ac:dyDescent="0.25">
      <c r="A14">
        <v>4</v>
      </c>
      <c r="B14">
        <v>5</v>
      </c>
    </row>
    <row r="15" spans="1:5" x14ac:dyDescent="0.25">
      <c r="A15">
        <v>5</v>
      </c>
      <c r="B15">
        <v>5</v>
      </c>
    </row>
    <row r="16" spans="1:5" x14ac:dyDescent="0.25">
      <c r="A16">
        <v>2</v>
      </c>
      <c r="B16">
        <v>4</v>
      </c>
    </row>
    <row r="17" spans="1:5" x14ac:dyDescent="0.25">
      <c r="A17">
        <v>4</v>
      </c>
      <c r="B17">
        <v>5</v>
      </c>
      <c r="D17" s="2" t="s">
        <v>6</v>
      </c>
      <c r="E17" s="2"/>
    </row>
    <row r="18" spans="1:5" x14ac:dyDescent="0.25">
      <c r="A18">
        <v>3</v>
      </c>
      <c r="B18">
        <v>5</v>
      </c>
    </row>
    <row r="19" spans="1:5" x14ac:dyDescent="0.25">
      <c r="A19">
        <v>5</v>
      </c>
      <c r="B19">
        <v>4</v>
      </c>
    </row>
    <row r="20" spans="1:5" x14ac:dyDescent="0.25">
      <c r="A20">
        <v>4</v>
      </c>
      <c r="B20">
        <v>3</v>
      </c>
    </row>
    <row r="21" spans="1:5" x14ac:dyDescent="0.25">
      <c r="A21">
        <v>3</v>
      </c>
      <c r="B21">
        <v>5</v>
      </c>
    </row>
    <row r="22" spans="1:5" x14ac:dyDescent="0.25">
      <c r="A22">
        <v>2</v>
      </c>
      <c r="B22">
        <v>5</v>
      </c>
    </row>
    <row r="23" spans="1:5" x14ac:dyDescent="0.25">
      <c r="A23">
        <v>2</v>
      </c>
      <c r="B23">
        <v>1</v>
      </c>
    </row>
    <row r="24" spans="1:5" x14ac:dyDescent="0.25">
      <c r="A24">
        <v>1</v>
      </c>
      <c r="B24">
        <v>4</v>
      </c>
    </row>
    <row r="25" spans="1:5" x14ac:dyDescent="0.25">
      <c r="A25">
        <v>2</v>
      </c>
      <c r="B25">
        <v>5</v>
      </c>
    </row>
    <row r="26" spans="1:5" x14ac:dyDescent="0.25">
      <c r="A26">
        <v>2</v>
      </c>
      <c r="B26">
        <v>4</v>
      </c>
    </row>
    <row r="27" spans="1:5" x14ac:dyDescent="0.25">
      <c r="A27">
        <v>2</v>
      </c>
      <c r="B27">
        <v>4</v>
      </c>
    </row>
    <row r="28" spans="1:5" x14ac:dyDescent="0.25">
      <c r="A28">
        <v>5</v>
      </c>
      <c r="B28">
        <v>5</v>
      </c>
    </row>
    <row r="29" spans="1:5" x14ac:dyDescent="0.25">
      <c r="A29">
        <v>4</v>
      </c>
      <c r="B29">
        <v>4</v>
      </c>
      <c r="D29" t="s">
        <v>11</v>
      </c>
      <c r="E29">
        <f>(E2-E8)/SQRT(((E5^2)/E6)+((E11^2)/E12))</f>
        <v>-7.2150470383560465</v>
      </c>
    </row>
    <row r="30" spans="1:5" x14ac:dyDescent="0.25">
      <c r="A30">
        <v>4</v>
      </c>
      <c r="B30">
        <v>2</v>
      </c>
    </row>
    <row r="31" spans="1:5" x14ac:dyDescent="0.25">
      <c r="A31">
        <v>3</v>
      </c>
      <c r="B31">
        <v>5</v>
      </c>
      <c r="D31" s="2" t="s">
        <v>7</v>
      </c>
      <c r="E31" s="2"/>
    </row>
    <row r="32" spans="1:5" x14ac:dyDescent="0.25">
      <c r="A32">
        <v>3</v>
      </c>
      <c r="B32">
        <v>5</v>
      </c>
    </row>
    <row r="33" spans="1:6" x14ac:dyDescent="0.25">
      <c r="A33">
        <v>4</v>
      </c>
      <c r="B33">
        <v>5</v>
      </c>
    </row>
    <row r="34" spans="1:6" x14ac:dyDescent="0.25">
      <c r="A34">
        <v>4</v>
      </c>
      <c r="B34">
        <v>3</v>
      </c>
    </row>
    <row r="35" spans="1:6" x14ac:dyDescent="0.25">
      <c r="A35">
        <v>5</v>
      </c>
      <c r="B35">
        <v>3</v>
      </c>
    </row>
    <row r="36" spans="1:6" x14ac:dyDescent="0.25">
      <c r="A36">
        <v>2</v>
      </c>
      <c r="B36">
        <v>5</v>
      </c>
    </row>
    <row r="37" spans="1:6" x14ac:dyDescent="0.25">
      <c r="A37">
        <v>4</v>
      </c>
      <c r="B37">
        <v>5</v>
      </c>
    </row>
    <row r="38" spans="1:6" x14ac:dyDescent="0.25">
      <c r="A38">
        <v>2</v>
      </c>
      <c r="B38">
        <v>5</v>
      </c>
    </row>
    <row r="39" spans="1:6" x14ac:dyDescent="0.25">
      <c r="A39">
        <v>1</v>
      </c>
      <c r="B39">
        <v>4</v>
      </c>
    </row>
    <row r="40" spans="1:6" x14ac:dyDescent="0.25">
      <c r="A40">
        <v>3</v>
      </c>
      <c r="B40">
        <v>5</v>
      </c>
    </row>
    <row r="41" spans="1:6" ht="29.25" customHeight="1" x14ac:dyDescent="0.25">
      <c r="A41">
        <v>3</v>
      </c>
      <c r="B41">
        <v>4</v>
      </c>
      <c r="D41" t="s">
        <v>8</v>
      </c>
      <c r="E41">
        <f>(((E5^2)/E6)+((E11^2)/E12))^2</f>
        <v>5.6708925385093735E-4</v>
      </c>
    </row>
    <row r="42" spans="1:6" ht="47.25" customHeight="1" x14ac:dyDescent="0.25">
      <c r="A42">
        <v>2</v>
      </c>
      <c r="B42">
        <v>5</v>
      </c>
      <c r="D42" t="s">
        <v>9</v>
      </c>
      <c r="E42">
        <f>(((E5^2)/E6)^2)/(E6-1)</f>
        <v>2.0301565888944E-6</v>
      </c>
    </row>
    <row r="43" spans="1:6" ht="43.5" customHeight="1" x14ac:dyDescent="0.25">
      <c r="A43">
        <v>1</v>
      </c>
      <c r="B43">
        <v>3</v>
      </c>
      <c r="D43" t="s">
        <v>10</v>
      </c>
      <c r="E43">
        <f>(((E11^2)/E12)^2)/(E12-1)</f>
        <v>1.011298532667169E-6</v>
      </c>
    </row>
    <row r="44" spans="1:6" x14ac:dyDescent="0.25">
      <c r="A44">
        <v>2</v>
      </c>
      <c r="B44">
        <v>5</v>
      </c>
    </row>
    <row r="45" spans="1:6" x14ac:dyDescent="0.25">
      <c r="A45">
        <v>3</v>
      </c>
      <c r="B45">
        <v>5</v>
      </c>
      <c r="D45" t="s">
        <v>7</v>
      </c>
      <c r="E45">
        <f>E41/(E42+E43)</f>
        <v>186.45327028852483</v>
      </c>
      <c r="F45" s="6" t="s">
        <v>12</v>
      </c>
    </row>
    <row r="46" spans="1:6" x14ac:dyDescent="0.25">
      <c r="A46">
        <v>3</v>
      </c>
      <c r="B46">
        <v>2</v>
      </c>
    </row>
    <row r="47" spans="1:6" x14ac:dyDescent="0.25">
      <c r="A47">
        <v>1</v>
      </c>
      <c r="B47">
        <v>5</v>
      </c>
      <c r="D47" t="s">
        <v>13</v>
      </c>
      <c r="E47">
        <v>0.05</v>
      </c>
      <c r="F47" s="6" t="s">
        <v>12</v>
      </c>
    </row>
    <row r="48" spans="1:6" x14ac:dyDescent="0.25">
      <c r="A48">
        <v>1</v>
      </c>
      <c r="B48">
        <v>5</v>
      </c>
    </row>
    <row r="49" spans="1:5" x14ac:dyDescent="0.25">
      <c r="A49">
        <v>3</v>
      </c>
      <c r="B49">
        <v>3</v>
      </c>
    </row>
    <row r="50" spans="1:5" x14ac:dyDescent="0.25">
      <c r="A50">
        <v>3</v>
      </c>
      <c r="B50">
        <v>5</v>
      </c>
    </row>
    <row r="51" spans="1:5" x14ac:dyDescent="0.25">
      <c r="A51">
        <v>3</v>
      </c>
      <c r="B51">
        <v>3</v>
      </c>
      <c r="D51" s="2"/>
      <c r="E51" s="2"/>
    </row>
    <row r="52" spans="1:5" x14ac:dyDescent="0.25">
      <c r="A52">
        <v>2</v>
      </c>
      <c r="B52">
        <v>5</v>
      </c>
      <c r="D52" t="s">
        <v>16</v>
      </c>
      <c r="E52">
        <f>_xlfn.T.INV.2T(E47,E45)</f>
        <v>1.9728001139954414</v>
      </c>
    </row>
    <row r="53" spans="1:5" x14ac:dyDescent="0.25">
      <c r="A53">
        <v>3</v>
      </c>
      <c r="B53">
        <v>3</v>
      </c>
      <c r="D53" t="s">
        <v>17</v>
      </c>
      <c r="E53">
        <f>_xlfn.T.INV(E47, E45)</f>
        <v>-1.6530871383966401</v>
      </c>
    </row>
    <row r="54" spans="1:5" x14ac:dyDescent="0.25">
      <c r="A54">
        <v>2</v>
      </c>
      <c r="B54">
        <v>4</v>
      </c>
    </row>
    <row r="55" spans="1:5" x14ac:dyDescent="0.25">
      <c r="A55">
        <v>2</v>
      </c>
      <c r="B55">
        <v>5</v>
      </c>
      <c r="D55" t="s">
        <v>18</v>
      </c>
      <c r="E55">
        <f>TTEST(A:A,B:B,2,2)</f>
        <v>1.216472753358062E-11</v>
      </c>
    </row>
    <row r="56" spans="1:5" x14ac:dyDescent="0.25">
      <c r="A56">
        <v>5</v>
      </c>
      <c r="B56">
        <v>5</v>
      </c>
      <c r="D56" t="s">
        <v>19</v>
      </c>
      <c r="E56">
        <f>TTEST(A:A,B:B,1,2)</f>
        <v>6.0823637667903101E-12</v>
      </c>
    </row>
    <row r="57" spans="1:5" x14ac:dyDescent="0.25">
      <c r="A57">
        <v>4</v>
      </c>
      <c r="B57">
        <v>4</v>
      </c>
    </row>
    <row r="58" spans="1:5" x14ac:dyDescent="0.25">
      <c r="A58">
        <v>3</v>
      </c>
      <c r="B58">
        <v>3</v>
      </c>
    </row>
    <row r="59" spans="1:5" x14ac:dyDescent="0.25">
      <c r="A59">
        <v>3</v>
      </c>
      <c r="B59">
        <v>4</v>
      </c>
      <c r="D59" s="2" t="s">
        <v>20</v>
      </c>
      <c r="E59" s="2"/>
    </row>
    <row r="60" spans="1:5" x14ac:dyDescent="0.25">
      <c r="A60">
        <v>4</v>
      </c>
      <c r="B60">
        <v>5</v>
      </c>
    </row>
    <row r="61" spans="1:5" x14ac:dyDescent="0.25">
      <c r="A61">
        <v>2</v>
      </c>
      <c r="B61">
        <v>4</v>
      </c>
      <c r="D61" t="s">
        <v>21</v>
      </c>
    </row>
    <row r="62" spans="1:5" x14ac:dyDescent="0.25">
      <c r="A62">
        <v>1</v>
      </c>
      <c r="B62">
        <v>5</v>
      </c>
      <c r="D62" t="s">
        <v>22</v>
      </c>
    </row>
    <row r="63" spans="1:5" x14ac:dyDescent="0.25">
      <c r="A63">
        <v>3</v>
      </c>
      <c r="B63">
        <v>4</v>
      </c>
    </row>
    <row r="64" spans="1:5" x14ac:dyDescent="0.25">
      <c r="A64">
        <v>3</v>
      </c>
      <c r="B64">
        <v>3</v>
      </c>
    </row>
    <row r="65" spans="1:4" x14ac:dyDescent="0.25">
      <c r="A65">
        <v>3</v>
      </c>
      <c r="B65">
        <v>3</v>
      </c>
    </row>
    <row r="66" spans="1:4" x14ac:dyDescent="0.25">
      <c r="A66">
        <v>4</v>
      </c>
      <c r="B66">
        <v>5</v>
      </c>
      <c r="D66" t="s">
        <v>23</v>
      </c>
    </row>
    <row r="67" spans="1:4" x14ac:dyDescent="0.25">
      <c r="A67">
        <v>2</v>
      </c>
      <c r="B67">
        <v>5</v>
      </c>
      <c r="D67" t="str">
        <f>"Dos Colas: Si t calculado ("&amp;E29&amp;") &gt; a t critico  ("&amp;E52&amp;") (de tabla) ---&gt; Se rechaza la hipotesis nula"</f>
        <v>Dos Colas: Si t calculado (-7.21504703835605) &gt; a t critico  (1.97280011399544) (de tabla) ---&gt; Se rechaza la hipotesis nula</v>
      </c>
    </row>
    <row r="68" spans="1:4" x14ac:dyDescent="0.25">
      <c r="A68">
        <v>4</v>
      </c>
      <c r="B68">
        <v>5</v>
      </c>
      <c r="D68" t="str">
        <f>"Una Cola: Si t calculado ("&amp;E29&amp;") &gt; a t critico  ("&amp;E53&amp;") (de tabla) ---&gt; Se rechaza la hipotesis nula"</f>
        <v>Una Cola: Si t calculado (-7.21504703835605) &gt; a t critico  (-1.65308713839664) (de tabla) ---&gt; Se rechaza la hipotesis nula</v>
      </c>
    </row>
    <row r="69" spans="1:4" x14ac:dyDescent="0.25">
      <c r="A69">
        <v>3</v>
      </c>
      <c r="B69">
        <v>4</v>
      </c>
    </row>
    <row r="70" spans="1:4" x14ac:dyDescent="0.25">
      <c r="A70">
        <v>3</v>
      </c>
      <c r="B70">
        <v>5</v>
      </c>
    </row>
    <row r="71" spans="1:4" x14ac:dyDescent="0.25">
      <c r="A71">
        <v>5</v>
      </c>
      <c r="B71">
        <v>3</v>
      </c>
    </row>
    <row r="72" spans="1:4" x14ac:dyDescent="0.25">
      <c r="A72">
        <v>3</v>
      </c>
      <c r="B72">
        <v>5</v>
      </c>
      <c r="D72" t="s">
        <v>26</v>
      </c>
    </row>
    <row r="73" spans="1:4" x14ac:dyDescent="0.25">
      <c r="A73">
        <v>4</v>
      </c>
      <c r="B73">
        <v>4</v>
      </c>
      <c r="D73" t="str">
        <f>"Dos Colas: Si p valor ("&amp;E55&amp;") &lt; Nivel Significancia (0.05) ---&gt; Se rechaza la hipotesis nula"</f>
        <v>Dos Colas: Si p valor (1.21647275335806E-11) &lt; Nivel Significancia (0.05) ---&gt; Se rechaza la hipotesis nula</v>
      </c>
    </row>
    <row r="74" spans="1:4" x14ac:dyDescent="0.25">
      <c r="A74">
        <v>4</v>
      </c>
      <c r="B74">
        <v>3</v>
      </c>
      <c r="D74" t="str">
        <f>"Una Cola: Si p valor ("&amp;E56&amp;") &lt; Nivel Significancia (0.05) ---&gt; Se rechaza la hipotesis nula"</f>
        <v>Una Cola: Si p valor (6.08236376679031E-12) &lt; Nivel Significancia (0.05) ---&gt; Se rechaza la hipotesis nula</v>
      </c>
    </row>
    <row r="75" spans="1:4" x14ac:dyDescent="0.25">
      <c r="A75">
        <v>2</v>
      </c>
      <c r="B75">
        <v>4</v>
      </c>
    </row>
    <row r="76" spans="1:4" x14ac:dyDescent="0.25">
      <c r="A76">
        <v>5</v>
      </c>
      <c r="B76">
        <v>4</v>
      </c>
    </row>
    <row r="77" spans="1:4" x14ac:dyDescent="0.25">
      <c r="A77">
        <v>3</v>
      </c>
      <c r="B77">
        <v>5</v>
      </c>
    </row>
    <row r="78" spans="1:4" x14ac:dyDescent="0.25">
      <c r="A78">
        <v>5</v>
      </c>
      <c r="B78">
        <v>3</v>
      </c>
    </row>
    <row r="79" spans="1:4" x14ac:dyDescent="0.25">
      <c r="A79">
        <v>3</v>
      </c>
      <c r="B79">
        <v>3</v>
      </c>
    </row>
    <row r="80" spans="1:4" x14ac:dyDescent="0.25">
      <c r="A80">
        <v>1</v>
      </c>
      <c r="B80">
        <v>3</v>
      </c>
    </row>
    <row r="81" spans="1:2" x14ac:dyDescent="0.25">
      <c r="A81">
        <v>4</v>
      </c>
      <c r="B81">
        <v>4</v>
      </c>
    </row>
    <row r="82" spans="1:2" x14ac:dyDescent="0.25">
      <c r="A82">
        <v>3</v>
      </c>
      <c r="B82">
        <v>4</v>
      </c>
    </row>
    <row r="83" spans="1:2" x14ac:dyDescent="0.25">
      <c r="A83">
        <v>3</v>
      </c>
      <c r="B83">
        <v>3</v>
      </c>
    </row>
    <row r="84" spans="1:2" x14ac:dyDescent="0.25">
      <c r="A84">
        <v>2</v>
      </c>
      <c r="B84">
        <v>4</v>
      </c>
    </row>
    <row r="85" spans="1:2" x14ac:dyDescent="0.25">
      <c r="A85">
        <v>2</v>
      </c>
      <c r="B85">
        <v>5</v>
      </c>
    </row>
    <row r="86" spans="1:2" x14ac:dyDescent="0.25">
      <c r="A86">
        <v>3</v>
      </c>
      <c r="B86">
        <v>4</v>
      </c>
    </row>
    <row r="87" spans="1:2" x14ac:dyDescent="0.25">
      <c r="A87">
        <v>3</v>
      </c>
      <c r="B87">
        <v>4</v>
      </c>
    </row>
    <row r="88" spans="1:2" x14ac:dyDescent="0.25">
      <c r="A88">
        <v>1</v>
      </c>
      <c r="B88">
        <v>5</v>
      </c>
    </row>
    <row r="89" spans="1:2" x14ac:dyDescent="0.25">
      <c r="A89">
        <v>3</v>
      </c>
      <c r="B89">
        <v>1</v>
      </c>
    </row>
    <row r="90" spans="1:2" x14ac:dyDescent="0.25">
      <c r="A90">
        <v>4</v>
      </c>
      <c r="B90">
        <v>5</v>
      </c>
    </row>
    <row r="91" spans="1:2" x14ac:dyDescent="0.25">
      <c r="A91">
        <v>1</v>
      </c>
      <c r="B91">
        <v>4</v>
      </c>
    </row>
    <row r="92" spans="1:2" x14ac:dyDescent="0.25">
      <c r="A92">
        <v>5</v>
      </c>
      <c r="B92">
        <v>5</v>
      </c>
    </row>
    <row r="93" spans="1:2" x14ac:dyDescent="0.25">
      <c r="A93">
        <v>3</v>
      </c>
      <c r="B93">
        <v>2</v>
      </c>
    </row>
    <row r="94" spans="1:2" x14ac:dyDescent="0.25">
      <c r="A94">
        <v>4</v>
      </c>
      <c r="B94">
        <v>5</v>
      </c>
    </row>
    <row r="95" spans="1:2" x14ac:dyDescent="0.25">
      <c r="A95">
        <v>4</v>
      </c>
      <c r="B95">
        <v>4</v>
      </c>
    </row>
    <row r="96" spans="1:2" x14ac:dyDescent="0.25">
      <c r="A96">
        <v>5</v>
      </c>
      <c r="B96">
        <v>4</v>
      </c>
    </row>
    <row r="97" spans="1:2" x14ac:dyDescent="0.25">
      <c r="A97">
        <v>3</v>
      </c>
      <c r="B97">
        <v>4</v>
      </c>
    </row>
    <row r="98" spans="1:2" x14ac:dyDescent="0.25">
      <c r="A98">
        <v>2</v>
      </c>
      <c r="B98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15" zoomScaleNormal="115" workbookViewId="0">
      <selection activeCell="C3" sqref="C3"/>
    </sheetView>
  </sheetViews>
  <sheetFormatPr baseColWidth="10" defaultColWidth="9.140625" defaultRowHeight="15" x14ac:dyDescent="0.25"/>
  <cols>
    <col min="1" max="1" width="30.5703125" customWidth="1"/>
    <col min="2" max="2" width="33.85546875" customWidth="1"/>
    <col min="4" max="4" width="39.28515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45</v>
      </c>
      <c r="B1" s="10" t="s">
        <v>56</v>
      </c>
    </row>
    <row r="2" spans="1:5" x14ac:dyDescent="0.25">
      <c r="A2">
        <v>3</v>
      </c>
      <c r="B2">
        <v>5</v>
      </c>
      <c r="D2" s="1" t="s">
        <v>24</v>
      </c>
      <c r="E2">
        <f>AVERAGE(A:A)</f>
        <v>3.1237113402061856</v>
      </c>
    </row>
    <row r="3" spans="1:5" x14ac:dyDescent="0.25">
      <c r="A3">
        <v>3</v>
      </c>
      <c r="B3">
        <v>5</v>
      </c>
      <c r="D3" s="1" t="s">
        <v>0</v>
      </c>
      <c r="E3">
        <f>MEDIAN(A:A)</f>
        <v>3</v>
      </c>
    </row>
    <row r="4" spans="1:5" x14ac:dyDescent="0.25">
      <c r="A4">
        <v>3</v>
      </c>
      <c r="B4">
        <v>5</v>
      </c>
      <c r="D4" s="1" t="s">
        <v>1</v>
      </c>
      <c r="E4">
        <f>MODE(A:A)</f>
        <v>3</v>
      </c>
    </row>
    <row r="5" spans="1:5" x14ac:dyDescent="0.25">
      <c r="A5">
        <v>2</v>
      </c>
      <c r="B5">
        <v>4</v>
      </c>
      <c r="D5" s="1" t="s">
        <v>15</v>
      </c>
      <c r="E5">
        <f>STDEV(A:A)</f>
        <v>1.243799052288683</v>
      </c>
    </row>
    <row r="6" spans="1:5" x14ac:dyDescent="0.25">
      <c r="A6">
        <v>1</v>
      </c>
      <c r="B6">
        <v>2</v>
      </c>
      <c r="D6" s="4" t="s">
        <v>4</v>
      </c>
      <c r="E6">
        <f>COUNT(A:A)</f>
        <v>97</v>
      </c>
    </row>
    <row r="7" spans="1:5" x14ac:dyDescent="0.25">
      <c r="A7">
        <v>3</v>
      </c>
      <c r="B7">
        <v>5</v>
      </c>
    </row>
    <row r="8" spans="1:5" x14ac:dyDescent="0.25">
      <c r="A8">
        <v>3</v>
      </c>
      <c r="B8">
        <v>3</v>
      </c>
      <c r="D8" s="3" t="s">
        <v>25</v>
      </c>
      <c r="E8">
        <f>AVERAGE(B:B)</f>
        <v>4.0824742268041234</v>
      </c>
    </row>
    <row r="9" spans="1:5" x14ac:dyDescent="0.25">
      <c r="A9">
        <v>4</v>
      </c>
      <c r="B9">
        <v>3</v>
      </c>
      <c r="D9" s="3" t="s">
        <v>2</v>
      </c>
      <c r="E9">
        <f>MEDIAN(B:B)</f>
        <v>4</v>
      </c>
    </row>
    <row r="10" spans="1:5" x14ac:dyDescent="0.25">
      <c r="A10">
        <v>1</v>
      </c>
      <c r="B10">
        <v>5</v>
      </c>
      <c r="D10" s="3" t="s">
        <v>3</v>
      </c>
      <c r="E10">
        <f>MODE(B:B)</f>
        <v>5</v>
      </c>
    </row>
    <row r="11" spans="1:5" x14ac:dyDescent="0.25">
      <c r="A11">
        <v>4</v>
      </c>
      <c r="B11">
        <v>1</v>
      </c>
      <c r="D11" s="3" t="s">
        <v>14</v>
      </c>
      <c r="E11">
        <f>STDEV(B:B)</f>
        <v>0.98604960039188172</v>
      </c>
    </row>
    <row r="12" spans="1:5" x14ac:dyDescent="0.25">
      <c r="A12">
        <v>2</v>
      </c>
      <c r="B12">
        <v>3</v>
      </c>
      <c r="D12" s="5" t="s">
        <v>5</v>
      </c>
      <c r="E12">
        <f>COUNT(B:B)</f>
        <v>97</v>
      </c>
    </row>
    <row r="13" spans="1:5" x14ac:dyDescent="0.25">
      <c r="A13">
        <v>3</v>
      </c>
      <c r="B13">
        <v>5</v>
      </c>
    </row>
    <row r="14" spans="1:5" x14ac:dyDescent="0.25">
      <c r="A14">
        <v>2</v>
      </c>
      <c r="B14">
        <v>3</v>
      </c>
    </row>
    <row r="15" spans="1:5" x14ac:dyDescent="0.25">
      <c r="A15">
        <v>2</v>
      </c>
      <c r="B15">
        <v>4</v>
      </c>
    </row>
    <row r="16" spans="1:5" x14ac:dyDescent="0.25">
      <c r="A16">
        <v>5</v>
      </c>
      <c r="B16">
        <v>4</v>
      </c>
    </row>
    <row r="17" spans="1:5" x14ac:dyDescent="0.25">
      <c r="A17">
        <v>1</v>
      </c>
      <c r="B17">
        <v>4</v>
      </c>
      <c r="D17" s="2" t="s">
        <v>6</v>
      </c>
      <c r="E17" s="2"/>
    </row>
    <row r="18" spans="1:5" x14ac:dyDescent="0.25">
      <c r="A18">
        <v>5</v>
      </c>
      <c r="B18">
        <v>5</v>
      </c>
    </row>
    <row r="19" spans="1:5" x14ac:dyDescent="0.25">
      <c r="A19">
        <v>4</v>
      </c>
      <c r="B19">
        <v>3</v>
      </c>
    </row>
    <row r="20" spans="1:5" x14ac:dyDescent="0.25">
      <c r="A20">
        <v>3</v>
      </c>
      <c r="B20">
        <v>5</v>
      </c>
    </row>
    <row r="21" spans="1:5" x14ac:dyDescent="0.25">
      <c r="A21">
        <v>3</v>
      </c>
      <c r="B21">
        <v>4</v>
      </c>
    </row>
    <row r="22" spans="1:5" x14ac:dyDescent="0.25">
      <c r="A22">
        <v>3</v>
      </c>
      <c r="B22">
        <v>5</v>
      </c>
    </row>
    <row r="23" spans="1:5" x14ac:dyDescent="0.25">
      <c r="A23">
        <v>4</v>
      </c>
      <c r="B23">
        <v>5</v>
      </c>
    </row>
    <row r="24" spans="1:5" x14ac:dyDescent="0.25">
      <c r="A24">
        <v>1</v>
      </c>
      <c r="B24">
        <v>2</v>
      </c>
    </row>
    <row r="25" spans="1:5" x14ac:dyDescent="0.25">
      <c r="A25">
        <v>4</v>
      </c>
      <c r="B25">
        <v>5</v>
      </c>
    </row>
    <row r="26" spans="1:5" x14ac:dyDescent="0.25">
      <c r="A26">
        <v>4</v>
      </c>
      <c r="B26">
        <v>5</v>
      </c>
    </row>
    <row r="27" spans="1:5" x14ac:dyDescent="0.25">
      <c r="A27">
        <v>4</v>
      </c>
      <c r="B27">
        <v>4</v>
      </c>
    </row>
    <row r="28" spans="1:5" x14ac:dyDescent="0.25">
      <c r="A28">
        <v>5</v>
      </c>
      <c r="B28">
        <v>4</v>
      </c>
    </row>
    <row r="29" spans="1:5" x14ac:dyDescent="0.25">
      <c r="A29">
        <v>3</v>
      </c>
      <c r="B29">
        <v>4</v>
      </c>
      <c r="D29" t="s">
        <v>11</v>
      </c>
      <c r="E29">
        <f>(E2-E8)/SQRT(((E5^2)/E6)+((E11^2)/E12))</f>
        <v>-5.9491450953669718</v>
      </c>
    </row>
    <row r="30" spans="1:5" x14ac:dyDescent="0.25">
      <c r="A30">
        <v>1</v>
      </c>
      <c r="B30">
        <v>5</v>
      </c>
    </row>
    <row r="31" spans="1:5" x14ac:dyDescent="0.25">
      <c r="A31">
        <v>5</v>
      </c>
      <c r="B31">
        <v>3</v>
      </c>
      <c r="D31" s="2" t="s">
        <v>7</v>
      </c>
      <c r="E31" s="2"/>
    </row>
    <row r="32" spans="1:5" x14ac:dyDescent="0.25">
      <c r="A32">
        <v>1</v>
      </c>
      <c r="B32">
        <v>5</v>
      </c>
    </row>
    <row r="33" spans="1:6" x14ac:dyDescent="0.25">
      <c r="A33">
        <v>4</v>
      </c>
      <c r="B33">
        <v>5</v>
      </c>
    </row>
    <row r="34" spans="1:6" x14ac:dyDescent="0.25">
      <c r="A34">
        <v>1</v>
      </c>
      <c r="B34">
        <v>5</v>
      </c>
    </row>
    <row r="35" spans="1:6" x14ac:dyDescent="0.25">
      <c r="A35">
        <v>2</v>
      </c>
      <c r="B35">
        <v>5</v>
      </c>
    </row>
    <row r="36" spans="1:6" x14ac:dyDescent="0.25">
      <c r="A36">
        <v>5</v>
      </c>
      <c r="B36">
        <v>3</v>
      </c>
    </row>
    <row r="37" spans="1:6" x14ac:dyDescent="0.25">
      <c r="A37">
        <v>3</v>
      </c>
      <c r="B37">
        <v>5</v>
      </c>
    </row>
    <row r="38" spans="1:6" x14ac:dyDescent="0.25">
      <c r="A38">
        <v>4</v>
      </c>
      <c r="B38">
        <v>3</v>
      </c>
    </row>
    <row r="39" spans="1:6" x14ac:dyDescent="0.25">
      <c r="A39">
        <v>4</v>
      </c>
      <c r="B39">
        <v>4</v>
      </c>
    </row>
    <row r="40" spans="1:6" x14ac:dyDescent="0.25">
      <c r="A40">
        <v>5</v>
      </c>
      <c r="B40">
        <v>3</v>
      </c>
    </row>
    <row r="41" spans="1:6" ht="29.25" customHeight="1" x14ac:dyDescent="0.25">
      <c r="A41">
        <v>3</v>
      </c>
      <c r="B41">
        <v>4</v>
      </c>
      <c r="D41" t="s">
        <v>8</v>
      </c>
      <c r="E41">
        <f>(((E5^2)/E6)+((E11^2)/E12))^2</f>
        <v>6.7456936225428015E-4</v>
      </c>
    </row>
    <row r="42" spans="1:6" ht="47.25" customHeight="1" x14ac:dyDescent="0.25">
      <c r="A42">
        <v>3</v>
      </c>
      <c r="B42">
        <v>5</v>
      </c>
      <c r="D42" t="s">
        <v>9</v>
      </c>
      <c r="E42">
        <f>(((E5^2)/E6)^2)/(E6-1)</f>
        <v>2.6496358102140686E-6</v>
      </c>
    </row>
    <row r="43" spans="1:6" ht="43.5" customHeight="1" x14ac:dyDescent="0.25">
      <c r="A43">
        <v>3</v>
      </c>
      <c r="B43">
        <v>5</v>
      </c>
      <c r="D43" t="s">
        <v>10</v>
      </c>
      <c r="E43">
        <f>(((E11^2)/E12)^2)/(E12-1)</f>
        <v>1.0465990691366565E-6</v>
      </c>
    </row>
    <row r="44" spans="1:6" x14ac:dyDescent="0.25">
      <c r="A44">
        <v>2</v>
      </c>
      <c r="B44">
        <v>5</v>
      </c>
    </row>
    <row r="45" spans="1:6" x14ac:dyDescent="0.25">
      <c r="A45">
        <v>3</v>
      </c>
      <c r="B45">
        <v>3</v>
      </c>
      <c r="D45" t="s">
        <v>7</v>
      </c>
      <c r="E45">
        <f>E41/(E42+E43)</f>
        <v>182.50175767314167</v>
      </c>
      <c r="F45" s="6" t="s">
        <v>12</v>
      </c>
    </row>
    <row r="46" spans="1:6" x14ac:dyDescent="0.25">
      <c r="A46">
        <v>1</v>
      </c>
      <c r="B46">
        <v>4</v>
      </c>
    </row>
    <row r="47" spans="1:6" x14ac:dyDescent="0.25">
      <c r="A47">
        <v>3</v>
      </c>
      <c r="B47">
        <v>2</v>
      </c>
      <c r="D47" t="s">
        <v>13</v>
      </c>
      <c r="E47">
        <v>0.05</v>
      </c>
      <c r="F47" s="6" t="s">
        <v>12</v>
      </c>
    </row>
    <row r="48" spans="1:6" x14ac:dyDescent="0.25">
      <c r="A48">
        <v>5</v>
      </c>
      <c r="B48">
        <v>4</v>
      </c>
    </row>
    <row r="49" spans="1:5" x14ac:dyDescent="0.25">
      <c r="A49">
        <v>2</v>
      </c>
      <c r="B49">
        <v>2</v>
      </c>
    </row>
    <row r="50" spans="1:5" x14ac:dyDescent="0.25">
      <c r="A50">
        <v>4</v>
      </c>
      <c r="B50">
        <v>5</v>
      </c>
    </row>
    <row r="51" spans="1:5" x14ac:dyDescent="0.25">
      <c r="A51">
        <v>4</v>
      </c>
      <c r="B51">
        <v>5</v>
      </c>
      <c r="D51" s="2"/>
      <c r="E51" s="2"/>
    </row>
    <row r="52" spans="1:5" x14ac:dyDescent="0.25">
      <c r="A52">
        <v>4</v>
      </c>
      <c r="B52">
        <v>4</v>
      </c>
      <c r="D52" t="s">
        <v>16</v>
      </c>
      <c r="E52">
        <f>_xlfn.T.INV.2T(E47,E45)</f>
        <v>1.9730840773359002</v>
      </c>
    </row>
    <row r="53" spans="1:5" x14ac:dyDescent="0.25">
      <c r="A53">
        <v>5</v>
      </c>
      <c r="B53">
        <v>5</v>
      </c>
      <c r="D53" t="s">
        <v>17</v>
      </c>
      <c r="E53">
        <f>_xlfn.T.INV(E47, E45)</f>
        <v>-1.6532690237054619</v>
      </c>
    </row>
    <row r="54" spans="1:5" x14ac:dyDescent="0.25">
      <c r="A54">
        <v>2</v>
      </c>
      <c r="B54">
        <v>4</v>
      </c>
    </row>
    <row r="55" spans="1:5" x14ac:dyDescent="0.25">
      <c r="A55">
        <v>2</v>
      </c>
      <c r="B55">
        <v>5</v>
      </c>
      <c r="D55" t="s">
        <v>18</v>
      </c>
      <c r="E55">
        <f>TTEST(A:A,B:B,2,2)</f>
        <v>1.2551529212537478E-8</v>
      </c>
    </row>
    <row r="56" spans="1:5" x14ac:dyDescent="0.25">
      <c r="A56">
        <v>3</v>
      </c>
      <c r="B56">
        <v>5</v>
      </c>
      <c r="D56" t="s">
        <v>19</v>
      </c>
      <c r="E56">
        <f>TTEST(A:A,B:B,1,2)</f>
        <v>6.2757646062687391E-9</v>
      </c>
    </row>
    <row r="57" spans="1:5" x14ac:dyDescent="0.25">
      <c r="A57">
        <v>5</v>
      </c>
      <c r="B57">
        <v>2</v>
      </c>
    </row>
    <row r="58" spans="1:5" x14ac:dyDescent="0.25">
      <c r="A58">
        <v>1</v>
      </c>
      <c r="B58">
        <v>4</v>
      </c>
    </row>
    <row r="59" spans="1:5" x14ac:dyDescent="0.25">
      <c r="A59">
        <v>3</v>
      </c>
      <c r="B59">
        <v>5</v>
      </c>
      <c r="D59" s="2" t="s">
        <v>20</v>
      </c>
      <c r="E59" s="2"/>
    </row>
    <row r="60" spans="1:5" x14ac:dyDescent="0.25">
      <c r="A60">
        <v>1</v>
      </c>
      <c r="B60">
        <v>4</v>
      </c>
    </row>
    <row r="61" spans="1:5" x14ac:dyDescent="0.25">
      <c r="A61">
        <v>3</v>
      </c>
      <c r="B61">
        <v>4</v>
      </c>
      <c r="D61" t="s">
        <v>21</v>
      </c>
    </row>
    <row r="62" spans="1:5" x14ac:dyDescent="0.25">
      <c r="A62">
        <v>3</v>
      </c>
      <c r="B62">
        <v>3</v>
      </c>
      <c r="D62" t="s">
        <v>22</v>
      </c>
    </row>
    <row r="63" spans="1:5" x14ac:dyDescent="0.25">
      <c r="A63">
        <v>1</v>
      </c>
      <c r="B63">
        <v>3</v>
      </c>
    </row>
    <row r="64" spans="1:5" x14ac:dyDescent="0.25">
      <c r="A64">
        <v>2</v>
      </c>
      <c r="B64">
        <v>5</v>
      </c>
    </row>
    <row r="65" spans="1:4" x14ac:dyDescent="0.25">
      <c r="A65">
        <v>3</v>
      </c>
      <c r="B65">
        <v>5</v>
      </c>
    </row>
    <row r="66" spans="1:4" x14ac:dyDescent="0.25">
      <c r="A66">
        <v>3</v>
      </c>
      <c r="B66">
        <v>3</v>
      </c>
      <c r="D66" t="s">
        <v>23</v>
      </c>
    </row>
    <row r="67" spans="1:4" x14ac:dyDescent="0.25">
      <c r="A67">
        <v>3</v>
      </c>
      <c r="B67">
        <v>3</v>
      </c>
      <c r="D67" t="str">
        <f>"Dos Colas: Si t calculado ("&amp;E29&amp;") &gt; a t critico  ("&amp;E52&amp;") (de tabla) ---&gt; Se rechaza la hipotesis nula"</f>
        <v>Dos Colas: Si t calculado (-5.94914509536697) &gt; a t critico  (1.9730840773359) (de tabla) ---&gt; Se rechaza la hipotesis nula</v>
      </c>
    </row>
    <row r="68" spans="1:4" x14ac:dyDescent="0.25">
      <c r="A68">
        <v>5</v>
      </c>
      <c r="B68">
        <v>5</v>
      </c>
      <c r="D68" t="str">
        <f>"Una Cola: Si t calculado ("&amp;E29&amp;") &gt; a t critico  ("&amp;E53&amp;") (de tabla) ---&gt; Se rechaza la hipotesis nula"</f>
        <v>Una Cola: Si t calculado (-5.94914509536697) &gt; a t critico  (-1.65326902370546) (de tabla) ---&gt; Se rechaza la hipotesis nula</v>
      </c>
    </row>
    <row r="69" spans="1:4" x14ac:dyDescent="0.25">
      <c r="A69">
        <v>3</v>
      </c>
      <c r="B69">
        <v>4</v>
      </c>
    </row>
    <row r="70" spans="1:4" x14ac:dyDescent="0.25">
      <c r="A70">
        <v>5</v>
      </c>
      <c r="B70">
        <v>5</v>
      </c>
    </row>
    <row r="71" spans="1:4" x14ac:dyDescent="0.25">
      <c r="A71">
        <v>3</v>
      </c>
      <c r="B71">
        <v>2</v>
      </c>
    </row>
    <row r="72" spans="1:4" x14ac:dyDescent="0.25">
      <c r="A72">
        <v>5</v>
      </c>
      <c r="B72">
        <v>3</v>
      </c>
      <c r="D72" t="s">
        <v>26</v>
      </c>
    </row>
    <row r="73" spans="1:4" x14ac:dyDescent="0.25">
      <c r="A73">
        <v>2</v>
      </c>
      <c r="B73">
        <v>4</v>
      </c>
      <c r="D73" t="str">
        <f>"Dos Colas: Si p valor ("&amp;E55&amp;") &lt; Nivel Significancia (0.05) ---&gt; Se rechaza la hipotesis nula"</f>
        <v>Dos Colas: Si p valor (1.25515292125375E-08) &lt; Nivel Significancia (0.05) ---&gt; Se rechaza la hipotesis nula</v>
      </c>
    </row>
    <row r="74" spans="1:4" x14ac:dyDescent="0.25">
      <c r="A74">
        <v>5</v>
      </c>
      <c r="B74">
        <v>5</v>
      </c>
      <c r="D74" t="str">
        <f>"Una Cola: Si p valor ("&amp;E56&amp;") &lt; Nivel Significancia (0.05) ---&gt; Se rechaza la hipotesis nula"</f>
        <v>Una Cola: Si p valor (6.27576460626874E-09) &lt; Nivel Significancia (0.05) ---&gt; Se rechaza la hipotesis nula</v>
      </c>
    </row>
    <row r="75" spans="1:4" x14ac:dyDescent="0.25">
      <c r="A75">
        <v>2</v>
      </c>
      <c r="B75">
        <v>4</v>
      </c>
    </row>
    <row r="76" spans="1:4" x14ac:dyDescent="0.25">
      <c r="A76">
        <v>2</v>
      </c>
      <c r="B76">
        <v>4</v>
      </c>
    </row>
    <row r="77" spans="1:4" x14ac:dyDescent="0.25">
      <c r="A77">
        <v>3</v>
      </c>
      <c r="B77">
        <v>5</v>
      </c>
    </row>
    <row r="78" spans="1:4" x14ac:dyDescent="0.25">
      <c r="A78">
        <v>4</v>
      </c>
      <c r="B78">
        <v>5</v>
      </c>
    </row>
    <row r="79" spans="1:4" x14ac:dyDescent="0.25">
      <c r="A79">
        <v>3</v>
      </c>
      <c r="B79">
        <v>3</v>
      </c>
    </row>
    <row r="80" spans="1:4" x14ac:dyDescent="0.25">
      <c r="A80">
        <v>2</v>
      </c>
      <c r="B80">
        <v>5</v>
      </c>
    </row>
    <row r="81" spans="1:2" x14ac:dyDescent="0.25">
      <c r="A81">
        <v>4</v>
      </c>
      <c r="B81">
        <v>3</v>
      </c>
    </row>
    <row r="82" spans="1:2" x14ac:dyDescent="0.25">
      <c r="A82">
        <v>3</v>
      </c>
      <c r="B82">
        <v>4</v>
      </c>
    </row>
    <row r="83" spans="1:2" x14ac:dyDescent="0.25">
      <c r="A83">
        <v>4</v>
      </c>
      <c r="B83">
        <v>5</v>
      </c>
    </row>
    <row r="84" spans="1:2" x14ac:dyDescent="0.25">
      <c r="A84">
        <v>2</v>
      </c>
      <c r="B84">
        <v>4</v>
      </c>
    </row>
    <row r="85" spans="1:2" x14ac:dyDescent="0.25">
      <c r="A85">
        <v>3</v>
      </c>
      <c r="B85">
        <v>3</v>
      </c>
    </row>
    <row r="86" spans="1:2" x14ac:dyDescent="0.25">
      <c r="A86">
        <v>5</v>
      </c>
      <c r="B86">
        <v>4</v>
      </c>
    </row>
    <row r="87" spans="1:2" x14ac:dyDescent="0.25">
      <c r="A87">
        <v>5</v>
      </c>
      <c r="B87">
        <v>4</v>
      </c>
    </row>
    <row r="88" spans="1:2" x14ac:dyDescent="0.25">
      <c r="A88">
        <v>3</v>
      </c>
      <c r="B88">
        <v>5</v>
      </c>
    </row>
    <row r="89" spans="1:2" x14ac:dyDescent="0.25">
      <c r="A89">
        <v>5</v>
      </c>
      <c r="B89">
        <v>5</v>
      </c>
    </row>
    <row r="90" spans="1:2" x14ac:dyDescent="0.25">
      <c r="A90">
        <v>3</v>
      </c>
      <c r="B90">
        <v>4</v>
      </c>
    </row>
    <row r="91" spans="1:2" x14ac:dyDescent="0.25">
      <c r="A91">
        <v>2</v>
      </c>
      <c r="B91">
        <v>4</v>
      </c>
    </row>
    <row r="92" spans="1:2" x14ac:dyDescent="0.25">
      <c r="A92">
        <v>5</v>
      </c>
      <c r="B92">
        <v>5</v>
      </c>
    </row>
    <row r="93" spans="1:2" x14ac:dyDescent="0.25">
      <c r="A93">
        <v>3</v>
      </c>
      <c r="B93">
        <v>3</v>
      </c>
    </row>
    <row r="94" spans="1:2" x14ac:dyDescent="0.25">
      <c r="A94">
        <v>3</v>
      </c>
      <c r="B94">
        <v>5</v>
      </c>
    </row>
    <row r="95" spans="1:2" x14ac:dyDescent="0.25">
      <c r="A95">
        <v>1</v>
      </c>
      <c r="B95">
        <v>4</v>
      </c>
    </row>
    <row r="96" spans="1:2" x14ac:dyDescent="0.25">
      <c r="A96">
        <v>4</v>
      </c>
      <c r="B96">
        <v>4</v>
      </c>
    </row>
    <row r="97" spans="1:2" x14ac:dyDescent="0.25">
      <c r="A97">
        <v>3</v>
      </c>
      <c r="B97">
        <v>5</v>
      </c>
    </row>
    <row r="98" spans="1:2" x14ac:dyDescent="0.25">
      <c r="A98">
        <v>4</v>
      </c>
      <c r="B98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30" zoomScaleNormal="130" workbookViewId="0">
      <selection activeCell="C2" sqref="C2"/>
    </sheetView>
  </sheetViews>
  <sheetFormatPr baseColWidth="10" defaultColWidth="9.140625" defaultRowHeight="15" x14ac:dyDescent="0.25"/>
  <cols>
    <col min="1" max="1" width="29.5703125" customWidth="1"/>
    <col min="2" max="2" width="29.7109375" style="7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46</v>
      </c>
      <c r="B1" s="8" t="s">
        <v>57</v>
      </c>
    </row>
    <row r="2" spans="1:5" x14ac:dyDescent="0.25">
      <c r="A2">
        <v>4</v>
      </c>
      <c r="B2">
        <v>4</v>
      </c>
      <c r="D2" s="1" t="s">
        <v>24</v>
      </c>
      <c r="E2">
        <f>AVERAGE(A:A)</f>
        <v>3.1237113402061856</v>
      </c>
    </row>
    <row r="3" spans="1:5" x14ac:dyDescent="0.25">
      <c r="A3">
        <v>3</v>
      </c>
      <c r="B3">
        <v>4</v>
      </c>
      <c r="D3" s="1" t="s">
        <v>0</v>
      </c>
      <c r="E3">
        <f>MEDIAN(A:A)</f>
        <v>3</v>
      </c>
    </row>
    <row r="4" spans="1:5" x14ac:dyDescent="0.25">
      <c r="A4">
        <v>4</v>
      </c>
      <c r="B4">
        <v>2</v>
      </c>
      <c r="D4" s="1" t="s">
        <v>1</v>
      </c>
      <c r="E4">
        <f>MODE(A:A)</f>
        <v>3</v>
      </c>
    </row>
    <row r="5" spans="1:5" x14ac:dyDescent="0.25">
      <c r="A5">
        <v>3</v>
      </c>
      <c r="B5">
        <v>5</v>
      </c>
      <c r="D5" s="1" t="s">
        <v>15</v>
      </c>
      <c r="E5">
        <f>STDEV(A:A)</f>
        <v>1.1748912357352743</v>
      </c>
    </row>
    <row r="6" spans="1:5" x14ac:dyDescent="0.25">
      <c r="A6">
        <v>3</v>
      </c>
      <c r="B6">
        <v>4</v>
      </c>
      <c r="D6" s="4" t="s">
        <v>4</v>
      </c>
      <c r="E6">
        <f>COUNT(A:A)</f>
        <v>97</v>
      </c>
    </row>
    <row r="7" spans="1:5" x14ac:dyDescent="0.25">
      <c r="A7">
        <v>4</v>
      </c>
      <c r="B7">
        <v>5</v>
      </c>
    </row>
    <row r="8" spans="1:5" x14ac:dyDescent="0.25">
      <c r="A8">
        <v>3</v>
      </c>
      <c r="B8">
        <v>5</v>
      </c>
      <c r="D8" s="3" t="s">
        <v>25</v>
      </c>
      <c r="E8">
        <f>AVERAGE(B:B)</f>
        <v>4.0927835051546388</v>
      </c>
    </row>
    <row r="9" spans="1:5" x14ac:dyDescent="0.25">
      <c r="A9">
        <v>3</v>
      </c>
      <c r="B9">
        <v>5</v>
      </c>
      <c r="D9" s="3" t="s">
        <v>2</v>
      </c>
      <c r="E9">
        <f>MEDIAN(B:B)</f>
        <v>4</v>
      </c>
    </row>
    <row r="10" spans="1:5" x14ac:dyDescent="0.25">
      <c r="A10">
        <v>5</v>
      </c>
      <c r="B10">
        <v>5</v>
      </c>
      <c r="D10" s="3" t="s">
        <v>3</v>
      </c>
      <c r="E10">
        <f>MODE(B:B)</f>
        <v>5</v>
      </c>
    </row>
    <row r="11" spans="1:5" x14ac:dyDescent="0.25">
      <c r="A11">
        <v>3</v>
      </c>
      <c r="B11">
        <v>4</v>
      </c>
      <c r="D11" s="3" t="s">
        <v>14</v>
      </c>
      <c r="E11">
        <f>STDEV(B:B)</f>
        <v>0.9583239951733894</v>
      </c>
    </row>
    <row r="12" spans="1:5" x14ac:dyDescent="0.25">
      <c r="A12">
        <v>4</v>
      </c>
      <c r="B12">
        <v>5</v>
      </c>
      <c r="D12" s="5" t="s">
        <v>5</v>
      </c>
      <c r="E12">
        <f>COUNT(B:B)</f>
        <v>97</v>
      </c>
    </row>
    <row r="13" spans="1:5" x14ac:dyDescent="0.25">
      <c r="A13">
        <v>5</v>
      </c>
      <c r="B13">
        <v>3</v>
      </c>
    </row>
    <row r="14" spans="1:5" x14ac:dyDescent="0.25">
      <c r="A14">
        <v>2</v>
      </c>
      <c r="B14">
        <v>4</v>
      </c>
    </row>
    <row r="15" spans="1:5" x14ac:dyDescent="0.25">
      <c r="A15">
        <v>3</v>
      </c>
      <c r="B15">
        <v>3</v>
      </c>
    </row>
    <row r="16" spans="1:5" x14ac:dyDescent="0.25">
      <c r="A16">
        <v>4</v>
      </c>
      <c r="B16">
        <v>4</v>
      </c>
    </row>
    <row r="17" spans="1:5" x14ac:dyDescent="0.25">
      <c r="A17">
        <v>4</v>
      </c>
      <c r="B17">
        <v>5</v>
      </c>
      <c r="D17" s="2" t="s">
        <v>6</v>
      </c>
      <c r="E17" s="2"/>
    </row>
    <row r="18" spans="1:5" x14ac:dyDescent="0.25">
      <c r="A18">
        <v>4</v>
      </c>
      <c r="B18">
        <v>3</v>
      </c>
    </row>
    <row r="19" spans="1:5" x14ac:dyDescent="0.25">
      <c r="A19">
        <v>5</v>
      </c>
      <c r="B19">
        <v>4</v>
      </c>
    </row>
    <row r="20" spans="1:5" x14ac:dyDescent="0.25">
      <c r="A20">
        <v>3</v>
      </c>
      <c r="B20">
        <v>4</v>
      </c>
    </row>
    <row r="21" spans="1:5" x14ac:dyDescent="0.25">
      <c r="A21">
        <v>3</v>
      </c>
      <c r="B21">
        <v>4</v>
      </c>
    </row>
    <row r="22" spans="1:5" x14ac:dyDescent="0.25">
      <c r="A22">
        <v>4</v>
      </c>
      <c r="B22">
        <v>4</v>
      </c>
    </row>
    <row r="23" spans="1:5" x14ac:dyDescent="0.25">
      <c r="A23">
        <v>2</v>
      </c>
      <c r="B23">
        <v>3</v>
      </c>
    </row>
    <row r="24" spans="1:5" x14ac:dyDescent="0.25">
      <c r="A24">
        <v>4</v>
      </c>
      <c r="B24">
        <v>5</v>
      </c>
    </row>
    <row r="25" spans="1:5" x14ac:dyDescent="0.25">
      <c r="A25">
        <v>2</v>
      </c>
      <c r="B25">
        <v>5</v>
      </c>
    </row>
    <row r="26" spans="1:5" x14ac:dyDescent="0.25">
      <c r="A26">
        <v>5</v>
      </c>
      <c r="B26">
        <v>2</v>
      </c>
    </row>
    <row r="27" spans="1:5" x14ac:dyDescent="0.25">
      <c r="A27">
        <v>3</v>
      </c>
      <c r="B27">
        <v>3</v>
      </c>
    </row>
    <row r="28" spans="1:5" x14ac:dyDescent="0.25">
      <c r="A28">
        <v>1</v>
      </c>
      <c r="B28">
        <v>3</v>
      </c>
    </row>
    <row r="29" spans="1:5" x14ac:dyDescent="0.25">
      <c r="A29">
        <v>3</v>
      </c>
      <c r="B29">
        <v>4</v>
      </c>
      <c r="D29" t="s">
        <v>11</v>
      </c>
      <c r="E29">
        <f>(E2-E8)/SQRT(((E5^2)/E6)+((E11^2)/E12))</f>
        <v>-6.2949996395196726</v>
      </c>
    </row>
    <row r="30" spans="1:5" x14ac:dyDescent="0.25">
      <c r="A30">
        <v>3</v>
      </c>
      <c r="B30">
        <v>5</v>
      </c>
    </row>
    <row r="31" spans="1:5" x14ac:dyDescent="0.25">
      <c r="A31">
        <v>1</v>
      </c>
      <c r="B31">
        <v>2</v>
      </c>
      <c r="D31" s="2" t="s">
        <v>7</v>
      </c>
      <c r="E31" s="2"/>
    </row>
    <row r="32" spans="1:5" x14ac:dyDescent="0.25">
      <c r="A32">
        <v>5</v>
      </c>
      <c r="B32">
        <v>5</v>
      </c>
    </row>
    <row r="33" spans="1:6" x14ac:dyDescent="0.25">
      <c r="A33">
        <v>4</v>
      </c>
      <c r="B33">
        <v>5</v>
      </c>
    </row>
    <row r="34" spans="1:6" x14ac:dyDescent="0.25">
      <c r="A34">
        <v>5</v>
      </c>
      <c r="B34">
        <v>5</v>
      </c>
    </row>
    <row r="35" spans="1:6" x14ac:dyDescent="0.25">
      <c r="A35">
        <v>3</v>
      </c>
      <c r="B35">
        <v>2</v>
      </c>
    </row>
    <row r="36" spans="1:6" x14ac:dyDescent="0.25">
      <c r="A36">
        <v>1</v>
      </c>
      <c r="B36">
        <v>4</v>
      </c>
    </row>
    <row r="37" spans="1:6" x14ac:dyDescent="0.25">
      <c r="A37">
        <v>2</v>
      </c>
      <c r="B37">
        <v>5</v>
      </c>
    </row>
    <row r="38" spans="1:6" x14ac:dyDescent="0.25">
      <c r="A38">
        <v>4</v>
      </c>
      <c r="B38">
        <v>5</v>
      </c>
    </row>
    <row r="39" spans="1:6" x14ac:dyDescent="0.25">
      <c r="A39">
        <v>4</v>
      </c>
      <c r="B39">
        <v>5</v>
      </c>
    </row>
    <row r="40" spans="1:6" x14ac:dyDescent="0.25">
      <c r="A40">
        <v>4</v>
      </c>
      <c r="B40">
        <v>4</v>
      </c>
    </row>
    <row r="41" spans="1:6" ht="29.25" customHeight="1" x14ac:dyDescent="0.25">
      <c r="A41">
        <v>1</v>
      </c>
      <c r="B41">
        <v>5</v>
      </c>
      <c r="D41" t="s">
        <v>8</v>
      </c>
      <c r="E41">
        <f>(((E5^2)/E6)+((E11^2)/E12))^2</f>
        <v>5.6161880234135324E-4</v>
      </c>
    </row>
    <row r="42" spans="1:6" ht="47.25" customHeight="1" x14ac:dyDescent="0.25">
      <c r="A42">
        <v>5</v>
      </c>
      <c r="B42">
        <v>2</v>
      </c>
      <c r="D42" t="s">
        <v>9</v>
      </c>
      <c r="E42">
        <f>(((E5^2)/E6)^2)/(E6-1)</f>
        <v>2.1094826364129468E-6</v>
      </c>
    </row>
    <row r="43" spans="1:6" ht="43.5" customHeight="1" x14ac:dyDescent="0.25">
      <c r="A43">
        <v>1</v>
      </c>
      <c r="B43">
        <v>5</v>
      </c>
      <c r="D43" t="s">
        <v>10</v>
      </c>
      <c r="E43">
        <f>(((E11^2)/E12)^2)/(E12-1)</f>
        <v>9.3375888700054634E-7</v>
      </c>
    </row>
    <row r="44" spans="1:6" x14ac:dyDescent="0.25">
      <c r="A44">
        <v>3</v>
      </c>
      <c r="B44">
        <v>5</v>
      </c>
    </row>
    <row r="45" spans="1:6" x14ac:dyDescent="0.25">
      <c r="A45">
        <v>1</v>
      </c>
      <c r="B45">
        <v>3</v>
      </c>
      <c r="D45" t="s">
        <v>7</v>
      </c>
      <c r="E45">
        <f>E41/(E42+E43)</f>
        <v>184.54624715799946</v>
      </c>
      <c r="F45" s="6" t="s">
        <v>12</v>
      </c>
    </row>
    <row r="46" spans="1:6" x14ac:dyDescent="0.25">
      <c r="A46">
        <v>4</v>
      </c>
      <c r="B46">
        <v>3</v>
      </c>
    </row>
    <row r="47" spans="1:6" x14ac:dyDescent="0.25">
      <c r="A47">
        <v>3</v>
      </c>
      <c r="B47">
        <v>2</v>
      </c>
      <c r="D47" t="s">
        <v>13</v>
      </c>
      <c r="E47">
        <v>0.05</v>
      </c>
      <c r="F47" s="6" t="s">
        <v>12</v>
      </c>
    </row>
    <row r="48" spans="1:6" x14ac:dyDescent="0.25">
      <c r="A48">
        <v>5</v>
      </c>
      <c r="B48">
        <v>5</v>
      </c>
    </row>
    <row r="49" spans="1:5" x14ac:dyDescent="0.25">
      <c r="A49">
        <v>4</v>
      </c>
      <c r="B49">
        <v>5</v>
      </c>
    </row>
    <row r="50" spans="1:5" x14ac:dyDescent="0.25">
      <c r="A50">
        <v>1</v>
      </c>
      <c r="B50">
        <v>3</v>
      </c>
    </row>
    <row r="51" spans="1:5" x14ac:dyDescent="0.25">
      <c r="A51">
        <v>3</v>
      </c>
      <c r="B51">
        <v>5</v>
      </c>
      <c r="D51" s="2"/>
      <c r="E51" s="2"/>
    </row>
    <row r="52" spans="1:5" x14ac:dyDescent="0.25">
      <c r="A52">
        <v>3</v>
      </c>
      <c r="B52">
        <v>4</v>
      </c>
      <c r="D52" t="s">
        <v>16</v>
      </c>
      <c r="E52">
        <f>_xlfn.T.INV.2T(E47,E45)</f>
        <v>1.9729405423893633</v>
      </c>
    </row>
    <row r="53" spans="1:5" x14ac:dyDescent="0.25">
      <c r="A53">
        <v>3</v>
      </c>
      <c r="B53">
        <v>4</v>
      </c>
      <c r="D53" t="s">
        <v>17</v>
      </c>
      <c r="E53">
        <f>_xlfn.T.INV(E47, E45)</f>
        <v>-1.6531770875310539</v>
      </c>
    </row>
    <row r="54" spans="1:5" x14ac:dyDescent="0.25">
      <c r="A54">
        <v>4</v>
      </c>
      <c r="B54">
        <v>4</v>
      </c>
    </row>
    <row r="55" spans="1:5" x14ac:dyDescent="0.25">
      <c r="A55">
        <v>2</v>
      </c>
      <c r="B55">
        <v>4</v>
      </c>
      <c r="D55" t="s">
        <v>18</v>
      </c>
      <c r="E55">
        <f>TTEST(A:A,B:B,2,2)</f>
        <v>2.0418738926169247E-9</v>
      </c>
    </row>
    <row r="56" spans="1:5" x14ac:dyDescent="0.25">
      <c r="A56">
        <v>2</v>
      </c>
      <c r="B56">
        <v>4</v>
      </c>
      <c r="D56" t="s">
        <v>19</v>
      </c>
      <c r="E56">
        <f>TTEST(A:A,B:B,1,2)</f>
        <v>1.0209369463084623E-9</v>
      </c>
    </row>
    <row r="57" spans="1:5" x14ac:dyDescent="0.25">
      <c r="A57">
        <v>4</v>
      </c>
      <c r="B57">
        <v>3</v>
      </c>
    </row>
    <row r="58" spans="1:5" x14ac:dyDescent="0.25">
      <c r="A58">
        <v>3</v>
      </c>
      <c r="B58">
        <v>5</v>
      </c>
    </row>
    <row r="59" spans="1:5" x14ac:dyDescent="0.25">
      <c r="A59">
        <v>2</v>
      </c>
      <c r="B59">
        <v>5</v>
      </c>
      <c r="D59" s="2" t="s">
        <v>20</v>
      </c>
      <c r="E59" s="2"/>
    </row>
    <row r="60" spans="1:5" x14ac:dyDescent="0.25">
      <c r="A60">
        <v>4</v>
      </c>
      <c r="B60">
        <v>3</v>
      </c>
    </row>
    <row r="61" spans="1:5" x14ac:dyDescent="0.25">
      <c r="A61">
        <v>2</v>
      </c>
      <c r="B61">
        <v>5</v>
      </c>
      <c r="D61" t="s">
        <v>21</v>
      </c>
    </row>
    <row r="62" spans="1:5" x14ac:dyDescent="0.25">
      <c r="A62">
        <v>3</v>
      </c>
      <c r="B62">
        <v>5</v>
      </c>
      <c r="D62" t="s">
        <v>22</v>
      </c>
    </row>
    <row r="63" spans="1:5" x14ac:dyDescent="0.25">
      <c r="A63">
        <v>1</v>
      </c>
      <c r="B63">
        <v>4</v>
      </c>
    </row>
    <row r="64" spans="1:5" x14ac:dyDescent="0.25">
      <c r="A64">
        <v>3</v>
      </c>
      <c r="B64">
        <v>5</v>
      </c>
    </row>
    <row r="65" spans="1:4" x14ac:dyDescent="0.25">
      <c r="A65">
        <v>3</v>
      </c>
      <c r="B65">
        <v>4</v>
      </c>
    </row>
    <row r="66" spans="1:4" x14ac:dyDescent="0.25">
      <c r="A66">
        <v>3</v>
      </c>
      <c r="B66">
        <v>5</v>
      </c>
      <c r="D66" t="s">
        <v>23</v>
      </c>
    </row>
    <row r="67" spans="1:4" x14ac:dyDescent="0.25">
      <c r="A67">
        <v>3</v>
      </c>
      <c r="B67">
        <v>5</v>
      </c>
      <c r="D67" t="str">
        <f>"Dos Colas: Si t calculado ("&amp;E29&amp;") &gt; a t critico  ("&amp;E52&amp;") (de tabla) ---&gt; Se rechaza la hipotesis nula"</f>
        <v>Dos Colas: Si t calculado (-6.29499963951967) &gt; a t critico  (1.97294054238936) (de tabla) ---&gt; Se rechaza la hipotesis nula</v>
      </c>
    </row>
    <row r="68" spans="1:4" x14ac:dyDescent="0.25">
      <c r="A68">
        <v>2</v>
      </c>
      <c r="B68">
        <v>5</v>
      </c>
      <c r="D68" t="str">
        <f>"Una Cola: Si t calculado ("&amp;E29&amp;") &gt; a t critico  ("&amp;E53&amp;") (de tabla) ---&gt; Se rechaza la hipotesis nula"</f>
        <v>Una Cola: Si t calculado (-6.29499963951967) &gt; a t critico  (-1.65317708753105) (de tabla) ---&gt; Se rechaza la hipotesis nula</v>
      </c>
    </row>
    <row r="69" spans="1:4" x14ac:dyDescent="0.25">
      <c r="A69">
        <v>3</v>
      </c>
      <c r="B69">
        <v>5</v>
      </c>
    </row>
    <row r="70" spans="1:4" x14ac:dyDescent="0.25">
      <c r="A70">
        <v>2</v>
      </c>
      <c r="B70">
        <v>3</v>
      </c>
    </row>
    <row r="71" spans="1:4" x14ac:dyDescent="0.25">
      <c r="A71">
        <v>5</v>
      </c>
      <c r="B71">
        <v>5</v>
      </c>
    </row>
    <row r="72" spans="1:4" x14ac:dyDescent="0.25">
      <c r="A72">
        <v>4</v>
      </c>
      <c r="B72">
        <v>5</v>
      </c>
      <c r="D72" t="s">
        <v>26</v>
      </c>
    </row>
    <row r="73" spans="1:4" x14ac:dyDescent="0.25">
      <c r="A73">
        <v>3</v>
      </c>
      <c r="B73">
        <v>4</v>
      </c>
      <c r="D73" t="str">
        <f>"Dos Colas: Si p valor ("&amp;E55&amp;") &lt; Nivel Significancia (0.05) ---&gt; Se rechaza la hipotesis nula"</f>
        <v>Dos Colas: Si p valor (2.04187389261692E-09) &lt; Nivel Significancia (0.05) ---&gt; Se rechaza la hipotesis nula</v>
      </c>
    </row>
    <row r="74" spans="1:4" x14ac:dyDescent="0.25">
      <c r="A74">
        <v>4</v>
      </c>
      <c r="B74">
        <v>4</v>
      </c>
      <c r="D74" t="str">
        <f>"Una Cola: Si p valor ("&amp;E56&amp;") &lt; Nivel Significancia (0.05) ---&gt; Se rechaza la hipotesis nula"</f>
        <v>Una Cola: Si p valor (1.02093694630846E-09) &lt; Nivel Significancia (0.05) ---&gt; Se rechaza la hipotesis nula</v>
      </c>
    </row>
    <row r="75" spans="1:4" x14ac:dyDescent="0.25">
      <c r="A75">
        <v>3</v>
      </c>
      <c r="B75">
        <v>5</v>
      </c>
    </row>
    <row r="76" spans="1:4" x14ac:dyDescent="0.25">
      <c r="A76">
        <v>3</v>
      </c>
      <c r="B76">
        <v>4</v>
      </c>
    </row>
    <row r="77" spans="1:4" x14ac:dyDescent="0.25">
      <c r="A77">
        <v>3</v>
      </c>
      <c r="B77">
        <v>4</v>
      </c>
    </row>
    <row r="78" spans="1:4" x14ac:dyDescent="0.25">
      <c r="A78">
        <v>2</v>
      </c>
      <c r="B78">
        <v>5</v>
      </c>
    </row>
    <row r="79" spans="1:4" x14ac:dyDescent="0.25">
      <c r="A79">
        <v>3</v>
      </c>
      <c r="B79">
        <v>4</v>
      </c>
    </row>
    <row r="80" spans="1:4" x14ac:dyDescent="0.25">
      <c r="A80">
        <v>3</v>
      </c>
      <c r="B80">
        <v>4</v>
      </c>
    </row>
    <row r="81" spans="1:2" x14ac:dyDescent="0.25">
      <c r="A81">
        <v>1</v>
      </c>
      <c r="B81">
        <v>4</v>
      </c>
    </row>
    <row r="82" spans="1:2" x14ac:dyDescent="0.25">
      <c r="A82">
        <v>2</v>
      </c>
      <c r="B82">
        <v>2</v>
      </c>
    </row>
    <row r="83" spans="1:2" x14ac:dyDescent="0.25">
      <c r="A83">
        <v>5</v>
      </c>
      <c r="B83">
        <v>3</v>
      </c>
    </row>
    <row r="84" spans="1:2" x14ac:dyDescent="0.25">
      <c r="A84">
        <v>5</v>
      </c>
      <c r="B84">
        <v>3</v>
      </c>
    </row>
    <row r="85" spans="1:2" x14ac:dyDescent="0.25">
      <c r="A85">
        <v>3</v>
      </c>
      <c r="B85">
        <v>5</v>
      </c>
    </row>
    <row r="86" spans="1:2" x14ac:dyDescent="0.25">
      <c r="A86">
        <v>4</v>
      </c>
      <c r="B86">
        <v>4</v>
      </c>
    </row>
    <row r="87" spans="1:2" x14ac:dyDescent="0.25">
      <c r="A87">
        <v>2</v>
      </c>
      <c r="B87">
        <v>4</v>
      </c>
    </row>
    <row r="88" spans="1:2" x14ac:dyDescent="0.25">
      <c r="A88">
        <v>3</v>
      </c>
      <c r="B88">
        <v>4</v>
      </c>
    </row>
    <row r="89" spans="1:2" x14ac:dyDescent="0.25">
      <c r="A89">
        <v>3</v>
      </c>
      <c r="B89">
        <v>4</v>
      </c>
    </row>
    <row r="90" spans="1:2" x14ac:dyDescent="0.25">
      <c r="A90">
        <v>1</v>
      </c>
      <c r="B90">
        <v>5</v>
      </c>
    </row>
    <row r="91" spans="1:2" x14ac:dyDescent="0.25">
      <c r="A91">
        <v>5</v>
      </c>
      <c r="B91">
        <v>3</v>
      </c>
    </row>
    <row r="92" spans="1:2" x14ac:dyDescent="0.25">
      <c r="A92">
        <v>2</v>
      </c>
      <c r="B92">
        <v>2</v>
      </c>
    </row>
    <row r="93" spans="1:2" x14ac:dyDescent="0.25">
      <c r="A93">
        <v>3</v>
      </c>
      <c r="B93">
        <v>5</v>
      </c>
    </row>
    <row r="94" spans="1:2" x14ac:dyDescent="0.25">
      <c r="A94">
        <v>5</v>
      </c>
      <c r="B94">
        <v>5</v>
      </c>
    </row>
    <row r="95" spans="1:2" x14ac:dyDescent="0.25">
      <c r="A95">
        <v>2</v>
      </c>
      <c r="B95">
        <v>4</v>
      </c>
    </row>
    <row r="96" spans="1:2" x14ac:dyDescent="0.25">
      <c r="A96">
        <v>2</v>
      </c>
      <c r="B96">
        <v>3</v>
      </c>
    </row>
    <row r="97" spans="1:2" x14ac:dyDescent="0.25">
      <c r="A97">
        <v>5</v>
      </c>
      <c r="B97">
        <v>5</v>
      </c>
    </row>
    <row r="98" spans="1:2" x14ac:dyDescent="0.25">
      <c r="A98">
        <v>2</v>
      </c>
      <c r="B98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30" zoomScaleNormal="130" workbookViewId="0">
      <selection activeCell="D16" sqref="D16"/>
    </sheetView>
  </sheetViews>
  <sheetFormatPr baseColWidth="10" defaultColWidth="9.140625" defaultRowHeight="15" x14ac:dyDescent="0.25"/>
  <cols>
    <col min="1" max="1" width="29.7109375" customWidth="1"/>
    <col min="2" max="2" width="35.28515625" customWidth="1"/>
    <col min="4" max="4" width="39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47</v>
      </c>
      <c r="B1" s="10" t="s">
        <v>58</v>
      </c>
    </row>
    <row r="2" spans="1:5" x14ac:dyDescent="0.25">
      <c r="A2">
        <v>3</v>
      </c>
      <c r="B2">
        <v>5</v>
      </c>
      <c r="D2" s="1" t="s">
        <v>24</v>
      </c>
      <c r="E2">
        <f>AVERAGE(A:A)</f>
        <v>3.195876288659794</v>
      </c>
    </row>
    <row r="3" spans="1:5" x14ac:dyDescent="0.25">
      <c r="A3">
        <v>3</v>
      </c>
      <c r="B3">
        <v>5</v>
      </c>
      <c r="D3" s="1" t="s">
        <v>0</v>
      </c>
      <c r="E3">
        <f>MEDIAN(A:A)</f>
        <v>3</v>
      </c>
    </row>
    <row r="4" spans="1:5" x14ac:dyDescent="0.25">
      <c r="A4">
        <v>4</v>
      </c>
      <c r="B4">
        <v>5</v>
      </c>
      <c r="D4" s="1" t="s">
        <v>1</v>
      </c>
      <c r="E4">
        <f>MODE(A:A)</f>
        <v>3</v>
      </c>
    </row>
    <row r="5" spans="1:5" x14ac:dyDescent="0.25">
      <c r="A5">
        <v>3</v>
      </c>
      <c r="B5">
        <v>4</v>
      </c>
      <c r="D5" s="1" t="s">
        <v>15</v>
      </c>
      <c r="E5">
        <f>STDEV(A:A)</f>
        <v>1.0669189993634705</v>
      </c>
    </row>
    <row r="6" spans="1:5" x14ac:dyDescent="0.25">
      <c r="A6">
        <v>4</v>
      </c>
      <c r="B6">
        <v>5</v>
      </c>
      <c r="D6" s="4" t="s">
        <v>4</v>
      </c>
      <c r="E6">
        <f>COUNT(A:A)</f>
        <v>97</v>
      </c>
    </row>
    <row r="7" spans="1:5" x14ac:dyDescent="0.25">
      <c r="A7">
        <v>3</v>
      </c>
      <c r="B7">
        <v>4</v>
      </c>
    </row>
    <row r="8" spans="1:5" x14ac:dyDescent="0.25">
      <c r="A8">
        <v>4</v>
      </c>
      <c r="B8">
        <v>5</v>
      </c>
      <c r="D8" s="3" t="s">
        <v>25</v>
      </c>
      <c r="E8">
        <f>AVERAGE(B:B)</f>
        <v>4.2268041237113403</v>
      </c>
    </row>
    <row r="9" spans="1:5" x14ac:dyDescent="0.25">
      <c r="A9">
        <v>2</v>
      </c>
      <c r="B9">
        <v>5</v>
      </c>
      <c r="D9" s="3" t="s">
        <v>2</v>
      </c>
      <c r="E9">
        <f>MEDIAN(B:B)</f>
        <v>4</v>
      </c>
    </row>
    <row r="10" spans="1:5" x14ac:dyDescent="0.25">
      <c r="A10">
        <v>3</v>
      </c>
      <c r="B10">
        <v>5</v>
      </c>
      <c r="D10" s="3" t="s">
        <v>3</v>
      </c>
      <c r="E10">
        <f>MODE(B:B)</f>
        <v>5</v>
      </c>
    </row>
    <row r="11" spans="1:5" x14ac:dyDescent="0.25">
      <c r="A11">
        <v>3</v>
      </c>
      <c r="B11">
        <v>5</v>
      </c>
      <c r="D11" s="3" t="s">
        <v>14</v>
      </c>
      <c r="E11">
        <f>STDEV(B:B)</f>
        <v>0.91861710647916306</v>
      </c>
    </row>
    <row r="12" spans="1:5" x14ac:dyDescent="0.25">
      <c r="A12">
        <v>5</v>
      </c>
      <c r="B12">
        <v>3</v>
      </c>
      <c r="D12" s="5" t="s">
        <v>5</v>
      </c>
      <c r="E12">
        <f>COUNT(B:B)</f>
        <v>97</v>
      </c>
    </row>
    <row r="13" spans="1:5" x14ac:dyDescent="0.25">
      <c r="A13">
        <v>4</v>
      </c>
      <c r="B13">
        <v>5</v>
      </c>
    </row>
    <row r="14" spans="1:5" x14ac:dyDescent="0.25">
      <c r="A14">
        <v>5</v>
      </c>
      <c r="B14">
        <v>3</v>
      </c>
    </row>
    <row r="15" spans="1:5" x14ac:dyDescent="0.25">
      <c r="A15">
        <v>5</v>
      </c>
      <c r="B15">
        <v>2</v>
      </c>
    </row>
    <row r="16" spans="1:5" x14ac:dyDescent="0.25">
      <c r="A16">
        <v>4</v>
      </c>
      <c r="B16">
        <v>4</v>
      </c>
    </row>
    <row r="17" spans="1:5" x14ac:dyDescent="0.25">
      <c r="A17">
        <v>5</v>
      </c>
      <c r="B17">
        <v>5</v>
      </c>
      <c r="D17" s="2" t="s">
        <v>6</v>
      </c>
      <c r="E17" s="2"/>
    </row>
    <row r="18" spans="1:5" x14ac:dyDescent="0.25">
      <c r="A18">
        <v>3</v>
      </c>
      <c r="B18">
        <v>5</v>
      </c>
    </row>
    <row r="19" spans="1:5" x14ac:dyDescent="0.25">
      <c r="A19">
        <v>2</v>
      </c>
      <c r="B19">
        <v>5</v>
      </c>
    </row>
    <row r="20" spans="1:5" x14ac:dyDescent="0.25">
      <c r="A20">
        <v>3</v>
      </c>
      <c r="B20">
        <v>5</v>
      </c>
    </row>
    <row r="21" spans="1:5" x14ac:dyDescent="0.25">
      <c r="A21">
        <v>1</v>
      </c>
      <c r="B21">
        <v>5</v>
      </c>
    </row>
    <row r="22" spans="1:5" x14ac:dyDescent="0.25">
      <c r="A22">
        <v>4</v>
      </c>
      <c r="B22">
        <v>3</v>
      </c>
    </row>
    <row r="23" spans="1:5" x14ac:dyDescent="0.25">
      <c r="A23">
        <v>3</v>
      </c>
      <c r="B23">
        <v>5</v>
      </c>
    </row>
    <row r="24" spans="1:5" x14ac:dyDescent="0.25">
      <c r="A24">
        <v>4</v>
      </c>
      <c r="B24">
        <v>5</v>
      </c>
    </row>
    <row r="25" spans="1:5" x14ac:dyDescent="0.25">
      <c r="A25">
        <v>1</v>
      </c>
      <c r="B25">
        <v>5</v>
      </c>
    </row>
    <row r="26" spans="1:5" x14ac:dyDescent="0.25">
      <c r="A26">
        <v>3</v>
      </c>
      <c r="B26">
        <v>5</v>
      </c>
    </row>
    <row r="27" spans="1:5" x14ac:dyDescent="0.25">
      <c r="A27">
        <v>2</v>
      </c>
      <c r="B27">
        <v>4</v>
      </c>
    </row>
    <row r="28" spans="1:5" x14ac:dyDescent="0.25">
      <c r="A28">
        <v>3</v>
      </c>
      <c r="B28">
        <v>3</v>
      </c>
    </row>
    <row r="29" spans="1:5" x14ac:dyDescent="0.25">
      <c r="A29">
        <v>5</v>
      </c>
      <c r="B29">
        <v>4</v>
      </c>
      <c r="D29" t="s">
        <v>11</v>
      </c>
      <c r="E29">
        <f>(E2-E8)/SQRT(((E5^2)/E6)+((E11^2)/E12))</f>
        <v>-7.2117937142787634</v>
      </c>
    </row>
    <row r="30" spans="1:5" x14ac:dyDescent="0.25">
      <c r="A30">
        <v>4</v>
      </c>
      <c r="B30">
        <v>5</v>
      </c>
    </row>
    <row r="31" spans="1:5" x14ac:dyDescent="0.25">
      <c r="A31">
        <v>3</v>
      </c>
      <c r="B31">
        <v>5</v>
      </c>
      <c r="D31" s="2" t="s">
        <v>7</v>
      </c>
      <c r="E31" s="2"/>
    </row>
    <row r="32" spans="1:5" x14ac:dyDescent="0.25">
      <c r="A32">
        <v>2</v>
      </c>
      <c r="B32">
        <v>5</v>
      </c>
    </row>
    <row r="33" spans="1:6" x14ac:dyDescent="0.25">
      <c r="A33">
        <v>3</v>
      </c>
      <c r="B33">
        <v>5</v>
      </c>
    </row>
    <row r="34" spans="1:6" x14ac:dyDescent="0.25">
      <c r="A34">
        <v>2</v>
      </c>
      <c r="B34">
        <v>4</v>
      </c>
    </row>
    <row r="35" spans="1:6" x14ac:dyDescent="0.25">
      <c r="A35">
        <v>5</v>
      </c>
      <c r="B35">
        <v>5</v>
      </c>
    </row>
    <row r="36" spans="1:6" x14ac:dyDescent="0.25">
      <c r="A36">
        <v>3</v>
      </c>
      <c r="B36">
        <v>3</v>
      </c>
    </row>
    <row r="37" spans="1:6" x14ac:dyDescent="0.25">
      <c r="A37">
        <v>3</v>
      </c>
      <c r="B37">
        <v>4</v>
      </c>
    </row>
    <row r="38" spans="1:6" x14ac:dyDescent="0.25">
      <c r="A38">
        <v>3</v>
      </c>
      <c r="B38">
        <v>5</v>
      </c>
    </row>
    <row r="39" spans="1:6" x14ac:dyDescent="0.25">
      <c r="A39">
        <v>2</v>
      </c>
      <c r="B39">
        <v>5</v>
      </c>
    </row>
    <row r="40" spans="1:6" x14ac:dyDescent="0.25">
      <c r="A40">
        <v>4</v>
      </c>
      <c r="B40">
        <v>5</v>
      </c>
    </row>
    <row r="41" spans="1:6" ht="29.25" customHeight="1" x14ac:dyDescent="0.25">
      <c r="A41">
        <v>2</v>
      </c>
      <c r="B41">
        <v>3</v>
      </c>
      <c r="D41" t="s">
        <v>8</v>
      </c>
      <c r="E41">
        <f>(((E5^2)/E6)+((E11^2)/E12))^2</f>
        <v>4.1758018288541614E-4</v>
      </c>
    </row>
    <row r="42" spans="1:6" ht="47.25" customHeight="1" x14ac:dyDescent="0.25">
      <c r="A42">
        <v>3</v>
      </c>
      <c r="B42">
        <v>5</v>
      </c>
      <c r="D42" t="s">
        <v>9</v>
      </c>
      <c r="E42">
        <f>(((E5^2)/E6)^2)/(E6-1)</f>
        <v>1.4345348204833137E-6</v>
      </c>
    </row>
    <row r="43" spans="1:6" ht="43.5" customHeight="1" x14ac:dyDescent="0.25">
      <c r="A43">
        <v>4</v>
      </c>
      <c r="B43">
        <v>4</v>
      </c>
      <c r="D43" t="s">
        <v>10</v>
      </c>
      <c r="E43">
        <f>(((E11^2)/E12)^2)/(E12-1)</f>
        <v>7.883578796628157E-7</v>
      </c>
    </row>
    <row r="44" spans="1:6" x14ac:dyDescent="0.25">
      <c r="A44">
        <v>4</v>
      </c>
      <c r="B44">
        <v>5</v>
      </c>
    </row>
    <row r="45" spans="1:6" x14ac:dyDescent="0.25">
      <c r="A45">
        <v>4</v>
      </c>
      <c r="B45">
        <v>5</v>
      </c>
      <c r="D45" t="s">
        <v>7</v>
      </c>
      <c r="E45">
        <f>E41/(E42+E43)</f>
        <v>187.85440379464339</v>
      </c>
      <c r="F45" s="6" t="s">
        <v>12</v>
      </c>
    </row>
    <row r="46" spans="1:6" x14ac:dyDescent="0.25">
      <c r="A46">
        <v>5</v>
      </c>
      <c r="B46">
        <v>1</v>
      </c>
    </row>
    <row r="47" spans="1:6" x14ac:dyDescent="0.25">
      <c r="A47">
        <v>3</v>
      </c>
      <c r="B47">
        <v>5</v>
      </c>
      <c r="D47" t="s">
        <v>13</v>
      </c>
      <c r="E47">
        <v>0.05</v>
      </c>
      <c r="F47" s="6" t="s">
        <v>12</v>
      </c>
    </row>
    <row r="48" spans="1:6" x14ac:dyDescent="0.25">
      <c r="A48">
        <v>2</v>
      </c>
      <c r="B48">
        <v>5</v>
      </c>
    </row>
    <row r="49" spans="1:5" x14ac:dyDescent="0.25">
      <c r="A49">
        <v>4</v>
      </c>
      <c r="B49">
        <v>4</v>
      </c>
    </row>
    <row r="50" spans="1:5" x14ac:dyDescent="0.25">
      <c r="A50">
        <v>2</v>
      </c>
      <c r="B50">
        <v>2</v>
      </c>
    </row>
    <row r="51" spans="1:5" x14ac:dyDescent="0.25">
      <c r="A51">
        <v>3</v>
      </c>
      <c r="B51">
        <v>3</v>
      </c>
      <c r="D51" s="2"/>
      <c r="E51" s="2"/>
    </row>
    <row r="52" spans="1:5" x14ac:dyDescent="0.25">
      <c r="A52">
        <v>3</v>
      </c>
      <c r="B52">
        <v>4</v>
      </c>
      <c r="D52" t="s">
        <v>16</v>
      </c>
      <c r="E52">
        <f>_xlfn.T.INV.2T(E47,E45)</f>
        <v>1.9727310334089139</v>
      </c>
    </row>
    <row r="53" spans="1:5" x14ac:dyDescent="0.25">
      <c r="A53">
        <v>3</v>
      </c>
      <c r="B53">
        <v>5</v>
      </c>
      <c r="D53" t="s">
        <v>17</v>
      </c>
      <c r="E53">
        <f>_xlfn.T.INV(E47, E45)</f>
        <v>-1.6530428889466318</v>
      </c>
    </row>
    <row r="54" spans="1:5" x14ac:dyDescent="0.25">
      <c r="A54">
        <v>4</v>
      </c>
      <c r="B54">
        <v>4</v>
      </c>
    </row>
    <row r="55" spans="1:5" x14ac:dyDescent="0.25">
      <c r="A55">
        <v>3</v>
      </c>
      <c r="B55">
        <v>5</v>
      </c>
      <c r="D55" t="s">
        <v>18</v>
      </c>
      <c r="E55">
        <f>TTEST(A:A,B:B,2,2)</f>
        <v>1.2395623439632074E-11</v>
      </c>
    </row>
    <row r="56" spans="1:5" x14ac:dyDescent="0.25">
      <c r="A56">
        <v>3</v>
      </c>
      <c r="B56">
        <v>3</v>
      </c>
      <c r="D56" t="s">
        <v>19</v>
      </c>
      <c r="E56">
        <f>TTEST(A:A,B:B,1,2)</f>
        <v>6.1978117198160369E-12</v>
      </c>
    </row>
    <row r="57" spans="1:5" x14ac:dyDescent="0.25">
      <c r="A57">
        <v>3</v>
      </c>
      <c r="B57">
        <v>4</v>
      </c>
    </row>
    <row r="58" spans="1:5" x14ac:dyDescent="0.25">
      <c r="A58">
        <v>2</v>
      </c>
      <c r="B58">
        <v>5</v>
      </c>
    </row>
    <row r="59" spans="1:5" x14ac:dyDescent="0.25">
      <c r="A59">
        <v>5</v>
      </c>
      <c r="B59">
        <v>4</v>
      </c>
      <c r="D59" s="2" t="s">
        <v>20</v>
      </c>
      <c r="E59" s="2"/>
    </row>
    <row r="60" spans="1:5" x14ac:dyDescent="0.25">
      <c r="A60">
        <v>4</v>
      </c>
      <c r="B60">
        <v>5</v>
      </c>
    </row>
    <row r="61" spans="1:5" x14ac:dyDescent="0.25">
      <c r="A61">
        <v>2</v>
      </c>
      <c r="B61">
        <v>4</v>
      </c>
      <c r="D61" t="s">
        <v>21</v>
      </c>
    </row>
    <row r="62" spans="1:5" x14ac:dyDescent="0.25">
      <c r="A62">
        <v>3</v>
      </c>
      <c r="B62">
        <v>4</v>
      </c>
      <c r="D62" t="s">
        <v>22</v>
      </c>
    </row>
    <row r="63" spans="1:5" x14ac:dyDescent="0.25">
      <c r="A63">
        <v>3</v>
      </c>
      <c r="B63">
        <v>4</v>
      </c>
    </row>
    <row r="64" spans="1:5" x14ac:dyDescent="0.25">
      <c r="A64">
        <v>2</v>
      </c>
      <c r="B64">
        <v>4</v>
      </c>
    </row>
    <row r="65" spans="1:4" x14ac:dyDescent="0.25">
      <c r="A65">
        <v>5</v>
      </c>
      <c r="B65">
        <v>5</v>
      </c>
    </row>
    <row r="66" spans="1:4" x14ac:dyDescent="0.25">
      <c r="A66">
        <v>1</v>
      </c>
      <c r="B66">
        <v>4</v>
      </c>
      <c r="D66" t="s">
        <v>23</v>
      </c>
    </row>
    <row r="67" spans="1:4" x14ac:dyDescent="0.25">
      <c r="A67">
        <v>3</v>
      </c>
      <c r="B67">
        <v>4</v>
      </c>
      <c r="D67" t="str">
        <f>"Dos Colas: Si t calculado ("&amp;E29&amp;") &gt; a t critico  ("&amp;E52&amp;") (de tabla) ---&gt; Se rechaza la hipotesis nula"</f>
        <v>Dos Colas: Si t calculado (-7.21179371427876) &gt; a t critico  (1.97273103340891) (de tabla) ---&gt; Se rechaza la hipotesis nula</v>
      </c>
    </row>
    <row r="68" spans="1:4" x14ac:dyDescent="0.25">
      <c r="A68">
        <v>1</v>
      </c>
      <c r="B68">
        <v>5</v>
      </c>
      <c r="D68" t="str">
        <f>"Una Cola: Si t calculado ("&amp;E29&amp;") &gt; a t critico  ("&amp;E53&amp;") (de tabla) ---&gt; Se rechaza la hipotesis nula"</f>
        <v>Una Cola: Si t calculado (-7.21179371427876) &gt; a t critico  (-1.65304288894663) (de tabla) ---&gt; Se rechaza la hipotesis nula</v>
      </c>
    </row>
    <row r="69" spans="1:4" x14ac:dyDescent="0.25">
      <c r="A69">
        <v>2</v>
      </c>
      <c r="B69">
        <v>4</v>
      </c>
    </row>
    <row r="70" spans="1:4" x14ac:dyDescent="0.25">
      <c r="A70">
        <v>4</v>
      </c>
      <c r="B70">
        <v>3</v>
      </c>
    </row>
    <row r="71" spans="1:4" x14ac:dyDescent="0.25">
      <c r="A71">
        <v>3</v>
      </c>
      <c r="B71">
        <v>3</v>
      </c>
    </row>
    <row r="72" spans="1:4" x14ac:dyDescent="0.25">
      <c r="A72">
        <v>4</v>
      </c>
      <c r="B72">
        <v>4</v>
      </c>
      <c r="D72" t="s">
        <v>26</v>
      </c>
    </row>
    <row r="73" spans="1:4" x14ac:dyDescent="0.25">
      <c r="A73">
        <v>2</v>
      </c>
      <c r="B73">
        <v>5</v>
      </c>
      <c r="D73" t="str">
        <f>"Dos Colas: Si p valor ("&amp;E55&amp;") &lt; Nivel Significancia (0.05) ---&gt; Se rechaza la hipotesis nula"</f>
        <v>Dos Colas: Si p valor (1.23956234396321E-11) &lt; Nivel Significancia (0.05) ---&gt; Se rechaza la hipotesis nula</v>
      </c>
    </row>
    <row r="74" spans="1:4" x14ac:dyDescent="0.25">
      <c r="A74">
        <v>3</v>
      </c>
      <c r="B74">
        <v>4</v>
      </c>
      <c r="D74" t="str">
        <f>"Una Cola: Si p valor ("&amp;E56&amp;") &lt; Nivel Significancia (0.05) ---&gt; Se rechaza la hipotesis nula"</f>
        <v>Una Cola: Si p valor (6.19781171981604E-12) &lt; Nivel Significancia (0.05) ---&gt; Se rechaza la hipotesis nula</v>
      </c>
    </row>
    <row r="75" spans="1:4" x14ac:dyDescent="0.25">
      <c r="A75">
        <v>2</v>
      </c>
      <c r="B75">
        <v>4</v>
      </c>
    </row>
    <row r="76" spans="1:4" x14ac:dyDescent="0.25">
      <c r="A76">
        <v>2</v>
      </c>
      <c r="B76">
        <v>5</v>
      </c>
    </row>
    <row r="77" spans="1:4" x14ac:dyDescent="0.25">
      <c r="A77">
        <v>4</v>
      </c>
      <c r="B77">
        <v>5</v>
      </c>
    </row>
    <row r="78" spans="1:4" x14ac:dyDescent="0.25">
      <c r="A78">
        <v>3</v>
      </c>
      <c r="B78">
        <v>3</v>
      </c>
    </row>
    <row r="79" spans="1:4" x14ac:dyDescent="0.25">
      <c r="A79">
        <v>2</v>
      </c>
      <c r="B79">
        <v>3</v>
      </c>
    </row>
    <row r="80" spans="1:4" x14ac:dyDescent="0.25">
      <c r="A80">
        <v>3</v>
      </c>
      <c r="B80">
        <v>4</v>
      </c>
    </row>
    <row r="81" spans="1:2" x14ac:dyDescent="0.25">
      <c r="A81">
        <v>3</v>
      </c>
      <c r="B81">
        <v>2</v>
      </c>
    </row>
    <row r="82" spans="1:2" x14ac:dyDescent="0.25">
      <c r="A82">
        <v>5</v>
      </c>
      <c r="B82">
        <v>3</v>
      </c>
    </row>
    <row r="83" spans="1:2" x14ac:dyDescent="0.25">
      <c r="A83">
        <v>3</v>
      </c>
      <c r="B83">
        <v>5</v>
      </c>
    </row>
    <row r="84" spans="1:2" x14ac:dyDescent="0.25">
      <c r="A84">
        <v>5</v>
      </c>
      <c r="B84">
        <v>3</v>
      </c>
    </row>
    <row r="85" spans="1:2" x14ac:dyDescent="0.25">
      <c r="A85">
        <v>4</v>
      </c>
      <c r="B85">
        <v>4</v>
      </c>
    </row>
    <row r="86" spans="1:2" x14ac:dyDescent="0.25">
      <c r="A86">
        <v>2</v>
      </c>
      <c r="B86">
        <v>5</v>
      </c>
    </row>
    <row r="87" spans="1:2" x14ac:dyDescent="0.25">
      <c r="A87">
        <v>3</v>
      </c>
      <c r="B87">
        <v>3</v>
      </c>
    </row>
    <row r="88" spans="1:2" x14ac:dyDescent="0.25">
      <c r="A88">
        <v>3</v>
      </c>
      <c r="B88">
        <v>5</v>
      </c>
    </row>
    <row r="89" spans="1:2" x14ac:dyDescent="0.25">
      <c r="A89">
        <v>2</v>
      </c>
      <c r="B89">
        <v>5</v>
      </c>
    </row>
    <row r="90" spans="1:2" x14ac:dyDescent="0.25">
      <c r="A90">
        <v>3</v>
      </c>
      <c r="B90">
        <v>3</v>
      </c>
    </row>
    <row r="91" spans="1:2" x14ac:dyDescent="0.25">
      <c r="A91">
        <v>3</v>
      </c>
      <c r="B91">
        <v>3</v>
      </c>
    </row>
    <row r="92" spans="1:2" x14ac:dyDescent="0.25">
      <c r="A92">
        <v>4</v>
      </c>
      <c r="B92">
        <v>5</v>
      </c>
    </row>
    <row r="93" spans="1:2" x14ac:dyDescent="0.25">
      <c r="A93">
        <v>4</v>
      </c>
      <c r="B93">
        <v>5</v>
      </c>
    </row>
    <row r="94" spans="1:2" x14ac:dyDescent="0.25">
      <c r="A94">
        <v>5</v>
      </c>
      <c r="B94">
        <v>4</v>
      </c>
    </row>
    <row r="95" spans="1:2" x14ac:dyDescent="0.25">
      <c r="A95">
        <v>1</v>
      </c>
      <c r="B95">
        <v>5</v>
      </c>
    </row>
    <row r="96" spans="1:2" x14ac:dyDescent="0.25">
      <c r="A96">
        <v>3</v>
      </c>
      <c r="B96">
        <v>4</v>
      </c>
    </row>
    <row r="97" spans="1:2" x14ac:dyDescent="0.25">
      <c r="A97">
        <v>5</v>
      </c>
      <c r="B97">
        <v>5</v>
      </c>
    </row>
    <row r="98" spans="1:2" x14ac:dyDescent="0.25">
      <c r="A98">
        <v>4</v>
      </c>
      <c r="B98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30" zoomScaleNormal="130" workbookViewId="0">
      <selection activeCell="F11" sqref="F11"/>
    </sheetView>
  </sheetViews>
  <sheetFormatPr baseColWidth="10" defaultColWidth="9.140625" defaultRowHeight="15" x14ac:dyDescent="0.25"/>
  <cols>
    <col min="1" max="1" width="32.42578125" customWidth="1"/>
    <col min="2" max="2" width="31.140625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48</v>
      </c>
      <c r="B1" s="8" t="s">
        <v>59</v>
      </c>
    </row>
    <row r="2" spans="1:5" x14ac:dyDescent="0.25">
      <c r="A2">
        <v>4</v>
      </c>
      <c r="B2">
        <v>2</v>
      </c>
      <c r="D2" s="1" t="s">
        <v>24</v>
      </c>
      <c r="E2">
        <f>AVERAGE(A:A)</f>
        <v>3.2886597938144329</v>
      </c>
    </row>
    <row r="3" spans="1:5" x14ac:dyDescent="0.25">
      <c r="A3">
        <v>3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1</v>
      </c>
      <c r="B4">
        <v>4</v>
      </c>
      <c r="D4" s="1" t="s">
        <v>1</v>
      </c>
      <c r="E4">
        <f>MODE(A:A)</f>
        <v>3</v>
      </c>
    </row>
    <row r="5" spans="1:5" x14ac:dyDescent="0.25">
      <c r="A5">
        <v>3</v>
      </c>
      <c r="B5">
        <v>1</v>
      </c>
      <c r="D5" s="1" t="s">
        <v>15</v>
      </c>
      <c r="E5">
        <f>STDEV(A:A)</f>
        <v>1.1452689175345632</v>
      </c>
    </row>
    <row r="6" spans="1:5" x14ac:dyDescent="0.25">
      <c r="A6">
        <v>3</v>
      </c>
      <c r="B6">
        <v>4</v>
      </c>
      <c r="D6" s="4" t="s">
        <v>4</v>
      </c>
      <c r="E6">
        <f>COUNT(A:A)</f>
        <v>97</v>
      </c>
    </row>
    <row r="7" spans="1:5" x14ac:dyDescent="0.25">
      <c r="A7">
        <v>5</v>
      </c>
      <c r="B7">
        <v>4</v>
      </c>
    </row>
    <row r="8" spans="1:5" x14ac:dyDescent="0.25">
      <c r="A8">
        <v>3</v>
      </c>
      <c r="B8">
        <v>4</v>
      </c>
      <c r="D8" s="3" t="s">
        <v>25</v>
      </c>
      <c r="E8">
        <f>AVERAGE(B:B)</f>
        <v>3.9793814432989691</v>
      </c>
    </row>
    <row r="9" spans="1:5" x14ac:dyDescent="0.25">
      <c r="A9">
        <v>3</v>
      </c>
      <c r="B9">
        <v>4</v>
      </c>
      <c r="D9" s="3" t="s">
        <v>2</v>
      </c>
      <c r="E9">
        <f>MEDIAN(B:B)</f>
        <v>4</v>
      </c>
    </row>
    <row r="10" spans="1:5" x14ac:dyDescent="0.25">
      <c r="A10">
        <v>4</v>
      </c>
      <c r="B10">
        <v>5</v>
      </c>
      <c r="D10" s="3" t="s">
        <v>3</v>
      </c>
      <c r="E10">
        <f>MODE(B:B)</f>
        <v>4</v>
      </c>
    </row>
    <row r="11" spans="1:5" x14ac:dyDescent="0.25">
      <c r="A11">
        <v>4</v>
      </c>
      <c r="B11">
        <v>4</v>
      </c>
      <c r="D11" s="3" t="s">
        <v>14</v>
      </c>
      <c r="E11">
        <f>STDEV(B:B)</f>
        <v>0.99978520029824158</v>
      </c>
    </row>
    <row r="12" spans="1:5" x14ac:dyDescent="0.25">
      <c r="A12">
        <v>3</v>
      </c>
      <c r="B12">
        <v>5</v>
      </c>
      <c r="D12" s="5" t="s">
        <v>5</v>
      </c>
      <c r="E12">
        <f>COUNT(B:B)</f>
        <v>97</v>
      </c>
    </row>
    <row r="13" spans="1:5" x14ac:dyDescent="0.25">
      <c r="A13">
        <v>3</v>
      </c>
      <c r="B13">
        <v>3</v>
      </c>
    </row>
    <row r="14" spans="1:5" x14ac:dyDescent="0.25">
      <c r="A14">
        <v>4</v>
      </c>
      <c r="B14">
        <v>5</v>
      </c>
    </row>
    <row r="15" spans="1:5" x14ac:dyDescent="0.25">
      <c r="A15">
        <v>4</v>
      </c>
      <c r="B15">
        <v>3</v>
      </c>
    </row>
    <row r="16" spans="1:5" x14ac:dyDescent="0.25">
      <c r="A16">
        <v>3</v>
      </c>
      <c r="B16">
        <v>4</v>
      </c>
    </row>
    <row r="17" spans="1:5" x14ac:dyDescent="0.25">
      <c r="A17">
        <v>2</v>
      </c>
      <c r="B17">
        <v>1</v>
      </c>
      <c r="D17" s="2" t="s">
        <v>6</v>
      </c>
      <c r="E17" s="2"/>
    </row>
    <row r="18" spans="1:5" x14ac:dyDescent="0.25">
      <c r="A18">
        <v>5</v>
      </c>
      <c r="B18">
        <v>4</v>
      </c>
    </row>
    <row r="19" spans="1:5" x14ac:dyDescent="0.25">
      <c r="A19">
        <v>2</v>
      </c>
      <c r="B19">
        <v>3</v>
      </c>
    </row>
    <row r="20" spans="1:5" x14ac:dyDescent="0.25">
      <c r="A20">
        <v>4</v>
      </c>
      <c r="B20">
        <v>4</v>
      </c>
    </row>
    <row r="21" spans="1:5" x14ac:dyDescent="0.25">
      <c r="A21">
        <v>3</v>
      </c>
      <c r="B21">
        <v>5</v>
      </c>
    </row>
    <row r="22" spans="1:5" x14ac:dyDescent="0.25">
      <c r="A22">
        <v>4</v>
      </c>
      <c r="B22">
        <v>5</v>
      </c>
    </row>
    <row r="23" spans="1:5" x14ac:dyDescent="0.25">
      <c r="A23">
        <v>3</v>
      </c>
      <c r="B23">
        <v>5</v>
      </c>
    </row>
    <row r="24" spans="1:5" x14ac:dyDescent="0.25">
      <c r="A24">
        <v>3</v>
      </c>
      <c r="B24">
        <v>4</v>
      </c>
    </row>
    <row r="25" spans="1:5" x14ac:dyDescent="0.25">
      <c r="A25">
        <v>4</v>
      </c>
      <c r="B25">
        <v>4</v>
      </c>
    </row>
    <row r="26" spans="1:5" x14ac:dyDescent="0.25">
      <c r="A26">
        <v>2</v>
      </c>
      <c r="B26">
        <v>3</v>
      </c>
    </row>
    <row r="27" spans="1:5" x14ac:dyDescent="0.25">
      <c r="A27">
        <v>5</v>
      </c>
      <c r="B27">
        <v>4</v>
      </c>
    </row>
    <row r="28" spans="1:5" x14ac:dyDescent="0.25">
      <c r="A28">
        <v>2</v>
      </c>
      <c r="B28">
        <v>3</v>
      </c>
    </row>
    <row r="29" spans="1:5" x14ac:dyDescent="0.25">
      <c r="A29">
        <v>1</v>
      </c>
      <c r="B29">
        <v>4</v>
      </c>
      <c r="D29" t="s">
        <v>11</v>
      </c>
      <c r="E29">
        <f>(E2-E8)/SQRT(((E5^2)/E6)+((E11^2)/E12))</f>
        <v>-4.4747533896254978</v>
      </c>
    </row>
    <row r="30" spans="1:5" x14ac:dyDescent="0.25">
      <c r="A30">
        <v>4</v>
      </c>
      <c r="B30">
        <v>5</v>
      </c>
    </row>
    <row r="31" spans="1:5" x14ac:dyDescent="0.25">
      <c r="A31">
        <v>3</v>
      </c>
      <c r="B31">
        <v>4</v>
      </c>
      <c r="D31" s="2" t="s">
        <v>7</v>
      </c>
      <c r="E31" s="2"/>
    </row>
    <row r="32" spans="1:5" x14ac:dyDescent="0.25">
      <c r="A32">
        <v>3</v>
      </c>
      <c r="B32">
        <v>4</v>
      </c>
    </row>
    <row r="33" spans="1:6" x14ac:dyDescent="0.25">
      <c r="A33">
        <v>1</v>
      </c>
      <c r="B33">
        <v>3</v>
      </c>
    </row>
    <row r="34" spans="1:6" x14ac:dyDescent="0.25">
      <c r="A34">
        <v>3</v>
      </c>
      <c r="B34">
        <v>4</v>
      </c>
    </row>
    <row r="35" spans="1:6" x14ac:dyDescent="0.25">
      <c r="A35">
        <v>3</v>
      </c>
      <c r="B35">
        <v>5</v>
      </c>
    </row>
    <row r="36" spans="1:6" x14ac:dyDescent="0.25">
      <c r="A36">
        <v>5</v>
      </c>
      <c r="B36">
        <v>4</v>
      </c>
    </row>
    <row r="37" spans="1:6" x14ac:dyDescent="0.25">
      <c r="A37">
        <v>1</v>
      </c>
      <c r="B37">
        <v>3</v>
      </c>
    </row>
    <row r="38" spans="1:6" x14ac:dyDescent="0.25">
      <c r="A38">
        <v>4</v>
      </c>
      <c r="B38">
        <v>5</v>
      </c>
    </row>
    <row r="39" spans="1:6" x14ac:dyDescent="0.25">
      <c r="A39">
        <v>4</v>
      </c>
      <c r="B39">
        <v>5</v>
      </c>
    </row>
    <row r="40" spans="1:6" x14ac:dyDescent="0.25">
      <c r="A40">
        <v>3</v>
      </c>
      <c r="B40">
        <v>5</v>
      </c>
    </row>
    <row r="41" spans="1:6" ht="29.25" customHeight="1" x14ac:dyDescent="0.25">
      <c r="A41">
        <v>2</v>
      </c>
      <c r="B41">
        <v>5</v>
      </c>
      <c r="D41" t="s">
        <v>8</v>
      </c>
      <c r="E41">
        <f>(((E5^2)/E6)+((E11^2)/E12))^2</f>
        <v>5.6772216591536521E-4</v>
      </c>
    </row>
    <row r="42" spans="1:6" ht="47.25" customHeight="1" x14ac:dyDescent="0.25">
      <c r="A42">
        <v>5</v>
      </c>
      <c r="B42">
        <v>3</v>
      </c>
      <c r="D42" t="s">
        <v>9</v>
      </c>
      <c r="E42">
        <f>(((E5^2)/E6)^2)/(E6-1)</f>
        <v>1.9046500618034734E-6</v>
      </c>
    </row>
    <row r="43" spans="1:6" ht="43.5" customHeight="1" x14ac:dyDescent="0.25">
      <c r="A43">
        <v>3</v>
      </c>
      <c r="B43">
        <v>4</v>
      </c>
      <c r="D43" t="s">
        <v>10</v>
      </c>
      <c r="E43">
        <f>(((E11^2)/E12)^2)/(E12-1)</f>
        <v>1.1061451336340175E-6</v>
      </c>
    </row>
    <row r="44" spans="1:6" x14ac:dyDescent="0.25">
      <c r="A44">
        <v>3</v>
      </c>
      <c r="B44">
        <v>4</v>
      </c>
    </row>
    <row r="45" spans="1:6" x14ac:dyDescent="0.25">
      <c r="A45">
        <v>4</v>
      </c>
      <c r="B45">
        <v>2</v>
      </c>
      <c r="D45" t="s">
        <v>7</v>
      </c>
      <c r="E45">
        <f>E41/(E42+E43)</f>
        <v>188.56220003794411</v>
      </c>
      <c r="F45" s="6" t="s">
        <v>12</v>
      </c>
    </row>
    <row r="46" spans="1:6" x14ac:dyDescent="0.25">
      <c r="A46">
        <v>3</v>
      </c>
      <c r="B46">
        <v>5</v>
      </c>
    </row>
    <row r="47" spans="1:6" x14ac:dyDescent="0.25">
      <c r="A47">
        <v>3</v>
      </c>
      <c r="B47">
        <v>5</v>
      </c>
      <c r="D47" t="s">
        <v>13</v>
      </c>
      <c r="E47">
        <v>0.05</v>
      </c>
      <c r="F47" s="6" t="s">
        <v>12</v>
      </c>
    </row>
    <row r="48" spans="1:6" x14ac:dyDescent="0.25">
      <c r="A48">
        <v>3</v>
      </c>
      <c r="B48">
        <v>5</v>
      </c>
    </row>
    <row r="49" spans="1:5" x14ac:dyDescent="0.25">
      <c r="A49">
        <v>4</v>
      </c>
      <c r="B49">
        <v>5</v>
      </c>
    </row>
    <row r="50" spans="1:5" x14ac:dyDescent="0.25">
      <c r="A50">
        <v>4</v>
      </c>
      <c r="B50">
        <v>2</v>
      </c>
    </row>
    <row r="51" spans="1:5" x14ac:dyDescent="0.25">
      <c r="A51">
        <v>5</v>
      </c>
      <c r="B51">
        <v>5</v>
      </c>
      <c r="D51" s="2"/>
      <c r="E51" s="2"/>
    </row>
    <row r="52" spans="1:5" x14ac:dyDescent="0.25">
      <c r="A52">
        <v>4</v>
      </c>
      <c r="B52">
        <v>5</v>
      </c>
      <c r="D52" t="s">
        <v>16</v>
      </c>
      <c r="E52">
        <f>_xlfn.T.INV.2T(E47,E45)</f>
        <v>1.9726626923813055</v>
      </c>
    </row>
    <row r="53" spans="1:5" x14ac:dyDescent="0.25">
      <c r="A53">
        <v>2</v>
      </c>
      <c r="B53">
        <v>5</v>
      </c>
      <c r="D53" t="s">
        <v>17</v>
      </c>
      <c r="E53">
        <f>_xlfn.T.INV(E47, E45)</f>
        <v>-1.6529991125717423</v>
      </c>
    </row>
    <row r="54" spans="1:5" x14ac:dyDescent="0.25">
      <c r="A54">
        <v>3</v>
      </c>
      <c r="B54">
        <v>3</v>
      </c>
    </row>
    <row r="55" spans="1:5" x14ac:dyDescent="0.25">
      <c r="A55">
        <v>4</v>
      </c>
      <c r="B55">
        <v>3</v>
      </c>
      <c r="D55" t="s">
        <v>18</v>
      </c>
      <c r="E55">
        <f>TTEST(A:A,B:B,2,2)</f>
        <v>1.3088744301357439E-5</v>
      </c>
    </row>
    <row r="56" spans="1:5" x14ac:dyDescent="0.25">
      <c r="A56">
        <v>3</v>
      </c>
      <c r="B56">
        <v>5</v>
      </c>
      <c r="D56" t="s">
        <v>19</v>
      </c>
      <c r="E56">
        <f>TTEST(A:A,B:B,1,2)</f>
        <v>6.5443721506787194E-6</v>
      </c>
    </row>
    <row r="57" spans="1:5" x14ac:dyDescent="0.25">
      <c r="A57">
        <v>4</v>
      </c>
      <c r="B57">
        <v>4</v>
      </c>
    </row>
    <row r="58" spans="1:5" x14ac:dyDescent="0.25">
      <c r="A58">
        <v>4</v>
      </c>
      <c r="B58">
        <v>4</v>
      </c>
    </row>
    <row r="59" spans="1:5" x14ac:dyDescent="0.25">
      <c r="A59">
        <v>4</v>
      </c>
      <c r="B59">
        <v>5</v>
      </c>
      <c r="D59" s="2" t="s">
        <v>20</v>
      </c>
      <c r="E59" s="2"/>
    </row>
    <row r="60" spans="1:5" x14ac:dyDescent="0.25">
      <c r="A60">
        <v>2</v>
      </c>
      <c r="B60">
        <v>4</v>
      </c>
    </row>
    <row r="61" spans="1:5" x14ac:dyDescent="0.25">
      <c r="A61">
        <v>3</v>
      </c>
      <c r="B61">
        <v>5</v>
      </c>
      <c r="D61" t="s">
        <v>21</v>
      </c>
    </row>
    <row r="62" spans="1:5" x14ac:dyDescent="0.25">
      <c r="A62">
        <v>4</v>
      </c>
      <c r="B62">
        <v>4</v>
      </c>
      <c r="D62" t="s">
        <v>22</v>
      </c>
    </row>
    <row r="63" spans="1:5" x14ac:dyDescent="0.25">
      <c r="A63">
        <v>5</v>
      </c>
      <c r="B63">
        <v>5</v>
      </c>
    </row>
    <row r="64" spans="1:5" x14ac:dyDescent="0.25">
      <c r="A64">
        <v>3</v>
      </c>
      <c r="B64">
        <v>4</v>
      </c>
    </row>
    <row r="65" spans="1:4" x14ac:dyDescent="0.25">
      <c r="A65">
        <v>2</v>
      </c>
      <c r="B65">
        <v>4</v>
      </c>
    </row>
    <row r="66" spans="1:4" x14ac:dyDescent="0.25">
      <c r="A66">
        <v>5</v>
      </c>
      <c r="B66">
        <v>5</v>
      </c>
      <c r="D66" t="s">
        <v>23</v>
      </c>
    </row>
    <row r="67" spans="1:4" x14ac:dyDescent="0.25">
      <c r="A67">
        <v>2</v>
      </c>
      <c r="B67">
        <v>4</v>
      </c>
      <c r="D67" t="str">
        <f>"Dos Colas: Si t calculado ("&amp;E29&amp;") &gt; a t critico  ("&amp;E52&amp;") (de tabla) ---&gt; Se rechaza la hipotesis nula"</f>
        <v>Dos Colas: Si t calculado (-4.4747533896255) &gt; a t critico  (1.97266269238131) (de tabla) ---&gt; Se rechaza la hipotesis nula</v>
      </c>
    </row>
    <row r="68" spans="1:4" x14ac:dyDescent="0.25">
      <c r="A68">
        <v>4</v>
      </c>
      <c r="B68">
        <v>5</v>
      </c>
      <c r="D68" t="str">
        <f>"Una Cola: Si t calculado ("&amp;E29&amp;") &gt; a t critico  ("&amp;E53&amp;") (de tabla) ---&gt; Se rechaza la hipotesis nula"</f>
        <v>Una Cola: Si t calculado (-4.4747533896255) &gt; a t critico  (-1.65299911257174) (de tabla) ---&gt; Se rechaza la hipotesis nula</v>
      </c>
    </row>
    <row r="69" spans="1:4" x14ac:dyDescent="0.25">
      <c r="A69">
        <v>4</v>
      </c>
      <c r="B69">
        <v>5</v>
      </c>
    </row>
    <row r="70" spans="1:4" x14ac:dyDescent="0.25">
      <c r="A70">
        <v>1</v>
      </c>
      <c r="B70">
        <v>5</v>
      </c>
    </row>
    <row r="71" spans="1:4" x14ac:dyDescent="0.25">
      <c r="A71">
        <v>4</v>
      </c>
      <c r="B71">
        <v>4</v>
      </c>
    </row>
    <row r="72" spans="1:4" x14ac:dyDescent="0.25">
      <c r="A72">
        <v>5</v>
      </c>
      <c r="B72">
        <v>2</v>
      </c>
      <c r="D72" t="s">
        <v>26</v>
      </c>
    </row>
    <row r="73" spans="1:4" x14ac:dyDescent="0.25">
      <c r="A73">
        <v>1</v>
      </c>
      <c r="B73">
        <v>4</v>
      </c>
      <c r="D73" t="str">
        <f>"Dos Colas: Si p valor ("&amp;E55&amp;") &lt; Nivel Significancia (0.05) ---&gt; Se rechaza la hipotesis nula"</f>
        <v>Dos Colas: Si p valor (1.30887443013574E-05) &lt; Nivel Significancia (0.05) ---&gt; Se rechaza la hipotesis nula</v>
      </c>
    </row>
    <row r="74" spans="1:4" x14ac:dyDescent="0.25">
      <c r="A74">
        <v>3</v>
      </c>
      <c r="B74">
        <v>3</v>
      </c>
      <c r="D74" t="str">
        <f>"Una Cola: Si p valor ("&amp;E56&amp;") &lt; Nivel Significancia (0.05) ---&gt; Se rechaza la hipotesis nula"</f>
        <v>Una Cola: Si p valor (6.54437215067872E-06) &lt; Nivel Significancia (0.05) ---&gt; Se rechaza la hipotesis nula</v>
      </c>
    </row>
    <row r="75" spans="1:4" x14ac:dyDescent="0.25">
      <c r="A75">
        <v>3</v>
      </c>
      <c r="B75">
        <v>4</v>
      </c>
    </row>
    <row r="76" spans="1:4" x14ac:dyDescent="0.25">
      <c r="A76">
        <v>4</v>
      </c>
      <c r="B76">
        <v>3</v>
      </c>
    </row>
    <row r="77" spans="1:4" x14ac:dyDescent="0.25">
      <c r="A77">
        <v>2</v>
      </c>
      <c r="B77">
        <v>3</v>
      </c>
    </row>
    <row r="78" spans="1:4" x14ac:dyDescent="0.25">
      <c r="A78">
        <v>3</v>
      </c>
      <c r="B78">
        <v>4</v>
      </c>
    </row>
    <row r="79" spans="1:4" x14ac:dyDescent="0.25">
      <c r="A79">
        <v>3</v>
      </c>
      <c r="B79">
        <v>2</v>
      </c>
    </row>
    <row r="80" spans="1:4" x14ac:dyDescent="0.25">
      <c r="A80">
        <v>4</v>
      </c>
      <c r="B80">
        <v>4</v>
      </c>
    </row>
    <row r="81" spans="1:2" x14ac:dyDescent="0.25">
      <c r="A81">
        <v>1</v>
      </c>
      <c r="B81">
        <v>5</v>
      </c>
    </row>
    <row r="82" spans="1:2" x14ac:dyDescent="0.25">
      <c r="A82">
        <v>2</v>
      </c>
      <c r="B82">
        <v>4</v>
      </c>
    </row>
    <row r="83" spans="1:2" x14ac:dyDescent="0.25">
      <c r="A83">
        <v>3</v>
      </c>
      <c r="B83">
        <v>2</v>
      </c>
    </row>
    <row r="84" spans="1:2" x14ac:dyDescent="0.25">
      <c r="A84">
        <v>2</v>
      </c>
      <c r="B84">
        <v>4</v>
      </c>
    </row>
    <row r="85" spans="1:2" x14ac:dyDescent="0.25">
      <c r="A85">
        <v>4</v>
      </c>
      <c r="B85">
        <v>5</v>
      </c>
    </row>
    <row r="86" spans="1:2" x14ac:dyDescent="0.25">
      <c r="A86">
        <v>3</v>
      </c>
      <c r="B86">
        <v>5</v>
      </c>
    </row>
    <row r="87" spans="1:2" x14ac:dyDescent="0.25">
      <c r="A87">
        <v>5</v>
      </c>
      <c r="B87">
        <v>5</v>
      </c>
    </row>
    <row r="88" spans="1:2" x14ac:dyDescent="0.25">
      <c r="A88">
        <v>1</v>
      </c>
      <c r="B88">
        <v>3</v>
      </c>
    </row>
    <row r="89" spans="1:2" x14ac:dyDescent="0.25">
      <c r="A89">
        <v>4</v>
      </c>
      <c r="B89">
        <v>5</v>
      </c>
    </row>
    <row r="90" spans="1:2" x14ac:dyDescent="0.25">
      <c r="A90">
        <v>3</v>
      </c>
      <c r="B90">
        <v>2</v>
      </c>
    </row>
    <row r="91" spans="1:2" x14ac:dyDescent="0.25">
      <c r="A91">
        <v>5</v>
      </c>
      <c r="B91">
        <v>4</v>
      </c>
    </row>
    <row r="92" spans="1:2" x14ac:dyDescent="0.25">
      <c r="A92">
        <v>5</v>
      </c>
      <c r="B92">
        <v>5</v>
      </c>
    </row>
    <row r="93" spans="1:2" x14ac:dyDescent="0.25">
      <c r="A93">
        <v>4</v>
      </c>
      <c r="B93">
        <v>4</v>
      </c>
    </row>
    <row r="94" spans="1:2" x14ac:dyDescent="0.25">
      <c r="A94">
        <v>5</v>
      </c>
      <c r="B94">
        <v>4</v>
      </c>
    </row>
    <row r="95" spans="1:2" x14ac:dyDescent="0.25">
      <c r="A95">
        <v>4</v>
      </c>
      <c r="B95">
        <v>3</v>
      </c>
    </row>
    <row r="96" spans="1:2" x14ac:dyDescent="0.25">
      <c r="A96">
        <v>5</v>
      </c>
      <c r="B96">
        <v>5</v>
      </c>
    </row>
    <row r="97" spans="1:2" x14ac:dyDescent="0.25">
      <c r="A97">
        <v>1</v>
      </c>
      <c r="B97">
        <v>4</v>
      </c>
    </row>
    <row r="98" spans="1:2" x14ac:dyDescent="0.25">
      <c r="A98">
        <v>4</v>
      </c>
      <c r="B98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15" zoomScaleNormal="115" workbookViewId="0">
      <selection activeCell="F26" sqref="F26"/>
    </sheetView>
  </sheetViews>
  <sheetFormatPr baseColWidth="10" defaultColWidth="9.140625" defaultRowHeight="15" x14ac:dyDescent="0.25"/>
  <cols>
    <col min="1" max="1" width="33.140625" customWidth="1"/>
    <col min="2" max="2" width="30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11" t="s">
        <v>49</v>
      </c>
      <c r="B1" s="9" t="s">
        <v>60</v>
      </c>
    </row>
    <row r="2" spans="1:5" x14ac:dyDescent="0.25">
      <c r="A2">
        <v>3</v>
      </c>
      <c r="B2">
        <v>4</v>
      </c>
      <c r="D2" s="1" t="s">
        <v>24</v>
      </c>
      <c r="E2">
        <f>AVERAGE(A:A)</f>
        <v>3.134020618556701</v>
      </c>
    </row>
    <row r="3" spans="1:5" x14ac:dyDescent="0.25">
      <c r="A3">
        <v>4</v>
      </c>
      <c r="B3">
        <v>5</v>
      </c>
      <c r="D3" s="1" t="s">
        <v>0</v>
      </c>
      <c r="E3">
        <f>MEDIAN(A:A)</f>
        <v>3</v>
      </c>
    </row>
    <row r="4" spans="1:5" x14ac:dyDescent="0.25">
      <c r="A4">
        <v>2</v>
      </c>
      <c r="B4">
        <v>5</v>
      </c>
      <c r="D4" s="1" t="s">
        <v>1</v>
      </c>
      <c r="E4">
        <f>MODE(A:A)</f>
        <v>3</v>
      </c>
    </row>
    <row r="5" spans="1:5" x14ac:dyDescent="0.25">
      <c r="A5">
        <v>2</v>
      </c>
      <c r="B5">
        <v>5</v>
      </c>
      <c r="D5" s="1" t="s">
        <v>15</v>
      </c>
      <c r="E5">
        <f>STDEV(A:A)</f>
        <v>1.2300818568576835</v>
      </c>
    </row>
    <row r="6" spans="1:5" x14ac:dyDescent="0.25">
      <c r="A6">
        <v>2</v>
      </c>
      <c r="B6">
        <v>3</v>
      </c>
      <c r="D6" s="4" t="s">
        <v>4</v>
      </c>
      <c r="E6">
        <f>COUNT(A:A)</f>
        <v>97</v>
      </c>
    </row>
    <row r="7" spans="1:5" x14ac:dyDescent="0.25">
      <c r="A7">
        <v>3</v>
      </c>
      <c r="B7">
        <v>3</v>
      </c>
    </row>
    <row r="8" spans="1:5" x14ac:dyDescent="0.25">
      <c r="A8">
        <v>3</v>
      </c>
      <c r="B8">
        <v>4</v>
      </c>
      <c r="D8" s="3" t="s">
        <v>25</v>
      </c>
      <c r="E8">
        <f>AVERAGE(B:B)</f>
        <v>4.2061855670103094</v>
      </c>
    </row>
    <row r="9" spans="1:5" x14ac:dyDescent="0.25">
      <c r="A9">
        <v>4</v>
      </c>
      <c r="B9">
        <v>5</v>
      </c>
      <c r="D9" s="3" t="s">
        <v>2</v>
      </c>
      <c r="E9">
        <f>MEDIAN(B:B)</f>
        <v>4</v>
      </c>
    </row>
    <row r="10" spans="1:5" x14ac:dyDescent="0.25">
      <c r="A10">
        <v>2</v>
      </c>
      <c r="B10">
        <v>5</v>
      </c>
      <c r="D10" s="3" t="s">
        <v>3</v>
      </c>
      <c r="E10">
        <f>MODE(B:B)</f>
        <v>5</v>
      </c>
    </row>
    <row r="11" spans="1:5" x14ac:dyDescent="0.25">
      <c r="A11">
        <v>2</v>
      </c>
      <c r="B11">
        <v>4</v>
      </c>
      <c r="D11" s="3" t="s">
        <v>14</v>
      </c>
      <c r="E11">
        <f>STDEV(B:B)</f>
        <v>0.90067271536678917</v>
      </c>
    </row>
    <row r="12" spans="1:5" x14ac:dyDescent="0.25">
      <c r="A12">
        <v>5</v>
      </c>
      <c r="B12">
        <v>5</v>
      </c>
      <c r="D12" s="5" t="s">
        <v>5</v>
      </c>
      <c r="E12">
        <f>COUNT(B:B)</f>
        <v>97</v>
      </c>
    </row>
    <row r="13" spans="1:5" x14ac:dyDescent="0.25">
      <c r="A13">
        <v>5</v>
      </c>
      <c r="B13">
        <v>5</v>
      </c>
    </row>
    <row r="14" spans="1:5" x14ac:dyDescent="0.25">
      <c r="A14">
        <v>1</v>
      </c>
      <c r="B14">
        <v>4</v>
      </c>
    </row>
    <row r="15" spans="1:5" x14ac:dyDescent="0.25">
      <c r="A15">
        <v>5</v>
      </c>
      <c r="B15">
        <v>5</v>
      </c>
    </row>
    <row r="16" spans="1:5" x14ac:dyDescent="0.25">
      <c r="A16">
        <v>3</v>
      </c>
      <c r="B16">
        <v>5</v>
      </c>
    </row>
    <row r="17" spans="1:5" x14ac:dyDescent="0.25">
      <c r="A17">
        <v>5</v>
      </c>
      <c r="B17">
        <v>4</v>
      </c>
      <c r="D17" s="2" t="s">
        <v>6</v>
      </c>
      <c r="E17" s="2"/>
    </row>
    <row r="18" spans="1:5" x14ac:dyDescent="0.25">
      <c r="A18">
        <v>1</v>
      </c>
      <c r="B18">
        <v>5</v>
      </c>
    </row>
    <row r="19" spans="1:5" x14ac:dyDescent="0.25">
      <c r="A19">
        <v>2</v>
      </c>
      <c r="B19">
        <v>4</v>
      </c>
    </row>
    <row r="20" spans="1:5" x14ac:dyDescent="0.25">
      <c r="A20">
        <v>3</v>
      </c>
      <c r="B20">
        <v>3</v>
      </c>
    </row>
    <row r="21" spans="1:5" x14ac:dyDescent="0.25">
      <c r="A21">
        <v>3</v>
      </c>
      <c r="B21">
        <v>4</v>
      </c>
    </row>
    <row r="22" spans="1:5" x14ac:dyDescent="0.25">
      <c r="A22">
        <v>4</v>
      </c>
      <c r="B22">
        <v>4</v>
      </c>
    </row>
    <row r="23" spans="1:5" x14ac:dyDescent="0.25">
      <c r="A23">
        <v>4</v>
      </c>
      <c r="B23">
        <v>3</v>
      </c>
    </row>
    <row r="24" spans="1:5" x14ac:dyDescent="0.25">
      <c r="A24">
        <v>4</v>
      </c>
      <c r="B24">
        <v>4</v>
      </c>
    </row>
    <row r="25" spans="1:5" x14ac:dyDescent="0.25">
      <c r="A25">
        <v>2</v>
      </c>
      <c r="B25">
        <v>5</v>
      </c>
    </row>
    <row r="26" spans="1:5" x14ac:dyDescent="0.25">
      <c r="A26">
        <v>3</v>
      </c>
      <c r="B26">
        <v>4</v>
      </c>
    </row>
    <row r="27" spans="1:5" x14ac:dyDescent="0.25">
      <c r="A27">
        <v>3</v>
      </c>
      <c r="B27">
        <v>4</v>
      </c>
    </row>
    <row r="28" spans="1:5" x14ac:dyDescent="0.25">
      <c r="A28">
        <v>1</v>
      </c>
      <c r="B28">
        <v>5</v>
      </c>
    </row>
    <row r="29" spans="1:5" x14ac:dyDescent="0.25">
      <c r="A29">
        <v>3</v>
      </c>
      <c r="B29">
        <v>5</v>
      </c>
      <c r="D29" t="s">
        <v>11</v>
      </c>
      <c r="E29">
        <f>(E2-E8)/SQRT(((E5^2)/E6)+((E11^2)/E12))</f>
        <v>-6.9262823754083325</v>
      </c>
    </row>
    <row r="30" spans="1:5" x14ac:dyDescent="0.25">
      <c r="A30">
        <v>5</v>
      </c>
      <c r="B30">
        <v>4</v>
      </c>
    </row>
    <row r="31" spans="1:5" x14ac:dyDescent="0.25">
      <c r="A31">
        <v>1</v>
      </c>
      <c r="B31">
        <v>5</v>
      </c>
      <c r="D31" s="2" t="s">
        <v>7</v>
      </c>
      <c r="E31" s="2"/>
    </row>
    <row r="32" spans="1:5" x14ac:dyDescent="0.25">
      <c r="A32">
        <v>5</v>
      </c>
      <c r="B32">
        <v>4</v>
      </c>
    </row>
    <row r="33" spans="1:6" x14ac:dyDescent="0.25">
      <c r="A33">
        <v>3</v>
      </c>
      <c r="B33">
        <v>4</v>
      </c>
    </row>
    <row r="34" spans="1:6" x14ac:dyDescent="0.25">
      <c r="A34">
        <v>4</v>
      </c>
      <c r="B34">
        <v>3</v>
      </c>
    </row>
    <row r="35" spans="1:6" x14ac:dyDescent="0.25">
      <c r="A35">
        <v>5</v>
      </c>
      <c r="B35">
        <v>5</v>
      </c>
    </row>
    <row r="36" spans="1:6" x14ac:dyDescent="0.25">
      <c r="A36">
        <v>4</v>
      </c>
      <c r="B36">
        <v>5</v>
      </c>
    </row>
    <row r="37" spans="1:6" x14ac:dyDescent="0.25">
      <c r="A37">
        <v>2</v>
      </c>
      <c r="B37">
        <v>4</v>
      </c>
    </row>
    <row r="38" spans="1:6" x14ac:dyDescent="0.25">
      <c r="A38">
        <v>3</v>
      </c>
      <c r="B38">
        <v>4</v>
      </c>
    </row>
    <row r="39" spans="1:6" x14ac:dyDescent="0.25">
      <c r="A39">
        <v>2</v>
      </c>
      <c r="B39">
        <v>2</v>
      </c>
    </row>
    <row r="40" spans="1:6" x14ac:dyDescent="0.25">
      <c r="A40">
        <v>4</v>
      </c>
      <c r="B40">
        <v>4</v>
      </c>
    </row>
    <row r="41" spans="1:6" ht="29.25" customHeight="1" x14ac:dyDescent="0.25">
      <c r="A41">
        <v>5</v>
      </c>
      <c r="B41">
        <v>5</v>
      </c>
      <c r="D41" t="s">
        <v>8</v>
      </c>
      <c r="E41">
        <f>(((E5^2)/E6)+((E11^2)/E12))^2</f>
        <v>5.7417680902033339E-4</v>
      </c>
    </row>
    <row r="42" spans="1:6" ht="47.25" customHeight="1" x14ac:dyDescent="0.25">
      <c r="A42">
        <v>5</v>
      </c>
      <c r="B42">
        <v>3</v>
      </c>
      <c r="D42" t="s">
        <v>9</v>
      </c>
      <c r="E42">
        <f>(((E5^2)/E6)^2)/(E6-1)</f>
        <v>2.5346695647418414E-6</v>
      </c>
    </row>
    <row r="43" spans="1:6" ht="43.5" customHeight="1" x14ac:dyDescent="0.25">
      <c r="A43">
        <v>2</v>
      </c>
      <c r="B43">
        <v>4</v>
      </c>
      <c r="D43" t="s">
        <v>10</v>
      </c>
      <c r="E43">
        <f>(((E11^2)/E12)^2)/(E12-1)</f>
        <v>7.2853987148731181E-7</v>
      </c>
    </row>
    <row r="44" spans="1:6" x14ac:dyDescent="0.25">
      <c r="A44">
        <v>3</v>
      </c>
      <c r="B44">
        <v>5</v>
      </c>
    </row>
    <row r="45" spans="1:6" x14ac:dyDescent="0.25">
      <c r="A45">
        <v>2</v>
      </c>
      <c r="B45">
        <v>3</v>
      </c>
      <c r="D45" t="s">
        <v>7</v>
      </c>
      <c r="E45">
        <f>E41/(E42+E43)</f>
        <v>175.95463001719907</v>
      </c>
      <c r="F45" s="6" t="s">
        <v>12</v>
      </c>
    </row>
    <row r="46" spans="1:6" x14ac:dyDescent="0.25">
      <c r="A46">
        <v>5</v>
      </c>
      <c r="B46">
        <v>4</v>
      </c>
    </row>
    <row r="47" spans="1:6" x14ac:dyDescent="0.25">
      <c r="A47">
        <v>3</v>
      </c>
      <c r="B47">
        <v>5</v>
      </c>
      <c r="D47" t="s">
        <v>13</v>
      </c>
      <c r="E47">
        <v>0.05</v>
      </c>
      <c r="F47" s="6" t="s">
        <v>12</v>
      </c>
    </row>
    <row r="48" spans="1:6" x14ac:dyDescent="0.25">
      <c r="A48">
        <v>2</v>
      </c>
      <c r="B48">
        <v>5</v>
      </c>
    </row>
    <row r="49" spans="1:5" x14ac:dyDescent="0.25">
      <c r="A49">
        <v>5</v>
      </c>
      <c r="B49">
        <v>4</v>
      </c>
    </row>
    <row r="50" spans="1:5" x14ac:dyDescent="0.25">
      <c r="A50">
        <v>4</v>
      </c>
      <c r="B50">
        <v>5</v>
      </c>
    </row>
    <row r="51" spans="1:5" x14ac:dyDescent="0.25">
      <c r="A51">
        <v>4</v>
      </c>
      <c r="B51">
        <v>5</v>
      </c>
      <c r="D51" s="2"/>
      <c r="E51" s="2"/>
    </row>
    <row r="52" spans="1:5" x14ac:dyDescent="0.25">
      <c r="A52">
        <v>2</v>
      </c>
      <c r="B52">
        <v>4</v>
      </c>
      <c r="D52" t="s">
        <v>16</v>
      </c>
      <c r="E52">
        <f>_xlfn.T.INV.2T(E47,E45)</f>
        <v>1.9736124619543807</v>
      </c>
    </row>
    <row r="53" spans="1:5" x14ac:dyDescent="0.25">
      <c r="A53">
        <v>3</v>
      </c>
      <c r="B53">
        <v>4</v>
      </c>
      <c r="D53" t="s">
        <v>17</v>
      </c>
      <c r="E53">
        <f>_xlfn.T.INV(E47, E45)</f>
        <v>-1.6536074370792557</v>
      </c>
    </row>
    <row r="54" spans="1:5" x14ac:dyDescent="0.25">
      <c r="A54">
        <v>2</v>
      </c>
      <c r="B54">
        <v>4</v>
      </c>
    </row>
    <row r="55" spans="1:5" x14ac:dyDescent="0.25">
      <c r="A55">
        <v>4</v>
      </c>
      <c r="B55">
        <v>2</v>
      </c>
      <c r="D55" t="s">
        <v>18</v>
      </c>
      <c r="E55">
        <f>TTEST(A:A,B:B,2,2)</f>
        <v>6.3390533345929276E-11</v>
      </c>
    </row>
    <row r="56" spans="1:5" x14ac:dyDescent="0.25">
      <c r="A56">
        <v>4</v>
      </c>
      <c r="B56">
        <v>5</v>
      </c>
      <c r="D56" t="s">
        <v>19</v>
      </c>
      <c r="E56">
        <f>TTEST(A:A,B:B,1,2)</f>
        <v>3.1695266672964638E-11</v>
      </c>
    </row>
    <row r="57" spans="1:5" x14ac:dyDescent="0.25">
      <c r="A57">
        <v>1</v>
      </c>
      <c r="B57">
        <v>5</v>
      </c>
    </row>
    <row r="58" spans="1:5" x14ac:dyDescent="0.25">
      <c r="A58">
        <v>5</v>
      </c>
      <c r="B58">
        <v>5</v>
      </c>
    </row>
    <row r="59" spans="1:5" x14ac:dyDescent="0.25">
      <c r="A59">
        <v>3</v>
      </c>
      <c r="B59">
        <v>5</v>
      </c>
      <c r="D59" s="2" t="s">
        <v>20</v>
      </c>
      <c r="E59" s="2"/>
    </row>
    <row r="60" spans="1:5" x14ac:dyDescent="0.25">
      <c r="A60">
        <v>1</v>
      </c>
      <c r="B60">
        <v>4</v>
      </c>
    </row>
    <row r="61" spans="1:5" x14ac:dyDescent="0.25">
      <c r="A61">
        <v>2</v>
      </c>
      <c r="B61">
        <v>4</v>
      </c>
      <c r="D61" t="s">
        <v>21</v>
      </c>
    </row>
    <row r="62" spans="1:5" x14ac:dyDescent="0.25">
      <c r="A62">
        <v>2</v>
      </c>
      <c r="B62">
        <v>5</v>
      </c>
      <c r="D62" t="s">
        <v>22</v>
      </c>
    </row>
    <row r="63" spans="1:5" x14ac:dyDescent="0.25">
      <c r="A63">
        <v>4</v>
      </c>
      <c r="B63">
        <v>5</v>
      </c>
    </row>
    <row r="64" spans="1:5" x14ac:dyDescent="0.25">
      <c r="A64">
        <v>3</v>
      </c>
      <c r="B64">
        <v>4</v>
      </c>
    </row>
    <row r="65" spans="1:4" x14ac:dyDescent="0.25">
      <c r="A65">
        <v>4</v>
      </c>
      <c r="B65">
        <v>3</v>
      </c>
    </row>
    <row r="66" spans="1:4" x14ac:dyDescent="0.25">
      <c r="A66">
        <v>2</v>
      </c>
      <c r="B66">
        <v>5</v>
      </c>
      <c r="D66" t="s">
        <v>23</v>
      </c>
    </row>
    <row r="67" spans="1:4" x14ac:dyDescent="0.25">
      <c r="A67">
        <v>1</v>
      </c>
      <c r="B67">
        <v>3</v>
      </c>
      <c r="D67" t="str">
        <f>"Dos Colas: Si t calculado ("&amp;E29&amp;") &gt; a t critico  ("&amp;E52&amp;") (de tabla) ---&gt; Se rechaza la hipotesis nula"</f>
        <v>Dos Colas: Si t calculado (-6.92628237540833) &gt; a t critico  (1.97361246195438) (de tabla) ---&gt; Se rechaza la hipotesis nula</v>
      </c>
    </row>
    <row r="68" spans="1:4" x14ac:dyDescent="0.25">
      <c r="A68">
        <v>1</v>
      </c>
      <c r="B68">
        <v>5</v>
      </c>
      <c r="D68" t="str">
        <f>"Una Cola: Si t calculado ("&amp;E29&amp;") &gt; a t critico  ("&amp;E53&amp;") (de tabla) ---&gt; Se rechaza la hipotesis nula"</f>
        <v>Una Cola: Si t calculado (-6.92628237540833) &gt; a t critico  (-1.65360743707926) (de tabla) ---&gt; Se rechaza la hipotesis nula</v>
      </c>
    </row>
    <row r="69" spans="1:4" x14ac:dyDescent="0.25">
      <c r="A69">
        <v>5</v>
      </c>
      <c r="B69">
        <v>2</v>
      </c>
    </row>
    <row r="70" spans="1:4" x14ac:dyDescent="0.25">
      <c r="A70">
        <v>4</v>
      </c>
      <c r="B70">
        <v>5</v>
      </c>
    </row>
    <row r="71" spans="1:4" x14ac:dyDescent="0.25">
      <c r="A71">
        <v>4</v>
      </c>
      <c r="B71">
        <v>4</v>
      </c>
    </row>
    <row r="72" spans="1:4" x14ac:dyDescent="0.25">
      <c r="A72">
        <v>5</v>
      </c>
      <c r="B72">
        <v>3</v>
      </c>
      <c r="D72" t="s">
        <v>26</v>
      </c>
    </row>
    <row r="73" spans="1:4" x14ac:dyDescent="0.25">
      <c r="A73">
        <v>4</v>
      </c>
      <c r="B73">
        <v>4</v>
      </c>
      <c r="D73" t="str">
        <f>"Dos Colas: Si p valor ("&amp;E55&amp;") &lt; Nivel Significancia (0.05) ---&gt; Se rechaza la hipotesis nula"</f>
        <v>Dos Colas: Si p valor (6.33905333459293E-11) &lt; Nivel Significancia (0.05) ---&gt; Se rechaza la hipotesis nula</v>
      </c>
    </row>
    <row r="74" spans="1:4" x14ac:dyDescent="0.25">
      <c r="A74">
        <v>4</v>
      </c>
      <c r="B74">
        <v>4</v>
      </c>
      <c r="D74" t="str">
        <f>"Una Cola: Si p valor ("&amp;E56&amp;") &lt; Nivel Significancia (0.05) ---&gt; Se rechaza la hipotesis nula"</f>
        <v>Una Cola: Si p valor (3.16952666729646E-11) &lt; Nivel Significancia (0.05) ---&gt; Se rechaza la hipotesis nula</v>
      </c>
    </row>
    <row r="75" spans="1:4" x14ac:dyDescent="0.25">
      <c r="A75">
        <v>3</v>
      </c>
      <c r="B75">
        <v>4</v>
      </c>
    </row>
    <row r="76" spans="1:4" x14ac:dyDescent="0.25">
      <c r="A76">
        <v>1</v>
      </c>
      <c r="B76">
        <v>2</v>
      </c>
    </row>
    <row r="77" spans="1:4" x14ac:dyDescent="0.25">
      <c r="A77">
        <v>3</v>
      </c>
      <c r="B77">
        <v>4</v>
      </c>
    </row>
    <row r="78" spans="1:4" x14ac:dyDescent="0.25">
      <c r="A78">
        <v>2</v>
      </c>
      <c r="B78">
        <v>5</v>
      </c>
    </row>
    <row r="79" spans="1:4" x14ac:dyDescent="0.25">
      <c r="A79">
        <v>2</v>
      </c>
      <c r="B79">
        <v>4</v>
      </c>
    </row>
    <row r="80" spans="1:4" x14ac:dyDescent="0.25">
      <c r="A80">
        <v>4</v>
      </c>
      <c r="B80">
        <v>4</v>
      </c>
    </row>
    <row r="81" spans="1:2" x14ac:dyDescent="0.25">
      <c r="A81">
        <v>4</v>
      </c>
      <c r="B81">
        <v>5</v>
      </c>
    </row>
    <row r="82" spans="1:2" x14ac:dyDescent="0.25">
      <c r="A82">
        <v>3</v>
      </c>
      <c r="B82">
        <v>4</v>
      </c>
    </row>
    <row r="83" spans="1:2" x14ac:dyDescent="0.25">
      <c r="A83">
        <v>2</v>
      </c>
      <c r="B83">
        <v>1</v>
      </c>
    </row>
    <row r="84" spans="1:2" x14ac:dyDescent="0.25">
      <c r="A84">
        <v>4</v>
      </c>
      <c r="B84">
        <v>5</v>
      </c>
    </row>
    <row r="85" spans="1:2" x14ac:dyDescent="0.25">
      <c r="A85">
        <v>3</v>
      </c>
      <c r="B85">
        <v>4</v>
      </c>
    </row>
    <row r="86" spans="1:2" x14ac:dyDescent="0.25">
      <c r="A86">
        <v>3</v>
      </c>
      <c r="B86">
        <v>5</v>
      </c>
    </row>
    <row r="87" spans="1:2" x14ac:dyDescent="0.25">
      <c r="A87">
        <v>4</v>
      </c>
      <c r="B87">
        <v>5</v>
      </c>
    </row>
    <row r="88" spans="1:2" x14ac:dyDescent="0.25">
      <c r="A88">
        <v>5</v>
      </c>
      <c r="B88">
        <v>5</v>
      </c>
    </row>
    <row r="89" spans="1:2" x14ac:dyDescent="0.25">
      <c r="A89">
        <v>2</v>
      </c>
      <c r="B89">
        <v>5</v>
      </c>
    </row>
    <row r="90" spans="1:2" x14ac:dyDescent="0.25">
      <c r="A90">
        <v>3</v>
      </c>
      <c r="B90">
        <v>4</v>
      </c>
    </row>
    <row r="91" spans="1:2" x14ac:dyDescent="0.25">
      <c r="A91">
        <v>2</v>
      </c>
      <c r="B91">
        <v>5</v>
      </c>
    </row>
    <row r="92" spans="1:2" x14ac:dyDescent="0.25">
      <c r="A92">
        <v>2</v>
      </c>
      <c r="B92">
        <v>4</v>
      </c>
    </row>
    <row r="93" spans="1:2" x14ac:dyDescent="0.25">
      <c r="A93">
        <v>3</v>
      </c>
      <c r="B93">
        <v>2</v>
      </c>
    </row>
    <row r="94" spans="1:2" x14ac:dyDescent="0.25">
      <c r="A94">
        <v>5</v>
      </c>
      <c r="B94">
        <v>5</v>
      </c>
    </row>
    <row r="95" spans="1:2" x14ac:dyDescent="0.25">
      <c r="A95">
        <v>2</v>
      </c>
      <c r="B95">
        <v>5</v>
      </c>
    </row>
    <row r="96" spans="1:2" x14ac:dyDescent="0.25">
      <c r="A96">
        <v>3</v>
      </c>
      <c r="B96">
        <v>5</v>
      </c>
    </row>
    <row r="97" spans="1:2" x14ac:dyDescent="0.25">
      <c r="A97">
        <v>4</v>
      </c>
      <c r="B97">
        <v>5</v>
      </c>
    </row>
    <row r="98" spans="1:2" x14ac:dyDescent="0.25">
      <c r="A98">
        <v>3</v>
      </c>
      <c r="B98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15" zoomScaleNormal="115" workbookViewId="0">
      <selection activeCell="G8" sqref="G8"/>
    </sheetView>
  </sheetViews>
  <sheetFormatPr baseColWidth="10" defaultColWidth="9.140625" defaultRowHeight="15" x14ac:dyDescent="0.25"/>
  <cols>
    <col min="1" max="1" width="36.5703125" customWidth="1"/>
    <col min="2" max="2" width="33.140625" customWidth="1"/>
    <col min="4" max="4" width="38.57031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12" t="s">
        <v>50</v>
      </c>
      <c r="B1" s="12" t="s">
        <v>61</v>
      </c>
    </row>
    <row r="2" spans="1:5" x14ac:dyDescent="0.25">
      <c r="A2">
        <v>3</v>
      </c>
      <c r="B2">
        <v>4</v>
      </c>
      <c r="D2" s="1" t="s">
        <v>24</v>
      </c>
      <c r="E2">
        <f>AVERAGE(A:A)</f>
        <v>2.7731958762886597</v>
      </c>
    </row>
    <row r="3" spans="1:5" x14ac:dyDescent="0.25">
      <c r="A3">
        <v>2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1</v>
      </c>
      <c r="B4">
        <v>5</v>
      </c>
      <c r="D4" s="1" t="s">
        <v>1</v>
      </c>
      <c r="E4">
        <f>MODE(A:A)</f>
        <v>3</v>
      </c>
    </row>
    <row r="5" spans="1:5" x14ac:dyDescent="0.25">
      <c r="A5">
        <v>2</v>
      </c>
      <c r="B5">
        <v>3</v>
      </c>
      <c r="D5" s="1" t="s">
        <v>15</v>
      </c>
      <c r="E5">
        <f>STDEV(A:A)</f>
        <v>1.1681997781413436</v>
      </c>
    </row>
    <row r="6" spans="1:5" x14ac:dyDescent="0.25">
      <c r="A6">
        <v>5</v>
      </c>
      <c r="B6">
        <v>5</v>
      </c>
      <c r="D6" s="4" t="s">
        <v>4</v>
      </c>
      <c r="E6">
        <f>COUNT(A:A)</f>
        <v>97</v>
      </c>
    </row>
    <row r="7" spans="1:5" x14ac:dyDescent="0.25">
      <c r="A7">
        <v>2</v>
      </c>
      <c r="B7">
        <v>4</v>
      </c>
    </row>
    <row r="8" spans="1:5" x14ac:dyDescent="0.25">
      <c r="A8">
        <v>4</v>
      </c>
      <c r="B8">
        <v>2</v>
      </c>
      <c r="D8" s="3" t="s">
        <v>25</v>
      </c>
      <c r="E8">
        <f>AVERAGE(B:B)</f>
        <v>4.1546391752577323</v>
      </c>
    </row>
    <row r="9" spans="1:5" x14ac:dyDescent="0.25">
      <c r="A9">
        <v>4</v>
      </c>
      <c r="B9">
        <v>4</v>
      </c>
      <c r="D9" s="3" t="s">
        <v>2</v>
      </c>
      <c r="E9">
        <f>MEDIAN(B:B)</f>
        <v>4</v>
      </c>
    </row>
    <row r="10" spans="1:5" x14ac:dyDescent="0.25">
      <c r="A10">
        <v>2</v>
      </c>
      <c r="B10">
        <v>5</v>
      </c>
      <c r="D10" s="3" t="s">
        <v>3</v>
      </c>
      <c r="E10">
        <f>MODE(B:B)</f>
        <v>5</v>
      </c>
    </row>
    <row r="11" spans="1:5" x14ac:dyDescent="0.25">
      <c r="A11">
        <v>2</v>
      </c>
      <c r="B11">
        <v>3</v>
      </c>
      <c r="D11" s="3" t="s">
        <v>14</v>
      </c>
      <c r="E11">
        <f>STDEV(B:B)</f>
        <v>0.91674476393340409</v>
      </c>
    </row>
    <row r="12" spans="1:5" x14ac:dyDescent="0.25">
      <c r="A12">
        <v>3</v>
      </c>
      <c r="B12">
        <v>4</v>
      </c>
      <c r="D12" s="5" t="s">
        <v>5</v>
      </c>
      <c r="E12">
        <f>COUNT(B:B)</f>
        <v>97</v>
      </c>
    </row>
    <row r="13" spans="1:5" x14ac:dyDescent="0.25">
      <c r="A13">
        <v>5</v>
      </c>
      <c r="B13">
        <v>5</v>
      </c>
    </row>
    <row r="14" spans="1:5" x14ac:dyDescent="0.25">
      <c r="A14">
        <v>3</v>
      </c>
      <c r="B14">
        <v>5</v>
      </c>
    </row>
    <row r="15" spans="1:5" x14ac:dyDescent="0.25">
      <c r="A15">
        <v>1</v>
      </c>
      <c r="B15">
        <v>5</v>
      </c>
    </row>
    <row r="16" spans="1:5" x14ac:dyDescent="0.25">
      <c r="A16">
        <v>1</v>
      </c>
      <c r="B16">
        <v>2</v>
      </c>
    </row>
    <row r="17" spans="1:5" x14ac:dyDescent="0.25">
      <c r="A17">
        <v>3</v>
      </c>
      <c r="B17">
        <v>5</v>
      </c>
      <c r="D17" s="2" t="s">
        <v>6</v>
      </c>
      <c r="E17" s="2"/>
    </row>
    <row r="18" spans="1:5" x14ac:dyDescent="0.25">
      <c r="A18">
        <v>3</v>
      </c>
      <c r="B18">
        <v>4</v>
      </c>
    </row>
    <row r="19" spans="1:5" x14ac:dyDescent="0.25">
      <c r="A19">
        <v>2</v>
      </c>
      <c r="B19">
        <v>5</v>
      </c>
    </row>
    <row r="20" spans="1:5" x14ac:dyDescent="0.25">
      <c r="A20">
        <v>4</v>
      </c>
      <c r="B20">
        <v>5</v>
      </c>
    </row>
    <row r="21" spans="1:5" x14ac:dyDescent="0.25">
      <c r="A21">
        <v>2</v>
      </c>
      <c r="B21">
        <v>4</v>
      </c>
    </row>
    <row r="22" spans="1:5" x14ac:dyDescent="0.25">
      <c r="A22">
        <v>3</v>
      </c>
      <c r="B22">
        <v>4</v>
      </c>
    </row>
    <row r="23" spans="1:5" x14ac:dyDescent="0.25">
      <c r="A23">
        <v>1</v>
      </c>
      <c r="B23">
        <v>5</v>
      </c>
    </row>
    <row r="24" spans="1:5" x14ac:dyDescent="0.25">
      <c r="A24">
        <v>4</v>
      </c>
      <c r="B24">
        <v>5</v>
      </c>
    </row>
    <row r="25" spans="1:5" x14ac:dyDescent="0.25">
      <c r="A25">
        <v>3</v>
      </c>
      <c r="B25">
        <v>5</v>
      </c>
    </row>
    <row r="26" spans="1:5" x14ac:dyDescent="0.25">
      <c r="A26">
        <v>3</v>
      </c>
      <c r="B26">
        <v>4</v>
      </c>
    </row>
    <row r="27" spans="1:5" x14ac:dyDescent="0.25">
      <c r="A27">
        <v>3</v>
      </c>
      <c r="B27">
        <v>5</v>
      </c>
    </row>
    <row r="28" spans="1:5" x14ac:dyDescent="0.25">
      <c r="A28">
        <v>1</v>
      </c>
      <c r="B28">
        <v>4</v>
      </c>
    </row>
    <row r="29" spans="1:5" x14ac:dyDescent="0.25">
      <c r="A29">
        <v>2</v>
      </c>
      <c r="B29">
        <v>3</v>
      </c>
      <c r="D29" t="s">
        <v>11</v>
      </c>
      <c r="E29">
        <f>(E2-E8)/SQRT(((E5^2)/E6)+((E11^2)/E12))</f>
        <v>-9.1622816102243387</v>
      </c>
    </row>
    <row r="30" spans="1:5" x14ac:dyDescent="0.25">
      <c r="A30">
        <v>3</v>
      </c>
      <c r="B30">
        <v>5</v>
      </c>
    </row>
    <row r="31" spans="1:5" x14ac:dyDescent="0.25">
      <c r="A31">
        <v>1</v>
      </c>
      <c r="B31">
        <v>4</v>
      </c>
      <c r="D31" s="2" t="s">
        <v>7</v>
      </c>
      <c r="E31" s="2"/>
    </row>
    <row r="32" spans="1:5" x14ac:dyDescent="0.25">
      <c r="A32">
        <v>1</v>
      </c>
      <c r="B32">
        <v>4</v>
      </c>
    </row>
    <row r="33" spans="1:6" x14ac:dyDescent="0.25">
      <c r="A33">
        <v>3</v>
      </c>
      <c r="B33">
        <v>3</v>
      </c>
    </row>
    <row r="34" spans="1:6" x14ac:dyDescent="0.25">
      <c r="A34">
        <v>5</v>
      </c>
      <c r="B34">
        <v>5</v>
      </c>
    </row>
    <row r="35" spans="1:6" x14ac:dyDescent="0.25">
      <c r="A35">
        <v>5</v>
      </c>
      <c r="B35">
        <v>5</v>
      </c>
    </row>
    <row r="36" spans="1:6" x14ac:dyDescent="0.25">
      <c r="A36">
        <v>1</v>
      </c>
      <c r="B36">
        <v>5</v>
      </c>
    </row>
    <row r="37" spans="1:6" x14ac:dyDescent="0.25">
      <c r="A37">
        <v>3</v>
      </c>
      <c r="B37">
        <v>4</v>
      </c>
    </row>
    <row r="38" spans="1:6" x14ac:dyDescent="0.25">
      <c r="A38">
        <v>2</v>
      </c>
      <c r="B38">
        <v>4</v>
      </c>
    </row>
    <row r="39" spans="1:6" x14ac:dyDescent="0.25">
      <c r="A39">
        <v>2</v>
      </c>
      <c r="B39">
        <v>5</v>
      </c>
    </row>
    <row r="40" spans="1:6" x14ac:dyDescent="0.25">
      <c r="A40">
        <v>1</v>
      </c>
      <c r="B40">
        <v>4</v>
      </c>
    </row>
    <row r="41" spans="1:6" ht="29.25" customHeight="1" x14ac:dyDescent="0.25">
      <c r="A41">
        <v>1</v>
      </c>
      <c r="B41">
        <v>5</v>
      </c>
      <c r="D41" t="s">
        <v>8</v>
      </c>
      <c r="E41">
        <f>(((E5^2)/E6)+((E11^2)/E12))^2</f>
        <v>5.1679429676336247E-4</v>
      </c>
    </row>
    <row r="42" spans="1:6" ht="47.25" customHeight="1" x14ac:dyDescent="0.25">
      <c r="A42">
        <v>3</v>
      </c>
      <c r="B42">
        <v>4</v>
      </c>
      <c r="D42" t="s">
        <v>9</v>
      </c>
      <c r="E42">
        <f>(((E5^2)/E6)^2)/(E6-1)</f>
        <v>2.0618343759478851E-6</v>
      </c>
    </row>
    <row r="43" spans="1:6" ht="43.5" customHeight="1" x14ac:dyDescent="0.25">
      <c r="A43">
        <v>1</v>
      </c>
      <c r="B43">
        <v>5</v>
      </c>
      <c r="D43" t="s">
        <v>10</v>
      </c>
      <c r="E43">
        <f>(((E11^2)/E12)^2)/(E12-1)</f>
        <v>7.819501205672082E-7</v>
      </c>
    </row>
    <row r="44" spans="1:6" x14ac:dyDescent="0.25">
      <c r="A44">
        <v>3</v>
      </c>
      <c r="B44">
        <v>5</v>
      </c>
    </row>
    <row r="45" spans="1:6" x14ac:dyDescent="0.25">
      <c r="A45">
        <v>4</v>
      </c>
      <c r="B45">
        <v>5</v>
      </c>
      <c r="D45" t="s">
        <v>7</v>
      </c>
      <c r="E45">
        <f>E41/(E42+E43)</f>
        <v>181.72765812482149</v>
      </c>
      <c r="F45" s="6" t="s">
        <v>12</v>
      </c>
    </row>
    <row r="46" spans="1:6" x14ac:dyDescent="0.25">
      <c r="A46">
        <v>2</v>
      </c>
      <c r="B46">
        <v>4</v>
      </c>
    </row>
    <row r="47" spans="1:6" x14ac:dyDescent="0.25">
      <c r="A47">
        <v>3</v>
      </c>
      <c r="B47">
        <v>5</v>
      </c>
      <c r="D47" t="s">
        <v>13</v>
      </c>
      <c r="E47">
        <v>0.05</v>
      </c>
      <c r="F47" s="6" t="s">
        <v>12</v>
      </c>
    </row>
    <row r="48" spans="1:6" x14ac:dyDescent="0.25">
      <c r="A48">
        <v>3</v>
      </c>
      <c r="B48">
        <v>4</v>
      </c>
    </row>
    <row r="49" spans="1:5" x14ac:dyDescent="0.25">
      <c r="A49">
        <v>2</v>
      </c>
      <c r="B49">
        <v>4</v>
      </c>
    </row>
    <row r="50" spans="1:5" x14ac:dyDescent="0.25">
      <c r="A50">
        <v>5</v>
      </c>
      <c r="B50">
        <v>3</v>
      </c>
    </row>
    <row r="51" spans="1:5" x14ac:dyDescent="0.25">
      <c r="A51">
        <v>3</v>
      </c>
      <c r="B51">
        <v>5</v>
      </c>
      <c r="D51" s="2"/>
      <c r="E51" s="2"/>
    </row>
    <row r="52" spans="1:5" x14ac:dyDescent="0.25">
      <c r="A52">
        <v>4</v>
      </c>
      <c r="B52">
        <v>3</v>
      </c>
      <c r="D52" t="s">
        <v>16</v>
      </c>
      <c r="E52">
        <f>_xlfn.T.INV.2T(E47,E45)</f>
        <v>1.9731570421591595</v>
      </c>
    </row>
    <row r="53" spans="1:5" x14ac:dyDescent="0.25">
      <c r="A53">
        <v>3</v>
      </c>
      <c r="B53">
        <v>2</v>
      </c>
      <c r="D53" t="s">
        <v>17</v>
      </c>
      <c r="E53">
        <f>_xlfn.T.INV(E47, E45)</f>
        <v>-1.6533157576226281</v>
      </c>
    </row>
    <row r="54" spans="1:5" x14ac:dyDescent="0.25">
      <c r="A54">
        <v>3</v>
      </c>
      <c r="B54">
        <v>3</v>
      </c>
    </row>
    <row r="55" spans="1:5" x14ac:dyDescent="0.25">
      <c r="A55">
        <v>2</v>
      </c>
      <c r="B55">
        <v>5</v>
      </c>
      <c r="D55" t="s">
        <v>18</v>
      </c>
      <c r="E55">
        <f>TTEST(A:A,B:B,2,2)</f>
        <v>7.7758254063764223E-17</v>
      </c>
    </row>
    <row r="56" spans="1:5" x14ac:dyDescent="0.25">
      <c r="A56">
        <v>1</v>
      </c>
      <c r="B56">
        <v>2</v>
      </c>
      <c r="D56" t="s">
        <v>19</v>
      </c>
      <c r="E56">
        <f>TTEST(A:A,B:B,1,2)</f>
        <v>3.8879127031882111E-17</v>
      </c>
    </row>
    <row r="57" spans="1:5" x14ac:dyDescent="0.25">
      <c r="A57">
        <v>3</v>
      </c>
      <c r="B57">
        <v>5</v>
      </c>
    </row>
    <row r="58" spans="1:5" x14ac:dyDescent="0.25">
      <c r="A58">
        <v>3</v>
      </c>
      <c r="B58">
        <v>3</v>
      </c>
    </row>
    <row r="59" spans="1:5" x14ac:dyDescent="0.25">
      <c r="A59">
        <v>2</v>
      </c>
      <c r="B59">
        <v>4</v>
      </c>
      <c r="D59" s="2" t="s">
        <v>20</v>
      </c>
      <c r="E59" s="2"/>
    </row>
    <row r="60" spans="1:5" x14ac:dyDescent="0.25">
      <c r="A60">
        <v>3</v>
      </c>
      <c r="B60">
        <v>5</v>
      </c>
    </row>
    <row r="61" spans="1:5" x14ac:dyDescent="0.25">
      <c r="A61">
        <v>4</v>
      </c>
      <c r="B61">
        <v>4</v>
      </c>
      <c r="D61" t="s">
        <v>21</v>
      </c>
    </row>
    <row r="62" spans="1:5" x14ac:dyDescent="0.25">
      <c r="A62">
        <v>2</v>
      </c>
      <c r="B62">
        <v>4</v>
      </c>
      <c r="D62" t="s">
        <v>22</v>
      </c>
    </row>
    <row r="63" spans="1:5" x14ac:dyDescent="0.25">
      <c r="A63">
        <v>4</v>
      </c>
      <c r="B63">
        <v>5</v>
      </c>
    </row>
    <row r="64" spans="1:5" x14ac:dyDescent="0.25">
      <c r="A64">
        <v>1</v>
      </c>
      <c r="B64">
        <v>5</v>
      </c>
    </row>
    <row r="65" spans="1:4" x14ac:dyDescent="0.25">
      <c r="A65">
        <v>2</v>
      </c>
      <c r="B65">
        <v>5</v>
      </c>
    </row>
    <row r="66" spans="1:4" x14ac:dyDescent="0.25">
      <c r="A66">
        <v>4</v>
      </c>
      <c r="B66">
        <v>4</v>
      </c>
      <c r="D66" t="s">
        <v>23</v>
      </c>
    </row>
    <row r="67" spans="1:4" x14ac:dyDescent="0.25">
      <c r="A67">
        <v>4</v>
      </c>
      <c r="B67">
        <v>4</v>
      </c>
      <c r="D67" t="str">
        <f>"Dos Colas: Si t calculado ("&amp;E29&amp;") &gt; a t critico  ("&amp;E52&amp;") (de tabla) ---&gt; Se rechaza la hipotesis nula"</f>
        <v>Dos Colas: Si t calculado (-9.16228161022434) &gt; a t critico  (1.97315704215916) (de tabla) ---&gt; Se rechaza la hipotesis nula</v>
      </c>
    </row>
    <row r="68" spans="1:4" x14ac:dyDescent="0.25">
      <c r="A68">
        <v>3</v>
      </c>
      <c r="B68">
        <v>5</v>
      </c>
      <c r="D68" t="str">
        <f>"Una Cola: Si t calculado ("&amp;E29&amp;") &gt; a t critico  ("&amp;E53&amp;") (de tabla) ---&gt; Se rechaza la hipotesis nula"</f>
        <v>Una Cola: Si t calculado (-9.16228161022434) &gt; a t critico  (-1.65331575762263) (de tabla) ---&gt; Se rechaza la hipotesis nula</v>
      </c>
    </row>
    <row r="69" spans="1:4" x14ac:dyDescent="0.25">
      <c r="A69">
        <v>1</v>
      </c>
      <c r="B69">
        <v>3</v>
      </c>
    </row>
    <row r="70" spans="1:4" x14ac:dyDescent="0.25">
      <c r="A70">
        <v>3</v>
      </c>
      <c r="B70">
        <v>4</v>
      </c>
    </row>
    <row r="71" spans="1:4" x14ac:dyDescent="0.25">
      <c r="A71">
        <v>5</v>
      </c>
      <c r="B71">
        <v>5</v>
      </c>
    </row>
    <row r="72" spans="1:4" x14ac:dyDescent="0.25">
      <c r="A72">
        <v>3</v>
      </c>
      <c r="B72">
        <v>4</v>
      </c>
      <c r="D72" t="s">
        <v>26</v>
      </c>
    </row>
    <row r="73" spans="1:4" x14ac:dyDescent="0.25">
      <c r="A73">
        <v>3</v>
      </c>
      <c r="B73">
        <v>4</v>
      </c>
      <c r="D73" t="str">
        <f>"Dos Colas: Si p valor ("&amp;E55&amp;") &lt; Nivel Significancia (0.05) ---&gt; Se rechaza la hipotesis nula"</f>
        <v>Dos Colas: Si p valor (7.77582540637642E-17) &lt; Nivel Significancia (0.05) ---&gt; Se rechaza la hipotesis nula</v>
      </c>
    </row>
    <row r="74" spans="1:4" x14ac:dyDescent="0.25">
      <c r="A74">
        <v>4</v>
      </c>
      <c r="B74">
        <v>4</v>
      </c>
      <c r="D74" t="str">
        <f>"Una Cola: Si p valor ("&amp;E56&amp;") &lt; Nivel Significancia (0.05) ---&gt; Se rechaza la hipotesis nula"</f>
        <v>Una Cola: Si p valor (3.88791270318821E-17) &lt; Nivel Significancia (0.05) ---&gt; Se rechaza la hipotesis nula</v>
      </c>
    </row>
    <row r="75" spans="1:4" x14ac:dyDescent="0.25">
      <c r="A75">
        <v>3</v>
      </c>
      <c r="B75">
        <v>5</v>
      </c>
    </row>
    <row r="76" spans="1:4" x14ac:dyDescent="0.25">
      <c r="A76">
        <v>3</v>
      </c>
      <c r="B76">
        <v>2</v>
      </c>
    </row>
    <row r="77" spans="1:4" x14ac:dyDescent="0.25">
      <c r="A77">
        <v>3</v>
      </c>
      <c r="B77">
        <v>4</v>
      </c>
    </row>
    <row r="78" spans="1:4" x14ac:dyDescent="0.25">
      <c r="A78">
        <v>3</v>
      </c>
      <c r="B78">
        <v>4</v>
      </c>
    </row>
    <row r="79" spans="1:4" x14ac:dyDescent="0.25">
      <c r="A79">
        <v>1</v>
      </c>
      <c r="B79">
        <v>5</v>
      </c>
    </row>
    <row r="80" spans="1:4" x14ac:dyDescent="0.25">
      <c r="A80">
        <v>3</v>
      </c>
      <c r="B80">
        <v>4</v>
      </c>
    </row>
    <row r="81" spans="1:2" x14ac:dyDescent="0.25">
      <c r="A81">
        <v>4</v>
      </c>
      <c r="B81">
        <v>3</v>
      </c>
    </row>
    <row r="82" spans="1:2" x14ac:dyDescent="0.25">
      <c r="A82">
        <v>4</v>
      </c>
      <c r="B82">
        <v>4</v>
      </c>
    </row>
    <row r="83" spans="1:2" x14ac:dyDescent="0.25">
      <c r="A83">
        <v>3</v>
      </c>
      <c r="B83">
        <v>5</v>
      </c>
    </row>
    <row r="84" spans="1:2" x14ac:dyDescent="0.25">
      <c r="A84">
        <v>3</v>
      </c>
      <c r="B84">
        <v>5</v>
      </c>
    </row>
    <row r="85" spans="1:2" x14ac:dyDescent="0.25">
      <c r="A85">
        <v>1</v>
      </c>
      <c r="B85">
        <v>2</v>
      </c>
    </row>
    <row r="86" spans="1:2" x14ac:dyDescent="0.25">
      <c r="A86">
        <v>5</v>
      </c>
      <c r="B86">
        <v>4</v>
      </c>
    </row>
    <row r="87" spans="1:2" x14ac:dyDescent="0.25">
      <c r="A87">
        <v>4</v>
      </c>
      <c r="B87">
        <v>5</v>
      </c>
    </row>
    <row r="88" spans="1:2" x14ac:dyDescent="0.25">
      <c r="A88">
        <v>2</v>
      </c>
      <c r="B88">
        <v>5</v>
      </c>
    </row>
    <row r="89" spans="1:2" x14ac:dyDescent="0.25">
      <c r="A89">
        <v>1</v>
      </c>
      <c r="B89">
        <v>4</v>
      </c>
    </row>
    <row r="90" spans="1:2" x14ac:dyDescent="0.25">
      <c r="A90">
        <v>3</v>
      </c>
      <c r="B90">
        <v>4</v>
      </c>
    </row>
    <row r="91" spans="1:2" x14ac:dyDescent="0.25">
      <c r="A91">
        <v>3</v>
      </c>
      <c r="B91">
        <v>5</v>
      </c>
    </row>
    <row r="92" spans="1:2" x14ac:dyDescent="0.25">
      <c r="A92">
        <v>3</v>
      </c>
      <c r="B92">
        <v>2</v>
      </c>
    </row>
    <row r="93" spans="1:2" x14ac:dyDescent="0.25">
      <c r="A93">
        <v>1</v>
      </c>
      <c r="B93">
        <v>5</v>
      </c>
    </row>
    <row r="94" spans="1:2" x14ac:dyDescent="0.25">
      <c r="A94">
        <v>3</v>
      </c>
      <c r="B94">
        <v>4</v>
      </c>
    </row>
    <row r="95" spans="1:2" x14ac:dyDescent="0.25">
      <c r="A95">
        <v>3</v>
      </c>
      <c r="B95">
        <v>5</v>
      </c>
    </row>
    <row r="96" spans="1:2" x14ac:dyDescent="0.25">
      <c r="A96">
        <v>4</v>
      </c>
      <c r="B96">
        <v>3</v>
      </c>
    </row>
    <row r="97" spans="1:2" x14ac:dyDescent="0.25">
      <c r="A97">
        <v>5</v>
      </c>
      <c r="B97">
        <v>5</v>
      </c>
    </row>
    <row r="98" spans="1:2" x14ac:dyDescent="0.25">
      <c r="A98">
        <v>3</v>
      </c>
      <c r="B98">
        <v>3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Normal="100" workbookViewId="0">
      <selection activeCell="G17" sqref="G17"/>
    </sheetView>
  </sheetViews>
  <sheetFormatPr baseColWidth="10" defaultColWidth="9.140625" defaultRowHeight="15" x14ac:dyDescent="0.25"/>
  <cols>
    <col min="1" max="1" width="30.5703125" customWidth="1"/>
    <col min="2" max="2" width="32.28515625" customWidth="1"/>
    <col min="4" max="4" width="37.710937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8" t="s">
        <v>51</v>
      </c>
      <c r="B1" s="8" t="s">
        <v>62</v>
      </c>
    </row>
    <row r="2" spans="1:5" x14ac:dyDescent="0.25">
      <c r="A2">
        <v>3</v>
      </c>
      <c r="B2">
        <v>4</v>
      </c>
      <c r="D2" s="1" t="s">
        <v>24</v>
      </c>
      <c r="E2">
        <f>AVERAGE(A:A)</f>
        <v>3.0618556701030926</v>
      </c>
    </row>
    <row r="3" spans="1:5" x14ac:dyDescent="0.25">
      <c r="A3">
        <v>5</v>
      </c>
      <c r="B3">
        <v>5</v>
      </c>
      <c r="D3" s="1" t="s">
        <v>0</v>
      </c>
      <c r="E3">
        <f>MEDIAN(A:A)</f>
        <v>3</v>
      </c>
    </row>
    <row r="4" spans="1:5" x14ac:dyDescent="0.25">
      <c r="A4">
        <v>2</v>
      </c>
      <c r="B4">
        <v>4</v>
      </c>
      <c r="D4" s="1" t="s">
        <v>1</v>
      </c>
      <c r="E4">
        <f>MODE(A:A)</f>
        <v>3</v>
      </c>
    </row>
    <row r="5" spans="1:5" x14ac:dyDescent="0.25">
      <c r="A5">
        <v>3</v>
      </c>
      <c r="B5">
        <v>5</v>
      </c>
      <c r="D5" s="1" t="s">
        <v>15</v>
      </c>
      <c r="E5">
        <f>STDEV(A:A)</f>
        <v>1.2146195648371647</v>
      </c>
    </row>
    <row r="6" spans="1:5" x14ac:dyDescent="0.25">
      <c r="A6">
        <v>3</v>
      </c>
      <c r="B6">
        <v>4</v>
      </c>
      <c r="D6" s="4" t="s">
        <v>4</v>
      </c>
      <c r="E6">
        <f>COUNT(A:A)</f>
        <v>97</v>
      </c>
    </row>
    <row r="7" spans="1:5" x14ac:dyDescent="0.25">
      <c r="A7">
        <v>3</v>
      </c>
      <c r="B7">
        <v>5</v>
      </c>
    </row>
    <row r="8" spans="1:5" x14ac:dyDescent="0.25">
      <c r="A8">
        <v>2</v>
      </c>
      <c r="B8">
        <v>3</v>
      </c>
      <c r="D8" s="3" t="s">
        <v>25</v>
      </c>
      <c r="E8">
        <f>AVERAGE(B:B)</f>
        <v>4.1237113402061851</v>
      </c>
    </row>
    <row r="9" spans="1:5" x14ac:dyDescent="0.25">
      <c r="A9">
        <v>1</v>
      </c>
      <c r="B9">
        <v>5</v>
      </c>
      <c r="D9" s="3" t="s">
        <v>2</v>
      </c>
      <c r="E9">
        <f>MEDIAN(B:B)</f>
        <v>4</v>
      </c>
    </row>
    <row r="10" spans="1:5" x14ac:dyDescent="0.25">
      <c r="A10">
        <v>3</v>
      </c>
      <c r="B10">
        <v>3</v>
      </c>
      <c r="D10" s="3" t="s">
        <v>3</v>
      </c>
      <c r="E10">
        <f>MODE(B:B)</f>
        <v>5</v>
      </c>
    </row>
    <row r="11" spans="1:5" x14ac:dyDescent="0.25">
      <c r="A11">
        <v>3</v>
      </c>
      <c r="B11">
        <v>5</v>
      </c>
      <c r="D11" s="3" t="s">
        <v>14</v>
      </c>
      <c r="E11">
        <f>STDEV(B:B)</f>
        <v>0.93828003059191212</v>
      </c>
    </row>
    <row r="12" spans="1:5" x14ac:dyDescent="0.25">
      <c r="A12">
        <v>3</v>
      </c>
      <c r="B12">
        <v>5</v>
      </c>
      <c r="D12" s="5" t="s">
        <v>5</v>
      </c>
      <c r="E12">
        <f>COUNT(B:B)</f>
        <v>97</v>
      </c>
    </row>
    <row r="13" spans="1:5" x14ac:dyDescent="0.25">
      <c r="A13">
        <v>2</v>
      </c>
      <c r="B13">
        <v>4</v>
      </c>
    </row>
    <row r="14" spans="1:5" x14ac:dyDescent="0.25">
      <c r="A14">
        <v>2</v>
      </c>
      <c r="B14">
        <v>4</v>
      </c>
    </row>
    <row r="15" spans="1:5" x14ac:dyDescent="0.25">
      <c r="A15">
        <v>5</v>
      </c>
      <c r="B15">
        <v>4</v>
      </c>
    </row>
    <row r="16" spans="1:5" x14ac:dyDescent="0.25">
      <c r="A16">
        <v>4</v>
      </c>
      <c r="B16">
        <v>5</v>
      </c>
    </row>
    <row r="17" spans="1:5" x14ac:dyDescent="0.25">
      <c r="A17">
        <v>3</v>
      </c>
      <c r="B17">
        <v>4</v>
      </c>
      <c r="D17" s="2" t="s">
        <v>6</v>
      </c>
      <c r="E17" s="2"/>
    </row>
    <row r="18" spans="1:5" x14ac:dyDescent="0.25">
      <c r="A18">
        <v>3</v>
      </c>
      <c r="B18">
        <v>2</v>
      </c>
    </row>
    <row r="19" spans="1:5" x14ac:dyDescent="0.25">
      <c r="A19">
        <v>5</v>
      </c>
      <c r="B19">
        <v>5</v>
      </c>
    </row>
    <row r="20" spans="1:5" x14ac:dyDescent="0.25">
      <c r="A20">
        <v>4</v>
      </c>
      <c r="B20">
        <v>3</v>
      </c>
    </row>
    <row r="21" spans="1:5" x14ac:dyDescent="0.25">
      <c r="A21">
        <v>3</v>
      </c>
      <c r="B21">
        <v>4</v>
      </c>
    </row>
    <row r="22" spans="1:5" x14ac:dyDescent="0.25">
      <c r="A22">
        <v>1</v>
      </c>
      <c r="B22">
        <v>4</v>
      </c>
    </row>
    <row r="23" spans="1:5" x14ac:dyDescent="0.25">
      <c r="A23">
        <v>2</v>
      </c>
      <c r="B23">
        <v>3</v>
      </c>
    </row>
    <row r="24" spans="1:5" x14ac:dyDescent="0.25">
      <c r="A24">
        <v>5</v>
      </c>
      <c r="B24">
        <v>5</v>
      </c>
    </row>
    <row r="25" spans="1:5" x14ac:dyDescent="0.25">
      <c r="A25">
        <v>3</v>
      </c>
      <c r="B25">
        <v>5</v>
      </c>
    </row>
    <row r="26" spans="1:5" x14ac:dyDescent="0.25">
      <c r="A26">
        <v>3</v>
      </c>
      <c r="B26">
        <v>5</v>
      </c>
    </row>
    <row r="27" spans="1:5" x14ac:dyDescent="0.25">
      <c r="A27">
        <v>3</v>
      </c>
      <c r="B27">
        <v>5</v>
      </c>
    </row>
    <row r="28" spans="1:5" x14ac:dyDescent="0.25">
      <c r="A28">
        <v>1</v>
      </c>
      <c r="B28">
        <v>5</v>
      </c>
    </row>
    <row r="29" spans="1:5" x14ac:dyDescent="0.25">
      <c r="A29">
        <v>3</v>
      </c>
      <c r="B29">
        <v>3</v>
      </c>
      <c r="D29" t="s">
        <v>11</v>
      </c>
      <c r="E29">
        <f>(E2-E8)/SQRT(((E5^2)/E6)+((E11^2)/E12))</f>
        <v>-6.81387437705291</v>
      </c>
    </row>
    <row r="30" spans="1:5" x14ac:dyDescent="0.25">
      <c r="A30">
        <v>2</v>
      </c>
      <c r="B30">
        <v>4</v>
      </c>
    </row>
    <row r="31" spans="1:5" x14ac:dyDescent="0.25">
      <c r="A31">
        <v>2</v>
      </c>
      <c r="B31">
        <v>5</v>
      </c>
      <c r="D31" s="2" t="s">
        <v>7</v>
      </c>
      <c r="E31" s="2"/>
    </row>
    <row r="32" spans="1:5" x14ac:dyDescent="0.25">
      <c r="A32">
        <v>5</v>
      </c>
      <c r="B32">
        <v>4</v>
      </c>
    </row>
    <row r="33" spans="1:6" x14ac:dyDescent="0.25">
      <c r="A33">
        <v>4</v>
      </c>
      <c r="B33">
        <v>4</v>
      </c>
    </row>
    <row r="34" spans="1:6" x14ac:dyDescent="0.25">
      <c r="A34">
        <v>4</v>
      </c>
      <c r="B34">
        <v>5</v>
      </c>
    </row>
    <row r="35" spans="1:6" x14ac:dyDescent="0.25">
      <c r="A35">
        <v>5</v>
      </c>
      <c r="B35">
        <v>5</v>
      </c>
    </row>
    <row r="36" spans="1:6" x14ac:dyDescent="0.25">
      <c r="A36">
        <v>3</v>
      </c>
      <c r="B36">
        <v>5</v>
      </c>
    </row>
    <row r="37" spans="1:6" x14ac:dyDescent="0.25">
      <c r="A37">
        <v>5</v>
      </c>
      <c r="B37">
        <v>4</v>
      </c>
    </row>
    <row r="38" spans="1:6" x14ac:dyDescent="0.25">
      <c r="A38">
        <v>1</v>
      </c>
      <c r="B38">
        <v>5</v>
      </c>
    </row>
    <row r="39" spans="1:6" x14ac:dyDescent="0.25">
      <c r="A39">
        <v>4</v>
      </c>
      <c r="B39">
        <v>1</v>
      </c>
    </row>
    <row r="40" spans="1:6" x14ac:dyDescent="0.25">
      <c r="A40">
        <v>1</v>
      </c>
      <c r="B40">
        <v>5</v>
      </c>
    </row>
    <row r="41" spans="1:6" ht="29.25" customHeight="1" x14ac:dyDescent="0.25">
      <c r="A41">
        <v>2</v>
      </c>
      <c r="B41">
        <v>5</v>
      </c>
      <c r="D41" t="s">
        <v>8</v>
      </c>
      <c r="E41">
        <f>(((E5^2)/E6)+((E11^2)/E12))^2</f>
        <v>5.8977379472900031E-4</v>
      </c>
    </row>
    <row r="42" spans="1:6" ht="47.25" customHeight="1" x14ac:dyDescent="0.25">
      <c r="A42">
        <v>5</v>
      </c>
      <c r="B42">
        <v>3</v>
      </c>
      <c r="D42" t="s">
        <v>9</v>
      </c>
      <c r="E42">
        <f>(((E5^2)/E6)^2)/(E6-1)</f>
        <v>2.4096079528291316E-6</v>
      </c>
    </row>
    <row r="43" spans="1:6" ht="43.5" customHeight="1" x14ac:dyDescent="0.25">
      <c r="A43">
        <v>3</v>
      </c>
      <c r="B43">
        <v>3</v>
      </c>
      <c r="D43" t="s">
        <v>10</v>
      </c>
      <c r="E43">
        <f>(((E11^2)/E12)^2)/(E12-1)</f>
        <v>8.5805512927487845E-7</v>
      </c>
    </row>
    <row r="44" spans="1:6" x14ac:dyDescent="0.25">
      <c r="A44">
        <v>2</v>
      </c>
      <c r="B44">
        <v>4</v>
      </c>
    </row>
    <row r="45" spans="1:6" x14ac:dyDescent="0.25">
      <c r="A45">
        <v>5</v>
      </c>
      <c r="B45">
        <v>5</v>
      </c>
      <c r="D45" t="s">
        <v>7</v>
      </c>
      <c r="E45">
        <f>E41/(E42+E43)</f>
        <v>180.48794502683302</v>
      </c>
      <c r="F45" s="6" t="s">
        <v>12</v>
      </c>
    </row>
    <row r="46" spans="1:6" x14ac:dyDescent="0.25">
      <c r="A46">
        <v>4</v>
      </c>
      <c r="B46">
        <v>5</v>
      </c>
    </row>
    <row r="47" spans="1:6" x14ac:dyDescent="0.25">
      <c r="A47">
        <v>4</v>
      </c>
      <c r="B47">
        <v>3</v>
      </c>
      <c r="D47" t="s">
        <v>13</v>
      </c>
      <c r="E47">
        <v>0.05</v>
      </c>
      <c r="F47" s="6" t="s">
        <v>12</v>
      </c>
    </row>
    <row r="48" spans="1:6" x14ac:dyDescent="0.25">
      <c r="A48">
        <v>2</v>
      </c>
      <c r="B48">
        <v>5</v>
      </c>
    </row>
    <row r="49" spans="1:5" x14ac:dyDescent="0.25">
      <c r="A49">
        <v>3</v>
      </c>
      <c r="B49">
        <v>4</v>
      </c>
    </row>
    <row r="50" spans="1:5" x14ac:dyDescent="0.25">
      <c r="A50">
        <v>2</v>
      </c>
      <c r="B50">
        <v>5</v>
      </c>
    </row>
    <row r="51" spans="1:5" x14ac:dyDescent="0.25">
      <c r="A51">
        <v>3</v>
      </c>
      <c r="B51">
        <v>4</v>
      </c>
      <c r="D51" s="2"/>
      <c r="E51" s="2"/>
    </row>
    <row r="52" spans="1:5" x14ac:dyDescent="0.25">
      <c r="A52">
        <v>3</v>
      </c>
      <c r="B52">
        <v>4</v>
      </c>
      <c r="D52" t="s">
        <v>16</v>
      </c>
      <c r="E52">
        <f>_xlfn.T.INV.2T(E47,E45)</f>
        <v>1.973230823071547</v>
      </c>
    </row>
    <row r="53" spans="1:5" x14ac:dyDescent="0.25">
      <c r="A53">
        <v>1</v>
      </c>
      <c r="B53">
        <v>4</v>
      </c>
      <c r="D53" t="s">
        <v>17</v>
      </c>
      <c r="E53">
        <f>_xlfn.T.INV(E47, E45)</f>
        <v>-1.6533630134974617</v>
      </c>
    </row>
    <row r="54" spans="1:5" x14ac:dyDescent="0.25">
      <c r="A54">
        <v>5</v>
      </c>
      <c r="B54">
        <v>4</v>
      </c>
    </row>
    <row r="55" spans="1:5" x14ac:dyDescent="0.25">
      <c r="A55">
        <v>3</v>
      </c>
      <c r="B55">
        <v>5</v>
      </c>
      <c r="D55" t="s">
        <v>18</v>
      </c>
      <c r="E55">
        <f>TTEST(A:A,B:B,2,2)</f>
        <v>1.1930592134802352E-10</v>
      </c>
    </row>
    <row r="56" spans="1:5" x14ac:dyDescent="0.25">
      <c r="A56">
        <v>2</v>
      </c>
      <c r="B56">
        <v>5</v>
      </c>
      <c r="D56" t="s">
        <v>19</v>
      </c>
      <c r="E56">
        <f>TTEST(A:A,B:B,1,2)</f>
        <v>5.9652960674011758E-11</v>
      </c>
    </row>
    <row r="57" spans="1:5" x14ac:dyDescent="0.25">
      <c r="A57">
        <v>3</v>
      </c>
      <c r="B57">
        <v>5</v>
      </c>
    </row>
    <row r="58" spans="1:5" x14ac:dyDescent="0.25">
      <c r="A58">
        <v>2</v>
      </c>
      <c r="B58">
        <v>4</v>
      </c>
    </row>
    <row r="59" spans="1:5" x14ac:dyDescent="0.25">
      <c r="A59">
        <v>1</v>
      </c>
      <c r="B59">
        <v>5</v>
      </c>
      <c r="D59" s="2" t="s">
        <v>20</v>
      </c>
      <c r="E59" s="2"/>
    </row>
    <row r="60" spans="1:5" x14ac:dyDescent="0.25">
      <c r="A60">
        <v>5</v>
      </c>
      <c r="B60">
        <v>5</v>
      </c>
    </row>
    <row r="61" spans="1:5" x14ac:dyDescent="0.25">
      <c r="A61">
        <v>4</v>
      </c>
      <c r="B61">
        <v>4</v>
      </c>
      <c r="D61" t="s">
        <v>21</v>
      </c>
    </row>
    <row r="62" spans="1:5" x14ac:dyDescent="0.25">
      <c r="A62">
        <v>2</v>
      </c>
      <c r="B62">
        <v>4</v>
      </c>
      <c r="D62" t="s">
        <v>22</v>
      </c>
    </row>
    <row r="63" spans="1:5" x14ac:dyDescent="0.25">
      <c r="A63">
        <v>2</v>
      </c>
      <c r="B63">
        <v>3</v>
      </c>
    </row>
    <row r="64" spans="1:5" x14ac:dyDescent="0.25">
      <c r="A64">
        <v>2</v>
      </c>
      <c r="B64">
        <v>5</v>
      </c>
    </row>
    <row r="65" spans="1:4" x14ac:dyDescent="0.25">
      <c r="A65">
        <v>2</v>
      </c>
      <c r="B65">
        <v>4</v>
      </c>
    </row>
    <row r="66" spans="1:4" x14ac:dyDescent="0.25">
      <c r="A66">
        <v>3</v>
      </c>
      <c r="B66">
        <v>4</v>
      </c>
      <c r="D66" t="s">
        <v>23</v>
      </c>
    </row>
    <row r="67" spans="1:4" x14ac:dyDescent="0.25">
      <c r="A67">
        <v>2</v>
      </c>
      <c r="B67">
        <v>5</v>
      </c>
      <c r="D67" t="str">
        <f>"Dos Colas: Si t calculado ("&amp;E29&amp;") &gt; a t critico  ("&amp;E52&amp;") (de tabla) ---&gt; Se rechaza la hipotesis nula"</f>
        <v>Dos Colas: Si t calculado (-6.81387437705291) &gt; a t critico  (1.97323082307155) (de tabla) ---&gt; Se rechaza la hipotesis nula</v>
      </c>
    </row>
    <row r="68" spans="1:4" x14ac:dyDescent="0.25">
      <c r="A68">
        <v>5</v>
      </c>
      <c r="B68">
        <v>5</v>
      </c>
      <c r="D68" t="str">
        <f>"Una Cola: Si t calculado ("&amp;E29&amp;") &gt; a t critico  ("&amp;E53&amp;") (de tabla) ---&gt; Se rechaza la hipotesis nula"</f>
        <v>Una Cola: Si t calculado (-6.81387437705291) &gt; a t critico  (-1.65336301349746) (de tabla) ---&gt; Se rechaza la hipotesis nula</v>
      </c>
    </row>
    <row r="69" spans="1:4" x14ac:dyDescent="0.25">
      <c r="A69">
        <v>3</v>
      </c>
      <c r="B69">
        <v>4</v>
      </c>
    </row>
    <row r="70" spans="1:4" x14ac:dyDescent="0.25">
      <c r="A70">
        <v>2</v>
      </c>
      <c r="B70">
        <v>5</v>
      </c>
    </row>
    <row r="71" spans="1:4" x14ac:dyDescent="0.25">
      <c r="A71">
        <v>3</v>
      </c>
      <c r="B71">
        <v>4</v>
      </c>
    </row>
    <row r="72" spans="1:4" x14ac:dyDescent="0.25">
      <c r="A72">
        <v>1</v>
      </c>
      <c r="B72">
        <v>3</v>
      </c>
      <c r="D72" t="s">
        <v>26</v>
      </c>
    </row>
    <row r="73" spans="1:4" x14ac:dyDescent="0.25">
      <c r="A73">
        <v>3</v>
      </c>
      <c r="B73">
        <v>1</v>
      </c>
      <c r="D73" t="str">
        <f>"Dos Colas: Si p valor ("&amp;E55&amp;") &lt; Nivel Significancia (0.05) ---&gt; Se rechaza la hipotesis nula"</f>
        <v>Dos Colas: Si p valor (1.19305921348024E-10) &lt; Nivel Significancia (0.05) ---&gt; Se rechaza la hipotesis nula</v>
      </c>
    </row>
    <row r="74" spans="1:4" x14ac:dyDescent="0.25">
      <c r="A74">
        <v>2</v>
      </c>
      <c r="B74">
        <v>3</v>
      </c>
      <c r="D74" t="str">
        <f>"Una Cola: Si p valor ("&amp;E56&amp;") &lt; Nivel Significancia (0.05) ---&gt; Se rechaza la hipotesis nula"</f>
        <v>Una Cola: Si p valor (5.96529606740118E-11) &lt; Nivel Significancia (0.05) ---&gt; Se rechaza la hipotesis nula</v>
      </c>
    </row>
    <row r="75" spans="1:4" x14ac:dyDescent="0.25">
      <c r="A75">
        <v>3</v>
      </c>
      <c r="B75">
        <v>4</v>
      </c>
    </row>
    <row r="76" spans="1:4" x14ac:dyDescent="0.25">
      <c r="A76">
        <v>5</v>
      </c>
      <c r="B76">
        <v>4</v>
      </c>
    </row>
    <row r="77" spans="1:4" x14ac:dyDescent="0.25">
      <c r="A77">
        <v>3</v>
      </c>
      <c r="B77">
        <v>4</v>
      </c>
    </row>
    <row r="78" spans="1:4" x14ac:dyDescent="0.25">
      <c r="A78">
        <v>3</v>
      </c>
      <c r="B78">
        <v>4</v>
      </c>
    </row>
    <row r="79" spans="1:4" x14ac:dyDescent="0.25">
      <c r="A79">
        <v>3</v>
      </c>
      <c r="B79">
        <v>3</v>
      </c>
    </row>
    <row r="80" spans="1:4" x14ac:dyDescent="0.25">
      <c r="A80">
        <v>3</v>
      </c>
      <c r="B80">
        <v>5</v>
      </c>
    </row>
    <row r="81" spans="1:2" x14ac:dyDescent="0.25">
      <c r="A81">
        <v>4</v>
      </c>
      <c r="B81">
        <v>4</v>
      </c>
    </row>
    <row r="82" spans="1:2" x14ac:dyDescent="0.25">
      <c r="A82">
        <v>3</v>
      </c>
      <c r="B82">
        <v>5</v>
      </c>
    </row>
    <row r="83" spans="1:2" x14ac:dyDescent="0.25">
      <c r="A83">
        <v>5</v>
      </c>
      <c r="B83">
        <v>4</v>
      </c>
    </row>
    <row r="84" spans="1:2" x14ac:dyDescent="0.25">
      <c r="A84">
        <v>2</v>
      </c>
      <c r="B84">
        <v>5</v>
      </c>
    </row>
    <row r="85" spans="1:2" x14ac:dyDescent="0.25">
      <c r="A85">
        <v>3</v>
      </c>
      <c r="B85">
        <v>4</v>
      </c>
    </row>
    <row r="86" spans="1:2" x14ac:dyDescent="0.25">
      <c r="A86">
        <v>3</v>
      </c>
      <c r="B86">
        <v>4</v>
      </c>
    </row>
    <row r="87" spans="1:2" x14ac:dyDescent="0.25">
      <c r="A87">
        <v>4</v>
      </c>
      <c r="B87">
        <v>4</v>
      </c>
    </row>
    <row r="88" spans="1:2" x14ac:dyDescent="0.25">
      <c r="A88">
        <v>3</v>
      </c>
      <c r="B88">
        <v>5</v>
      </c>
    </row>
    <row r="89" spans="1:2" x14ac:dyDescent="0.25">
      <c r="A89">
        <v>1</v>
      </c>
      <c r="B89">
        <v>2</v>
      </c>
    </row>
    <row r="90" spans="1:2" x14ac:dyDescent="0.25">
      <c r="A90">
        <v>5</v>
      </c>
      <c r="B90">
        <v>5</v>
      </c>
    </row>
    <row r="91" spans="1:2" x14ac:dyDescent="0.25">
      <c r="A91">
        <v>4</v>
      </c>
      <c r="B91">
        <v>3</v>
      </c>
    </row>
    <row r="92" spans="1:2" x14ac:dyDescent="0.25">
      <c r="A92">
        <v>2</v>
      </c>
      <c r="B92">
        <v>3</v>
      </c>
    </row>
    <row r="93" spans="1:2" x14ac:dyDescent="0.25">
      <c r="A93">
        <v>5</v>
      </c>
      <c r="B93">
        <v>5</v>
      </c>
    </row>
    <row r="94" spans="1:2" x14ac:dyDescent="0.25">
      <c r="A94">
        <v>2</v>
      </c>
      <c r="B94">
        <v>3</v>
      </c>
    </row>
    <row r="95" spans="1:2" x14ac:dyDescent="0.25">
      <c r="A95">
        <v>3</v>
      </c>
      <c r="B95">
        <v>2</v>
      </c>
    </row>
    <row r="96" spans="1:2" x14ac:dyDescent="0.25">
      <c r="A96">
        <v>5</v>
      </c>
      <c r="B96">
        <v>5</v>
      </c>
    </row>
    <row r="97" spans="1:2" x14ac:dyDescent="0.25">
      <c r="A97">
        <v>3</v>
      </c>
      <c r="B97">
        <v>3</v>
      </c>
    </row>
    <row r="98" spans="1:2" x14ac:dyDescent="0.25">
      <c r="A98">
        <v>5</v>
      </c>
      <c r="B98">
        <v>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85" zoomScaleNormal="85" workbookViewId="0">
      <selection activeCell="H16" sqref="H16"/>
    </sheetView>
  </sheetViews>
  <sheetFormatPr baseColWidth="10" defaultColWidth="9.140625" defaultRowHeight="15" x14ac:dyDescent="0.25"/>
  <cols>
    <col min="1" max="1" width="33" customWidth="1"/>
    <col min="2" max="2" width="29.85546875" customWidth="1"/>
    <col min="4" max="4" width="37.28515625" customWidth="1"/>
    <col min="5" max="5" width="21.5703125" customWidth="1"/>
    <col min="6" max="6" width="17.85546875" customWidth="1"/>
    <col min="7" max="7" width="20" customWidth="1"/>
  </cols>
  <sheetData>
    <row r="1" spans="1:5" ht="60" x14ac:dyDescent="0.25">
      <c r="A1" s="11" t="s">
        <v>52</v>
      </c>
      <c r="B1" s="9" t="s">
        <v>63</v>
      </c>
    </row>
    <row r="2" spans="1:5" x14ac:dyDescent="0.25">
      <c r="A2">
        <v>4</v>
      </c>
      <c r="B2">
        <v>4</v>
      </c>
      <c r="D2" s="1" t="s">
        <v>24</v>
      </c>
      <c r="E2">
        <f>AVERAGE(A:A)</f>
        <v>3.0927835051546393</v>
      </c>
    </row>
    <row r="3" spans="1:5" x14ac:dyDescent="0.25">
      <c r="A3">
        <v>4</v>
      </c>
      <c r="B3">
        <v>3</v>
      </c>
      <c r="D3" s="1" t="s">
        <v>0</v>
      </c>
      <c r="E3">
        <f>MEDIAN(A:A)</f>
        <v>3</v>
      </c>
    </row>
    <row r="4" spans="1:5" x14ac:dyDescent="0.25">
      <c r="A4">
        <v>4</v>
      </c>
      <c r="B4">
        <v>3</v>
      </c>
      <c r="D4" s="1" t="s">
        <v>1</v>
      </c>
      <c r="E4">
        <f>MODE(A:A)</f>
        <v>3</v>
      </c>
    </row>
    <row r="5" spans="1:5" x14ac:dyDescent="0.25">
      <c r="A5">
        <v>2</v>
      </c>
      <c r="B5">
        <v>5</v>
      </c>
      <c r="D5" s="1" t="s">
        <v>15</v>
      </c>
      <c r="E5">
        <f>STDEV(A:A)</f>
        <v>1.1733363597274313</v>
      </c>
    </row>
    <row r="6" spans="1:5" x14ac:dyDescent="0.25">
      <c r="A6">
        <v>1</v>
      </c>
      <c r="B6">
        <v>3</v>
      </c>
      <c r="D6" s="4" t="s">
        <v>4</v>
      </c>
      <c r="E6">
        <f>COUNT(A:A)</f>
        <v>97</v>
      </c>
    </row>
    <row r="7" spans="1:5" x14ac:dyDescent="0.25">
      <c r="A7">
        <v>5</v>
      </c>
      <c r="B7">
        <v>5</v>
      </c>
    </row>
    <row r="8" spans="1:5" x14ac:dyDescent="0.25">
      <c r="A8">
        <v>4</v>
      </c>
      <c r="B8">
        <v>3</v>
      </c>
      <c r="D8" s="3" t="s">
        <v>25</v>
      </c>
      <c r="E8">
        <f>AVERAGE(B:B)</f>
        <v>4.072164948453608</v>
      </c>
    </row>
    <row r="9" spans="1:5" x14ac:dyDescent="0.25">
      <c r="A9">
        <v>2</v>
      </c>
      <c r="B9">
        <v>4</v>
      </c>
      <c r="D9" s="3" t="s">
        <v>2</v>
      </c>
      <c r="E9">
        <f>MEDIAN(B:B)</f>
        <v>4</v>
      </c>
    </row>
    <row r="10" spans="1:5" x14ac:dyDescent="0.25">
      <c r="A10">
        <v>1</v>
      </c>
      <c r="B10">
        <v>5</v>
      </c>
      <c r="D10" s="3" t="s">
        <v>3</v>
      </c>
      <c r="E10">
        <f>MODE(B:B)</f>
        <v>5</v>
      </c>
    </row>
    <row r="11" spans="1:5" x14ac:dyDescent="0.25">
      <c r="A11">
        <v>4</v>
      </c>
      <c r="B11">
        <v>1</v>
      </c>
      <c r="D11" s="3" t="s">
        <v>14</v>
      </c>
      <c r="E11">
        <f>STDEV(B:B)</f>
        <v>1.0920872855112165</v>
      </c>
    </row>
    <row r="12" spans="1:5" x14ac:dyDescent="0.25">
      <c r="A12">
        <v>2</v>
      </c>
      <c r="B12">
        <v>4</v>
      </c>
      <c r="D12" s="5" t="s">
        <v>5</v>
      </c>
      <c r="E12">
        <f>COUNT(B:B)</f>
        <v>97</v>
      </c>
    </row>
    <row r="13" spans="1:5" x14ac:dyDescent="0.25">
      <c r="A13">
        <v>3</v>
      </c>
      <c r="B13">
        <v>4</v>
      </c>
    </row>
    <row r="14" spans="1:5" x14ac:dyDescent="0.25">
      <c r="A14">
        <v>5</v>
      </c>
      <c r="B14">
        <v>5</v>
      </c>
    </row>
    <row r="15" spans="1:5" x14ac:dyDescent="0.25">
      <c r="A15">
        <v>2</v>
      </c>
      <c r="B15">
        <v>5</v>
      </c>
    </row>
    <row r="16" spans="1:5" x14ac:dyDescent="0.25">
      <c r="A16">
        <v>3</v>
      </c>
      <c r="B16">
        <v>3</v>
      </c>
    </row>
    <row r="17" spans="1:5" x14ac:dyDescent="0.25">
      <c r="A17">
        <v>4</v>
      </c>
      <c r="B17">
        <v>4</v>
      </c>
      <c r="D17" s="2" t="s">
        <v>6</v>
      </c>
      <c r="E17" s="2"/>
    </row>
    <row r="18" spans="1:5" x14ac:dyDescent="0.25">
      <c r="A18">
        <v>4</v>
      </c>
      <c r="B18">
        <v>5</v>
      </c>
    </row>
    <row r="19" spans="1:5" x14ac:dyDescent="0.25">
      <c r="A19">
        <v>3</v>
      </c>
      <c r="B19">
        <v>5</v>
      </c>
    </row>
    <row r="20" spans="1:5" x14ac:dyDescent="0.25">
      <c r="A20">
        <v>3</v>
      </c>
      <c r="B20">
        <v>2</v>
      </c>
    </row>
    <row r="21" spans="1:5" x14ac:dyDescent="0.25">
      <c r="A21">
        <v>3</v>
      </c>
      <c r="B21">
        <v>4</v>
      </c>
    </row>
    <row r="22" spans="1:5" x14ac:dyDescent="0.25">
      <c r="A22">
        <v>2</v>
      </c>
      <c r="B22">
        <v>5</v>
      </c>
    </row>
    <row r="23" spans="1:5" x14ac:dyDescent="0.25">
      <c r="A23">
        <v>5</v>
      </c>
      <c r="B23">
        <v>3</v>
      </c>
    </row>
    <row r="24" spans="1:5" x14ac:dyDescent="0.25">
      <c r="A24">
        <v>3</v>
      </c>
      <c r="B24">
        <v>4</v>
      </c>
    </row>
    <row r="25" spans="1:5" x14ac:dyDescent="0.25">
      <c r="A25">
        <v>3</v>
      </c>
      <c r="B25">
        <v>5</v>
      </c>
    </row>
    <row r="26" spans="1:5" x14ac:dyDescent="0.25">
      <c r="A26">
        <v>4</v>
      </c>
      <c r="B26">
        <v>5</v>
      </c>
    </row>
    <row r="27" spans="1:5" x14ac:dyDescent="0.25">
      <c r="A27">
        <v>1</v>
      </c>
      <c r="B27">
        <v>4</v>
      </c>
    </row>
    <row r="28" spans="1:5" x14ac:dyDescent="0.25">
      <c r="A28">
        <v>5</v>
      </c>
      <c r="B28">
        <v>2</v>
      </c>
    </row>
    <row r="29" spans="1:5" x14ac:dyDescent="0.25">
      <c r="A29">
        <v>5</v>
      </c>
      <c r="B29">
        <v>4</v>
      </c>
      <c r="D29" t="s">
        <v>11</v>
      </c>
      <c r="E29">
        <f>(E2-E8)/SQRT(((E5^2)/E6)+((E11^2)/E12))</f>
        <v>-6.0176118681336339</v>
      </c>
    </row>
    <row r="30" spans="1:5" x14ac:dyDescent="0.25">
      <c r="A30">
        <v>1</v>
      </c>
      <c r="B30">
        <v>4</v>
      </c>
    </row>
    <row r="31" spans="1:5" x14ac:dyDescent="0.25">
      <c r="A31">
        <v>2</v>
      </c>
      <c r="B31">
        <v>5</v>
      </c>
      <c r="D31" s="2" t="s">
        <v>7</v>
      </c>
      <c r="E31" s="2"/>
    </row>
    <row r="32" spans="1:5" x14ac:dyDescent="0.25">
      <c r="A32">
        <v>3</v>
      </c>
      <c r="B32">
        <v>5</v>
      </c>
    </row>
    <row r="33" spans="1:6" x14ac:dyDescent="0.25">
      <c r="A33">
        <v>3</v>
      </c>
      <c r="B33">
        <v>4</v>
      </c>
    </row>
    <row r="34" spans="1:6" x14ac:dyDescent="0.25">
      <c r="A34">
        <v>2</v>
      </c>
      <c r="B34">
        <v>5</v>
      </c>
    </row>
    <row r="35" spans="1:6" x14ac:dyDescent="0.25">
      <c r="A35">
        <v>4</v>
      </c>
      <c r="B35">
        <v>5</v>
      </c>
    </row>
    <row r="36" spans="1:6" x14ac:dyDescent="0.25">
      <c r="A36">
        <v>4</v>
      </c>
      <c r="B36">
        <v>5</v>
      </c>
    </row>
    <row r="37" spans="1:6" x14ac:dyDescent="0.25">
      <c r="A37">
        <v>4</v>
      </c>
      <c r="B37">
        <v>4</v>
      </c>
    </row>
    <row r="38" spans="1:6" x14ac:dyDescent="0.25">
      <c r="A38">
        <v>4</v>
      </c>
      <c r="B38">
        <v>4</v>
      </c>
    </row>
    <row r="39" spans="1:6" x14ac:dyDescent="0.25">
      <c r="A39">
        <v>2</v>
      </c>
      <c r="B39">
        <v>5</v>
      </c>
    </row>
    <row r="40" spans="1:6" x14ac:dyDescent="0.25">
      <c r="A40">
        <v>5</v>
      </c>
      <c r="B40">
        <v>5</v>
      </c>
    </row>
    <row r="41" spans="1:6" ht="29.25" customHeight="1" x14ac:dyDescent="0.25">
      <c r="A41">
        <v>2</v>
      </c>
      <c r="B41">
        <v>5</v>
      </c>
      <c r="D41" t="s">
        <v>8</v>
      </c>
      <c r="E41">
        <f>(((E5^2)/E6)+((E11^2)/E12))^2</f>
        <v>7.0163427078280614E-4</v>
      </c>
    </row>
    <row r="42" spans="1:6" ht="47.25" customHeight="1" x14ac:dyDescent="0.25">
      <c r="A42">
        <v>4</v>
      </c>
      <c r="B42">
        <v>5</v>
      </c>
      <c r="D42" t="s">
        <v>9</v>
      </c>
      <c r="E42">
        <f>(((E5^2)/E6)^2)/(E6-1)</f>
        <v>2.0983378482556256E-6</v>
      </c>
    </row>
    <row r="43" spans="1:6" ht="43.5" customHeight="1" x14ac:dyDescent="0.25">
      <c r="A43">
        <v>3</v>
      </c>
      <c r="B43">
        <v>5</v>
      </c>
      <c r="D43" t="s">
        <v>10</v>
      </c>
      <c r="E43">
        <f>(((E11^2)/E12)^2)/(E12-1)</f>
        <v>1.5747611864817629E-6</v>
      </c>
    </row>
    <row r="44" spans="1:6" x14ac:dyDescent="0.25">
      <c r="A44">
        <v>2</v>
      </c>
      <c r="B44">
        <v>3</v>
      </c>
    </row>
    <row r="45" spans="1:6" x14ac:dyDescent="0.25">
      <c r="A45">
        <v>1</v>
      </c>
      <c r="B45">
        <v>3</v>
      </c>
      <c r="D45" t="s">
        <v>7</v>
      </c>
      <c r="E45">
        <f>E41/(E42+E43)</f>
        <v>191.01969866515458</v>
      </c>
      <c r="F45" s="6" t="s">
        <v>12</v>
      </c>
    </row>
    <row r="46" spans="1:6" x14ac:dyDescent="0.25">
      <c r="A46">
        <v>4</v>
      </c>
      <c r="B46">
        <v>4</v>
      </c>
    </row>
    <row r="47" spans="1:6" x14ac:dyDescent="0.25">
      <c r="A47">
        <v>3</v>
      </c>
      <c r="B47">
        <v>4</v>
      </c>
      <c r="D47" t="s">
        <v>13</v>
      </c>
      <c r="E47">
        <v>0.05</v>
      </c>
      <c r="F47" s="6" t="s">
        <v>12</v>
      </c>
    </row>
    <row r="48" spans="1:6" x14ac:dyDescent="0.25">
      <c r="A48">
        <v>3</v>
      </c>
      <c r="B48">
        <v>2</v>
      </c>
    </row>
    <row r="49" spans="1:5" x14ac:dyDescent="0.25">
      <c r="A49">
        <v>4</v>
      </c>
      <c r="B49">
        <v>4</v>
      </c>
    </row>
    <row r="50" spans="1:5" x14ac:dyDescent="0.25">
      <c r="A50">
        <v>2</v>
      </c>
      <c r="B50">
        <v>3</v>
      </c>
    </row>
    <row r="51" spans="1:5" x14ac:dyDescent="0.25">
      <c r="A51">
        <v>2</v>
      </c>
      <c r="B51">
        <v>5</v>
      </c>
      <c r="D51" s="2"/>
      <c r="E51" s="2"/>
    </row>
    <row r="52" spans="1:5" x14ac:dyDescent="0.25">
      <c r="A52">
        <v>4</v>
      </c>
      <c r="B52">
        <v>5</v>
      </c>
      <c r="D52" t="s">
        <v>16</v>
      </c>
      <c r="E52">
        <f>_xlfn.T.INV.2T(E47,E45)</f>
        <v>1.9724619897672133</v>
      </c>
    </row>
    <row r="53" spans="1:5" x14ac:dyDescent="0.25">
      <c r="A53">
        <v>4</v>
      </c>
      <c r="B53">
        <v>5</v>
      </c>
      <c r="D53" t="s">
        <v>17</v>
      </c>
      <c r="E53">
        <f>_xlfn.T.INV(E47, E45)</f>
        <v>-1.6528705472303915</v>
      </c>
    </row>
    <row r="54" spans="1:5" x14ac:dyDescent="0.25">
      <c r="A54">
        <v>1</v>
      </c>
      <c r="B54">
        <v>2</v>
      </c>
    </row>
    <row r="55" spans="1:5" x14ac:dyDescent="0.25">
      <c r="A55">
        <v>3</v>
      </c>
      <c r="B55">
        <v>5</v>
      </c>
      <c r="D55" t="s">
        <v>18</v>
      </c>
      <c r="E55">
        <f>TTEST(A:A,B:B,2,2)</f>
        <v>8.8064005268554789E-9</v>
      </c>
    </row>
    <row r="56" spans="1:5" x14ac:dyDescent="0.25">
      <c r="A56">
        <v>2</v>
      </c>
      <c r="B56">
        <v>5</v>
      </c>
      <c r="D56" t="s">
        <v>19</v>
      </c>
      <c r="E56">
        <f>TTEST(A:A,B:B,1,2)</f>
        <v>4.4032002634277394E-9</v>
      </c>
    </row>
    <row r="57" spans="1:5" x14ac:dyDescent="0.25">
      <c r="A57">
        <v>5</v>
      </c>
      <c r="B57">
        <v>5</v>
      </c>
    </row>
    <row r="58" spans="1:5" x14ac:dyDescent="0.25">
      <c r="A58">
        <v>2</v>
      </c>
      <c r="B58">
        <v>3</v>
      </c>
    </row>
    <row r="59" spans="1:5" x14ac:dyDescent="0.25">
      <c r="A59">
        <v>3</v>
      </c>
      <c r="B59">
        <v>3</v>
      </c>
      <c r="D59" s="2" t="s">
        <v>20</v>
      </c>
      <c r="E59" s="2"/>
    </row>
    <row r="60" spans="1:5" x14ac:dyDescent="0.25">
      <c r="A60">
        <v>3</v>
      </c>
      <c r="B60">
        <v>5</v>
      </c>
    </row>
    <row r="61" spans="1:5" x14ac:dyDescent="0.25">
      <c r="A61">
        <v>4</v>
      </c>
      <c r="B61">
        <v>4</v>
      </c>
      <c r="D61" t="s">
        <v>21</v>
      </c>
    </row>
    <row r="62" spans="1:5" x14ac:dyDescent="0.25">
      <c r="A62">
        <v>3</v>
      </c>
      <c r="B62">
        <v>5</v>
      </c>
      <c r="D62" t="s">
        <v>22</v>
      </c>
    </row>
    <row r="63" spans="1:5" x14ac:dyDescent="0.25">
      <c r="A63">
        <v>3</v>
      </c>
      <c r="B63">
        <v>5</v>
      </c>
    </row>
    <row r="64" spans="1:5" x14ac:dyDescent="0.25">
      <c r="A64">
        <v>2</v>
      </c>
      <c r="B64">
        <v>4</v>
      </c>
    </row>
    <row r="65" spans="1:4" x14ac:dyDescent="0.25">
      <c r="A65">
        <v>4</v>
      </c>
      <c r="B65">
        <v>5</v>
      </c>
    </row>
    <row r="66" spans="1:4" x14ac:dyDescent="0.25">
      <c r="A66">
        <v>2</v>
      </c>
      <c r="B66">
        <v>5</v>
      </c>
      <c r="D66" t="s">
        <v>23</v>
      </c>
    </row>
    <row r="67" spans="1:4" x14ac:dyDescent="0.25">
      <c r="A67">
        <v>3</v>
      </c>
      <c r="B67">
        <v>4</v>
      </c>
      <c r="D67" t="str">
        <f>"Dos Colas: Si t calculado ("&amp;E29&amp;") &gt; a t critico  ("&amp;E52&amp;") (de tabla) ---&gt; Se rechaza la hipotesis nula"</f>
        <v>Dos Colas: Si t calculado (-6.01761186813363) &gt; a t critico  (1.97246198976721) (de tabla) ---&gt; Se rechaza la hipotesis nula</v>
      </c>
    </row>
    <row r="68" spans="1:4" x14ac:dyDescent="0.25">
      <c r="A68">
        <v>2</v>
      </c>
      <c r="B68">
        <v>4</v>
      </c>
      <c r="D68" t="str">
        <f>"Una Cola: Si t calculado ("&amp;E29&amp;") &gt; a t critico  ("&amp;E53&amp;") (de tabla) ---&gt; Se rechaza la hipotesis nula"</f>
        <v>Una Cola: Si t calculado (-6.01761186813363) &gt; a t critico  (-1.65287054723039) (de tabla) ---&gt; Se rechaza la hipotesis nula</v>
      </c>
    </row>
    <row r="69" spans="1:4" x14ac:dyDescent="0.25">
      <c r="A69">
        <v>4</v>
      </c>
      <c r="B69">
        <v>5</v>
      </c>
    </row>
    <row r="70" spans="1:4" x14ac:dyDescent="0.25">
      <c r="A70">
        <v>4</v>
      </c>
      <c r="B70">
        <v>3</v>
      </c>
    </row>
    <row r="71" spans="1:4" x14ac:dyDescent="0.25">
      <c r="A71">
        <v>5</v>
      </c>
      <c r="B71">
        <v>2</v>
      </c>
    </row>
    <row r="72" spans="1:4" x14ac:dyDescent="0.25">
      <c r="A72">
        <v>2</v>
      </c>
      <c r="B72">
        <v>3</v>
      </c>
      <c r="D72" t="s">
        <v>26</v>
      </c>
    </row>
    <row r="73" spans="1:4" x14ac:dyDescent="0.25">
      <c r="A73">
        <v>4</v>
      </c>
      <c r="B73">
        <v>5</v>
      </c>
      <c r="D73" t="str">
        <f>"Dos Colas: Si p valor ("&amp;E55&amp;") &lt; Nivel Significancia (0.05) ---&gt; Se rechaza la hipotesis nula"</f>
        <v>Dos Colas: Si p valor (8.80640052685548E-09) &lt; Nivel Significancia (0.05) ---&gt; Se rechaza la hipotesis nula</v>
      </c>
    </row>
    <row r="74" spans="1:4" x14ac:dyDescent="0.25">
      <c r="A74">
        <v>3</v>
      </c>
      <c r="B74">
        <v>5</v>
      </c>
      <c r="D74" t="str">
        <f>"Una Cola: Si p valor ("&amp;E56&amp;") &lt; Nivel Significancia (0.05) ---&gt; Se rechaza la hipotesis nula"</f>
        <v>Una Cola: Si p valor (4.40320026342774E-09) &lt; Nivel Significancia (0.05) ---&gt; Se rechaza la hipotesis nula</v>
      </c>
    </row>
    <row r="75" spans="1:4" x14ac:dyDescent="0.25">
      <c r="A75">
        <v>5</v>
      </c>
      <c r="B75">
        <v>4</v>
      </c>
    </row>
    <row r="76" spans="1:4" x14ac:dyDescent="0.25">
      <c r="A76">
        <v>3</v>
      </c>
      <c r="B76">
        <v>5</v>
      </c>
    </row>
    <row r="77" spans="1:4" x14ac:dyDescent="0.25">
      <c r="A77">
        <v>4</v>
      </c>
      <c r="B77">
        <v>5</v>
      </c>
    </row>
    <row r="78" spans="1:4" x14ac:dyDescent="0.25">
      <c r="A78">
        <v>3</v>
      </c>
      <c r="B78">
        <v>4</v>
      </c>
    </row>
    <row r="79" spans="1:4" x14ac:dyDescent="0.25">
      <c r="A79">
        <v>5</v>
      </c>
      <c r="B79">
        <v>5</v>
      </c>
    </row>
    <row r="80" spans="1:4" x14ac:dyDescent="0.25">
      <c r="A80">
        <v>3</v>
      </c>
      <c r="B80">
        <v>5</v>
      </c>
    </row>
    <row r="81" spans="1:2" x14ac:dyDescent="0.25">
      <c r="A81">
        <v>1</v>
      </c>
      <c r="B81">
        <v>4</v>
      </c>
    </row>
    <row r="82" spans="1:2" x14ac:dyDescent="0.25">
      <c r="A82">
        <v>2</v>
      </c>
      <c r="B82">
        <v>1</v>
      </c>
    </row>
    <row r="83" spans="1:2" x14ac:dyDescent="0.25">
      <c r="A83">
        <v>2</v>
      </c>
      <c r="B83">
        <v>2</v>
      </c>
    </row>
    <row r="84" spans="1:2" x14ac:dyDescent="0.25">
      <c r="A84">
        <v>5</v>
      </c>
      <c r="B84">
        <v>5</v>
      </c>
    </row>
    <row r="85" spans="1:2" x14ac:dyDescent="0.25">
      <c r="A85">
        <v>3</v>
      </c>
      <c r="B85">
        <v>4</v>
      </c>
    </row>
    <row r="86" spans="1:2" x14ac:dyDescent="0.25">
      <c r="A86">
        <v>3</v>
      </c>
      <c r="B86">
        <v>4</v>
      </c>
    </row>
    <row r="87" spans="1:2" x14ac:dyDescent="0.25">
      <c r="A87">
        <v>4</v>
      </c>
      <c r="B87">
        <v>3</v>
      </c>
    </row>
    <row r="88" spans="1:2" x14ac:dyDescent="0.25">
      <c r="A88">
        <v>3</v>
      </c>
      <c r="B88">
        <v>5</v>
      </c>
    </row>
    <row r="89" spans="1:2" x14ac:dyDescent="0.25">
      <c r="A89">
        <v>2</v>
      </c>
      <c r="B89">
        <v>3</v>
      </c>
    </row>
    <row r="90" spans="1:2" x14ac:dyDescent="0.25">
      <c r="A90">
        <v>3</v>
      </c>
      <c r="B90">
        <v>1</v>
      </c>
    </row>
    <row r="91" spans="1:2" x14ac:dyDescent="0.25">
      <c r="A91">
        <v>5</v>
      </c>
      <c r="B91">
        <v>4</v>
      </c>
    </row>
    <row r="92" spans="1:2" x14ac:dyDescent="0.25">
      <c r="A92">
        <v>3</v>
      </c>
      <c r="B92">
        <v>4</v>
      </c>
    </row>
    <row r="93" spans="1:2" x14ac:dyDescent="0.25">
      <c r="A93">
        <v>2</v>
      </c>
      <c r="B93">
        <v>5</v>
      </c>
    </row>
    <row r="94" spans="1:2" x14ac:dyDescent="0.25">
      <c r="A94">
        <v>2</v>
      </c>
      <c r="B94">
        <v>2</v>
      </c>
    </row>
    <row r="95" spans="1:2" x14ac:dyDescent="0.25">
      <c r="A95">
        <v>5</v>
      </c>
      <c r="B95">
        <v>5</v>
      </c>
    </row>
    <row r="96" spans="1:2" x14ac:dyDescent="0.25">
      <c r="A96">
        <v>2</v>
      </c>
      <c r="B96">
        <v>5</v>
      </c>
    </row>
    <row r="97" spans="1:2" x14ac:dyDescent="0.25">
      <c r="A97">
        <v>2</v>
      </c>
      <c r="B97">
        <v>5</v>
      </c>
    </row>
    <row r="98" spans="1:2" x14ac:dyDescent="0.25">
      <c r="A98">
        <v>1</v>
      </c>
      <c r="B98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145" zoomScaleNormal="145" workbookViewId="0">
      <selection activeCell="F13" sqref="F13"/>
    </sheetView>
  </sheetViews>
  <sheetFormatPr baseColWidth="10" defaultColWidth="9.140625" defaultRowHeight="15" x14ac:dyDescent="0.25"/>
  <cols>
    <col min="1" max="1" width="30.5703125" customWidth="1"/>
    <col min="2" max="2" width="32.85546875" customWidth="1"/>
    <col min="4" max="4" width="37.85546875" customWidth="1"/>
    <col min="5" max="5" width="21.5703125" customWidth="1"/>
    <col min="6" max="6" width="17.85546875" customWidth="1"/>
    <col min="7" max="7" width="20" customWidth="1"/>
  </cols>
  <sheetData>
    <row r="1" spans="1:5" ht="75" x14ac:dyDescent="0.25">
      <c r="A1" s="8" t="s">
        <v>53</v>
      </c>
      <c r="B1" s="10" t="s">
        <v>64</v>
      </c>
    </row>
    <row r="2" spans="1:5" x14ac:dyDescent="0.25">
      <c r="A2">
        <v>3</v>
      </c>
      <c r="B2">
        <v>5</v>
      </c>
      <c r="D2" s="1" t="s">
        <v>24</v>
      </c>
      <c r="E2">
        <f>AVERAGE(A:A)</f>
        <v>2.9587628865979383</v>
      </c>
    </row>
    <row r="3" spans="1:5" x14ac:dyDescent="0.25">
      <c r="A3">
        <v>2</v>
      </c>
      <c r="B3">
        <v>5</v>
      </c>
      <c r="D3" s="1" t="s">
        <v>0</v>
      </c>
      <c r="E3">
        <f>MEDIAN(A:A)</f>
        <v>3</v>
      </c>
    </row>
    <row r="4" spans="1:5" x14ac:dyDescent="0.25">
      <c r="A4">
        <v>5</v>
      </c>
      <c r="B4">
        <v>4</v>
      </c>
      <c r="D4" s="1" t="s">
        <v>1</v>
      </c>
      <c r="E4">
        <f>MODE(A:A)</f>
        <v>3</v>
      </c>
    </row>
    <row r="5" spans="1:5" x14ac:dyDescent="0.25">
      <c r="A5">
        <v>5</v>
      </c>
      <c r="B5">
        <v>2</v>
      </c>
      <c r="D5" s="1" t="s">
        <v>15</v>
      </c>
      <c r="E5">
        <f>STDEV(A:A)</f>
        <v>1.0889360802827592</v>
      </c>
    </row>
    <row r="6" spans="1:5" x14ac:dyDescent="0.25">
      <c r="A6">
        <v>4</v>
      </c>
      <c r="B6">
        <v>3</v>
      </c>
      <c r="D6" s="4" t="s">
        <v>4</v>
      </c>
      <c r="E6">
        <f>COUNT(A:A)</f>
        <v>97</v>
      </c>
    </row>
    <row r="7" spans="1:5" x14ac:dyDescent="0.25">
      <c r="A7">
        <v>2</v>
      </c>
      <c r="B7">
        <v>5</v>
      </c>
    </row>
    <row r="8" spans="1:5" x14ac:dyDescent="0.25">
      <c r="A8">
        <v>4</v>
      </c>
      <c r="B8">
        <v>4</v>
      </c>
      <c r="D8" s="3" t="s">
        <v>25</v>
      </c>
      <c r="E8">
        <f>AVERAGE(B:B)</f>
        <v>4.2371134020618557</v>
      </c>
    </row>
    <row r="9" spans="1:5" x14ac:dyDescent="0.25">
      <c r="A9">
        <v>3</v>
      </c>
      <c r="B9">
        <v>5</v>
      </c>
      <c r="D9" s="3" t="s">
        <v>2</v>
      </c>
      <c r="E9">
        <f>MEDIAN(B:B)</f>
        <v>5</v>
      </c>
    </row>
    <row r="10" spans="1:5" x14ac:dyDescent="0.25">
      <c r="A10">
        <v>3</v>
      </c>
      <c r="B10">
        <v>4</v>
      </c>
      <c r="D10" s="3" t="s">
        <v>3</v>
      </c>
      <c r="E10">
        <f>MODE(B:B)</f>
        <v>5</v>
      </c>
    </row>
    <row r="11" spans="1:5" x14ac:dyDescent="0.25">
      <c r="A11">
        <v>3</v>
      </c>
      <c r="B11">
        <v>5</v>
      </c>
      <c r="D11" s="3" t="s">
        <v>14</v>
      </c>
      <c r="E11">
        <f>STDEV(B:B)</f>
        <v>0.96580273042135678</v>
      </c>
    </row>
    <row r="12" spans="1:5" x14ac:dyDescent="0.25">
      <c r="A12">
        <v>5</v>
      </c>
      <c r="B12">
        <v>5</v>
      </c>
      <c r="D12" s="5" t="s">
        <v>5</v>
      </c>
      <c r="E12">
        <f>COUNT(B:B)</f>
        <v>97</v>
      </c>
    </row>
    <row r="13" spans="1:5" x14ac:dyDescent="0.25">
      <c r="A13">
        <v>5</v>
      </c>
      <c r="B13">
        <v>5</v>
      </c>
    </row>
    <row r="14" spans="1:5" x14ac:dyDescent="0.25">
      <c r="A14">
        <v>4</v>
      </c>
      <c r="B14">
        <v>1</v>
      </c>
    </row>
    <row r="15" spans="1:5" x14ac:dyDescent="0.25">
      <c r="A15">
        <v>3</v>
      </c>
      <c r="B15">
        <v>4</v>
      </c>
    </row>
    <row r="16" spans="1:5" x14ac:dyDescent="0.25">
      <c r="A16">
        <v>3</v>
      </c>
      <c r="B16">
        <v>4</v>
      </c>
    </row>
    <row r="17" spans="1:5" x14ac:dyDescent="0.25">
      <c r="A17">
        <v>3</v>
      </c>
      <c r="B17">
        <v>4</v>
      </c>
      <c r="D17" s="2" t="s">
        <v>6</v>
      </c>
      <c r="E17" s="2"/>
    </row>
    <row r="18" spans="1:5" x14ac:dyDescent="0.25">
      <c r="A18">
        <v>3</v>
      </c>
      <c r="B18">
        <v>4</v>
      </c>
    </row>
    <row r="19" spans="1:5" x14ac:dyDescent="0.25">
      <c r="A19">
        <v>4</v>
      </c>
      <c r="B19">
        <v>5</v>
      </c>
    </row>
    <row r="20" spans="1:5" x14ac:dyDescent="0.25">
      <c r="A20">
        <v>3</v>
      </c>
      <c r="B20">
        <v>5</v>
      </c>
    </row>
    <row r="21" spans="1:5" x14ac:dyDescent="0.25">
      <c r="A21">
        <v>4</v>
      </c>
      <c r="B21">
        <v>3</v>
      </c>
    </row>
    <row r="22" spans="1:5" x14ac:dyDescent="0.25">
      <c r="A22">
        <v>2</v>
      </c>
      <c r="B22">
        <v>4</v>
      </c>
    </row>
    <row r="23" spans="1:5" x14ac:dyDescent="0.25">
      <c r="A23">
        <v>5</v>
      </c>
      <c r="B23">
        <v>5</v>
      </c>
    </row>
    <row r="24" spans="1:5" x14ac:dyDescent="0.25">
      <c r="A24">
        <v>4</v>
      </c>
      <c r="B24">
        <v>5</v>
      </c>
    </row>
    <row r="25" spans="1:5" x14ac:dyDescent="0.25">
      <c r="A25">
        <v>2</v>
      </c>
      <c r="B25">
        <v>5</v>
      </c>
    </row>
    <row r="26" spans="1:5" x14ac:dyDescent="0.25">
      <c r="A26">
        <v>4</v>
      </c>
      <c r="B26">
        <v>5</v>
      </c>
    </row>
    <row r="27" spans="1:5" x14ac:dyDescent="0.25">
      <c r="A27">
        <v>3</v>
      </c>
      <c r="B27">
        <v>5</v>
      </c>
    </row>
    <row r="28" spans="1:5" x14ac:dyDescent="0.25">
      <c r="A28">
        <v>3</v>
      </c>
      <c r="B28">
        <v>4</v>
      </c>
    </row>
    <row r="29" spans="1:5" x14ac:dyDescent="0.25">
      <c r="A29">
        <v>3</v>
      </c>
      <c r="B29">
        <v>3</v>
      </c>
      <c r="D29" t="s">
        <v>11</v>
      </c>
      <c r="E29">
        <f>(E2-E8)/SQRT(((E5^2)/E6)+((E11^2)/E12))</f>
        <v>-8.6499933195479315</v>
      </c>
    </row>
    <row r="30" spans="1:5" x14ac:dyDescent="0.25">
      <c r="A30">
        <v>1</v>
      </c>
      <c r="B30">
        <v>5</v>
      </c>
    </row>
    <row r="31" spans="1:5" x14ac:dyDescent="0.25">
      <c r="A31">
        <v>3</v>
      </c>
      <c r="B31">
        <v>5</v>
      </c>
      <c r="D31" s="2" t="s">
        <v>7</v>
      </c>
      <c r="E31" s="2"/>
    </row>
    <row r="32" spans="1:5" x14ac:dyDescent="0.25">
      <c r="A32">
        <v>1</v>
      </c>
      <c r="B32">
        <v>5</v>
      </c>
    </row>
    <row r="33" spans="1:6" x14ac:dyDescent="0.25">
      <c r="A33">
        <v>3</v>
      </c>
      <c r="B33">
        <v>5</v>
      </c>
    </row>
    <row r="34" spans="1:6" x14ac:dyDescent="0.25">
      <c r="A34">
        <v>3</v>
      </c>
      <c r="B34">
        <v>4</v>
      </c>
    </row>
    <row r="35" spans="1:6" x14ac:dyDescent="0.25">
      <c r="A35">
        <v>3</v>
      </c>
      <c r="B35">
        <v>5</v>
      </c>
    </row>
    <row r="36" spans="1:6" x14ac:dyDescent="0.25">
      <c r="A36">
        <v>3</v>
      </c>
      <c r="B36">
        <v>5</v>
      </c>
    </row>
    <row r="37" spans="1:6" x14ac:dyDescent="0.25">
      <c r="A37">
        <v>4</v>
      </c>
      <c r="B37">
        <v>3</v>
      </c>
    </row>
    <row r="38" spans="1:6" x14ac:dyDescent="0.25">
      <c r="A38">
        <v>3</v>
      </c>
      <c r="B38">
        <v>3</v>
      </c>
    </row>
    <row r="39" spans="1:6" x14ac:dyDescent="0.25">
      <c r="A39">
        <v>2</v>
      </c>
      <c r="B39">
        <v>3</v>
      </c>
    </row>
    <row r="40" spans="1:6" x14ac:dyDescent="0.25">
      <c r="A40">
        <v>2</v>
      </c>
      <c r="B40">
        <v>3</v>
      </c>
    </row>
    <row r="41" spans="1:6" ht="29.25" customHeight="1" x14ac:dyDescent="0.25">
      <c r="A41">
        <v>3</v>
      </c>
      <c r="B41">
        <v>4</v>
      </c>
      <c r="D41" t="s">
        <v>8</v>
      </c>
      <c r="E41">
        <f>(((E5^2)/E6)+((E11^2)/E12))^2</f>
        <v>4.7702013981114333E-4</v>
      </c>
    </row>
    <row r="42" spans="1:6" ht="47.25" customHeight="1" x14ac:dyDescent="0.25">
      <c r="A42">
        <v>5</v>
      </c>
      <c r="B42">
        <v>3</v>
      </c>
      <c r="D42" t="s">
        <v>9</v>
      </c>
      <c r="E42">
        <f>(((E5^2)/E6)^2)/(E6-1)</f>
        <v>1.5566638836955382E-6</v>
      </c>
    </row>
    <row r="43" spans="1:6" ht="43.5" customHeight="1" x14ac:dyDescent="0.25">
      <c r="A43">
        <v>1</v>
      </c>
      <c r="B43">
        <v>5</v>
      </c>
      <c r="D43" t="s">
        <v>10</v>
      </c>
      <c r="E43">
        <f>(((E11^2)/E12)^2)/(E12-1)</f>
        <v>9.6324999153557588E-7</v>
      </c>
    </row>
    <row r="44" spans="1:6" x14ac:dyDescent="0.25">
      <c r="A44">
        <v>2</v>
      </c>
      <c r="B44">
        <v>5</v>
      </c>
    </row>
    <row r="45" spans="1:6" x14ac:dyDescent="0.25">
      <c r="A45">
        <v>2</v>
      </c>
      <c r="B45">
        <v>4</v>
      </c>
      <c r="D45" t="s">
        <v>7</v>
      </c>
      <c r="E45">
        <f>E41/(E42+E43)</f>
        <v>189.30017589088968</v>
      </c>
      <c r="F45" s="6" t="s">
        <v>12</v>
      </c>
    </row>
    <row r="46" spans="1:6" x14ac:dyDescent="0.25">
      <c r="A46">
        <v>2</v>
      </c>
      <c r="B46">
        <v>5</v>
      </c>
    </row>
    <row r="47" spans="1:6" x14ac:dyDescent="0.25">
      <c r="A47">
        <v>2</v>
      </c>
      <c r="B47">
        <v>4</v>
      </c>
      <c r="D47" t="s">
        <v>13</v>
      </c>
      <c r="E47">
        <v>0.05</v>
      </c>
      <c r="F47" s="6" t="s">
        <v>12</v>
      </c>
    </row>
    <row r="48" spans="1:6" x14ac:dyDescent="0.25">
      <c r="A48">
        <v>4</v>
      </c>
      <c r="B48">
        <v>4</v>
      </c>
    </row>
    <row r="49" spans="1:5" x14ac:dyDescent="0.25">
      <c r="A49">
        <v>2</v>
      </c>
      <c r="B49">
        <v>5</v>
      </c>
    </row>
    <row r="50" spans="1:5" x14ac:dyDescent="0.25">
      <c r="A50">
        <v>2</v>
      </c>
      <c r="B50">
        <v>5</v>
      </c>
    </row>
    <row r="51" spans="1:5" x14ac:dyDescent="0.25">
      <c r="A51">
        <v>1</v>
      </c>
      <c r="B51">
        <v>5</v>
      </c>
      <c r="D51" s="2"/>
      <c r="E51" s="2"/>
    </row>
    <row r="52" spans="1:5" x14ac:dyDescent="0.25">
      <c r="A52">
        <v>1</v>
      </c>
      <c r="B52">
        <v>4</v>
      </c>
      <c r="D52" t="s">
        <v>16</v>
      </c>
      <c r="E52">
        <f>_xlfn.T.INV.2T(E47,E45)</f>
        <v>1.9725950790996611</v>
      </c>
    </row>
    <row r="53" spans="1:5" x14ac:dyDescent="0.25">
      <c r="A53">
        <v>5</v>
      </c>
      <c r="B53">
        <v>4</v>
      </c>
      <c r="D53" t="s">
        <v>17</v>
      </c>
      <c r="E53">
        <f>_xlfn.T.INV(E47, E45)</f>
        <v>-1.6529558017258421</v>
      </c>
    </row>
    <row r="54" spans="1:5" x14ac:dyDescent="0.25">
      <c r="A54">
        <v>3</v>
      </c>
      <c r="B54">
        <v>4</v>
      </c>
    </row>
    <row r="55" spans="1:5" x14ac:dyDescent="0.25">
      <c r="A55">
        <v>2</v>
      </c>
      <c r="B55">
        <v>5</v>
      </c>
      <c r="D55" t="s">
        <v>18</v>
      </c>
      <c r="E55">
        <f>TTEST(A:A,B:B,2,2)</f>
        <v>2.0409500590752745E-15</v>
      </c>
    </row>
    <row r="56" spans="1:5" x14ac:dyDescent="0.25">
      <c r="A56">
        <v>3</v>
      </c>
      <c r="B56">
        <v>4</v>
      </c>
      <c r="D56" t="s">
        <v>19</v>
      </c>
      <c r="E56">
        <f>TTEST(A:A,B:B,1,2)</f>
        <v>1.0204750295376373E-15</v>
      </c>
    </row>
    <row r="57" spans="1:5" x14ac:dyDescent="0.25">
      <c r="A57">
        <v>3</v>
      </c>
      <c r="B57">
        <v>4</v>
      </c>
    </row>
    <row r="58" spans="1:5" x14ac:dyDescent="0.25">
      <c r="A58">
        <v>3</v>
      </c>
      <c r="B58">
        <v>4</v>
      </c>
    </row>
    <row r="59" spans="1:5" x14ac:dyDescent="0.25">
      <c r="A59">
        <v>3</v>
      </c>
      <c r="B59">
        <v>4</v>
      </c>
      <c r="D59" s="2" t="s">
        <v>20</v>
      </c>
      <c r="E59" s="2"/>
    </row>
    <row r="60" spans="1:5" x14ac:dyDescent="0.25">
      <c r="A60">
        <v>4</v>
      </c>
      <c r="B60">
        <v>5</v>
      </c>
    </row>
    <row r="61" spans="1:5" x14ac:dyDescent="0.25">
      <c r="A61">
        <v>2</v>
      </c>
      <c r="B61">
        <v>5</v>
      </c>
      <c r="D61" t="s">
        <v>21</v>
      </c>
    </row>
    <row r="62" spans="1:5" x14ac:dyDescent="0.25">
      <c r="A62">
        <v>3</v>
      </c>
      <c r="B62">
        <v>5</v>
      </c>
      <c r="D62" t="s">
        <v>22</v>
      </c>
    </row>
    <row r="63" spans="1:5" x14ac:dyDescent="0.25">
      <c r="A63">
        <v>4</v>
      </c>
      <c r="B63">
        <v>4</v>
      </c>
    </row>
    <row r="64" spans="1:5" x14ac:dyDescent="0.25">
      <c r="A64">
        <v>2</v>
      </c>
      <c r="B64">
        <v>4</v>
      </c>
    </row>
    <row r="65" spans="1:4" x14ac:dyDescent="0.25">
      <c r="A65">
        <v>2</v>
      </c>
      <c r="B65">
        <v>5</v>
      </c>
    </row>
    <row r="66" spans="1:4" x14ac:dyDescent="0.25">
      <c r="A66">
        <v>2</v>
      </c>
      <c r="B66">
        <v>5</v>
      </c>
      <c r="D66" t="s">
        <v>23</v>
      </c>
    </row>
    <row r="67" spans="1:4" x14ac:dyDescent="0.25">
      <c r="A67">
        <v>3</v>
      </c>
      <c r="B67">
        <v>2</v>
      </c>
      <c r="D67" t="str">
        <f>"Dos Colas: Si t calculado ("&amp;E29&amp;") &gt; a t critico  ("&amp;E52&amp;") (de tabla) ---&gt; Se rechaza la hipotesis nula"</f>
        <v>Dos Colas: Si t calculado (-8.64999331954793) &gt; a t critico  (1.97259507909966) (de tabla) ---&gt; Se rechaza la hipotesis nula</v>
      </c>
    </row>
    <row r="68" spans="1:4" x14ac:dyDescent="0.25">
      <c r="A68">
        <v>1</v>
      </c>
      <c r="B68">
        <v>4</v>
      </c>
      <c r="D68" t="str">
        <f>"Una Cola: Si t calculado ("&amp;E29&amp;") &gt; a t critico  ("&amp;E53&amp;") (de tabla) ---&gt; Se rechaza la hipotesis nula"</f>
        <v>Una Cola: Si t calculado (-8.64999331954793) &gt; a t critico  (-1.65295580172584) (de tabla) ---&gt; Se rechaza la hipotesis nula</v>
      </c>
    </row>
    <row r="69" spans="1:4" x14ac:dyDescent="0.25">
      <c r="A69">
        <v>3</v>
      </c>
      <c r="B69">
        <v>4</v>
      </c>
    </row>
    <row r="70" spans="1:4" x14ac:dyDescent="0.25">
      <c r="A70">
        <v>3</v>
      </c>
      <c r="B70">
        <v>4</v>
      </c>
    </row>
    <row r="71" spans="1:4" x14ac:dyDescent="0.25">
      <c r="A71">
        <v>1</v>
      </c>
      <c r="B71">
        <v>5</v>
      </c>
    </row>
    <row r="72" spans="1:4" x14ac:dyDescent="0.25">
      <c r="A72">
        <v>3</v>
      </c>
      <c r="B72">
        <v>5</v>
      </c>
      <c r="D72" t="s">
        <v>26</v>
      </c>
    </row>
    <row r="73" spans="1:4" x14ac:dyDescent="0.25">
      <c r="A73">
        <v>4</v>
      </c>
      <c r="B73">
        <v>5</v>
      </c>
      <c r="D73" t="str">
        <f>"Dos Colas: Si p valor ("&amp;E55&amp;") &lt; Nivel Significancia (0.05) ---&gt; Se rechaza la hipotesis nula"</f>
        <v>Dos Colas: Si p valor (2.04095005907527E-15) &lt; Nivel Significancia (0.05) ---&gt; Se rechaza la hipotesis nula</v>
      </c>
    </row>
    <row r="74" spans="1:4" x14ac:dyDescent="0.25">
      <c r="A74">
        <v>2</v>
      </c>
      <c r="B74">
        <v>5</v>
      </c>
      <c r="D74" t="str">
        <f>"Una Cola: Si p valor ("&amp;E56&amp;") &lt; Nivel Significancia (0.05) ---&gt; Se rechaza la hipotesis nula"</f>
        <v>Una Cola: Si p valor (1.02047502953764E-15) &lt; Nivel Significancia (0.05) ---&gt; Se rechaza la hipotesis nula</v>
      </c>
    </row>
    <row r="75" spans="1:4" x14ac:dyDescent="0.25">
      <c r="A75">
        <v>3</v>
      </c>
      <c r="B75">
        <v>5</v>
      </c>
    </row>
    <row r="76" spans="1:4" x14ac:dyDescent="0.25">
      <c r="A76">
        <v>4</v>
      </c>
      <c r="B76">
        <v>4</v>
      </c>
    </row>
    <row r="77" spans="1:4" x14ac:dyDescent="0.25">
      <c r="A77">
        <v>1</v>
      </c>
      <c r="B77">
        <v>5</v>
      </c>
    </row>
    <row r="78" spans="1:4" x14ac:dyDescent="0.25">
      <c r="A78">
        <v>4</v>
      </c>
      <c r="B78">
        <v>5</v>
      </c>
    </row>
    <row r="79" spans="1:4" x14ac:dyDescent="0.25">
      <c r="A79">
        <v>5</v>
      </c>
      <c r="B79">
        <v>5</v>
      </c>
    </row>
    <row r="80" spans="1:4" x14ac:dyDescent="0.25">
      <c r="A80">
        <v>3</v>
      </c>
      <c r="B80">
        <v>5</v>
      </c>
    </row>
    <row r="81" spans="1:2" x14ac:dyDescent="0.25">
      <c r="A81">
        <v>5</v>
      </c>
      <c r="B81">
        <v>5</v>
      </c>
    </row>
    <row r="82" spans="1:2" x14ac:dyDescent="0.25">
      <c r="A82">
        <v>3</v>
      </c>
      <c r="B82">
        <v>1</v>
      </c>
    </row>
    <row r="83" spans="1:2" x14ac:dyDescent="0.25">
      <c r="A83">
        <v>3</v>
      </c>
      <c r="B83">
        <v>5</v>
      </c>
    </row>
    <row r="84" spans="1:2" x14ac:dyDescent="0.25">
      <c r="A84">
        <v>4</v>
      </c>
      <c r="B84">
        <v>4</v>
      </c>
    </row>
    <row r="85" spans="1:2" x14ac:dyDescent="0.25">
      <c r="A85">
        <v>3</v>
      </c>
      <c r="B85">
        <v>2</v>
      </c>
    </row>
    <row r="86" spans="1:2" x14ac:dyDescent="0.25">
      <c r="A86">
        <v>3</v>
      </c>
      <c r="B86">
        <v>5</v>
      </c>
    </row>
    <row r="87" spans="1:2" x14ac:dyDescent="0.25">
      <c r="A87">
        <v>4</v>
      </c>
      <c r="B87">
        <v>5</v>
      </c>
    </row>
    <row r="88" spans="1:2" x14ac:dyDescent="0.25">
      <c r="A88">
        <v>1</v>
      </c>
      <c r="B88">
        <v>3</v>
      </c>
    </row>
    <row r="89" spans="1:2" x14ac:dyDescent="0.25">
      <c r="A89">
        <v>2</v>
      </c>
      <c r="B89">
        <v>4</v>
      </c>
    </row>
    <row r="90" spans="1:2" x14ac:dyDescent="0.25">
      <c r="A90">
        <v>3</v>
      </c>
      <c r="B90">
        <v>5</v>
      </c>
    </row>
    <row r="91" spans="1:2" x14ac:dyDescent="0.25">
      <c r="A91">
        <v>2</v>
      </c>
      <c r="B91">
        <v>3</v>
      </c>
    </row>
    <row r="92" spans="1:2" x14ac:dyDescent="0.25">
      <c r="A92">
        <v>2</v>
      </c>
      <c r="B92">
        <v>5</v>
      </c>
    </row>
    <row r="93" spans="1:2" x14ac:dyDescent="0.25">
      <c r="A93">
        <v>2</v>
      </c>
      <c r="B93">
        <v>3</v>
      </c>
    </row>
    <row r="94" spans="1:2" x14ac:dyDescent="0.25">
      <c r="A94">
        <v>3</v>
      </c>
      <c r="B94">
        <v>2</v>
      </c>
    </row>
    <row r="95" spans="1:2" x14ac:dyDescent="0.25">
      <c r="A95">
        <v>4</v>
      </c>
      <c r="B95">
        <v>5</v>
      </c>
    </row>
    <row r="96" spans="1:2" x14ac:dyDescent="0.25">
      <c r="A96">
        <v>2</v>
      </c>
      <c r="B96">
        <v>3</v>
      </c>
    </row>
    <row r="97" spans="1:2" x14ac:dyDescent="0.25">
      <c r="A97">
        <v>4</v>
      </c>
      <c r="B97">
        <v>4</v>
      </c>
    </row>
    <row r="98" spans="1:2" x14ac:dyDescent="0.25">
      <c r="A98">
        <v>4</v>
      </c>
      <c r="B98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zoomScale="85" zoomScaleNormal="85" workbookViewId="0">
      <selection activeCell="F25" sqref="F25"/>
    </sheetView>
  </sheetViews>
  <sheetFormatPr baseColWidth="10" defaultColWidth="9.140625" defaultRowHeight="15" x14ac:dyDescent="0.25"/>
  <cols>
    <col min="1" max="1" width="32.85546875" customWidth="1"/>
    <col min="2" max="2" width="32.5703125" customWidth="1"/>
    <col min="4" max="4" width="37.5703125" customWidth="1"/>
    <col min="5" max="5" width="21.5703125" customWidth="1"/>
    <col min="6" max="6" width="17.85546875" customWidth="1"/>
    <col min="7" max="7" width="20" customWidth="1"/>
  </cols>
  <sheetData>
    <row r="1" spans="1:5" ht="75" x14ac:dyDescent="0.25">
      <c r="A1" s="11" t="s">
        <v>54</v>
      </c>
      <c r="B1" s="10" t="s">
        <v>65</v>
      </c>
    </row>
    <row r="2" spans="1:5" x14ac:dyDescent="0.25">
      <c r="A2">
        <v>3</v>
      </c>
      <c r="B2">
        <v>5</v>
      </c>
      <c r="D2" s="1" t="s">
        <v>24</v>
      </c>
      <c r="E2">
        <f>AVERAGE(A:A)</f>
        <v>2.9278350515463916</v>
      </c>
    </row>
    <row r="3" spans="1:5" x14ac:dyDescent="0.25">
      <c r="A3">
        <v>3</v>
      </c>
      <c r="B3">
        <v>4</v>
      </c>
      <c r="D3" s="1" t="s">
        <v>0</v>
      </c>
      <c r="E3">
        <f>MEDIAN(A:A)</f>
        <v>3</v>
      </c>
    </row>
    <row r="4" spans="1:5" x14ac:dyDescent="0.25">
      <c r="A4">
        <v>5</v>
      </c>
      <c r="B4">
        <v>4</v>
      </c>
      <c r="D4" s="1" t="s">
        <v>1</v>
      </c>
      <c r="E4">
        <f>MODE(A:A)</f>
        <v>3</v>
      </c>
    </row>
    <row r="5" spans="1:5" x14ac:dyDescent="0.25">
      <c r="A5">
        <v>5</v>
      </c>
      <c r="B5">
        <v>1</v>
      </c>
      <c r="D5" s="1" t="s">
        <v>15</v>
      </c>
      <c r="E5">
        <f>STDEV(A:A)</f>
        <v>1.1747998294072306</v>
      </c>
    </row>
    <row r="6" spans="1:5" x14ac:dyDescent="0.25">
      <c r="A6">
        <v>2</v>
      </c>
      <c r="B6">
        <v>5</v>
      </c>
      <c r="D6" s="4" t="s">
        <v>4</v>
      </c>
      <c r="E6">
        <f>COUNT(A:A)</f>
        <v>97</v>
      </c>
    </row>
    <row r="7" spans="1:5" x14ac:dyDescent="0.25">
      <c r="A7">
        <v>3</v>
      </c>
      <c r="B7">
        <v>4</v>
      </c>
    </row>
    <row r="8" spans="1:5" x14ac:dyDescent="0.25">
      <c r="A8">
        <v>3</v>
      </c>
      <c r="B8">
        <v>3</v>
      </c>
      <c r="D8" s="3" t="s">
        <v>25</v>
      </c>
      <c r="E8">
        <f>AVERAGE(B:B)</f>
        <v>3.9484536082474229</v>
      </c>
    </row>
    <row r="9" spans="1:5" x14ac:dyDescent="0.25">
      <c r="A9">
        <v>1</v>
      </c>
      <c r="B9">
        <v>2</v>
      </c>
      <c r="D9" s="3" t="s">
        <v>2</v>
      </c>
      <c r="E9">
        <f>MEDIAN(B:B)</f>
        <v>4</v>
      </c>
    </row>
    <row r="10" spans="1:5" x14ac:dyDescent="0.25">
      <c r="A10">
        <v>2</v>
      </c>
      <c r="B10">
        <v>5</v>
      </c>
      <c r="D10" s="3" t="s">
        <v>3</v>
      </c>
      <c r="E10">
        <f>MODE(B:B)</f>
        <v>5</v>
      </c>
    </row>
    <row r="11" spans="1:5" x14ac:dyDescent="0.25">
      <c r="A11">
        <v>3</v>
      </c>
      <c r="B11">
        <v>5</v>
      </c>
      <c r="D11" s="3" t="s">
        <v>14</v>
      </c>
      <c r="E11">
        <f>STDEV(B:B)</f>
        <v>1.1214864951317456</v>
      </c>
    </row>
    <row r="12" spans="1:5" x14ac:dyDescent="0.25">
      <c r="A12">
        <v>3</v>
      </c>
      <c r="B12">
        <v>3</v>
      </c>
      <c r="D12" s="5" t="s">
        <v>5</v>
      </c>
      <c r="E12">
        <f>COUNT(B:B)</f>
        <v>97</v>
      </c>
    </row>
    <row r="13" spans="1:5" x14ac:dyDescent="0.25">
      <c r="A13">
        <v>5</v>
      </c>
      <c r="B13">
        <v>4</v>
      </c>
    </row>
    <row r="14" spans="1:5" x14ac:dyDescent="0.25">
      <c r="A14">
        <v>4</v>
      </c>
      <c r="B14">
        <v>5</v>
      </c>
    </row>
    <row r="15" spans="1:5" x14ac:dyDescent="0.25">
      <c r="A15">
        <v>3</v>
      </c>
      <c r="B15">
        <v>2</v>
      </c>
    </row>
    <row r="16" spans="1:5" x14ac:dyDescent="0.25">
      <c r="A16">
        <v>4</v>
      </c>
      <c r="B16">
        <v>5</v>
      </c>
    </row>
    <row r="17" spans="1:5" x14ac:dyDescent="0.25">
      <c r="A17">
        <v>4</v>
      </c>
      <c r="B17">
        <v>4</v>
      </c>
      <c r="D17" s="2" t="s">
        <v>6</v>
      </c>
      <c r="E17" s="2"/>
    </row>
    <row r="18" spans="1:5" x14ac:dyDescent="0.25">
      <c r="A18">
        <v>2</v>
      </c>
      <c r="B18">
        <v>5</v>
      </c>
    </row>
    <row r="19" spans="1:5" x14ac:dyDescent="0.25">
      <c r="A19">
        <v>2</v>
      </c>
      <c r="B19">
        <v>5</v>
      </c>
    </row>
    <row r="20" spans="1:5" x14ac:dyDescent="0.25">
      <c r="A20">
        <v>3</v>
      </c>
      <c r="B20">
        <v>4</v>
      </c>
    </row>
    <row r="21" spans="1:5" x14ac:dyDescent="0.25">
      <c r="A21">
        <v>5</v>
      </c>
      <c r="B21">
        <v>1</v>
      </c>
    </row>
    <row r="22" spans="1:5" x14ac:dyDescent="0.25">
      <c r="A22">
        <v>1</v>
      </c>
      <c r="B22">
        <v>4</v>
      </c>
    </row>
    <row r="23" spans="1:5" x14ac:dyDescent="0.25">
      <c r="A23">
        <v>2</v>
      </c>
      <c r="B23">
        <v>3</v>
      </c>
    </row>
    <row r="24" spans="1:5" x14ac:dyDescent="0.25">
      <c r="A24">
        <v>3</v>
      </c>
      <c r="B24">
        <v>5</v>
      </c>
    </row>
    <row r="25" spans="1:5" x14ac:dyDescent="0.25">
      <c r="A25">
        <v>3</v>
      </c>
      <c r="B25">
        <v>4</v>
      </c>
    </row>
    <row r="26" spans="1:5" x14ac:dyDescent="0.25">
      <c r="A26">
        <v>4</v>
      </c>
      <c r="B26">
        <v>3</v>
      </c>
    </row>
    <row r="27" spans="1:5" x14ac:dyDescent="0.25">
      <c r="A27">
        <v>1</v>
      </c>
      <c r="B27">
        <v>4</v>
      </c>
    </row>
    <row r="28" spans="1:5" x14ac:dyDescent="0.25">
      <c r="A28">
        <v>1</v>
      </c>
      <c r="B28">
        <v>5</v>
      </c>
    </row>
    <row r="29" spans="1:5" x14ac:dyDescent="0.25">
      <c r="A29">
        <v>4</v>
      </c>
      <c r="B29">
        <v>2</v>
      </c>
      <c r="D29" t="s">
        <v>11</v>
      </c>
      <c r="E29">
        <f>(E2-E8)/SQRT(((E5^2)/E6)+((E11^2)/E12))</f>
        <v>-6.1890111735479936</v>
      </c>
    </row>
    <row r="30" spans="1:5" x14ac:dyDescent="0.25">
      <c r="A30">
        <v>1</v>
      </c>
      <c r="B30">
        <v>3</v>
      </c>
    </row>
    <row r="31" spans="1:5" x14ac:dyDescent="0.25">
      <c r="A31">
        <v>1</v>
      </c>
      <c r="B31">
        <v>4</v>
      </c>
      <c r="D31" s="2" t="s">
        <v>7</v>
      </c>
      <c r="E31" s="2"/>
    </row>
    <row r="32" spans="1:5" x14ac:dyDescent="0.25">
      <c r="A32">
        <v>4</v>
      </c>
      <c r="B32">
        <v>5</v>
      </c>
    </row>
    <row r="33" spans="1:6" x14ac:dyDescent="0.25">
      <c r="A33">
        <v>2</v>
      </c>
      <c r="B33">
        <v>3</v>
      </c>
    </row>
    <row r="34" spans="1:6" x14ac:dyDescent="0.25">
      <c r="A34">
        <v>3</v>
      </c>
      <c r="B34">
        <v>5</v>
      </c>
    </row>
    <row r="35" spans="1:6" x14ac:dyDescent="0.25">
      <c r="A35">
        <v>3</v>
      </c>
      <c r="B35">
        <v>4</v>
      </c>
    </row>
    <row r="36" spans="1:6" x14ac:dyDescent="0.25">
      <c r="A36">
        <v>5</v>
      </c>
      <c r="B36">
        <v>5</v>
      </c>
    </row>
    <row r="37" spans="1:6" x14ac:dyDescent="0.25">
      <c r="A37">
        <v>2</v>
      </c>
      <c r="B37">
        <v>5</v>
      </c>
    </row>
    <row r="38" spans="1:6" x14ac:dyDescent="0.25">
      <c r="A38">
        <v>5</v>
      </c>
      <c r="B38">
        <v>5</v>
      </c>
    </row>
    <row r="39" spans="1:6" x14ac:dyDescent="0.25">
      <c r="A39">
        <v>2</v>
      </c>
      <c r="B39">
        <v>4</v>
      </c>
    </row>
    <row r="40" spans="1:6" x14ac:dyDescent="0.25">
      <c r="A40">
        <v>5</v>
      </c>
      <c r="B40">
        <v>4</v>
      </c>
    </row>
    <row r="41" spans="1:6" ht="29.25" customHeight="1" x14ac:dyDescent="0.25">
      <c r="A41">
        <v>3</v>
      </c>
      <c r="B41">
        <v>4</v>
      </c>
      <c r="D41" t="s">
        <v>8</v>
      </c>
      <c r="E41">
        <f>(((E5^2)/E6)+((E11^2)/E12))^2</f>
        <v>7.395520994347626E-4</v>
      </c>
    </row>
    <row r="42" spans="1:6" ht="47.25" customHeight="1" x14ac:dyDescent="0.25">
      <c r="A42">
        <v>3</v>
      </c>
      <c r="B42">
        <v>5</v>
      </c>
      <c r="D42" t="s">
        <v>9</v>
      </c>
      <c r="E42">
        <f>(((E5^2)/E6)^2)/(E6-1)</f>
        <v>2.1088262435312235E-6</v>
      </c>
    </row>
    <row r="43" spans="1:6" ht="43.5" customHeight="1" x14ac:dyDescent="0.25">
      <c r="A43">
        <v>1</v>
      </c>
      <c r="B43">
        <v>4</v>
      </c>
      <c r="D43" t="s">
        <v>10</v>
      </c>
      <c r="E43">
        <f>(((E11^2)/E12)^2)/(E12-1)</f>
        <v>1.7513038049712244E-6</v>
      </c>
    </row>
    <row r="44" spans="1:6" x14ac:dyDescent="0.25">
      <c r="A44">
        <v>3</v>
      </c>
      <c r="B44">
        <v>5</v>
      </c>
    </row>
    <row r="45" spans="1:6" x14ac:dyDescent="0.25">
      <c r="A45">
        <v>5</v>
      </c>
      <c r="B45">
        <v>4</v>
      </c>
      <c r="D45" t="s">
        <v>7</v>
      </c>
      <c r="E45">
        <f>E41/(E42+E43)</f>
        <v>191.58735331253274</v>
      </c>
      <c r="F45" s="6" t="s">
        <v>12</v>
      </c>
    </row>
    <row r="46" spans="1:6" x14ac:dyDescent="0.25">
      <c r="A46">
        <v>3</v>
      </c>
      <c r="B46">
        <v>3</v>
      </c>
    </row>
    <row r="47" spans="1:6" x14ac:dyDescent="0.25">
      <c r="A47">
        <v>3</v>
      </c>
      <c r="B47">
        <v>5</v>
      </c>
      <c r="D47" t="s">
        <v>13</v>
      </c>
      <c r="E47">
        <v>0.05</v>
      </c>
      <c r="F47" s="6" t="s">
        <v>12</v>
      </c>
    </row>
    <row r="48" spans="1:6" x14ac:dyDescent="0.25">
      <c r="A48">
        <v>1</v>
      </c>
      <c r="B48">
        <v>3</v>
      </c>
    </row>
    <row r="49" spans="1:5" x14ac:dyDescent="0.25">
      <c r="A49">
        <v>2</v>
      </c>
      <c r="B49">
        <v>1</v>
      </c>
    </row>
    <row r="50" spans="1:5" x14ac:dyDescent="0.25">
      <c r="A50">
        <v>4</v>
      </c>
      <c r="B50">
        <v>5</v>
      </c>
    </row>
    <row r="51" spans="1:5" x14ac:dyDescent="0.25">
      <c r="A51">
        <v>3</v>
      </c>
      <c r="B51">
        <v>3</v>
      </c>
      <c r="D51" s="2"/>
      <c r="E51" s="2"/>
    </row>
    <row r="52" spans="1:5" x14ac:dyDescent="0.25">
      <c r="A52">
        <v>4</v>
      </c>
      <c r="B52">
        <v>3</v>
      </c>
      <c r="D52" t="s">
        <v>16</v>
      </c>
      <c r="E52">
        <f>_xlfn.T.INV.2T(E47,E45)</f>
        <v>1.9724619897672133</v>
      </c>
    </row>
    <row r="53" spans="1:5" x14ac:dyDescent="0.25">
      <c r="A53">
        <v>3</v>
      </c>
      <c r="B53">
        <v>5</v>
      </c>
      <c r="D53" t="s">
        <v>17</v>
      </c>
      <c r="E53">
        <f>_xlfn.T.INV(E47, E45)</f>
        <v>-1.6528705472303915</v>
      </c>
    </row>
    <row r="54" spans="1:5" x14ac:dyDescent="0.25">
      <c r="A54">
        <v>3</v>
      </c>
      <c r="B54">
        <v>3</v>
      </c>
    </row>
    <row r="55" spans="1:5" x14ac:dyDescent="0.25">
      <c r="A55">
        <v>3</v>
      </c>
      <c r="B55">
        <v>5</v>
      </c>
      <c r="D55" t="s">
        <v>18</v>
      </c>
      <c r="E55">
        <f>TTEST(A:A,B:B,2,2)</f>
        <v>3.5865188419763193E-9</v>
      </c>
    </row>
    <row r="56" spans="1:5" x14ac:dyDescent="0.25">
      <c r="A56">
        <v>3</v>
      </c>
      <c r="B56">
        <v>1</v>
      </c>
      <c r="D56" t="s">
        <v>19</v>
      </c>
      <c r="E56">
        <f>TTEST(A:A,B:B,1,2)</f>
        <v>1.7932594209881596E-9</v>
      </c>
    </row>
    <row r="57" spans="1:5" x14ac:dyDescent="0.25">
      <c r="A57">
        <v>3</v>
      </c>
      <c r="B57">
        <v>5</v>
      </c>
    </row>
    <row r="58" spans="1:5" x14ac:dyDescent="0.25">
      <c r="A58">
        <v>3</v>
      </c>
      <c r="B58">
        <v>5</v>
      </c>
    </row>
    <row r="59" spans="1:5" x14ac:dyDescent="0.25">
      <c r="A59">
        <v>3</v>
      </c>
      <c r="B59">
        <v>5</v>
      </c>
      <c r="D59" s="2" t="s">
        <v>20</v>
      </c>
      <c r="E59" s="2"/>
    </row>
    <row r="60" spans="1:5" x14ac:dyDescent="0.25">
      <c r="A60">
        <v>5</v>
      </c>
      <c r="B60">
        <v>5</v>
      </c>
    </row>
    <row r="61" spans="1:5" x14ac:dyDescent="0.25">
      <c r="A61">
        <v>2</v>
      </c>
      <c r="B61">
        <v>4</v>
      </c>
      <c r="D61" t="s">
        <v>21</v>
      </c>
    </row>
    <row r="62" spans="1:5" x14ac:dyDescent="0.25">
      <c r="A62">
        <v>3</v>
      </c>
      <c r="B62">
        <v>5</v>
      </c>
      <c r="D62" t="s">
        <v>22</v>
      </c>
    </row>
    <row r="63" spans="1:5" x14ac:dyDescent="0.25">
      <c r="A63">
        <v>5</v>
      </c>
      <c r="B63">
        <v>5</v>
      </c>
    </row>
    <row r="64" spans="1:5" x14ac:dyDescent="0.25">
      <c r="A64">
        <v>3</v>
      </c>
      <c r="B64">
        <v>5</v>
      </c>
    </row>
    <row r="65" spans="1:4" x14ac:dyDescent="0.25">
      <c r="A65">
        <v>3</v>
      </c>
      <c r="B65">
        <v>2</v>
      </c>
    </row>
    <row r="66" spans="1:4" x14ac:dyDescent="0.25">
      <c r="A66">
        <v>3</v>
      </c>
      <c r="B66">
        <v>4</v>
      </c>
      <c r="D66" t="s">
        <v>23</v>
      </c>
    </row>
    <row r="67" spans="1:4" x14ac:dyDescent="0.25">
      <c r="A67">
        <v>4</v>
      </c>
      <c r="B67">
        <v>5</v>
      </c>
      <c r="D67" t="str">
        <f>"Dos Colas: Si t calculado ("&amp;E29&amp;") &gt; a t critico  ("&amp;E52&amp;") (de tabla) ---&gt; Se rechaza la hipotesis nula"</f>
        <v>Dos Colas: Si t calculado (-6.18901117354799) &gt; a t critico  (1.97246198976721) (de tabla) ---&gt; Se rechaza la hipotesis nula</v>
      </c>
    </row>
    <row r="68" spans="1:4" x14ac:dyDescent="0.25">
      <c r="A68">
        <v>5</v>
      </c>
      <c r="B68">
        <v>4</v>
      </c>
      <c r="D68" t="str">
        <f>"Una Cola: Si t calculado ("&amp;E29&amp;") &gt; a t critico  ("&amp;E53&amp;") (de tabla) ---&gt; Se rechaza la hipotesis nula"</f>
        <v>Una Cola: Si t calculado (-6.18901117354799) &gt; a t critico  (-1.65287054723039) (de tabla) ---&gt; Se rechaza la hipotesis nula</v>
      </c>
    </row>
    <row r="69" spans="1:4" x14ac:dyDescent="0.25">
      <c r="A69">
        <v>5</v>
      </c>
      <c r="B69">
        <v>5</v>
      </c>
    </row>
    <row r="70" spans="1:4" x14ac:dyDescent="0.25">
      <c r="A70">
        <v>4</v>
      </c>
      <c r="B70">
        <v>3</v>
      </c>
    </row>
    <row r="71" spans="1:4" x14ac:dyDescent="0.25">
      <c r="A71">
        <v>1</v>
      </c>
      <c r="B71">
        <v>4</v>
      </c>
    </row>
    <row r="72" spans="1:4" x14ac:dyDescent="0.25">
      <c r="A72">
        <v>3</v>
      </c>
      <c r="B72">
        <v>4</v>
      </c>
      <c r="D72" t="s">
        <v>26</v>
      </c>
    </row>
    <row r="73" spans="1:4" x14ac:dyDescent="0.25">
      <c r="A73">
        <v>3</v>
      </c>
      <c r="B73">
        <v>3</v>
      </c>
      <c r="D73" t="str">
        <f>"Dos Colas: Si p valor ("&amp;E55&amp;") &lt; Nivel Significancia (0.05) ---&gt; Se rechaza la hipotesis nula"</f>
        <v>Dos Colas: Si p valor (3.58651884197632E-09) &lt; Nivel Significancia (0.05) ---&gt; Se rechaza la hipotesis nula</v>
      </c>
    </row>
    <row r="74" spans="1:4" x14ac:dyDescent="0.25">
      <c r="A74">
        <v>1</v>
      </c>
      <c r="B74">
        <v>2</v>
      </c>
      <c r="D74" t="str">
        <f>"Una Cola: Si p valor ("&amp;E56&amp;") &lt; Nivel Significancia (0.05) ---&gt; Se rechaza la hipotesis nula"</f>
        <v>Una Cola: Si p valor (1.79325942098816E-09) &lt; Nivel Significancia (0.05) ---&gt; Se rechaza la hipotesis nula</v>
      </c>
    </row>
    <row r="75" spans="1:4" x14ac:dyDescent="0.25">
      <c r="A75">
        <v>3</v>
      </c>
      <c r="B75">
        <v>4</v>
      </c>
    </row>
    <row r="76" spans="1:4" x14ac:dyDescent="0.25">
      <c r="A76">
        <v>3</v>
      </c>
      <c r="B76">
        <v>4</v>
      </c>
    </row>
    <row r="77" spans="1:4" x14ac:dyDescent="0.25">
      <c r="A77">
        <v>3</v>
      </c>
      <c r="B77">
        <v>4</v>
      </c>
    </row>
    <row r="78" spans="1:4" x14ac:dyDescent="0.25">
      <c r="A78">
        <v>2</v>
      </c>
      <c r="B78">
        <v>4</v>
      </c>
    </row>
    <row r="79" spans="1:4" x14ac:dyDescent="0.25">
      <c r="A79">
        <v>2</v>
      </c>
      <c r="B79">
        <v>5</v>
      </c>
    </row>
    <row r="80" spans="1:4" x14ac:dyDescent="0.25">
      <c r="A80">
        <v>3</v>
      </c>
      <c r="B80">
        <v>3</v>
      </c>
    </row>
    <row r="81" spans="1:2" x14ac:dyDescent="0.25">
      <c r="A81">
        <v>3</v>
      </c>
      <c r="B81">
        <v>3</v>
      </c>
    </row>
    <row r="82" spans="1:2" x14ac:dyDescent="0.25">
      <c r="A82">
        <v>4</v>
      </c>
      <c r="B82">
        <v>5</v>
      </c>
    </row>
    <row r="83" spans="1:2" x14ac:dyDescent="0.25">
      <c r="A83">
        <v>2</v>
      </c>
      <c r="B83">
        <v>4</v>
      </c>
    </row>
    <row r="84" spans="1:2" x14ac:dyDescent="0.25">
      <c r="A84">
        <v>1</v>
      </c>
      <c r="B84">
        <v>3</v>
      </c>
    </row>
    <row r="85" spans="1:2" x14ac:dyDescent="0.25">
      <c r="A85">
        <v>2</v>
      </c>
      <c r="B85">
        <v>3</v>
      </c>
    </row>
    <row r="86" spans="1:2" x14ac:dyDescent="0.25">
      <c r="A86">
        <v>1</v>
      </c>
      <c r="B86">
        <v>3</v>
      </c>
    </row>
    <row r="87" spans="1:2" x14ac:dyDescent="0.25">
      <c r="A87">
        <v>3</v>
      </c>
      <c r="B87">
        <v>4</v>
      </c>
    </row>
    <row r="88" spans="1:2" x14ac:dyDescent="0.25">
      <c r="A88">
        <v>3</v>
      </c>
      <c r="B88">
        <v>5</v>
      </c>
    </row>
    <row r="89" spans="1:2" x14ac:dyDescent="0.25">
      <c r="A89">
        <v>1</v>
      </c>
      <c r="B89">
        <v>4</v>
      </c>
    </row>
    <row r="90" spans="1:2" x14ac:dyDescent="0.25">
      <c r="A90">
        <v>3</v>
      </c>
      <c r="B90">
        <v>5</v>
      </c>
    </row>
    <row r="91" spans="1:2" x14ac:dyDescent="0.25">
      <c r="A91">
        <v>3</v>
      </c>
      <c r="B91">
        <v>2</v>
      </c>
    </row>
    <row r="92" spans="1:2" x14ac:dyDescent="0.25">
      <c r="A92">
        <v>3</v>
      </c>
      <c r="B92">
        <v>5</v>
      </c>
    </row>
    <row r="93" spans="1:2" x14ac:dyDescent="0.25">
      <c r="A93">
        <v>2</v>
      </c>
      <c r="B93">
        <v>5</v>
      </c>
    </row>
    <row r="94" spans="1:2" x14ac:dyDescent="0.25">
      <c r="A94">
        <v>2</v>
      </c>
      <c r="B94">
        <v>5</v>
      </c>
    </row>
    <row r="95" spans="1:2" x14ac:dyDescent="0.25">
      <c r="A95">
        <v>4</v>
      </c>
      <c r="B95">
        <v>4</v>
      </c>
    </row>
    <row r="96" spans="1:2" x14ac:dyDescent="0.25">
      <c r="A96">
        <v>3</v>
      </c>
      <c r="B96">
        <v>5</v>
      </c>
    </row>
    <row r="97" spans="1:2" x14ac:dyDescent="0.25">
      <c r="A97">
        <v>1</v>
      </c>
      <c r="B97">
        <v>2</v>
      </c>
    </row>
    <row r="98" spans="1:2" x14ac:dyDescent="0.25">
      <c r="A98">
        <v>4</v>
      </c>
      <c r="B98">
        <v>5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2026-06-24T14:12:39Z</dcterms:modified>
</cp:coreProperties>
</file>
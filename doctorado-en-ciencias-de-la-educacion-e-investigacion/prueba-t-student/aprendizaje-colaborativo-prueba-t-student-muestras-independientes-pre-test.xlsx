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tabRatio="991"/>
  </bookViews>
  <sheets>
    <sheet name="Resumen" sheetId="27" r:id="rId1"/>
    <sheet name="Participación-activa" sheetId="1" r:id="rId2"/>
    <sheet name="Comunicación-equipo" sheetId="17" r:id="rId3"/>
    <sheet name="Cumplimiento-tareas" sheetId="19" r:id="rId4"/>
    <sheet name="Contribución-grupo" sheetId="18" r:id="rId5"/>
    <sheet name="Resolución-problemas" sheetId="20" r:id="rId6"/>
    <sheet name="Conocimientos-adquiridos" sheetId="21" r:id="rId7"/>
    <sheet name="Nota-final" sheetId="22" r:id="rId8"/>
    <sheet name="Comprensión" sheetId="23" r:id="rId9"/>
    <sheet name="Habilidades" sheetId="24" r:id="rId10"/>
    <sheet name="Resolución-autónoma" sheetId="25" r:id="rId11"/>
    <sheet name="Motivación" sheetId="26" r:id="rId12"/>
  </sheets>
  <calcPr calcId="152511"/>
</workbook>
</file>

<file path=xl/calcChain.xml><?xml version="1.0" encoding="utf-8"?>
<calcChain xmlns="http://schemas.openxmlformats.org/spreadsheetml/2006/main">
  <c r="F8" i="27" l="1"/>
  <c r="E8" i="27"/>
  <c r="D8" i="27"/>
  <c r="C8" i="27"/>
  <c r="B8" i="27"/>
  <c r="B5" i="27"/>
  <c r="B4" i="27"/>
  <c r="B3" i="27"/>
  <c r="E8" i="19" l="1"/>
  <c r="E6" i="1"/>
  <c r="E5" i="1"/>
  <c r="E4" i="1"/>
  <c r="E3" i="1"/>
  <c r="E2" i="1"/>
  <c r="E2" i="19"/>
  <c r="E12" i="19"/>
  <c r="E6" i="19"/>
  <c r="E5" i="19"/>
  <c r="E4" i="19"/>
  <c r="E3" i="19"/>
  <c r="E56" i="26" l="1"/>
  <c r="E55" i="26"/>
  <c r="E12" i="26"/>
  <c r="E11" i="26"/>
  <c r="E10" i="26"/>
  <c r="E9" i="26"/>
  <c r="E8" i="26"/>
  <c r="E6" i="26"/>
  <c r="E5" i="26"/>
  <c r="E4" i="26"/>
  <c r="E3" i="26"/>
  <c r="E2" i="26"/>
  <c r="E56" i="25"/>
  <c r="E55" i="25"/>
  <c r="E12" i="25"/>
  <c r="E11" i="25"/>
  <c r="E10" i="25"/>
  <c r="E9" i="25"/>
  <c r="E8" i="25"/>
  <c r="E6" i="25"/>
  <c r="E5" i="25"/>
  <c r="E42" i="25" s="1"/>
  <c r="E4" i="25"/>
  <c r="E3" i="25"/>
  <c r="E2" i="25"/>
  <c r="E56" i="24"/>
  <c r="E55" i="24"/>
  <c r="E12" i="24"/>
  <c r="E11" i="24"/>
  <c r="E10" i="24"/>
  <c r="E9" i="24"/>
  <c r="E8" i="24"/>
  <c r="E6" i="24"/>
  <c r="E5" i="24"/>
  <c r="E4" i="24"/>
  <c r="E3" i="24"/>
  <c r="E2" i="24"/>
  <c r="E56" i="23"/>
  <c r="E55" i="23"/>
  <c r="E12" i="23"/>
  <c r="E11" i="23"/>
  <c r="E10" i="23"/>
  <c r="E9" i="23"/>
  <c r="E8" i="23"/>
  <c r="E6" i="23"/>
  <c r="E5" i="23"/>
  <c r="E41" i="23" s="1"/>
  <c r="E4" i="23"/>
  <c r="E3" i="23"/>
  <c r="E2" i="23"/>
  <c r="E56" i="22"/>
  <c r="E55" i="22"/>
  <c r="E12" i="22"/>
  <c r="E11" i="22"/>
  <c r="E10" i="22"/>
  <c r="E9" i="22"/>
  <c r="E8" i="22"/>
  <c r="E6" i="22"/>
  <c r="E5" i="22"/>
  <c r="E4" i="22"/>
  <c r="E3" i="22"/>
  <c r="E2" i="22"/>
  <c r="E56" i="21"/>
  <c r="E55" i="21"/>
  <c r="E12" i="21"/>
  <c r="E11" i="21"/>
  <c r="E10" i="21"/>
  <c r="E9" i="21"/>
  <c r="E8" i="21"/>
  <c r="E6" i="21"/>
  <c r="E5" i="21"/>
  <c r="E4" i="21"/>
  <c r="E3" i="21"/>
  <c r="E2" i="21"/>
  <c r="E56" i="20"/>
  <c r="E55" i="20"/>
  <c r="E12" i="20"/>
  <c r="E11" i="20"/>
  <c r="E10" i="20"/>
  <c r="E9" i="20"/>
  <c r="E8" i="20"/>
  <c r="E6" i="20"/>
  <c r="E5" i="20"/>
  <c r="E41" i="20" s="1"/>
  <c r="E4" i="20"/>
  <c r="E3" i="20"/>
  <c r="E2" i="20"/>
  <c r="E56" i="19"/>
  <c r="E55" i="19"/>
  <c r="E11" i="19"/>
  <c r="E10" i="19"/>
  <c r="E9" i="19"/>
  <c r="E29" i="19"/>
  <c r="E56" i="18"/>
  <c r="E55" i="18"/>
  <c r="E12" i="18"/>
  <c r="E11" i="18"/>
  <c r="E10" i="18"/>
  <c r="E9" i="18"/>
  <c r="E8" i="18"/>
  <c r="E6" i="18"/>
  <c r="E5" i="18"/>
  <c r="E4" i="18"/>
  <c r="E3" i="18"/>
  <c r="E2" i="18"/>
  <c r="E56" i="17"/>
  <c r="E55" i="17"/>
  <c r="E12" i="17"/>
  <c r="E11" i="17"/>
  <c r="E10" i="17"/>
  <c r="E9" i="17"/>
  <c r="E8" i="17"/>
  <c r="E6" i="17"/>
  <c r="E5" i="17"/>
  <c r="E4" i="17"/>
  <c r="E3" i="17"/>
  <c r="E2" i="17"/>
  <c r="D73" i="26" l="1"/>
  <c r="E12" i="27"/>
  <c r="D74" i="26"/>
  <c r="F12" i="27"/>
  <c r="D74" i="25"/>
  <c r="F11" i="27"/>
  <c r="D73" i="25"/>
  <c r="E11" i="27"/>
  <c r="D74" i="24"/>
  <c r="F10" i="27"/>
  <c r="D73" i="24"/>
  <c r="E10" i="27"/>
  <c r="D73" i="23"/>
  <c r="E9" i="27"/>
  <c r="D74" i="23"/>
  <c r="F9" i="27"/>
  <c r="D74" i="22"/>
  <c r="D73" i="22"/>
  <c r="E43" i="21"/>
  <c r="D74" i="21"/>
  <c r="F7" i="27"/>
  <c r="D73" i="21"/>
  <c r="E7" i="27"/>
  <c r="D73" i="20"/>
  <c r="E6" i="27"/>
  <c r="D74" i="20"/>
  <c r="F6" i="27"/>
  <c r="D74" i="18"/>
  <c r="F5" i="27"/>
  <c r="D73" i="18"/>
  <c r="E5" i="27"/>
  <c r="D74" i="19"/>
  <c r="F4" i="27"/>
  <c r="D73" i="19"/>
  <c r="E4" i="27"/>
  <c r="D73" i="17"/>
  <c r="E3" i="27"/>
  <c r="D74" i="17"/>
  <c r="F3" i="27"/>
  <c r="E43" i="25"/>
  <c r="E43" i="20"/>
  <c r="E42" i="24"/>
  <c r="E43" i="22"/>
  <c r="E41" i="17"/>
  <c r="E42" i="26"/>
  <c r="E43" i="26"/>
  <c r="E41" i="26"/>
  <c r="E29" i="26"/>
  <c r="B12" i="27" s="1"/>
  <c r="E29" i="25"/>
  <c r="B11" i="27" s="1"/>
  <c r="E41" i="25"/>
  <c r="E43" i="24"/>
  <c r="E41" i="24"/>
  <c r="E29" i="24"/>
  <c r="B10" i="27" s="1"/>
  <c r="E29" i="23"/>
  <c r="B9" i="27" s="1"/>
  <c r="E43" i="23"/>
  <c r="E42" i="23"/>
  <c r="E42" i="22"/>
  <c r="E41" i="22"/>
  <c r="E29" i="22"/>
  <c r="E41" i="21"/>
  <c r="E42" i="21"/>
  <c r="E29" i="21"/>
  <c r="B7" i="27" s="1"/>
  <c r="E42" i="20"/>
  <c r="E29" i="20"/>
  <c r="B6" i="27" s="1"/>
  <c r="E43" i="19"/>
  <c r="E42" i="19"/>
  <c r="E41" i="19"/>
  <c r="E42" i="18"/>
  <c r="E29" i="18"/>
  <c r="E43" i="18"/>
  <c r="E41" i="18"/>
  <c r="E43" i="17"/>
  <c r="E42" i="17"/>
  <c r="E29" i="17"/>
  <c r="E45" i="25" l="1"/>
  <c r="E52" i="25" s="1"/>
  <c r="E45" i="23"/>
  <c r="E52" i="23" s="1"/>
  <c r="E45" i="20"/>
  <c r="E52" i="20" s="1"/>
  <c r="E45" i="19"/>
  <c r="E53" i="19" s="1"/>
  <c r="E45" i="24"/>
  <c r="E53" i="24" s="1"/>
  <c r="E45" i="22"/>
  <c r="E53" i="22" s="1"/>
  <c r="E45" i="21"/>
  <c r="E53" i="21" s="1"/>
  <c r="E45" i="26"/>
  <c r="E53" i="26" s="1"/>
  <c r="E53" i="25"/>
  <c r="E45" i="18"/>
  <c r="E52" i="18" s="1"/>
  <c r="E45" i="17"/>
  <c r="E52" i="17" s="1"/>
  <c r="E56" i="1"/>
  <c r="E55" i="1"/>
  <c r="D68" i="26" l="1"/>
  <c r="D12" i="27"/>
  <c r="D67" i="25"/>
  <c r="C11" i="27"/>
  <c r="D68" i="25"/>
  <c r="D11" i="27"/>
  <c r="D68" i="24"/>
  <c r="D10" i="27"/>
  <c r="E53" i="23"/>
  <c r="D68" i="23" s="1"/>
  <c r="D67" i="23"/>
  <c r="C9" i="27"/>
  <c r="D68" i="22"/>
  <c r="D68" i="21"/>
  <c r="D7" i="27"/>
  <c r="D67" i="20"/>
  <c r="C6" i="27"/>
  <c r="D67" i="18"/>
  <c r="C5" i="27"/>
  <c r="D68" i="19"/>
  <c r="D4" i="27"/>
  <c r="D67" i="17"/>
  <c r="C3" i="27"/>
  <c r="D74" i="1"/>
  <c r="F2" i="27"/>
  <c r="D73" i="1"/>
  <c r="E2" i="27"/>
  <c r="E53" i="20"/>
  <c r="E52" i="19"/>
  <c r="E52" i="26"/>
  <c r="E52" i="24"/>
  <c r="E52" i="22"/>
  <c r="E52" i="21"/>
  <c r="E53" i="18"/>
  <c r="E53" i="17"/>
  <c r="E12" i="1"/>
  <c r="E11" i="1"/>
  <c r="E10" i="1"/>
  <c r="E9" i="1"/>
  <c r="E8" i="1"/>
  <c r="D67" i="26" l="1"/>
  <c r="C12" i="27"/>
  <c r="D67" i="24"/>
  <c r="C10" i="27"/>
  <c r="D9" i="27"/>
  <c r="D67" i="22"/>
  <c r="D67" i="21"/>
  <c r="C7" i="27"/>
  <c r="D68" i="20"/>
  <c r="D6" i="27"/>
  <c r="D68" i="18"/>
  <c r="D5" i="27"/>
  <c r="D67" i="19"/>
  <c r="C4" i="27"/>
  <c r="D68" i="17"/>
  <c r="D3" i="27"/>
  <c r="E29" i="1"/>
  <c r="B2" i="27" s="1"/>
  <c r="E42" i="1"/>
  <c r="E41" i="1"/>
  <c r="E43" i="1"/>
  <c r="E45" i="1" l="1"/>
  <c r="E53" i="1" l="1"/>
  <c r="E52" i="1"/>
  <c r="D68" i="1" l="1"/>
  <c r="D2" i="27"/>
  <c r="D67" i="1"/>
  <c r="C2" i="27"/>
</calcChain>
</file>

<file path=xl/sharedStrings.xml><?xml version="1.0" encoding="utf-8"?>
<sst xmlns="http://schemas.openxmlformats.org/spreadsheetml/2006/main" count="358" uniqueCount="66">
  <si>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</si>
  <si>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</si>
  <si>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</si>
  <si>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</si>
  <si>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</si>
  <si>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</si>
  <si>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</si>
  <si>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</si>
  <si>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</si>
  <si>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</si>
  <si>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</si>
  <si>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</si>
  <si>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</si>
  <si>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</si>
  <si>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</si>
  <si>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</si>
  <si>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</si>
  <si>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</si>
  <si>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</si>
  <si>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</si>
  <si>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</si>
  <si>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</si>
  <si>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</si>
  <si>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</si>
  <si>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Grupo Control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</si>
  <si>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Grupo Experimental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</si>
  <si>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</si>
  <si>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t>Indicador</t>
  </si>
  <si>
    <t>T
Calculado</t>
  </si>
  <si>
    <t>T Critico
2 Colas</t>
  </si>
  <si>
    <t>T Critico
1 Cola</t>
  </si>
  <si>
    <t>P valor
2 Colas</t>
  </si>
  <si>
    <t>P valor
1 Cola</t>
  </si>
  <si>
    <t>Resolución problemas</t>
  </si>
  <si>
    <t>Motivación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</si>
  <si>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</si>
  <si>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</si>
  <si>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</si>
  <si>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</si>
  <si>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</si>
  <si>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</si>
  <si>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</si>
  <si>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</si>
  <si>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</si>
  <si>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r>
      <t>(Sin Aprendizaje Colaborativo) 
Grupo Control - Pre-test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</si>
  <si>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>(Sin Aprendizaje Colaborativo) 
Grupo Experimental - Pre-test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</si>
  <si>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 xml:space="preserve">(Sin Aprendizaje Colaborativo) 
Grupo Control - Pre-test   </t>
    </r>
    <r>
      <rPr>
        <sz val="11"/>
        <color theme="1"/>
        <rFont val="Calibri"/>
        <family val="2"/>
        <scheme val="minor"/>
      </rPr>
      <t xml:space="preserve">         
Comunicación-equipo
</t>
    </r>
  </si>
  <si>
    <r>
      <t xml:space="preserve">(Sin Aprendizaje Colaborativo) 
Grupo Experimental - Pre-test       </t>
    </r>
    <r>
      <rPr>
        <sz val="11"/>
        <color theme="1"/>
        <rFont val="Calibri"/>
        <family val="2"/>
        <scheme val="minor"/>
      </rPr>
      <t xml:space="preserve">     
Comprensión-contenidos
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</si>
  <si>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</si>
  <si>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(Sin Aprendizaje Colaborativo)  
Grupo Experimental - Pre-test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</si>
  <si>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(Sin Aprendizaje Colaborativo) 
Grupo control - Pre-test   </t>
    </r>
    <r>
      <rPr>
        <sz val="11"/>
        <color theme="1"/>
        <rFont val="Calibri"/>
        <family val="2"/>
        <scheme val="minor"/>
      </rPr>
      <t xml:space="preserve">         
Contribución-grupo
</t>
    </r>
  </si>
  <si>
    <r>
      <t xml:space="preserve">(Sin Aprendizaje Colaborativo) 
Grupo Experimental - Pre-test           </t>
    </r>
    <r>
      <rPr>
        <sz val="11"/>
        <color theme="1"/>
        <rFont val="Calibri"/>
        <family val="2"/>
        <scheme val="minor"/>
      </rPr>
      <t xml:space="preserve">     
Contribución-grupo
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</si>
  <si>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</si>
  <si>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(Sin Aprendizaje Colaborativo) 
Grupo Experimental - Pre-test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</si>
  <si>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(Sin Aprendizaje Colaborativo) 
Grupo Control - Pre-test   </t>
    </r>
    <r>
      <rPr>
        <sz val="11"/>
        <color theme="1"/>
        <rFont val="Calibri"/>
        <family val="2"/>
        <scheme val="minor"/>
      </rPr>
      <t xml:space="preserve">         
Conocimientos-adquiridos
</t>
    </r>
  </si>
  <si>
    <r>
      <t xml:space="preserve">(Sin Aprendizaje Colaborativo) 
Grupo Experimental - Pre-test       </t>
    </r>
    <r>
      <rPr>
        <sz val="11"/>
        <color theme="1"/>
        <rFont val="Calibri"/>
        <family val="2"/>
        <scheme val="minor"/>
      </rPr>
      <t xml:space="preserve">     
Conocimientos-adquiridos
</t>
    </r>
  </si>
  <si>
    <r>
      <rPr>
        <sz val="11"/>
        <color rgb="FFC00000"/>
        <rFont val="Calibri"/>
        <family val="2"/>
        <scheme val="minor"/>
      </rP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>Nota-final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</si>
  <si>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1"/>
        <color rgb="FFC00000"/>
        <rFont val="Calibri"/>
        <family val="2"/>
        <scheme val="minor"/>
      </rPr>
      <t xml:space="preserve">(Sin Aprendizaje Colaborativo) 
Grupo Experimental - Pre-test
</t>
    </r>
    <r>
      <rPr>
        <sz val="11"/>
        <color theme="1"/>
        <rFont val="Calibri"/>
        <family val="2"/>
        <scheme val="minor"/>
      </rPr>
      <t>Nota-final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</si>
  <si>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Comprensión
</t>
    </r>
  </si>
  <si>
    <r>
      <t xml:space="preserve">(Sin Aprendizaje Colaborativo) 
Grupo Experimental - Pre-test
</t>
    </r>
    <r>
      <rPr>
        <sz val="11"/>
        <color theme="1"/>
        <rFont val="Calibri"/>
        <family val="2"/>
        <scheme val="minor"/>
      </rPr>
      <t xml:space="preserve">Comprensión
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</si>
  <si>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</si>
  <si>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(Sin Aprendizaje Colaborativo) 
Grupo Experimental - Pre-test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</si>
  <si>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Resolución-autónoma
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</si>
  <si>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Aprendizaje Colaborativo) 
Grupo Experimental - Pre-test
</t>
    </r>
    <r>
      <rPr>
        <sz val="11"/>
        <color theme="1"/>
        <rFont val="Calibri"/>
        <family val="2"/>
        <scheme val="minor"/>
      </rPr>
      <t xml:space="preserve">Resolución-autónoma
</t>
    </r>
  </si>
  <si>
    <r>
      <t xml:space="preserve">(Sin Aprendizaje Colaborativo) 
Grupo Control - Pre-test
</t>
    </r>
    <r>
      <rPr>
        <sz val="11"/>
        <color theme="1"/>
        <rFont val="Calibri"/>
        <family val="2"/>
        <scheme val="minor"/>
      </rPr>
      <t xml:space="preserve">Motivación
</t>
    </r>
    <r>
      <rPr>
        <sz val="11"/>
        <color rgb="FFC00000"/>
        <rFont val="Calibri"/>
        <family val="2"/>
        <scheme val="minor"/>
      </rPr>
      <t xml:space="preserve">
</t>
    </r>
  </si>
  <si>
    <r>
      <t>(Sin Aprendizaje Colaborativo) 
Grupo Experimental - Pre-test</t>
    </r>
    <r>
      <rPr>
        <sz val="11"/>
        <color theme="1"/>
        <rFont val="Calibri"/>
        <family val="2"/>
        <scheme val="minor"/>
      </rPr>
      <t xml:space="preserve">
Motivación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</si>
</sst>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2" fillId="0" borderId="0"/>
  </cellStyleXfs>
  <cellXfs count="16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top" wrapText="1"/>
    </xf>
    <xf numFmtId="0" fontId="9" fillId="6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4" fillId="0" borderId="4" xfId="0" applyFont="1" applyBorder="1" applyAlignment="1">
      <alignment horizontal="justify" vertical="center" wrapText="1"/>
    </xf>
  </cellXfs>
  <cellStyles count="11">
    <cellStyle name="Buena" xfId="1" builtinId="26"/>
    <cellStyle name="Entrada" xfId="3" builtinId="20"/>
    <cellStyle name="Incorrecto" xfId="2" builtinId="27"/>
    <cellStyle name="Normal" xfId="0" builtinId="0"/>
    <cellStyle name="Normal 2" xfId="7"/>
    <cellStyle name="Normal 2 2" xfId="9"/>
    <cellStyle name="Normal 3" xfId="5"/>
    <cellStyle name="Normal 3 2" xfId="8"/>
    <cellStyle name="Normal 4" xfId="6"/>
    <cellStyle name="Normal 5" xfId="10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7698271" y="9682369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7E18131-8F69-4822-840C-25ADA20A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7F7ECE2-67DD-4C51-8352-46D75D38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DB9F1B2-30DE-44A0-994D-EE9034BD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A516E991-A16A-45FA-99DE-76A3B27C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42522425-5D18-4949-8F80-4B96A446C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758D304-E02A-48BF-8BB5-2AD7AA64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49EAD59-50F3-4956-B76D-7AC58F37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0086B95-1149-497A-A853-9C6D049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A5D6787-7FB8-440B-BB8C-FCA6042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E71F7BEB-FE3B-49CD-A73F-2FCC35227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45A4E578-9FFC-4C4E-B5DD-B269F41C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E21A36E-983F-4351-BEA8-068D5F1B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A443A27-E041-44A9-856C-355268B7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5C9B6F7A-F6B7-4CBB-92BF-E160E2D7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7C1142C4-00BA-4BAC-923E-E0A11BAB9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535971" y="15654544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2D1D70F1-FFD7-4540-ADA2-E9F4DB1D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5E2F120-D28C-4BA8-B376-F3896727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31F938C9-5B6A-413B-A79D-53727117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4727F1F-9107-4167-93A9-1D609D5D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169A5533-AACE-44DD-968A-04ACEE1D4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267AFF3-BE47-40CA-B1C9-B6C99246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ECAA63AD-CD06-4257-95B9-27579D90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EEA2082-6FC5-4D9A-9010-0C6BC204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C9A5ED7-7A6D-47BF-934A-E286E67C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B519E7A1-6CB7-4645-8F08-841FB44E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9F52E8B-8C6E-4599-89F5-E149DDA7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50242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89FDA9D7-3D0E-4062-AFE8-2DF26F95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7314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11493BE7-F811-4FF9-8339-895FCBA4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4143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47AFA635-8C7F-4838-9829-6480FEB0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8151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A2C9199F-F392-4A41-9ED6-25EDE51E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4078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166E40C-121D-4BC7-ACA9-9C07EDD2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813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AA3E7832-84BA-4D50-92C8-3BE5D618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C555F114-99E6-4839-AA16-B526A188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87937A26-9B02-4BBA-B478-26C3F07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FD1BFCF-2EA1-47A2-9904-5C30B7851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2922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4A7E89F-7E63-4CF4-8936-839C5938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504331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24A5661-84C7-40C3-B356-3DA3BB91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7504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A0501E2E-1A19-4313-B417-3F5B7D8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4334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23D6026B-0E53-479C-9F2C-E0EE250A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8341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CF378D2-8253-49ED-80F2-CBF0D257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4269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31496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63B85410-A6C5-4FE3-ACDC-B9E8D7BE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17ACE87-F854-4DEA-BBD7-B78091F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79DEF1E7-B14F-4C8B-9930-E79FDA50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E40B7891-5DA4-4152-B7E1-0DC8DDF4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3D0F386A-17AE-4EFA-9431-8B5147C00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DAF456B-33AD-4CF0-B72A-2C6BD6AB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185A7C6-7F74-45F8-82B1-6851C0F6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FBF29B3C-211B-4E97-A565-26A13950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606B44F7-E925-453D-9B42-0AA67F62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6B005975-7130-485D-A6B7-416A5FE8C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12447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60" zoomScaleNormal="160" workbookViewId="0">
      <selection activeCell="G8" sqref="G8"/>
    </sheetView>
  </sheetViews>
  <sheetFormatPr baseColWidth="10" defaultRowHeight="15" x14ac:dyDescent="0.25"/>
  <cols>
    <col min="1" max="1" width="23.85546875" bestFit="1" customWidth="1"/>
    <col min="6" max="6" width="12.5703125" customWidth="1"/>
  </cols>
  <sheetData>
    <row r="1" spans="1:6" ht="30" x14ac:dyDescent="0.25">
      <c r="A1" s="13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</row>
    <row r="2" spans="1:6" x14ac:dyDescent="0.25">
      <c r="A2" s="15" t="s">
        <v>35</v>
      </c>
      <c r="B2" s="15">
        <f>ROUND('Participación-activa'!E29, 4)</f>
        <v>0.42659999999999998</v>
      </c>
      <c r="C2" s="15">
        <f>ROUND('Participación-activa'!E52, 4)</f>
        <v>1.9724999999999999</v>
      </c>
      <c r="D2" s="15">
        <f>ROUND('Participación-activa'!E53, 4)</f>
        <v>-1.6529</v>
      </c>
      <c r="E2" s="15">
        <f>ROUND('Participación-activa'!E55, 4)</f>
        <v>0.67010000000000003</v>
      </c>
      <c r="F2" s="15">
        <f>ROUND('Participación-activa'!E56, 4)</f>
        <v>0.33510000000000001</v>
      </c>
    </row>
    <row r="3" spans="1:6" x14ac:dyDescent="0.25">
      <c r="A3" s="15" t="s">
        <v>36</v>
      </c>
      <c r="B3" s="15">
        <f>ROUND('Comunicación-equipo'!E29, 4)</f>
        <v>-0.6835</v>
      </c>
      <c r="C3" s="15">
        <f>ROUND('Comunicación-equipo'!E52, 4)</f>
        <v>1.9724999999999999</v>
      </c>
      <c r="D3" s="15">
        <f>ROUND('Comunicación-equipo'!E53, 4)</f>
        <v>-1.6529</v>
      </c>
      <c r="E3" s="15">
        <f>ROUND('Comunicación-equipo'!E55, 4)</f>
        <v>0.49509999999999998</v>
      </c>
      <c r="F3" s="15">
        <f>ROUND('Comunicación-equipo'!E56, 4)</f>
        <v>0.24759999999999999</v>
      </c>
    </row>
    <row r="4" spans="1:6" x14ac:dyDescent="0.25">
      <c r="A4" s="15" t="s">
        <v>37</v>
      </c>
      <c r="B4" s="15">
        <f>ROUND('Cumplimiento-tareas'!E29, 4)</f>
        <v>0.69220000000000004</v>
      </c>
      <c r="C4" s="15">
        <f>ROUND('Cumplimiento-tareas'!E52, 4)</f>
        <v>1.9725999999999999</v>
      </c>
      <c r="D4" s="15">
        <f>ROUND('Cumplimiento-tareas'!E53, 4)</f>
        <v>-1.653</v>
      </c>
      <c r="E4" s="15">
        <f>ROUND('Cumplimiento-tareas'!E55, 4)</f>
        <v>0.48970000000000002</v>
      </c>
      <c r="F4" s="15">
        <f>ROUND('Cumplimiento-tareas'!E56, 4)</f>
        <v>0.24479999999999999</v>
      </c>
    </row>
    <row r="5" spans="1:6" x14ac:dyDescent="0.25">
      <c r="A5" s="15" t="s">
        <v>38</v>
      </c>
      <c r="B5" s="15">
        <f>ROUND('Contribución-grupo'!E29, 4)</f>
        <v>0.59560000000000002</v>
      </c>
      <c r="C5" s="15">
        <f>ROUND('Contribución-grupo'!E52, 4)</f>
        <v>1.9729000000000001</v>
      </c>
      <c r="D5" s="15">
        <f>ROUND('Contribución-grupo'!E53, 4)</f>
        <v>-1.6532</v>
      </c>
      <c r="E5" s="15">
        <f>ROUND('Contribución-grupo'!E55, 4)</f>
        <v>0.55210000000000004</v>
      </c>
      <c r="F5" s="15">
        <f>ROUND('Contribución-grupo'!E56, 4)</f>
        <v>0.27610000000000001</v>
      </c>
    </row>
    <row r="6" spans="1:6" x14ac:dyDescent="0.25">
      <c r="A6" s="15" t="s">
        <v>33</v>
      </c>
      <c r="B6" s="15">
        <f>ROUND('Resolución-problemas'!E29, 4)</f>
        <v>-0.60619999999999996</v>
      </c>
      <c r="C6" s="15">
        <f>ROUND('Resolución-problemas'!E52, 4)</f>
        <v>1.9725999999999999</v>
      </c>
      <c r="D6" s="15">
        <f>ROUND('Resolución-problemas'!E53, 4)</f>
        <v>-1.653</v>
      </c>
      <c r="E6" s="15">
        <f>ROUND('Resolución-problemas'!E55, 4)</f>
        <v>0.54510000000000003</v>
      </c>
      <c r="F6" s="15">
        <f>ROUND('Resolución-problemas'!E56, 4)</f>
        <v>0.27250000000000002</v>
      </c>
    </row>
    <row r="7" spans="1:6" x14ac:dyDescent="0.25">
      <c r="A7" s="15" t="s">
        <v>39</v>
      </c>
      <c r="B7" s="15">
        <f>ROUND('Conocimientos-adquiridos'!E29, 4)</f>
        <v>1.1087</v>
      </c>
      <c r="C7" s="15">
        <f>ROUND('Conocimientos-adquiridos'!E52, 4)</f>
        <v>1.9724999999999999</v>
      </c>
      <c r="D7" s="15">
        <f>ROUND('Conocimientos-adquiridos'!E53, 4)</f>
        <v>-1.6529</v>
      </c>
      <c r="E7" s="15">
        <f>ROUND('Conocimientos-adquiridos'!E55, 4)</f>
        <v>0.26889999999999997</v>
      </c>
      <c r="F7" s="15">
        <f>ROUND('Conocimientos-adquiridos'!E56, 4)</f>
        <v>0.13450000000000001</v>
      </c>
    </row>
    <row r="8" spans="1:6" x14ac:dyDescent="0.25">
      <c r="A8" s="15" t="s">
        <v>40</v>
      </c>
      <c r="B8" s="15">
        <f>ROUND('Nota-final'!E29, 4)</f>
        <v>0.26910000000000001</v>
      </c>
      <c r="C8" s="15">
        <f>ROUND('Nota-final'!E52, 4)</f>
        <v>1.9724999999999999</v>
      </c>
      <c r="D8" s="15">
        <f>ROUND('Nota-final'!E53, 4)</f>
        <v>-1.6529</v>
      </c>
      <c r="E8" s="15">
        <f>ROUND('Nota-final'!E55, 4)</f>
        <v>0.78810000000000002</v>
      </c>
      <c r="F8" s="15">
        <f>ROUND('Nota-final'!E56, 4)</f>
        <v>0.39410000000000001</v>
      </c>
    </row>
    <row r="9" spans="1:6" x14ac:dyDescent="0.25">
      <c r="A9" s="15" t="s">
        <v>41</v>
      </c>
      <c r="B9" s="15">
        <f>ROUND(Comprensión!E29, 4)</f>
        <v>6.13E-2</v>
      </c>
      <c r="C9" s="15">
        <f>ROUND(Comprensión!E52, 4)</f>
        <v>1.9724999999999999</v>
      </c>
      <c r="D9" s="15">
        <f>ROUND(Comprensión!E53, 4)</f>
        <v>-1.6529</v>
      </c>
      <c r="E9" s="15">
        <f>ROUND(Comprensión!E55, 4)</f>
        <v>0.95120000000000005</v>
      </c>
      <c r="F9" s="15">
        <f>ROUND(Comprensión!E56, 4)</f>
        <v>0.47560000000000002</v>
      </c>
    </row>
    <row r="10" spans="1:6" x14ac:dyDescent="0.25">
      <c r="A10" s="15" t="s">
        <v>42</v>
      </c>
      <c r="B10" s="15">
        <f>ROUND(Habilidades!E29, 4)</f>
        <v>1.2188000000000001</v>
      </c>
      <c r="C10" s="15">
        <f>ROUND(Habilidades!E52, 4)</f>
        <v>1.9724999999999999</v>
      </c>
      <c r="D10" s="15">
        <f>ROUND(Habilidades!E53, 4)</f>
        <v>-1.6529</v>
      </c>
      <c r="E10" s="15">
        <f>ROUND(Habilidades!E55, 4)</f>
        <v>0.22439999999999999</v>
      </c>
      <c r="F10" s="15">
        <f>ROUND(Habilidades!E56, 4)</f>
        <v>0.11219999999999999</v>
      </c>
    </row>
    <row r="11" spans="1:6" x14ac:dyDescent="0.25">
      <c r="A11" s="15" t="s">
        <v>43</v>
      </c>
      <c r="B11" s="15">
        <f>ROUND('Resolución-autónoma'!E29, 4)</f>
        <v>-0.26960000000000001</v>
      </c>
      <c r="C11" s="15">
        <f>ROUND('Resolución-autónoma'!E52, 4)</f>
        <v>1.9724999999999999</v>
      </c>
      <c r="D11" s="15">
        <f>ROUND('Resolución-autónoma'!E53, 4)</f>
        <v>-1.6529</v>
      </c>
      <c r="E11" s="15">
        <f>ROUND('Resolución-autónoma'!E55, 4)</f>
        <v>0.78779999999999994</v>
      </c>
      <c r="F11" s="15">
        <f>ROUND('Resolución-autónoma'!E56, 4)</f>
        <v>0.39389999999999997</v>
      </c>
    </row>
    <row r="12" spans="1:6" x14ac:dyDescent="0.25">
      <c r="A12" s="15" t="s">
        <v>34</v>
      </c>
      <c r="B12" s="15">
        <f>ROUND(Motivación!E29, 4)</f>
        <v>0.54710000000000003</v>
      </c>
      <c r="C12" s="15">
        <f>ROUND(Motivación!E52, 4)</f>
        <v>1.9724999999999999</v>
      </c>
      <c r="D12" s="15">
        <f>ROUND(Motivación!E53, 4)</f>
        <v>-1.6529</v>
      </c>
      <c r="E12" s="15">
        <f>ROUND(Motivación!E55, 4)</f>
        <v>0.58499999999999996</v>
      </c>
      <c r="F12" s="15">
        <f>ROUND(Motivación!E56, 4)</f>
        <v>0.29249999999999998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B4" sqref="B4"/>
    </sheetView>
  </sheetViews>
  <sheetFormatPr baseColWidth="10" defaultColWidth="9.140625" defaultRowHeight="15" x14ac:dyDescent="0.25"/>
  <cols>
    <col min="1" max="1" width="28.42578125" customWidth="1"/>
    <col min="2" max="2" width="29.1406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44</v>
      </c>
      <c r="B1" s="8" t="s">
        <v>45</v>
      </c>
    </row>
    <row r="2" spans="1:5" x14ac:dyDescent="0.25">
      <c r="A2">
        <v>2</v>
      </c>
      <c r="B2">
        <v>4</v>
      </c>
      <c r="D2" s="1" t="s">
        <v>24</v>
      </c>
      <c r="E2">
        <f>AVERAGE(A:A)</f>
        <v>3.1855670103092781</v>
      </c>
    </row>
    <row r="3" spans="1:5" x14ac:dyDescent="0.25">
      <c r="A3">
        <v>4</v>
      </c>
      <c r="B3">
        <v>1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3</v>
      </c>
      <c r="D4" s="1" t="s">
        <v>1</v>
      </c>
      <c r="E4">
        <f>MODE(A:A)</f>
        <v>3</v>
      </c>
    </row>
    <row r="5" spans="1:5" x14ac:dyDescent="0.25">
      <c r="A5">
        <v>3</v>
      </c>
      <c r="B5">
        <v>2</v>
      </c>
      <c r="D5" s="1" t="s">
        <v>15</v>
      </c>
      <c r="E5">
        <f>STDEV(A:A)</f>
        <v>1.2018206406255789</v>
      </c>
    </row>
    <row r="6" spans="1:5" x14ac:dyDescent="0.25">
      <c r="A6">
        <v>2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1</v>
      </c>
      <c r="B7">
        <v>5</v>
      </c>
    </row>
    <row r="8" spans="1:5" x14ac:dyDescent="0.25">
      <c r="A8">
        <v>5</v>
      </c>
      <c r="B8">
        <v>3</v>
      </c>
      <c r="D8" s="3" t="s">
        <v>25</v>
      </c>
      <c r="E8">
        <f>AVERAGE(B:B)</f>
        <v>3.1134020618556701</v>
      </c>
    </row>
    <row r="9" spans="1:5" x14ac:dyDescent="0.25">
      <c r="A9">
        <v>3</v>
      </c>
      <c r="B9">
        <v>5</v>
      </c>
      <c r="D9" s="3" t="s">
        <v>2</v>
      </c>
      <c r="E9">
        <f>MEDIAN(B:B)</f>
        <v>3</v>
      </c>
    </row>
    <row r="10" spans="1:5" x14ac:dyDescent="0.25">
      <c r="A10">
        <v>3</v>
      </c>
      <c r="B10">
        <v>3</v>
      </c>
      <c r="D10" s="3" t="s">
        <v>3</v>
      </c>
      <c r="E10">
        <f>MODE(B:B)</f>
        <v>3</v>
      </c>
    </row>
    <row r="11" spans="1:5" x14ac:dyDescent="0.25">
      <c r="A11">
        <v>5</v>
      </c>
      <c r="B11">
        <v>2</v>
      </c>
      <c r="D11" s="3" t="s">
        <v>14</v>
      </c>
      <c r="E11">
        <f>STDEV(B:B)</f>
        <v>1.153583986429122</v>
      </c>
    </row>
    <row r="12" spans="1:5" x14ac:dyDescent="0.25">
      <c r="A12">
        <v>2</v>
      </c>
      <c r="B12">
        <v>4</v>
      </c>
      <c r="D12" s="5" t="s">
        <v>5</v>
      </c>
      <c r="E12">
        <f>COUNT(B:B)</f>
        <v>97</v>
      </c>
    </row>
    <row r="13" spans="1:5" x14ac:dyDescent="0.25">
      <c r="A13">
        <v>4</v>
      </c>
      <c r="B13">
        <v>2</v>
      </c>
    </row>
    <row r="14" spans="1:5" x14ac:dyDescent="0.25">
      <c r="A14">
        <v>5</v>
      </c>
      <c r="B14">
        <v>3</v>
      </c>
    </row>
    <row r="15" spans="1:5" x14ac:dyDescent="0.25">
      <c r="A15">
        <v>5</v>
      </c>
      <c r="B15">
        <v>3</v>
      </c>
    </row>
    <row r="16" spans="1:5" x14ac:dyDescent="0.25">
      <c r="A16">
        <v>1</v>
      </c>
      <c r="B16">
        <v>4</v>
      </c>
    </row>
    <row r="17" spans="1:5" x14ac:dyDescent="0.25">
      <c r="A17">
        <v>3</v>
      </c>
      <c r="B17">
        <v>2</v>
      </c>
      <c r="D17" s="2" t="s">
        <v>6</v>
      </c>
      <c r="E17" s="2"/>
    </row>
    <row r="18" spans="1:5" x14ac:dyDescent="0.25">
      <c r="A18">
        <v>5</v>
      </c>
      <c r="B18">
        <v>2</v>
      </c>
    </row>
    <row r="19" spans="1:5" x14ac:dyDescent="0.25">
      <c r="A19">
        <v>4</v>
      </c>
      <c r="B19">
        <v>1</v>
      </c>
    </row>
    <row r="20" spans="1:5" x14ac:dyDescent="0.25">
      <c r="A20">
        <v>2</v>
      </c>
      <c r="B20">
        <v>5</v>
      </c>
    </row>
    <row r="21" spans="1:5" x14ac:dyDescent="0.25">
      <c r="A21">
        <v>4</v>
      </c>
      <c r="B21">
        <v>4</v>
      </c>
    </row>
    <row r="22" spans="1:5" x14ac:dyDescent="0.25">
      <c r="A22">
        <v>2</v>
      </c>
      <c r="B22">
        <v>3</v>
      </c>
    </row>
    <row r="23" spans="1:5" x14ac:dyDescent="0.25">
      <c r="A23">
        <v>3</v>
      </c>
      <c r="B23">
        <v>2</v>
      </c>
    </row>
    <row r="24" spans="1:5" x14ac:dyDescent="0.25">
      <c r="A24">
        <v>2</v>
      </c>
      <c r="B24">
        <v>1</v>
      </c>
    </row>
    <row r="25" spans="1:5" x14ac:dyDescent="0.25">
      <c r="A25">
        <v>1</v>
      </c>
      <c r="B25">
        <v>4</v>
      </c>
    </row>
    <row r="26" spans="1:5" x14ac:dyDescent="0.25">
      <c r="A26">
        <v>5</v>
      </c>
      <c r="B26">
        <v>3</v>
      </c>
    </row>
    <row r="27" spans="1:5" x14ac:dyDescent="0.25">
      <c r="A27">
        <v>5</v>
      </c>
      <c r="B27">
        <v>4</v>
      </c>
    </row>
    <row r="28" spans="1:5" x14ac:dyDescent="0.25">
      <c r="A28">
        <v>3</v>
      </c>
      <c r="B28">
        <v>5</v>
      </c>
    </row>
    <row r="29" spans="1:5" x14ac:dyDescent="0.25">
      <c r="A29">
        <v>3</v>
      </c>
      <c r="B29">
        <v>2</v>
      </c>
      <c r="D29" t="s">
        <v>11</v>
      </c>
      <c r="E29">
        <f>(E2-E8)/SQRT(((E5^2)/E6)+((E11^2)/E12))</f>
        <v>0.42664886581549372</v>
      </c>
    </row>
    <row r="30" spans="1:5" x14ac:dyDescent="0.25">
      <c r="A30">
        <v>4</v>
      </c>
      <c r="B30">
        <v>5</v>
      </c>
    </row>
    <row r="31" spans="1:5" x14ac:dyDescent="0.25">
      <c r="A31">
        <v>5</v>
      </c>
      <c r="B31">
        <v>3</v>
      </c>
      <c r="D31" s="2" t="s">
        <v>7</v>
      </c>
      <c r="E31" s="2"/>
    </row>
    <row r="32" spans="1:5" x14ac:dyDescent="0.25">
      <c r="A32">
        <v>4</v>
      </c>
      <c r="B32">
        <v>5</v>
      </c>
    </row>
    <row r="33" spans="1:6" x14ac:dyDescent="0.25">
      <c r="A33">
        <v>5</v>
      </c>
      <c r="B33">
        <v>3</v>
      </c>
    </row>
    <row r="34" spans="1:6" x14ac:dyDescent="0.25">
      <c r="A34">
        <v>2</v>
      </c>
      <c r="B34">
        <v>4</v>
      </c>
    </row>
    <row r="35" spans="1:6" x14ac:dyDescent="0.25">
      <c r="A35">
        <v>3</v>
      </c>
      <c r="B35">
        <v>2</v>
      </c>
    </row>
    <row r="36" spans="1:6" x14ac:dyDescent="0.25">
      <c r="A36">
        <v>3</v>
      </c>
      <c r="B36">
        <v>2</v>
      </c>
    </row>
    <row r="37" spans="1:6" x14ac:dyDescent="0.25">
      <c r="A37">
        <v>3</v>
      </c>
      <c r="B37">
        <v>2</v>
      </c>
    </row>
    <row r="38" spans="1:6" x14ac:dyDescent="0.25">
      <c r="A38">
        <v>3</v>
      </c>
      <c r="B38">
        <v>3</v>
      </c>
    </row>
    <row r="39" spans="1:6" x14ac:dyDescent="0.25">
      <c r="A39">
        <v>5</v>
      </c>
      <c r="B39">
        <v>3</v>
      </c>
    </row>
    <row r="40" spans="1:6" x14ac:dyDescent="0.25">
      <c r="A40">
        <v>5</v>
      </c>
      <c r="B40">
        <v>1</v>
      </c>
    </row>
    <row r="41" spans="1:6" ht="29.25" customHeight="1" x14ac:dyDescent="0.25">
      <c r="A41">
        <v>4</v>
      </c>
      <c r="B41">
        <v>3</v>
      </c>
      <c r="D41" t="s">
        <v>8</v>
      </c>
      <c r="E41">
        <f>(((E5^2)/E6)+((E11^2)/E12))^2</f>
        <v>8.1850783534828469E-4</v>
      </c>
    </row>
    <row r="42" spans="1:6" ht="47.25" customHeight="1" x14ac:dyDescent="0.25">
      <c r="A42">
        <v>3</v>
      </c>
      <c r="B42">
        <v>3</v>
      </c>
      <c r="D42" t="s">
        <v>9</v>
      </c>
      <c r="E42">
        <f>(((E5^2)/E6)^2)/(E6-1)</f>
        <v>2.3096380861737516E-6</v>
      </c>
    </row>
    <row r="43" spans="1:6" ht="43.5" customHeight="1" x14ac:dyDescent="0.25">
      <c r="A43">
        <v>3</v>
      </c>
      <c r="B43">
        <v>3</v>
      </c>
      <c r="D43" t="s">
        <v>10</v>
      </c>
      <c r="E43">
        <f>(((E11^2)/E12)^2)/(E12-1)</f>
        <v>1.9605691892075386E-6</v>
      </c>
    </row>
    <row r="44" spans="1:6" x14ac:dyDescent="0.25">
      <c r="A44">
        <v>3</v>
      </c>
      <c r="B44">
        <v>2</v>
      </c>
    </row>
    <row r="45" spans="1:6" x14ac:dyDescent="0.25">
      <c r="A45">
        <v>3</v>
      </c>
      <c r="B45">
        <v>3</v>
      </c>
      <c r="D45" t="s">
        <v>7</v>
      </c>
      <c r="E45">
        <f>E41/(E42+E43)</f>
        <v>191.67871313113238</v>
      </c>
      <c r="F45" s="6" t="s">
        <v>12</v>
      </c>
    </row>
    <row r="46" spans="1:6" x14ac:dyDescent="0.25">
      <c r="A46">
        <v>3</v>
      </c>
      <c r="B46">
        <v>2</v>
      </c>
    </row>
    <row r="47" spans="1:6" x14ac:dyDescent="0.25">
      <c r="A47">
        <v>3</v>
      </c>
      <c r="B47">
        <v>4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5</v>
      </c>
    </row>
    <row r="49" spans="1:5" x14ac:dyDescent="0.25">
      <c r="A49">
        <v>3</v>
      </c>
      <c r="B49">
        <v>5</v>
      </c>
    </row>
    <row r="50" spans="1:5" x14ac:dyDescent="0.25">
      <c r="A50">
        <v>2</v>
      </c>
      <c r="B50">
        <v>3</v>
      </c>
    </row>
    <row r="51" spans="1:5" x14ac:dyDescent="0.25">
      <c r="A51">
        <v>4</v>
      </c>
      <c r="B51">
        <v>2</v>
      </c>
      <c r="D51" s="2"/>
      <c r="E51" s="2"/>
    </row>
    <row r="52" spans="1:5" x14ac:dyDescent="0.25">
      <c r="A52">
        <v>2</v>
      </c>
      <c r="B52">
        <v>4</v>
      </c>
      <c r="D52" t="s">
        <v>16</v>
      </c>
      <c r="E52">
        <f>_xlfn.T.INV.2T(E47,E45)</f>
        <v>1.9724619897672133</v>
      </c>
    </row>
    <row r="53" spans="1:5" x14ac:dyDescent="0.25">
      <c r="A53">
        <v>3</v>
      </c>
      <c r="B53">
        <v>1</v>
      </c>
      <c r="D53" t="s">
        <v>17</v>
      </c>
      <c r="E53">
        <f>_xlfn.T.INV(E47, E45)</f>
        <v>-1.6528705472303915</v>
      </c>
    </row>
    <row r="54" spans="1:5" x14ac:dyDescent="0.25">
      <c r="A54">
        <v>5</v>
      </c>
      <c r="B54">
        <v>5</v>
      </c>
    </row>
    <row r="55" spans="1:5" x14ac:dyDescent="0.25">
      <c r="A55">
        <v>4</v>
      </c>
      <c r="B55">
        <v>1</v>
      </c>
      <c r="D55" t="s">
        <v>18</v>
      </c>
      <c r="E55">
        <f>TTEST(A:A,B:B,2,2)</f>
        <v>0.67011309126563834</v>
      </c>
    </row>
    <row r="56" spans="1:5" x14ac:dyDescent="0.25">
      <c r="A56">
        <v>2</v>
      </c>
      <c r="B56">
        <v>4</v>
      </c>
      <c r="D56" t="s">
        <v>19</v>
      </c>
      <c r="E56">
        <f>TTEST(A:A,B:B,1,2)</f>
        <v>0.33505654563281917</v>
      </c>
    </row>
    <row r="57" spans="1:5" x14ac:dyDescent="0.25">
      <c r="A57">
        <v>5</v>
      </c>
      <c r="B57">
        <v>2</v>
      </c>
    </row>
    <row r="58" spans="1:5" x14ac:dyDescent="0.25">
      <c r="A58">
        <v>3</v>
      </c>
      <c r="B58">
        <v>2</v>
      </c>
    </row>
    <row r="59" spans="1:5" x14ac:dyDescent="0.25">
      <c r="A59">
        <v>1</v>
      </c>
      <c r="B59">
        <v>4</v>
      </c>
      <c r="D59" s="2" t="s">
        <v>20</v>
      </c>
      <c r="E59" s="2"/>
    </row>
    <row r="60" spans="1:5" x14ac:dyDescent="0.25">
      <c r="A60">
        <v>3</v>
      </c>
      <c r="B60">
        <v>2</v>
      </c>
    </row>
    <row r="61" spans="1:5" x14ac:dyDescent="0.25">
      <c r="A61">
        <v>4</v>
      </c>
      <c r="B61">
        <v>2</v>
      </c>
      <c r="D61" t="s">
        <v>21</v>
      </c>
    </row>
    <row r="62" spans="1:5" x14ac:dyDescent="0.25">
      <c r="A62">
        <v>1</v>
      </c>
      <c r="B62">
        <v>2</v>
      </c>
      <c r="D62" t="s">
        <v>22</v>
      </c>
    </row>
    <row r="63" spans="1:5" x14ac:dyDescent="0.25">
      <c r="A63">
        <v>3</v>
      </c>
      <c r="B63">
        <v>5</v>
      </c>
    </row>
    <row r="64" spans="1:5" x14ac:dyDescent="0.25">
      <c r="A64">
        <v>4</v>
      </c>
      <c r="B64">
        <v>2</v>
      </c>
    </row>
    <row r="65" spans="1:4" x14ac:dyDescent="0.25">
      <c r="A65">
        <v>3</v>
      </c>
      <c r="B65">
        <v>4</v>
      </c>
    </row>
    <row r="66" spans="1:4" x14ac:dyDescent="0.25">
      <c r="A66">
        <v>3</v>
      </c>
      <c r="B66">
        <v>3</v>
      </c>
      <c r="D66" t="s">
        <v>23</v>
      </c>
    </row>
    <row r="67" spans="1:4" x14ac:dyDescent="0.25">
      <c r="A67">
        <v>3</v>
      </c>
      <c r="B67">
        <v>3</v>
      </c>
      <c r="D67" t="str">
        <f>"Dos Colas: Si t calculado ("&amp;E29&amp;") &gt; a t critico  ("&amp;E52&amp;") (de tabla) ---&gt; Se rechaza la hipotesis nula"</f>
        <v>Dos Colas: Si t calculado (0.426648865815494) &gt; a t critico  (1.97246198976721) (de tabla) ---&gt; Se rechaza la hipotesis nula</v>
      </c>
    </row>
    <row r="68" spans="1:4" x14ac:dyDescent="0.25">
      <c r="A68">
        <v>3</v>
      </c>
      <c r="B68">
        <v>3</v>
      </c>
      <c r="D68" t="str">
        <f>"Una Cola: Si t calculado ("&amp;E29&amp;") &gt; a t critico  ("&amp;E53&amp;") (de tabla) ---&gt; Se rechaza la hipotesis nula"</f>
        <v>Una Cola: Si t calculado (0.426648865815494) &gt; a t critico  (-1.65287054723039) (de tabla) ---&gt; Se rechaza la hipotesis nula</v>
      </c>
    </row>
    <row r="69" spans="1:4" x14ac:dyDescent="0.25">
      <c r="A69">
        <v>4</v>
      </c>
      <c r="B69">
        <v>3</v>
      </c>
    </row>
    <row r="70" spans="1:4" x14ac:dyDescent="0.25">
      <c r="A70">
        <v>3</v>
      </c>
      <c r="B70">
        <v>5</v>
      </c>
    </row>
    <row r="71" spans="1:4" x14ac:dyDescent="0.25">
      <c r="A71">
        <v>1</v>
      </c>
      <c r="B71">
        <v>3</v>
      </c>
    </row>
    <row r="72" spans="1:4" x14ac:dyDescent="0.25">
      <c r="A72">
        <v>3</v>
      </c>
      <c r="B72">
        <v>3</v>
      </c>
      <c r="D72" t="s">
        <v>26</v>
      </c>
    </row>
    <row r="73" spans="1:4" x14ac:dyDescent="0.25">
      <c r="A73">
        <v>1</v>
      </c>
      <c r="B73">
        <v>3</v>
      </c>
      <c r="D73" t="str">
        <f>"Dos Colas: Si p valor ("&amp;E55&amp;") &lt; Nivel Significancia (0.05) ---&gt; Se rechaza la hipotesis nula"</f>
        <v>Dos Colas: Si p valor (0.670113091265638) &lt; Nivel Significancia (0.05) ---&gt; Se rechaza la hipotesis nula</v>
      </c>
    </row>
    <row r="74" spans="1:4" x14ac:dyDescent="0.25">
      <c r="A74">
        <v>5</v>
      </c>
      <c r="B74">
        <v>3</v>
      </c>
      <c r="D74" t="str">
        <f>"Una Cola: Si p valor ("&amp;E56&amp;") &lt; Nivel Significancia (0.05) ---&gt; Se rechaza la hipotesis nula"</f>
        <v>Una Cola: Si p valor (0.335056545632819) &lt; Nivel Significancia (0.05) ---&gt; Se rechaza la hipotesis nula</v>
      </c>
    </row>
    <row r="75" spans="1:4" x14ac:dyDescent="0.25">
      <c r="A75">
        <v>3</v>
      </c>
      <c r="B75">
        <v>2</v>
      </c>
    </row>
    <row r="76" spans="1:4" x14ac:dyDescent="0.25">
      <c r="A76">
        <v>3</v>
      </c>
      <c r="B76">
        <v>5</v>
      </c>
    </row>
    <row r="77" spans="1:4" x14ac:dyDescent="0.25">
      <c r="A77">
        <v>1</v>
      </c>
      <c r="B77">
        <v>2</v>
      </c>
    </row>
    <row r="78" spans="1:4" x14ac:dyDescent="0.25">
      <c r="A78">
        <v>3</v>
      </c>
      <c r="B78">
        <v>4</v>
      </c>
    </row>
    <row r="79" spans="1:4" x14ac:dyDescent="0.25">
      <c r="A79">
        <v>4</v>
      </c>
      <c r="B79">
        <v>5</v>
      </c>
    </row>
    <row r="80" spans="1:4" x14ac:dyDescent="0.25">
      <c r="A80">
        <v>3</v>
      </c>
      <c r="B80">
        <v>2</v>
      </c>
    </row>
    <row r="81" spans="1:2" x14ac:dyDescent="0.25">
      <c r="A81">
        <v>4</v>
      </c>
      <c r="B81">
        <v>4</v>
      </c>
    </row>
    <row r="82" spans="1:2" x14ac:dyDescent="0.25">
      <c r="A82">
        <v>1</v>
      </c>
      <c r="B82">
        <v>3</v>
      </c>
    </row>
    <row r="83" spans="1:2" x14ac:dyDescent="0.25">
      <c r="A83">
        <v>2</v>
      </c>
      <c r="B83">
        <v>3</v>
      </c>
    </row>
    <row r="84" spans="1:2" x14ac:dyDescent="0.25">
      <c r="A84">
        <v>4</v>
      </c>
      <c r="B84">
        <v>3</v>
      </c>
    </row>
    <row r="85" spans="1:2" x14ac:dyDescent="0.25">
      <c r="A85">
        <v>3</v>
      </c>
      <c r="B85">
        <v>5</v>
      </c>
    </row>
    <row r="86" spans="1:2" x14ac:dyDescent="0.25">
      <c r="A86">
        <v>2</v>
      </c>
      <c r="B86">
        <v>5</v>
      </c>
    </row>
    <row r="87" spans="1:2" x14ac:dyDescent="0.25">
      <c r="A87">
        <v>2</v>
      </c>
      <c r="B87">
        <v>3</v>
      </c>
    </row>
    <row r="88" spans="1:2" x14ac:dyDescent="0.25">
      <c r="A88">
        <v>4</v>
      </c>
      <c r="B88">
        <v>1</v>
      </c>
    </row>
    <row r="89" spans="1:2" x14ac:dyDescent="0.25">
      <c r="A89">
        <v>3</v>
      </c>
      <c r="B89">
        <v>3</v>
      </c>
    </row>
    <row r="90" spans="1:2" x14ac:dyDescent="0.25">
      <c r="A90">
        <v>1</v>
      </c>
      <c r="B90">
        <v>3</v>
      </c>
    </row>
    <row r="91" spans="1:2" x14ac:dyDescent="0.25">
      <c r="A91">
        <v>5</v>
      </c>
      <c r="B91">
        <v>3</v>
      </c>
    </row>
    <row r="92" spans="1:2" x14ac:dyDescent="0.25">
      <c r="A92">
        <v>3</v>
      </c>
      <c r="B92">
        <v>3</v>
      </c>
    </row>
    <row r="93" spans="1:2" x14ac:dyDescent="0.25">
      <c r="A93">
        <v>5</v>
      </c>
      <c r="B93">
        <v>3</v>
      </c>
    </row>
    <row r="94" spans="1:2" x14ac:dyDescent="0.25">
      <c r="A94">
        <v>3</v>
      </c>
      <c r="B94">
        <v>3</v>
      </c>
    </row>
    <row r="95" spans="1:2" x14ac:dyDescent="0.25">
      <c r="A95">
        <v>4</v>
      </c>
      <c r="B95">
        <v>5</v>
      </c>
    </row>
    <row r="96" spans="1:2" x14ac:dyDescent="0.25">
      <c r="A96">
        <v>4</v>
      </c>
      <c r="B96">
        <v>3</v>
      </c>
    </row>
    <row r="97" spans="1:2" x14ac:dyDescent="0.25">
      <c r="A97">
        <v>4</v>
      </c>
      <c r="B97">
        <v>3</v>
      </c>
    </row>
    <row r="98" spans="1:2" x14ac:dyDescent="0.25">
      <c r="A98">
        <v>5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B1" sqref="B1"/>
    </sheetView>
  </sheetViews>
  <sheetFormatPr baseColWidth="10" defaultColWidth="9.140625" defaultRowHeight="15" x14ac:dyDescent="0.25"/>
  <cols>
    <col min="1" max="1" width="30.5703125" customWidth="1"/>
    <col min="2" max="2" width="33.85546875" customWidth="1"/>
    <col min="4" max="4" width="39.28515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46</v>
      </c>
      <c r="B1" s="10" t="s">
        <v>47</v>
      </c>
    </row>
    <row r="2" spans="1:5" x14ac:dyDescent="0.25">
      <c r="A2">
        <v>3</v>
      </c>
      <c r="B2">
        <v>2</v>
      </c>
      <c r="D2" s="1" t="s">
        <v>24</v>
      </c>
      <c r="E2">
        <f>AVERAGE(A:A)</f>
        <v>2.9278350515463916</v>
      </c>
    </row>
    <row r="3" spans="1:5" x14ac:dyDescent="0.25">
      <c r="A3">
        <v>4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1</v>
      </c>
      <c r="D4" s="1" t="s">
        <v>1</v>
      </c>
      <c r="E4">
        <f>MODE(A:A)</f>
        <v>3</v>
      </c>
    </row>
    <row r="5" spans="1:5" x14ac:dyDescent="0.25">
      <c r="A5">
        <v>5</v>
      </c>
      <c r="B5">
        <v>4</v>
      </c>
      <c r="D5" s="1" t="s">
        <v>15</v>
      </c>
      <c r="E5">
        <f>STDEV(A:A)</f>
        <v>1.129596375927522</v>
      </c>
    </row>
    <row r="6" spans="1:5" x14ac:dyDescent="0.25">
      <c r="A6">
        <v>3</v>
      </c>
      <c r="B6">
        <v>2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2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3.0412371134020617</v>
      </c>
    </row>
    <row r="9" spans="1:5" x14ac:dyDescent="0.25">
      <c r="A9">
        <v>3</v>
      </c>
      <c r="B9">
        <v>3</v>
      </c>
      <c r="D9" s="3" t="s">
        <v>2</v>
      </c>
      <c r="E9">
        <f>MEDIAN(B:B)</f>
        <v>3</v>
      </c>
    </row>
    <row r="10" spans="1:5" x14ac:dyDescent="0.25">
      <c r="A10">
        <v>5</v>
      </c>
      <c r="B10">
        <v>4</v>
      </c>
      <c r="D10" s="3" t="s">
        <v>3</v>
      </c>
      <c r="E10">
        <f>MODE(B:B)</f>
        <v>3</v>
      </c>
    </row>
    <row r="11" spans="1:5" x14ac:dyDescent="0.25">
      <c r="A11">
        <v>1</v>
      </c>
      <c r="B11">
        <v>4</v>
      </c>
      <c r="D11" s="3" t="s">
        <v>14</v>
      </c>
      <c r="E11">
        <f>STDEV(B:B)</f>
        <v>1.1807265222204986</v>
      </c>
    </row>
    <row r="12" spans="1:5" x14ac:dyDescent="0.25">
      <c r="A12">
        <v>3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2</v>
      </c>
      <c r="B13">
        <v>2</v>
      </c>
    </row>
    <row r="14" spans="1:5" x14ac:dyDescent="0.25">
      <c r="A14">
        <v>3</v>
      </c>
      <c r="B14">
        <v>3</v>
      </c>
    </row>
    <row r="15" spans="1:5" x14ac:dyDescent="0.25">
      <c r="A15">
        <v>4</v>
      </c>
      <c r="B15">
        <v>3</v>
      </c>
    </row>
    <row r="16" spans="1:5" x14ac:dyDescent="0.25">
      <c r="A16">
        <v>3</v>
      </c>
      <c r="B16">
        <v>3</v>
      </c>
    </row>
    <row r="17" spans="1:5" x14ac:dyDescent="0.25">
      <c r="A17">
        <v>4</v>
      </c>
      <c r="B17">
        <v>1</v>
      </c>
      <c r="D17" s="2" t="s">
        <v>6</v>
      </c>
      <c r="E17" s="2"/>
    </row>
    <row r="18" spans="1:5" x14ac:dyDescent="0.25">
      <c r="A18">
        <v>1</v>
      </c>
      <c r="B18">
        <v>3</v>
      </c>
    </row>
    <row r="19" spans="1:5" x14ac:dyDescent="0.25">
      <c r="A19">
        <v>3</v>
      </c>
      <c r="B19">
        <v>5</v>
      </c>
    </row>
    <row r="20" spans="1:5" x14ac:dyDescent="0.25">
      <c r="A20">
        <v>3</v>
      </c>
      <c r="B20">
        <v>3</v>
      </c>
    </row>
    <row r="21" spans="1:5" x14ac:dyDescent="0.25">
      <c r="A21">
        <v>2</v>
      </c>
      <c r="B21">
        <v>3</v>
      </c>
    </row>
    <row r="22" spans="1:5" x14ac:dyDescent="0.25">
      <c r="A22">
        <v>3</v>
      </c>
      <c r="B22">
        <v>4</v>
      </c>
    </row>
    <row r="23" spans="1:5" x14ac:dyDescent="0.25">
      <c r="A23">
        <v>2</v>
      </c>
      <c r="B23">
        <v>2</v>
      </c>
    </row>
    <row r="24" spans="1:5" x14ac:dyDescent="0.25">
      <c r="A24">
        <v>4</v>
      </c>
      <c r="B24">
        <v>2</v>
      </c>
    </row>
    <row r="25" spans="1:5" x14ac:dyDescent="0.25">
      <c r="A25">
        <v>1</v>
      </c>
      <c r="B25">
        <v>3</v>
      </c>
    </row>
    <row r="26" spans="1:5" x14ac:dyDescent="0.25">
      <c r="A26">
        <v>3</v>
      </c>
      <c r="B26">
        <v>2</v>
      </c>
    </row>
    <row r="27" spans="1:5" x14ac:dyDescent="0.25">
      <c r="A27">
        <v>3</v>
      </c>
      <c r="B27">
        <v>1</v>
      </c>
    </row>
    <row r="28" spans="1:5" x14ac:dyDescent="0.25">
      <c r="A28">
        <v>5</v>
      </c>
      <c r="B28">
        <v>3</v>
      </c>
    </row>
    <row r="29" spans="1:5" x14ac:dyDescent="0.25">
      <c r="A29">
        <v>4</v>
      </c>
      <c r="B29">
        <v>2</v>
      </c>
      <c r="D29" t="s">
        <v>11</v>
      </c>
      <c r="E29">
        <f>(E2-E8)/SQRT(((E5^2)/E6)+((E11^2)/E12))</f>
        <v>-0.68350674260132038</v>
      </c>
    </row>
    <row r="30" spans="1:5" x14ac:dyDescent="0.25">
      <c r="A30">
        <v>5</v>
      </c>
      <c r="B30">
        <v>5</v>
      </c>
    </row>
    <row r="31" spans="1:5" x14ac:dyDescent="0.25">
      <c r="A31">
        <v>3</v>
      </c>
      <c r="B31">
        <v>3</v>
      </c>
      <c r="D31" s="2" t="s">
        <v>7</v>
      </c>
      <c r="E31" s="2"/>
    </row>
    <row r="32" spans="1:5" x14ac:dyDescent="0.25">
      <c r="A32">
        <v>1</v>
      </c>
      <c r="B32">
        <v>5</v>
      </c>
    </row>
    <row r="33" spans="1:6" x14ac:dyDescent="0.25">
      <c r="A33">
        <v>2</v>
      </c>
      <c r="B33">
        <v>5</v>
      </c>
    </row>
    <row r="34" spans="1:6" x14ac:dyDescent="0.25">
      <c r="A34">
        <v>3</v>
      </c>
      <c r="B34">
        <v>2</v>
      </c>
    </row>
    <row r="35" spans="1:6" x14ac:dyDescent="0.25">
      <c r="A35">
        <v>4</v>
      </c>
      <c r="B35">
        <v>5</v>
      </c>
    </row>
    <row r="36" spans="1:6" x14ac:dyDescent="0.25">
      <c r="A36">
        <v>5</v>
      </c>
      <c r="B36">
        <v>2</v>
      </c>
    </row>
    <row r="37" spans="1:6" x14ac:dyDescent="0.25">
      <c r="A37">
        <v>4</v>
      </c>
      <c r="B37">
        <v>4</v>
      </c>
    </row>
    <row r="38" spans="1:6" x14ac:dyDescent="0.25">
      <c r="A38">
        <v>3</v>
      </c>
      <c r="B38">
        <v>2</v>
      </c>
    </row>
    <row r="39" spans="1:6" x14ac:dyDescent="0.25">
      <c r="A39">
        <v>3</v>
      </c>
      <c r="B39">
        <v>3</v>
      </c>
    </row>
    <row r="40" spans="1:6" x14ac:dyDescent="0.25">
      <c r="A40">
        <v>3</v>
      </c>
      <c r="B40">
        <v>3</v>
      </c>
    </row>
    <row r="41" spans="1:6" ht="29.25" customHeight="1" x14ac:dyDescent="0.25">
      <c r="A41">
        <v>4</v>
      </c>
      <c r="B41">
        <v>3</v>
      </c>
      <c r="D41" t="s">
        <v>8</v>
      </c>
      <c r="E41">
        <f>(((E5^2)/E6)+((E11^2)/E12))^2</f>
        <v>7.5772670061558499E-4</v>
      </c>
    </row>
    <row r="42" spans="1:6" ht="47.25" customHeight="1" x14ac:dyDescent="0.25">
      <c r="A42">
        <v>3</v>
      </c>
      <c r="B42">
        <v>2</v>
      </c>
      <c r="D42" t="s">
        <v>9</v>
      </c>
      <c r="E42">
        <f>(((E5^2)/E6)^2)/(E6-1)</f>
        <v>1.8025132253544768E-6</v>
      </c>
    </row>
    <row r="43" spans="1:6" ht="43.5" customHeight="1" x14ac:dyDescent="0.25">
      <c r="A43">
        <v>4</v>
      </c>
      <c r="B43">
        <v>4</v>
      </c>
      <c r="D43" t="s">
        <v>10</v>
      </c>
      <c r="E43">
        <f>(((E11^2)/E12)^2)/(E12-1)</f>
        <v>2.1517042288623665E-6</v>
      </c>
    </row>
    <row r="44" spans="1:6" x14ac:dyDescent="0.25">
      <c r="A44">
        <v>4</v>
      </c>
      <c r="B44">
        <v>2</v>
      </c>
    </row>
    <row r="45" spans="1:6" x14ac:dyDescent="0.25">
      <c r="A45">
        <v>1</v>
      </c>
      <c r="B45">
        <v>4</v>
      </c>
      <c r="D45" t="s">
        <v>7</v>
      </c>
      <c r="E45">
        <f>E41/(E42+E43)</f>
        <v>191.62494460377556</v>
      </c>
      <c r="F45" s="6" t="s">
        <v>12</v>
      </c>
    </row>
    <row r="46" spans="1:6" x14ac:dyDescent="0.25">
      <c r="A46">
        <v>2</v>
      </c>
      <c r="B46">
        <v>2</v>
      </c>
    </row>
    <row r="47" spans="1:6" x14ac:dyDescent="0.25">
      <c r="A47">
        <v>4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5</v>
      </c>
    </row>
    <row r="49" spans="1:5" x14ac:dyDescent="0.25">
      <c r="A49">
        <v>3</v>
      </c>
      <c r="B49">
        <v>4</v>
      </c>
    </row>
    <row r="50" spans="1:5" x14ac:dyDescent="0.25">
      <c r="A50">
        <v>4</v>
      </c>
      <c r="B50">
        <v>3</v>
      </c>
    </row>
    <row r="51" spans="1:5" x14ac:dyDescent="0.25">
      <c r="A51">
        <v>1</v>
      </c>
      <c r="B51">
        <v>2</v>
      </c>
      <c r="D51" s="2"/>
      <c r="E51" s="2"/>
    </row>
    <row r="52" spans="1:5" x14ac:dyDescent="0.25">
      <c r="A52">
        <v>1</v>
      </c>
      <c r="B52">
        <v>5</v>
      </c>
      <c r="D52" t="s">
        <v>16</v>
      </c>
      <c r="E52">
        <f>_xlfn.T.INV.2T(E47,E45)</f>
        <v>1.9724619897672133</v>
      </c>
    </row>
    <row r="53" spans="1:5" x14ac:dyDescent="0.25">
      <c r="A53">
        <v>3</v>
      </c>
      <c r="B53">
        <v>4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1</v>
      </c>
    </row>
    <row r="55" spans="1:5" x14ac:dyDescent="0.25">
      <c r="A55">
        <v>2</v>
      </c>
      <c r="B55">
        <v>4</v>
      </c>
      <c r="D55" t="s">
        <v>18</v>
      </c>
      <c r="E55">
        <f>TTEST(A:A,B:B,2,2)</f>
        <v>0.4951107071017552</v>
      </c>
    </row>
    <row r="56" spans="1:5" x14ac:dyDescent="0.25">
      <c r="A56">
        <v>3</v>
      </c>
      <c r="B56">
        <v>1</v>
      </c>
      <c r="D56" t="s">
        <v>19</v>
      </c>
      <c r="E56">
        <f>TTEST(A:A,B:B,1,2)</f>
        <v>0.2475553535508776</v>
      </c>
    </row>
    <row r="57" spans="1:5" x14ac:dyDescent="0.25">
      <c r="A57">
        <v>2</v>
      </c>
      <c r="B57">
        <v>1</v>
      </c>
    </row>
    <row r="58" spans="1:5" x14ac:dyDescent="0.25">
      <c r="A58">
        <v>3</v>
      </c>
      <c r="B58">
        <v>4</v>
      </c>
    </row>
    <row r="59" spans="1:5" x14ac:dyDescent="0.25">
      <c r="A59">
        <v>1</v>
      </c>
      <c r="B59">
        <v>1</v>
      </c>
      <c r="D59" s="2" t="s">
        <v>20</v>
      </c>
      <c r="E59" s="2"/>
    </row>
    <row r="60" spans="1:5" x14ac:dyDescent="0.25">
      <c r="A60">
        <v>3</v>
      </c>
      <c r="B60">
        <v>3</v>
      </c>
    </row>
    <row r="61" spans="1:5" x14ac:dyDescent="0.25">
      <c r="A61">
        <v>4</v>
      </c>
      <c r="B61">
        <v>1</v>
      </c>
      <c r="D61" t="s">
        <v>21</v>
      </c>
    </row>
    <row r="62" spans="1:5" x14ac:dyDescent="0.25">
      <c r="A62">
        <v>4</v>
      </c>
      <c r="B62">
        <v>3</v>
      </c>
      <c r="D62" t="s">
        <v>22</v>
      </c>
    </row>
    <row r="63" spans="1:5" x14ac:dyDescent="0.25">
      <c r="A63">
        <v>5</v>
      </c>
      <c r="B63">
        <v>3</v>
      </c>
    </row>
    <row r="64" spans="1:5" x14ac:dyDescent="0.25">
      <c r="A64">
        <v>3</v>
      </c>
      <c r="B64">
        <v>5</v>
      </c>
    </row>
    <row r="65" spans="1:4" x14ac:dyDescent="0.25">
      <c r="A65">
        <v>3</v>
      </c>
      <c r="B65">
        <v>3</v>
      </c>
    </row>
    <row r="66" spans="1:4" x14ac:dyDescent="0.25">
      <c r="A66">
        <v>3</v>
      </c>
      <c r="B66">
        <v>3</v>
      </c>
      <c r="D66" t="s">
        <v>23</v>
      </c>
    </row>
    <row r="67" spans="1:4" x14ac:dyDescent="0.25">
      <c r="A67">
        <v>2</v>
      </c>
      <c r="B67">
        <v>2</v>
      </c>
      <c r="D67" t="str">
        <f>"Dos Colas: Si t calculado ("&amp;E29&amp;") &gt; a t critico  ("&amp;E52&amp;") (de tabla) ---&gt; Se rechaza la hipotesis nula"</f>
        <v>Dos Colas: Si t calculado (-0.68350674260132) &gt; a t critico  (1.97246198976721) (de tabla) ---&gt; Se rechaza la hipotesis nula</v>
      </c>
    </row>
    <row r="68" spans="1:4" x14ac:dyDescent="0.25">
      <c r="A68">
        <v>3</v>
      </c>
      <c r="B68">
        <v>3</v>
      </c>
      <c r="D68" t="str">
        <f>"Una Cola: Si t calculado ("&amp;E29&amp;") &gt; a t critico  ("&amp;E53&amp;") (de tabla) ---&gt; Se rechaza la hipotesis nula"</f>
        <v>Una Cola: Si t calculado (-0.68350674260132) &gt; a t critico  (-1.65287054723039) (de tabla) ---&gt; Se rechaza la hipotesis nula</v>
      </c>
    </row>
    <row r="69" spans="1:4" x14ac:dyDescent="0.25">
      <c r="A69">
        <v>3</v>
      </c>
      <c r="B69">
        <v>2</v>
      </c>
    </row>
    <row r="70" spans="1:4" x14ac:dyDescent="0.25">
      <c r="A70">
        <v>2</v>
      </c>
      <c r="B70">
        <v>4</v>
      </c>
    </row>
    <row r="71" spans="1:4" x14ac:dyDescent="0.25">
      <c r="A71">
        <v>2</v>
      </c>
      <c r="B71">
        <v>3</v>
      </c>
    </row>
    <row r="72" spans="1:4" x14ac:dyDescent="0.25">
      <c r="A72">
        <v>5</v>
      </c>
      <c r="B72">
        <v>5</v>
      </c>
      <c r="D72" t="s">
        <v>26</v>
      </c>
    </row>
    <row r="73" spans="1:4" x14ac:dyDescent="0.25">
      <c r="A73">
        <v>5</v>
      </c>
      <c r="B73">
        <v>5</v>
      </c>
      <c r="D73" t="str">
        <f>"Dos Colas: Si p valor ("&amp;E55&amp;") &lt; Nivel Significancia (0.05) ---&gt; Se rechaza la hipotesis nula"</f>
        <v>Dos Colas: Si p valor (0.495110707101755) &lt; Nivel Significancia (0.05) ---&gt; Se rechaza la hipotesis nula</v>
      </c>
    </row>
    <row r="74" spans="1:4" x14ac:dyDescent="0.25">
      <c r="A74">
        <v>1</v>
      </c>
      <c r="B74">
        <v>3</v>
      </c>
      <c r="D74" t="str">
        <f>"Una Cola: Si p valor ("&amp;E56&amp;") &lt; Nivel Significancia (0.05) ---&gt; Se rechaza la hipotesis nula"</f>
        <v>Una Cola: Si p valor (0.247555353550878)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1</v>
      </c>
      <c r="B76">
        <v>2</v>
      </c>
    </row>
    <row r="77" spans="1:4" x14ac:dyDescent="0.25">
      <c r="A77">
        <v>3</v>
      </c>
      <c r="B77">
        <v>3</v>
      </c>
    </row>
    <row r="78" spans="1:4" x14ac:dyDescent="0.25">
      <c r="A78">
        <v>3</v>
      </c>
      <c r="B78">
        <v>2</v>
      </c>
    </row>
    <row r="79" spans="1:4" x14ac:dyDescent="0.25">
      <c r="A79">
        <v>3</v>
      </c>
      <c r="B79">
        <v>4</v>
      </c>
    </row>
    <row r="80" spans="1:4" x14ac:dyDescent="0.25">
      <c r="A80">
        <v>5</v>
      </c>
      <c r="B80">
        <v>2</v>
      </c>
    </row>
    <row r="81" spans="1:2" x14ac:dyDescent="0.25">
      <c r="A81">
        <v>2</v>
      </c>
      <c r="B81">
        <v>4</v>
      </c>
    </row>
    <row r="82" spans="1:2" x14ac:dyDescent="0.25">
      <c r="A82">
        <v>3</v>
      </c>
      <c r="B82">
        <v>3</v>
      </c>
    </row>
    <row r="83" spans="1:2" x14ac:dyDescent="0.25">
      <c r="A83">
        <v>4</v>
      </c>
      <c r="B83">
        <v>3</v>
      </c>
    </row>
    <row r="84" spans="1:2" x14ac:dyDescent="0.25">
      <c r="A84">
        <v>3</v>
      </c>
      <c r="B84">
        <v>4</v>
      </c>
    </row>
    <row r="85" spans="1:2" x14ac:dyDescent="0.25">
      <c r="A85">
        <v>3</v>
      </c>
      <c r="B85">
        <v>3</v>
      </c>
    </row>
    <row r="86" spans="1:2" x14ac:dyDescent="0.25">
      <c r="A86">
        <v>3</v>
      </c>
      <c r="B86">
        <v>5</v>
      </c>
    </row>
    <row r="87" spans="1:2" x14ac:dyDescent="0.25">
      <c r="A87">
        <v>3</v>
      </c>
      <c r="B87">
        <v>2</v>
      </c>
    </row>
    <row r="88" spans="1:2" x14ac:dyDescent="0.25">
      <c r="A88">
        <v>3</v>
      </c>
      <c r="B88">
        <v>1</v>
      </c>
    </row>
    <row r="89" spans="1:2" x14ac:dyDescent="0.25">
      <c r="A89">
        <v>4</v>
      </c>
      <c r="B89">
        <v>3</v>
      </c>
    </row>
    <row r="90" spans="1:2" x14ac:dyDescent="0.25">
      <c r="A90">
        <v>1</v>
      </c>
      <c r="B90">
        <v>4</v>
      </c>
    </row>
    <row r="91" spans="1:2" x14ac:dyDescent="0.25">
      <c r="A91">
        <v>1</v>
      </c>
      <c r="B91">
        <v>5</v>
      </c>
    </row>
    <row r="92" spans="1:2" x14ac:dyDescent="0.25">
      <c r="A92">
        <v>3</v>
      </c>
      <c r="B92">
        <v>3</v>
      </c>
    </row>
    <row r="93" spans="1:2" x14ac:dyDescent="0.25">
      <c r="A93">
        <v>1</v>
      </c>
      <c r="B93">
        <v>3</v>
      </c>
    </row>
    <row r="94" spans="1:2" x14ac:dyDescent="0.25">
      <c r="A94">
        <v>1</v>
      </c>
      <c r="B94">
        <v>3</v>
      </c>
    </row>
    <row r="95" spans="1:2" x14ac:dyDescent="0.25">
      <c r="A95">
        <v>4</v>
      </c>
      <c r="B95">
        <v>2</v>
      </c>
    </row>
    <row r="96" spans="1:2" x14ac:dyDescent="0.25">
      <c r="A96">
        <v>3</v>
      </c>
      <c r="B96">
        <v>5</v>
      </c>
    </row>
    <row r="97" spans="1:2" x14ac:dyDescent="0.25">
      <c r="A97">
        <v>2</v>
      </c>
      <c r="B97">
        <v>2</v>
      </c>
    </row>
    <row r="98" spans="1:2" x14ac:dyDescent="0.25">
      <c r="A98">
        <v>3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C1" sqref="C1"/>
    </sheetView>
  </sheetViews>
  <sheetFormatPr baseColWidth="10" defaultColWidth="9.140625" defaultRowHeight="15" x14ac:dyDescent="0.25"/>
  <cols>
    <col min="1" max="1" width="29.5703125" customWidth="1"/>
    <col min="2" max="2" width="29.7109375" style="7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48</v>
      </c>
      <c r="B1" s="8" t="s">
        <v>49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3.2886597938144329</v>
      </c>
    </row>
    <row r="3" spans="1:5" x14ac:dyDescent="0.25">
      <c r="A3">
        <v>3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5</v>
      </c>
      <c r="B4">
        <v>5</v>
      </c>
      <c r="D4" s="1" t="s">
        <v>1</v>
      </c>
      <c r="E4">
        <f>MODE(A:A)</f>
        <v>3</v>
      </c>
    </row>
    <row r="5" spans="1:5" x14ac:dyDescent="0.25">
      <c r="A5">
        <v>4</v>
      </c>
      <c r="B5">
        <v>3</v>
      </c>
      <c r="D5" s="1" t="s">
        <v>15</v>
      </c>
      <c r="E5">
        <f>STDEV(A:A)</f>
        <v>1.2072589725506799</v>
      </c>
    </row>
    <row r="6" spans="1:5" x14ac:dyDescent="0.25">
      <c r="A6">
        <v>4</v>
      </c>
      <c r="B6">
        <v>2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4</v>
      </c>
    </row>
    <row r="8" spans="1:5" x14ac:dyDescent="0.25">
      <c r="A8">
        <v>3</v>
      </c>
      <c r="B8">
        <v>5</v>
      </c>
      <c r="D8" s="3" t="s">
        <v>25</v>
      </c>
      <c r="E8">
        <f>AVERAGE(B:B)</f>
        <v>3.1752577319587627</v>
      </c>
    </row>
    <row r="9" spans="1:5" x14ac:dyDescent="0.25">
      <c r="A9">
        <v>5</v>
      </c>
      <c r="B9">
        <v>3</v>
      </c>
      <c r="D9" s="3" t="s">
        <v>2</v>
      </c>
      <c r="E9">
        <f>MEDIAN(B:B)</f>
        <v>3</v>
      </c>
    </row>
    <row r="10" spans="1:5" x14ac:dyDescent="0.25">
      <c r="A10">
        <v>2</v>
      </c>
      <c r="B10">
        <v>3</v>
      </c>
      <c r="D10" s="3" t="s">
        <v>3</v>
      </c>
      <c r="E10">
        <f>MODE(B:B)</f>
        <v>3</v>
      </c>
    </row>
    <row r="11" spans="1:5" x14ac:dyDescent="0.25">
      <c r="A11">
        <v>4</v>
      </c>
      <c r="B11">
        <v>4</v>
      </c>
      <c r="D11" s="3" t="s">
        <v>14</v>
      </c>
      <c r="E11">
        <f>STDEV(B:B)</f>
        <v>1.0705363655502955</v>
      </c>
    </row>
    <row r="12" spans="1:5" x14ac:dyDescent="0.25">
      <c r="A12">
        <v>1</v>
      </c>
      <c r="B12">
        <v>4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2</v>
      </c>
    </row>
    <row r="14" spans="1:5" x14ac:dyDescent="0.25">
      <c r="A14">
        <v>4</v>
      </c>
      <c r="B14">
        <v>2</v>
      </c>
    </row>
    <row r="15" spans="1:5" x14ac:dyDescent="0.25">
      <c r="A15">
        <v>5</v>
      </c>
      <c r="B15">
        <v>4</v>
      </c>
    </row>
    <row r="16" spans="1:5" x14ac:dyDescent="0.25">
      <c r="A16">
        <v>3</v>
      </c>
      <c r="B16">
        <v>3</v>
      </c>
    </row>
    <row r="17" spans="1:5" x14ac:dyDescent="0.25">
      <c r="A17">
        <v>2</v>
      </c>
      <c r="B17">
        <v>3</v>
      </c>
      <c r="D17" s="2" t="s">
        <v>6</v>
      </c>
      <c r="E17" s="2"/>
    </row>
    <row r="18" spans="1:5" x14ac:dyDescent="0.25">
      <c r="A18">
        <v>3</v>
      </c>
      <c r="B18">
        <v>3</v>
      </c>
    </row>
    <row r="19" spans="1:5" x14ac:dyDescent="0.25">
      <c r="A19">
        <v>5</v>
      </c>
      <c r="B19">
        <v>5</v>
      </c>
    </row>
    <row r="20" spans="1:5" x14ac:dyDescent="0.25">
      <c r="A20">
        <v>4</v>
      </c>
      <c r="B20">
        <v>4</v>
      </c>
    </row>
    <row r="21" spans="1:5" x14ac:dyDescent="0.25">
      <c r="A21">
        <v>5</v>
      </c>
      <c r="B21">
        <v>4</v>
      </c>
    </row>
    <row r="22" spans="1:5" x14ac:dyDescent="0.25">
      <c r="A22">
        <v>3</v>
      </c>
      <c r="B22">
        <v>2</v>
      </c>
    </row>
    <row r="23" spans="1:5" x14ac:dyDescent="0.25">
      <c r="A23">
        <v>2</v>
      </c>
      <c r="B23">
        <v>4</v>
      </c>
    </row>
    <row r="24" spans="1:5" x14ac:dyDescent="0.25">
      <c r="A24">
        <v>2</v>
      </c>
      <c r="B24">
        <v>4</v>
      </c>
    </row>
    <row r="25" spans="1:5" x14ac:dyDescent="0.25">
      <c r="A25">
        <v>2</v>
      </c>
      <c r="B25">
        <v>3</v>
      </c>
    </row>
    <row r="26" spans="1:5" x14ac:dyDescent="0.25">
      <c r="A26">
        <v>2</v>
      </c>
      <c r="B26">
        <v>3</v>
      </c>
    </row>
    <row r="27" spans="1:5" x14ac:dyDescent="0.25">
      <c r="A27">
        <v>4</v>
      </c>
      <c r="B27">
        <v>2</v>
      </c>
    </row>
    <row r="28" spans="1:5" x14ac:dyDescent="0.25">
      <c r="A28">
        <v>3</v>
      </c>
      <c r="B28">
        <v>4</v>
      </c>
    </row>
    <row r="29" spans="1:5" x14ac:dyDescent="0.25">
      <c r="A29">
        <v>1</v>
      </c>
      <c r="B29">
        <v>4</v>
      </c>
      <c r="D29" t="s">
        <v>11</v>
      </c>
      <c r="E29">
        <f>(E2-E8)/SQRT(((E5^2)/E6)+((E11^2)/E12))</f>
        <v>0.69219134393917392</v>
      </c>
    </row>
    <row r="30" spans="1:5" x14ac:dyDescent="0.25">
      <c r="A30">
        <v>4</v>
      </c>
      <c r="B30">
        <v>3</v>
      </c>
    </row>
    <row r="31" spans="1:5" x14ac:dyDescent="0.25">
      <c r="A31">
        <v>4</v>
      </c>
      <c r="B31">
        <v>5</v>
      </c>
      <c r="D31" s="2" t="s">
        <v>7</v>
      </c>
      <c r="E31" s="2"/>
    </row>
    <row r="32" spans="1:5" x14ac:dyDescent="0.25">
      <c r="A32">
        <v>5</v>
      </c>
      <c r="B32">
        <v>4</v>
      </c>
    </row>
    <row r="33" spans="1:6" x14ac:dyDescent="0.25">
      <c r="A33">
        <v>4</v>
      </c>
      <c r="B33">
        <v>2</v>
      </c>
    </row>
    <row r="34" spans="1:6" x14ac:dyDescent="0.25">
      <c r="A34">
        <v>2</v>
      </c>
      <c r="B34">
        <v>4</v>
      </c>
    </row>
    <row r="35" spans="1:6" x14ac:dyDescent="0.25">
      <c r="A35">
        <v>2</v>
      </c>
      <c r="B35">
        <v>3</v>
      </c>
    </row>
    <row r="36" spans="1:6" x14ac:dyDescent="0.25">
      <c r="A36">
        <v>3</v>
      </c>
      <c r="B36">
        <v>1</v>
      </c>
    </row>
    <row r="37" spans="1:6" x14ac:dyDescent="0.25">
      <c r="A37">
        <v>2</v>
      </c>
      <c r="B37">
        <v>3</v>
      </c>
    </row>
    <row r="38" spans="1:6" x14ac:dyDescent="0.25">
      <c r="A38">
        <v>4</v>
      </c>
      <c r="B38">
        <v>1</v>
      </c>
    </row>
    <row r="39" spans="1:6" x14ac:dyDescent="0.25">
      <c r="A39">
        <v>5</v>
      </c>
      <c r="B39">
        <v>3</v>
      </c>
    </row>
    <row r="40" spans="1:6" x14ac:dyDescent="0.25">
      <c r="A40">
        <v>5</v>
      </c>
      <c r="B40">
        <v>2</v>
      </c>
    </row>
    <row r="41" spans="1:6" ht="29.25" customHeight="1" x14ac:dyDescent="0.25">
      <c r="A41">
        <v>3</v>
      </c>
      <c r="B41">
        <v>3</v>
      </c>
      <c r="D41" t="s">
        <v>8</v>
      </c>
      <c r="E41">
        <f>(((E5^2)/E6)+((E11^2)/E12))^2</f>
        <v>7.2040902944617573E-4</v>
      </c>
    </row>
    <row r="42" spans="1:6" ht="47.25" customHeight="1" x14ac:dyDescent="0.25">
      <c r="A42">
        <v>3</v>
      </c>
      <c r="B42">
        <v>4</v>
      </c>
      <c r="D42" t="s">
        <v>9</v>
      </c>
      <c r="E42">
        <f>(((E5^2)/E6)^2)/(E6-1)</f>
        <v>2.3517278689267783E-6</v>
      </c>
    </row>
    <row r="43" spans="1:6" ht="43.5" customHeight="1" x14ac:dyDescent="0.25">
      <c r="A43">
        <v>3</v>
      </c>
      <c r="B43">
        <v>3</v>
      </c>
      <c r="D43" t="s">
        <v>10</v>
      </c>
      <c r="E43">
        <f>(((E11^2)/E12)^2)/(E12-1)</f>
        <v>1.4540890264150972E-6</v>
      </c>
    </row>
    <row r="44" spans="1:6" x14ac:dyDescent="0.25">
      <c r="A44">
        <v>3</v>
      </c>
      <c r="B44">
        <v>5</v>
      </c>
    </row>
    <row r="45" spans="1:6" x14ac:dyDescent="0.25">
      <c r="A45">
        <v>4</v>
      </c>
      <c r="B45">
        <v>2</v>
      </c>
      <c r="D45" t="s">
        <v>7</v>
      </c>
      <c r="E45">
        <f>E41/(E42+E43)</f>
        <v>189.29156321942853</v>
      </c>
      <c r="F45" s="6" t="s">
        <v>12</v>
      </c>
    </row>
    <row r="46" spans="1:6" x14ac:dyDescent="0.25">
      <c r="A46">
        <v>3</v>
      </c>
      <c r="B46">
        <v>4</v>
      </c>
    </row>
    <row r="47" spans="1:6" x14ac:dyDescent="0.25">
      <c r="A47">
        <v>3</v>
      </c>
      <c r="B47">
        <v>3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2</v>
      </c>
    </row>
    <row r="49" spans="1:5" x14ac:dyDescent="0.25">
      <c r="A49">
        <v>2</v>
      </c>
      <c r="B49">
        <v>3</v>
      </c>
    </row>
    <row r="50" spans="1:5" x14ac:dyDescent="0.25">
      <c r="A50">
        <v>5</v>
      </c>
      <c r="B50">
        <v>2</v>
      </c>
    </row>
    <row r="51" spans="1:5" x14ac:dyDescent="0.25">
      <c r="A51">
        <v>3</v>
      </c>
      <c r="B51">
        <v>3</v>
      </c>
      <c r="D51" s="2"/>
      <c r="E51" s="2"/>
    </row>
    <row r="52" spans="1:5" x14ac:dyDescent="0.25">
      <c r="A52">
        <v>3</v>
      </c>
      <c r="B52">
        <v>5</v>
      </c>
      <c r="D52" t="s">
        <v>16</v>
      </c>
      <c r="E52">
        <f>_xlfn.T.INV.2T(E47,E45)</f>
        <v>1.9725950790996611</v>
      </c>
    </row>
    <row r="53" spans="1:5" x14ac:dyDescent="0.25">
      <c r="A53">
        <v>3</v>
      </c>
      <c r="B53">
        <v>2</v>
      </c>
      <c r="D53" t="s">
        <v>17</v>
      </c>
      <c r="E53">
        <f>_xlfn.T.INV(E47, E45)</f>
        <v>-1.6529558017258421</v>
      </c>
    </row>
    <row r="54" spans="1:5" x14ac:dyDescent="0.25">
      <c r="A54">
        <v>3</v>
      </c>
      <c r="B54">
        <v>3</v>
      </c>
    </row>
    <row r="55" spans="1:5" x14ac:dyDescent="0.25">
      <c r="A55">
        <v>5</v>
      </c>
      <c r="B55">
        <v>4</v>
      </c>
      <c r="D55" t="s">
        <v>18</v>
      </c>
      <c r="E55">
        <f>TTEST(A:A,B:B,2,2)</f>
        <v>0.48965343709513498</v>
      </c>
    </row>
    <row r="56" spans="1:5" x14ac:dyDescent="0.25">
      <c r="A56">
        <v>5</v>
      </c>
      <c r="B56">
        <v>2</v>
      </c>
      <c r="D56" t="s">
        <v>19</v>
      </c>
      <c r="E56">
        <f>TTEST(A:A,B:B,1,2)</f>
        <v>0.24482671854756749</v>
      </c>
    </row>
    <row r="57" spans="1:5" x14ac:dyDescent="0.25">
      <c r="A57">
        <v>2</v>
      </c>
      <c r="B57">
        <v>3</v>
      </c>
    </row>
    <row r="58" spans="1:5" x14ac:dyDescent="0.25">
      <c r="A58">
        <v>1</v>
      </c>
      <c r="B58">
        <v>4</v>
      </c>
    </row>
    <row r="59" spans="1:5" x14ac:dyDescent="0.25">
      <c r="A59">
        <v>1</v>
      </c>
      <c r="B59">
        <v>5</v>
      </c>
      <c r="D59" s="2" t="s">
        <v>20</v>
      </c>
      <c r="E59" s="2"/>
    </row>
    <row r="60" spans="1:5" x14ac:dyDescent="0.25">
      <c r="A60">
        <v>4</v>
      </c>
      <c r="B60">
        <v>2</v>
      </c>
    </row>
    <row r="61" spans="1:5" x14ac:dyDescent="0.25">
      <c r="A61">
        <v>5</v>
      </c>
      <c r="B61">
        <v>2</v>
      </c>
      <c r="D61" t="s">
        <v>21</v>
      </c>
    </row>
    <row r="62" spans="1:5" x14ac:dyDescent="0.25">
      <c r="A62">
        <v>3</v>
      </c>
      <c r="B62">
        <v>3</v>
      </c>
      <c r="D62" t="s">
        <v>22</v>
      </c>
    </row>
    <row r="63" spans="1:5" x14ac:dyDescent="0.25">
      <c r="A63">
        <v>4</v>
      </c>
      <c r="B63">
        <v>3</v>
      </c>
    </row>
    <row r="64" spans="1:5" x14ac:dyDescent="0.25">
      <c r="A64">
        <v>5</v>
      </c>
      <c r="B64">
        <v>2</v>
      </c>
    </row>
    <row r="65" spans="1:4" x14ac:dyDescent="0.25">
      <c r="A65">
        <v>4</v>
      </c>
      <c r="B65">
        <v>1</v>
      </c>
    </row>
    <row r="66" spans="1:4" x14ac:dyDescent="0.25">
      <c r="A66">
        <v>3</v>
      </c>
      <c r="B66">
        <v>3</v>
      </c>
      <c r="D66" t="s">
        <v>23</v>
      </c>
    </row>
    <row r="67" spans="1:4" x14ac:dyDescent="0.25">
      <c r="A67">
        <v>5</v>
      </c>
      <c r="B67">
        <v>4</v>
      </c>
      <c r="D67" t="str">
        <f>"Dos Colas: Si t calculado ("&amp;E29&amp;") &gt; a t critico  ("&amp;E52&amp;") (de tabla) ---&gt; Se rechaza la hipotesis nula"</f>
        <v>Dos Colas: Si t calculado (0.692191343939174) &gt; a t critico  (1.97259507909966) (de tabla) ---&gt; Se rechaza la hipotesis nula</v>
      </c>
    </row>
    <row r="68" spans="1:4" x14ac:dyDescent="0.25">
      <c r="A68">
        <v>5</v>
      </c>
      <c r="B68">
        <v>3</v>
      </c>
      <c r="D68" t="str">
        <f>"Una Cola: Si t calculado ("&amp;E29&amp;") &gt; a t critico  ("&amp;E53&amp;") (de tabla) ---&gt; Se rechaza la hipotesis nula"</f>
        <v>Una Cola: Si t calculado (0.692191343939174) &gt; a t critico  (-1.65295580172584) (de tabla) ---&gt; Se rechaza la hipotesis nula</v>
      </c>
    </row>
    <row r="69" spans="1:4" x14ac:dyDescent="0.25">
      <c r="A69">
        <v>3</v>
      </c>
      <c r="B69">
        <v>3</v>
      </c>
    </row>
    <row r="70" spans="1:4" x14ac:dyDescent="0.25">
      <c r="A70">
        <v>3</v>
      </c>
      <c r="B70">
        <v>3</v>
      </c>
    </row>
    <row r="71" spans="1:4" x14ac:dyDescent="0.25">
      <c r="A71">
        <v>3</v>
      </c>
      <c r="B71">
        <v>4</v>
      </c>
    </row>
    <row r="72" spans="1:4" x14ac:dyDescent="0.25">
      <c r="A72">
        <v>1</v>
      </c>
      <c r="B72">
        <v>2</v>
      </c>
      <c r="D72" t="s">
        <v>26</v>
      </c>
    </row>
    <row r="73" spans="1:4" x14ac:dyDescent="0.25">
      <c r="A73">
        <v>5</v>
      </c>
      <c r="B73">
        <v>1</v>
      </c>
      <c r="D73" t="str">
        <f>"Dos Colas: Si p valor ("&amp;E55&amp;") &lt; Nivel Significancia (0.05) ---&gt; Se rechaza la hipotesis nula"</f>
        <v>Dos Colas: Si p valor (0.489653437095135) &lt; Nivel Significancia (0.05) ---&gt; Se rechaza la hipotesis nula</v>
      </c>
    </row>
    <row r="74" spans="1:4" x14ac:dyDescent="0.25">
      <c r="A74">
        <v>1</v>
      </c>
      <c r="B74">
        <v>3</v>
      </c>
      <c r="D74" t="str">
        <f>"Una Cola: Si p valor ("&amp;E56&amp;") &lt; Nivel Significancia (0.05) ---&gt; Se rechaza la hipotesis nula"</f>
        <v>Una Cola: Si p valor (0.244826718547567)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4</v>
      </c>
      <c r="B76">
        <v>5</v>
      </c>
    </row>
    <row r="77" spans="1:4" x14ac:dyDescent="0.25">
      <c r="A77">
        <v>4</v>
      </c>
      <c r="B77">
        <v>3</v>
      </c>
    </row>
    <row r="78" spans="1:4" x14ac:dyDescent="0.25">
      <c r="A78">
        <v>2</v>
      </c>
      <c r="B78">
        <v>4</v>
      </c>
    </row>
    <row r="79" spans="1:4" x14ac:dyDescent="0.25">
      <c r="A79">
        <v>4</v>
      </c>
      <c r="B79">
        <v>3</v>
      </c>
    </row>
    <row r="80" spans="1:4" x14ac:dyDescent="0.25">
      <c r="A80">
        <v>3</v>
      </c>
      <c r="B80">
        <v>4</v>
      </c>
    </row>
    <row r="81" spans="1:2" x14ac:dyDescent="0.25">
      <c r="A81">
        <v>2</v>
      </c>
      <c r="B81">
        <v>5</v>
      </c>
    </row>
    <row r="82" spans="1:2" x14ac:dyDescent="0.25">
      <c r="A82">
        <v>1</v>
      </c>
      <c r="B82">
        <v>4</v>
      </c>
    </row>
    <row r="83" spans="1:2" x14ac:dyDescent="0.25">
      <c r="A83">
        <v>3</v>
      </c>
      <c r="B83">
        <v>3</v>
      </c>
    </row>
    <row r="84" spans="1:2" x14ac:dyDescent="0.25">
      <c r="A84">
        <v>4</v>
      </c>
      <c r="B84">
        <v>2</v>
      </c>
    </row>
    <row r="85" spans="1:2" x14ac:dyDescent="0.25">
      <c r="A85">
        <v>5</v>
      </c>
      <c r="B85">
        <v>1</v>
      </c>
    </row>
    <row r="86" spans="1:2" x14ac:dyDescent="0.25">
      <c r="A86">
        <v>3</v>
      </c>
      <c r="B86">
        <v>3</v>
      </c>
    </row>
    <row r="87" spans="1:2" x14ac:dyDescent="0.25">
      <c r="A87">
        <v>5</v>
      </c>
      <c r="B87">
        <v>2</v>
      </c>
    </row>
    <row r="88" spans="1:2" x14ac:dyDescent="0.25">
      <c r="A88">
        <v>3</v>
      </c>
      <c r="B88">
        <v>3</v>
      </c>
    </row>
    <row r="89" spans="1:2" x14ac:dyDescent="0.25">
      <c r="A89">
        <v>4</v>
      </c>
      <c r="B89">
        <v>3</v>
      </c>
    </row>
    <row r="90" spans="1:2" x14ac:dyDescent="0.25">
      <c r="A90">
        <v>2</v>
      </c>
      <c r="B90">
        <v>4</v>
      </c>
    </row>
    <row r="91" spans="1:2" x14ac:dyDescent="0.25">
      <c r="A91">
        <v>1</v>
      </c>
      <c r="B91">
        <v>3</v>
      </c>
    </row>
    <row r="92" spans="1:2" x14ac:dyDescent="0.25">
      <c r="A92">
        <v>2</v>
      </c>
      <c r="B92">
        <v>3</v>
      </c>
    </row>
    <row r="93" spans="1:2" x14ac:dyDescent="0.25">
      <c r="A93">
        <v>4</v>
      </c>
      <c r="B93">
        <v>5</v>
      </c>
    </row>
    <row r="94" spans="1:2" x14ac:dyDescent="0.25">
      <c r="A94">
        <v>4</v>
      </c>
      <c r="B94">
        <v>4</v>
      </c>
    </row>
    <row r="95" spans="1:2" x14ac:dyDescent="0.25">
      <c r="A95">
        <v>4</v>
      </c>
      <c r="B95">
        <v>5</v>
      </c>
    </row>
    <row r="96" spans="1:2" x14ac:dyDescent="0.25">
      <c r="A96">
        <v>4</v>
      </c>
      <c r="B96">
        <v>2</v>
      </c>
    </row>
    <row r="97" spans="1:2" x14ac:dyDescent="0.25">
      <c r="A97">
        <v>5</v>
      </c>
      <c r="B97">
        <v>2</v>
      </c>
    </row>
    <row r="98" spans="1:2" x14ac:dyDescent="0.25">
      <c r="A98">
        <v>3</v>
      </c>
      <c r="B98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45" zoomScaleNormal="145" workbookViewId="0">
      <selection activeCell="B4" sqref="B4"/>
    </sheetView>
  </sheetViews>
  <sheetFormatPr baseColWidth="10" defaultColWidth="9.140625" defaultRowHeight="15" x14ac:dyDescent="0.25"/>
  <cols>
    <col min="1" max="1" width="29.7109375" customWidth="1"/>
    <col min="2" max="2" width="35.28515625" customWidth="1"/>
    <col min="4" max="4" width="39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50</v>
      </c>
      <c r="B1" s="10" t="s">
        <v>51</v>
      </c>
    </row>
    <row r="2" spans="1:5" x14ac:dyDescent="0.25">
      <c r="A2">
        <v>4</v>
      </c>
      <c r="B2">
        <v>3</v>
      </c>
      <c r="D2" s="1" t="s">
        <v>24</v>
      </c>
      <c r="E2">
        <f>AVERAGE(A:A)</f>
        <v>3.1030927835051547</v>
      </c>
    </row>
    <row r="3" spans="1:5" x14ac:dyDescent="0.25">
      <c r="A3">
        <v>2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5</v>
      </c>
      <c r="B4">
        <v>3</v>
      </c>
      <c r="D4" s="1" t="s">
        <v>1</v>
      </c>
      <c r="E4">
        <f>MODE(A:A)</f>
        <v>3</v>
      </c>
    </row>
    <row r="5" spans="1:5" x14ac:dyDescent="0.25">
      <c r="A5">
        <v>3</v>
      </c>
      <c r="B5">
        <v>3</v>
      </c>
      <c r="D5" s="1" t="s">
        <v>15</v>
      </c>
      <c r="E5">
        <f>STDEV(A:A)</f>
        <v>0.97344465775832012</v>
      </c>
    </row>
    <row r="6" spans="1:5" x14ac:dyDescent="0.25">
      <c r="A6">
        <v>3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1</v>
      </c>
      <c r="B7">
        <v>3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3.0103092783505154</v>
      </c>
    </row>
    <row r="9" spans="1:5" x14ac:dyDescent="0.25">
      <c r="A9">
        <v>3</v>
      </c>
      <c r="B9">
        <v>4</v>
      </c>
      <c r="D9" s="3" t="s">
        <v>2</v>
      </c>
      <c r="E9">
        <f>MEDIAN(B:B)</f>
        <v>3</v>
      </c>
    </row>
    <row r="10" spans="1:5" x14ac:dyDescent="0.25">
      <c r="A10">
        <v>3</v>
      </c>
      <c r="B10">
        <v>1</v>
      </c>
      <c r="D10" s="3" t="s">
        <v>3</v>
      </c>
      <c r="E10">
        <f>MODE(B:B)</f>
        <v>3</v>
      </c>
    </row>
    <row r="11" spans="1:5" x14ac:dyDescent="0.25">
      <c r="A11">
        <v>4</v>
      </c>
      <c r="B11">
        <v>3</v>
      </c>
      <c r="D11" s="3" t="s">
        <v>14</v>
      </c>
      <c r="E11">
        <f>STDEV(B:B)</f>
        <v>1.185808842808928</v>
      </c>
    </row>
    <row r="12" spans="1:5" x14ac:dyDescent="0.25">
      <c r="A12">
        <v>4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4</v>
      </c>
      <c r="B13">
        <v>2</v>
      </c>
    </row>
    <row r="14" spans="1:5" x14ac:dyDescent="0.25">
      <c r="A14">
        <v>2</v>
      </c>
      <c r="B14">
        <v>4</v>
      </c>
    </row>
    <row r="15" spans="1:5" x14ac:dyDescent="0.25">
      <c r="A15">
        <v>3</v>
      </c>
      <c r="B15">
        <v>4</v>
      </c>
    </row>
    <row r="16" spans="1:5" x14ac:dyDescent="0.25">
      <c r="A16">
        <v>4</v>
      </c>
      <c r="B16">
        <v>2</v>
      </c>
    </row>
    <row r="17" spans="1:5" x14ac:dyDescent="0.25">
      <c r="A17">
        <v>3</v>
      </c>
      <c r="B17">
        <v>1</v>
      </c>
      <c r="D17" s="2" t="s">
        <v>6</v>
      </c>
      <c r="E17" s="2"/>
    </row>
    <row r="18" spans="1:5" x14ac:dyDescent="0.25">
      <c r="A18">
        <v>4</v>
      </c>
      <c r="B18">
        <v>3</v>
      </c>
    </row>
    <row r="19" spans="1:5" x14ac:dyDescent="0.25">
      <c r="A19">
        <v>2</v>
      </c>
      <c r="B19">
        <v>2</v>
      </c>
    </row>
    <row r="20" spans="1:5" x14ac:dyDescent="0.25">
      <c r="A20">
        <v>3</v>
      </c>
      <c r="B20">
        <v>2</v>
      </c>
    </row>
    <row r="21" spans="1:5" x14ac:dyDescent="0.25">
      <c r="A21">
        <v>5</v>
      </c>
      <c r="B21">
        <v>4</v>
      </c>
    </row>
    <row r="22" spans="1:5" x14ac:dyDescent="0.25">
      <c r="A22">
        <v>3</v>
      </c>
      <c r="B22">
        <v>3</v>
      </c>
    </row>
    <row r="23" spans="1:5" x14ac:dyDescent="0.25">
      <c r="A23">
        <v>5</v>
      </c>
      <c r="B23">
        <v>3</v>
      </c>
    </row>
    <row r="24" spans="1:5" x14ac:dyDescent="0.25">
      <c r="A24">
        <v>3</v>
      </c>
      <c r="B24">
        <v>3</v>
      </c>
    </row>
    <row r="25" spans="1:5" x14ac:dyDescent="0.25">
      <c r="A25">
        <v>4</v>
      </c>
      <c r="B25">
        <v>4</v>
      </c>
    </row>
    <row r="26" spans="1:5" x14ac:dyDescent="0.25">
      <c r="A26">
        <v>3</v>
      </c>
      <c r="B26">
        <v>2</v>
      </c>
    </row>
    <row r="27" spans="1:5" x14ac:dyDescent="0.25">
      <c r="A27">
        <v>3</v>
      </c>
      <c r="B27">
        <v>3</v>
      </c>
    </row>
    <row r="28" spans="1:5" x14ac:dyDescent="0.25">
      <c r="A28">
        <v>3</v>
      </c>
      <c r="B28">
        <v>5</v>
      </c>
    </row>
    <row r="29" spans="1:5" x14ac:dyDescent="0.25">
      <c r="A29">
        <v>3</v>
      </c>
      <c r="B29">
        <v>3</v>
      </c>
      <c r="D29" t="s">
        <v>11</v>
      </c>
      <c r="E29">
        <f>(E2-E8)/SQRT(((E5^2)/E6)+((E11^2)/E12))</f>
        <v>0.59563150999771963</v>
      </c>
    </row>
    <row r="30" spans="1:5" x14ac:dyDescent="0.25">
      <c r="A30">
        <v>3</v>
      </c>
      <c r="B30">
        <v>3</v>
      </c>
    </row>
    <row r="31" spans="1:5" x14ac:dyDescent="0.25">
      <c r="A31">
        <v>3</v>
      </c>
      <c r="B31">
        <v>3</v>
      </c>
      <c r="D31" s="2" t="s">
        <v>7</v>
      </c>
      <c r="E31" s="2"/>
    </row>
    <row r="32" spans="1:5" x14ac:dyDescent="0.25">
      <c r="A32">
        <v>3</v>
      </c>
      <c r="B32">
        <v>4</v>
      </c>
    </row>
    <row r="33" spans="1:6" x14ac:dyDescent="0.25">
      <c r="A33">
        <v>3</v>
      </c>
      <c r="B33">
        <v>3</v>
      </c>
    </row>
    <row r="34" spans="1:6" x14ac:dyDescent="0.25">
      <c r="A34">
        <v>5</v>
      </c>
      <c r="B34">
        <v>3</v>
      </c>
    </row>
    <row r="35" spans="1:6" x14ac:dyDescent="0.25">
      <c r="A35">
        <v>4</v>
      </c>
      <c r="B35">
        <v>1</v>
      </c>
    </row>
    <row r="36" spans="1:6" x14ac:dyDescent="0.25">
      <c r="A36">
        <v>3</v>
      </c>
      <c r="B36">
        <v>3</v>
      </c>
    </row>
    <row r="37" spans="1:6" x14ac:dyDescent="0.25">
      <c r="A37">
        <v>2</v>
      </c>
      <c r="B37">
        <v>2</v>
      </c>
    </row>
    <row r="38" spans="1:6" x14ac:dyDescent="0.25">
      <c r="A38">
        <v>5</v>
      </c>
      <c r="B38">
        <v>1</v>
      </c>
    </row>
    <row r="39" spans="1:6" x14ac:dyDescent="0.25">
      <c r="A39">
        <v>3</v>
      </c>
      <c r="B39">
        <v>1</v>
      </c>
    </row>
    <row r="40" spans="1:6" x14ac:dyDescent="0.25">
      <c r="A40">
        <v>4</v>
      </c>
      <c r="B40">
        <v>5</v>
      </c>
    </row>
    <row r="41" spans="1:6" ht="29.25" customHeight="1" x14ac:dyDescent="0.25">
      <c r="A41">
        <v>3</v>
      </c>
      <c r="B41">
        <v>4</v>
      </c>
      <c r="D41" t="s">
        <v>8</v>
      </c>
      <c r="E41">
        <f>(((E5^2)/E6)+((E11^2)/E12))^2</f>
        <v>5.8880629174261562E-4</v>
      </c>
    </row>
    <row r="42" spans="1:6" ht="47.25" customHeight="1" x14ac:dyDescent="0.25">
      <c r="A42">
        <v>5</v>
      </c>
      <c r="B42">
        <v>5</v>
      </c>
      <c r="D42" t="s">
        <v>9</v>
      </c>
      <c r="E42">
        <f>(((E5^2)/E6)^2)/(E6-1)</f>
        <v>9.941006612536185E-7</v>
      </c>
    </row>
    <row r="43" spans="1:6" ht="43.5" customHeight="1" x14ac:dyDescent="0.25">
      <c r="A43">
        <v>4</v>
      </c>
      <c r="B43">
        <v>3</v>
      </c>
      <c r="D43" t="s">
        <v>10</v>
      </c>
      <c r="E43">
        <f>(((E11^2)/E12)^2)/(E12-1)</f>
        <v>2.1889913075170442E-6</v>
      </c>
    </row>
    <row r="44" spans="1:6" x14ac:dyDescent="0.25">
      <c r="A44">
        <v>2</v>
      </c>
      <c r="B44">
        <v>1</v>
      </c>
    </row>
    <row r="45" spans="1:6" x14ac:dyDescent="0.25">
      <c r="A45">
        <v>4</v>
      </c>
      <c r="B45">
        <v>1</v>
      </c>
      <c r="D45" t="s">
        <v>7</v>
      </c>
      <c r="E45">
        <f>E41/(E42+E43)</f>
        <v>184.97935262926686</v>
      </c>
      <c r="F45" s="6" t="s">
        <v>12</v>
      </c>
    </row>
    <row r="46" spans="1:6" x14ac:dyDescent="0.25">
      <c r="A46">
        <v>3</v>
      </c>
      <c r="B46">
        <v>3</v>
      </c>
    </row>
    <row r="47" spans="1:6" x14ac:dyDescent="0.25">
      <c r="A47">
        <v>5</v>
      </c>
      <c r="B47">
        <v>3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4</v>
      </c>
    </row>
    <row r="49" spans="1:5" x14ac:dyDescent="0.25">
      <c r="A49">
        <v>3</v>
      </c>
      <c r="B49">
        <v>4</v>
      </c>
    </row>
    <row r="50" spans="1:5" x14ac:dyDescent="0.25">
      <c r="A50">
        <v>5</v>
      </c>
      <c r="B50">
        <v>2</v>
      </c>
    </row>
    <row r="51" spans="1:5" x14ac:dyDescent="0.25">
      <c r="A51">
        <v>1</v>
      </c>
      <c r="B51">
        <v>3</v>
      </c>
      <c r="D51" s="2"/>
      <c r="E51" s="2"/>
    </row>
    <row r="52" spans="1:5" x14ac:dyDescent="0.25">
      <c r="A52">
        <v>1</v>
      </c>
      <c r="B52">
        <v>3</v>
      </c>
      <c r="D52" t="s">
        <v>16</v>
      </c>
      <c r="E52">
        <f>_xlfn.T.INV.2T(E47,E45)</f>
        <v>1.9729405423893633</v>
      </c>
    </row>
    <row r="53" spans="1:5" x14ac:dyDescent="0.25">
      <c r="A53">
        <v>3</v>
      </c>
      <c r="B53">
        <v>1</v>
      </c>
      <c r="D53" t="s">
        <v>17</v>
      </c>
      <c r="E53">
        <f>_xlfn.T.INV(E47, E45)</f>
        <v>-1.6531770875310539</v>
      </c>
    </row>
    <row r="54" spans="1:5" x14ac:dyDescent="0.25">
      <c r="A54">
        <v>2</v>
      </c>
      <c r="B54">
        <v>2</v>
      </c>
    </row>
    <row r="55" spans="1:5" x14ac:dyDescent="0.25">
      <c r="A55">
        <v>3</v>
      </c>
      <c r="B55">
        <v>4</v>
      </c>
      <c r="D55" t="s">
        <v>18</v>
      </c>
      <c r="E55">
        <f>TTEST(A:A,B:B,2,2)</f>
        <v>0.55212287683517103</v>
      </c>
    </row>
    <row r="56" spans="1:5" x14ac:dyDescent="0.25">
      <c r="A56">
        <v>4</v>
      </c>
      <c r="B56">
        <v>3</v>
      </c>
      <c r="D56" t="s">
        <v>19</v>
      </c>
      <c r="E56">
        <f>TTEST(A:A,B:B,1,2)</f>
        <v>0.27606143841758551</v>
      </c>
    </row>
    <row r="57" spans="1:5" x14ac:dyDescent="0.25">
      <c r="A57">
        <v>3</v>
      </c>
      <c r="B57">
        <v>2</v>
      </c>
    </row>
    <row r="58" spans="1:5" x14ac:dyDescent="0.25">
      <c r="A58">
        <v>2</v>
      </c>
      <c r="B58">
        <v>1</v>
      </c>
    </row>
    <row r="59" spans="1:5" x14ac:dyDescent="0.25">
      <c r="A59">
        <v>3</v>
      </c>
      <c r="B59">
        <v>2</v>
      </c>
      <c r="D59" s="2" t="s">
        <v>20</v>
      </c>
      <c r="E59" s="2"/>
    </row>
    <row r="60" spans="1:5" x14ac:dyDescent="0.25">
      <c r="A60">
        <v>2</v>
      </c>
      <c r="B60">
        <v>4</v>
      </c>
    </row>
    <row r="61" spans="1:5" x14ac:dyDescent="0.25">
      <c r="A61">
        <v>3</v>
      </c>
      <c r="B61">
        <v>2</v>
      </c>
      <c r="D61" t="s">
        <v>21</v>
      </c>
    </row>
    <row r="62" spans="1:5" x14ac:dyDescent="0.25">
      <c r="A62">
        <v>2</v>
      </c>
      <c r="B62">
        <v>2</v>
      </c>
      <c r="D62" t="s">
        <v>22</v>
      </c>
    </row>
    <row r="63" spans="1:5" x14ac:dyDescent="0.25">
      <c r="A63">
        <v>2</v>
      </c>
      <c r="B63">
        <v>4</v>
      </c>
    </row>
    <row r="64" spans="1:5" x14ac:dyDescent="0.25">
      <c r="A64">
        <v>3</v>
      </c>
      <c r="B64">
        <v>1</v>
      </c>
    </row>
    <row r="65" spans="1:4" x14ac:dyDescent="0.25">
      <c r="A65">
        <v>3</v>
      </c>
      <c r="B65">
        <v>4</v>
      </c>
    </row>
    <row r="66" spans="1:4" x14ac:dyDescent="0.25">
      <c r="A66">
        <v>3</v>
      </c>
      <c r="B66">
        <v>3</v>
      </c>
      <c r="D66" t="s">
        <v>23</v>
      </c>
    </row>
    <row r="67" spans="1:4" x14ac:dyDescent="0.25">
      <c r="A67">
        <v>4</v>
      </c>
      <c r="B67">
        <v>1</v>
      </c>
      <c r="D67" t="str">
        <f>"Dos Colas: Si t calculado ("&amp;E29&amp;") &gt; a t critico  ("&amp;E52&amp;") (de tabla) ---&gt; Se rechaza la hipotesis nula"</f>
        <v>Dos Colas: Si t calculado (0.59563150999772) &gt; a t critico  (1.97294054238936) (de tabla) ---&gt; Se rechaza la hipotesis nula</v>
      </c>
    </row>
    <row r="68" spans="1:4" x14ac:dyDescent="0.25">
      <c r="A68">
        <v>4</v>
      </c>
      <c r="B68">
        <v>4</v>
      </c>
      <c r="D68" t="str">
        <f>"Una Cola: Si t calculado ("&amp;E29&amp;") &gt; a t critico  ("&amp;E53&amp;") (de tabla) ---&gt; Se rechaza la hipotesis nula"</f>
        <v>Una Cola: Si t calculado (0.59563150999772) &gt; a t critico  (-1.65317708753105) (de tabla) ---&gt; Se rechaza la hipotesis nula</v>
      </c>
    </row>
    <row r="69" spans="1:4" x14ac:dyDescent="0.25">
      <c r="A69">
        <v>3</v>
      </c>
      <c r="B69">
        <v>5</v>
      </c>
    </row>
    <row r="70" spans="1:4" x14ac:dyDescent="0.25">
      <c r="A70">
        <v>4</v>
      </c>
      <c r="B70">
        <v>3</v>
      </c>
    </row>
    <row r="71" spans="1:4" x14ac:dyDescent="0.25">
      <c r="A71">
        <v>2</v>
      </c>
      <c r="B71">
        <v>4</v>
      </c>
    </row>
    <row r="72" spans="1:4" x14ac:dyDescent="0.25">
      <c r="A72">
        <v>2</v>
      </c>
      <c r="B72">
        <v>2</v>
      </c>
      <c r="D72" t="s">
        <v>26</v>
      </c>
    </row>
    <row r="73" spans="1:4" x14ac:dyDescent="0.25">
      <c r="A73">
        <v>4</v>
      </c>
      <c r="B73">
        <v>5</v>
      </c>
      <c r="D73" t="str">
        <f>"Dos Colas: Si p valor ("&amp;E55&amp;") &lt; Nivel Significancia (0.05) ---&gt; Se rechaza la hipotesis nula"</f>
        <v>Dos Colas: Si p valor (0.552122876835171) &lt; Nivel Significancia (0.05) ---&gt; Se rechaza la hipotesis nula</v>
      </c>
    </row>
    <row r="74" spans="1:4" x14ac:dyDescent="0.25">
      <c r="A74">
        <v>4</v>
      </c>
      <c r="B74">
        <v>5</v>
      </c>
      <c r="D74" t="str">
        <f>"Una Cola: Si p valor ("&amp;E56&amp;") &lt; Nivel Significancia (0.05) ---&gt; Se rechaza la hipotesis nula"</f>
        <v>Una Cola: Si p valor (0.276061438417586)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2</v>
      </c>
      <c r="B76">
        <v>3</v>
      </c>
    </row>
    <row r="77" spans="1:4" x14ac:dyDescent="0.25">
      <c r="A77">
        <v>2</v>
      </c>
      <c r="B77">
        <v>4</v>
      </c>
    </row>
    <row r="78" spans="1:4" x14ac:dyDescent="0.25">
      <c r="A78">
        <v>1</v>
      </c>
      <c r="B78">
        <v>4</v>
      </c>
    </row>
    <row r="79" spans="1:4" x14ac:dyDescent="0.25">
      <c r="A79">
        <v>2</v>
      </c>
      <c r="B79">
        <v>5</v>
      </c>
    </row>
    <row r="80" spans="1:4" x14ac:dyDescent="0.25">
      <c r="A80">
        <v>4</v>
      </c>
      <c r="B80">
        <v>3</v>
      </c>
    </row>
    <row r="81" spans="1:2" x14ac:dyDescent="0.25">
      <c r="A81">
        <v>3</v>
      </c>
      <c r="B81">
        <v>5</v>
      </c>
    </row>
    <row r="82" spans="1:2" x14ac:dyDescent="0.25">
      <c r="A82">
        <v>4</v>
      </c>
      <c r="B82">
        <v>4</v>
      </c>
    </row>
    <row r="83" spans="1:2" x14ac:dyDescent="0.25">
      <c r="A83">
        <v>2</v>
      </c>
      <c r="B83">
        <v>4</v>
      </c>
    </row>
    <row r="84" spans="1:2" x14ac:dyDescent="0.25">
      <c r="A84">
        <v>4</v>
      </c>
      <c r="B84">
        <v>1</v>
      </c>
    </row>
    <row r="85" spans="1:2" x14ac:dyDescent="0.25">
      <c r="A85">
        <v>4</v>
      </c>
      <c r="B85">
        <v>3</v>
      </c>
    </row>
    <row r="86" spans="1:2" x14ac:dyDescent="0.25">
      <c r="A86">
        <v>3</v>
      </c>
      <c r="B86">
        <v>3</v>
      </c>
    </row>
    <row r="87" spans="1:2" x14ac:dyDescent="0.25">
      <c r="A87">
        <v>3</v>
      </c>
      <c r="B87">
        <v>4</v>
      </c>
    </row>
    <row r="88" spans="1:2" x14ac:dyDescent="0.25">
      <c r="A88">
        <v>2</v>
      </c>
      <c r="B88">
        <v>2</v>
      </c>
    </row>
    <row r="89" spans="1:2" x14ac:dyDescent="0.25">
      <c r="A89">
        <v>1</v>
      </c>
      <c r="B89">
        <v>1</v>
      </c>
    </row>
    <row r="90" spans="1:2" x14ac:dyDescent="0.25">
      <c r="A90">
        <v>2</v>
      </c>
      <c r="B90">
        <v>3</v>
      </c>
    </row>
    <row r="91" spans="1:2" x14ac:dyDescent="0.25">
      <c r="A91">
        <v>3</v>
      </c>
      <c r="B91">
        <v>5</v>
      </c>
    </row>
    <row r="92" spans="1:2" x14ac:dyDescent="0.25">
      <c r="A92">
        <v>3</v>
      </c>
      <c r="B92">
        <v>3</v>
      </c>
    </row>
    <row r="93" spans="1:2" x14ac:dyDescent="0.25">
      <c r="A93">
        <v>3</v>
      </c>
      <c r="B93">
        <v>4</v>
      </c>
    </row>
    <row r="94" spans="1:2" x14ac:dyDescent="0.25">
      <c r="A94">
        <v>3</v>
      </c>
      <c r="B94">
        <v>3</v>
      </c>
    </row>
    <row r="95" spans="1:2" x14ac:dyDescent="0.25">
      <c r="A95">
        <v>3</v>
      </c>
      <c r="B95">
        <v>2</v>
      </c>
    </row>
    <row r="96" spans="1:2" x14ac:dyDescent="0.25">
      <c r="A96">
        <v>3</v>
      </c>
      <c r="B96">
        <v>4</v>
      </c>
    </row>
    <row r="97" spans="1:2" x14ac:dyDescent="0.25">
      <c r="A97">
        <v>4</v>
      </c>
      <c r="B97">
        <v>1</v>
      </c>
    </row>
    <row r="98" spans="1:2" x14ac:dyDescent="0.25">
      <c r="A98">
        <v>3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B4" sqref="B4"/>
    </sheetView>
  </sheetViews>
  <sheetFormatPr baseColWidth="10" defaultColWidth="9.140625" defaultRowHeight="15" x14ac:dyDescent="0.25"/>
  <cols>
    <col min="1" max="1" width="32.42578125" customWidth="1"/>
    <col min="2" max="2" width="31.1406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52</v>
      </c>
      <c r="B1" s="8" t="s">
        <v>53</v>
      </c>
    </row>
    <row r="2" spans="1:5" x14ac:dyDescent="0.25">
      <c r="A2">
        <v>2</v>
      </c>
      <c r="B2">
        <v>5</v>
      </c>
      <c r="D2" s="1" t="s">
        <v>24</v>
      </c>
      <c r="E2">
        <f>AVERAGE(A:A)</f>
        <v>2.9793814432989691</v>
      </c>
    </row>
    <row r="3" spans="1:5" x14ac:dyDescent="0.25">
      <c r="A3">
        <v>3</v>
      </c>
      <c r="B3">
        <v>4</v>
      </c>
      <c r="D3" s="1" t="s">
        <v>0</v>
      </c>
      <c r="E3">
        <f>MEDIAN(A:A)</f>
        <v>3</v>
      </c>
    </row>
    <row r="4" spans="1:5" x14ac:dyDescent="0.25">
      <c r="A4">
        <v>4</v>
      </c>
      <c r="B4">
        <v>3</v>
      </c>
      <c r="D4" s="1" t="s">
        <v>1</v>
      </c>
      <c r="E4">
        <f>MODE(A:A)</f>
        <v>3</v>
      </c>
    </row>
    <row r="5" spans="1:5" x14ac:dyDescent="0.25">
      <c r="A5">
        <v>1</v>
      </c>
      <c r="B5">
        <v>2</v>
      </c>
      <c r="D5" s="1" t="s">
        <v>15</v>
      </c>
      <c r="E5">
        <f>STDEV(A:A)</f>
        <v>1.1178418701835224</v>
      </c>
    </row>
    <row r="6" spans="1:5" x14ac:dyDescent="0.25">
      <c r="A6">
        <v>3</v>
      </c>
      <c r="B6">
        <v>2</v>
      </c>
      <c r="D6" s="4" t="s">
        <v>4</v>
      </c>
      <c r="E6">
        <f>COUNT(A:A)</f>
        <v>97</v>
      </c>
    </row>
    <row r="7" spans="1:5" x14ac:dyDescent="0.25">
      <c r="A7">
        <v>4</v>
      </c>
      <c r="B7">
        <v>2</v>
      </c>
    </row>
    <row r="8" spans="1:5" x14ac:dyDescent="0.25">
      <c r="A8">
        <v>5</v>
      </c>
      <c r="B8">
        <v>5</v>
      </c>
      <c r="D8" s="3" t="s">
        <v>25</v>
      </c>
      <c r="E8">
        <f>AVERAGE(B:B)</f>
        <v>3.0824742268041239</v>
      </c>
    </row>
    <row r="9" spans="1:5" x14ac:dyDescent="0.25">
      <c r="A9">
        <v>2</v>
      </c>
      <c r="B9">
        <v>2</v>
      </c>
      <c r="D9" s="3" t="s">
        <v>2</v>
      </c>
      <c r="E9">
        <f>MEDIAN(B:B)</f>
        <v>3</v>
      </c>
    </row>
    <row r="10" spans="1:5" x14ac:dyDescent="0.25">
      <c r="A10">
        <v>3</v>
      </c>
      <c r="B10">
        <v>3</v>
      </c>
      <c r="D10" s="3" t="s">
        <v>3</v>
      </c>
      <c r="E10">
        <f>MODE(B:B)</f>
        <v>3</v>
      </c>
    </row>
    <row r="11" spans="1:5" x14ac:dyDescent="0.25">
      <c r="A11">
        <v>3</v>
      </c>
      <c r="B11">
        <v>2</v>
      </c>
      <c r="D11" s="3" t="s">
        <v>14</v>
      </c>
      <c r="E11">
        <f>STDEV(B:B)</f>
        <v>1.2472478293291687</v>
      </c>
    </row>
    <row r="12" spans="1:5" x14ac:dyDescent="0.25">
      <c r="A12">
        <v>3</v>
      </c>
      <c r="B12">
        <v>1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2</v>
      </c>
    </row>
    <row r="14" spans="1:5" x14ac:dyDescent="0.25">
      <c r="A14">
        <v>2</v>
      </c>
      <c r="B14">
        <v>2</v>
      </c>
    </row>
    <row r="15" spans="1:5" x14ac:dyDescent="0.25">
      <c r="A15">
        <v>3</v>
      </c>
      <c r="B15">
        <v>4</v>
      </c>
    </row>
    <row r="16" spans="1:5" x14ac:dyDescent="0.25">
      <c r="A16">
        <v>1</v>
      </c>
      <c r="B16">
        <v>2</v>
      </c>
    </row>
    <row r="17" spans="1:5" x14ac:dyDescent="0.25">
      <c r="A17">
        <v>3</v>
      </c>
      <c r="B17">
        <v>5</v>
      </c>
      <c r="D17" s="2" t="s">
        <v>6</v>
      </c>
      <c r="E17" s="2"/>
    </row>
    <row r="18" spans="1:5" x14ac:dyDescent="0.25">
      <c r="A18">
        <v>3</v>
      </c>
      <c r="B18">
        <v>3</v>
      </c>
    </row>
    <row r="19" spans="1:5" x14ac:dyDescent="0.25">
      <c r="A19">
        <v>4</v>
      </c>
      <c r="B19">
        <v>3</v>
      </c>
    </row>
    <row r="20" spans="1:5" x14ac:dyDescent="0.25">
      <c r="A20">
        <v>3</v>
      </c>
      <c r="B20">
        <v>3</v>
      </c>
    </row>
    <row r="21" spans="1:5" x14ac:dyDescent="0.25">
      <c r="A21">
        <v>3</v>
      </c>
      <c r="B21">
        <v>2</v>
      </c>
    </row>
    <row r="22" spans="1:5" x14ac:dyDescent="0.25">
      <c r="A22">
        <v>2</v>
      </c>
      <c r="B22">
        <v>2</v>
      </c>
    </row>
    <row r="23" spans="1:5" x14ac:dyDescent="0.25">
      <c r="A23">
        <v>2</v>
      </c>
      <c r="B23">
        <v>3</v>
      </c>
    </row>
    <row r="24" spans="1:5" x14ac:dyDescent="0.25">
      <c r="A24">
        <v>2</v>
      </c>
      <c r="B24">
        <v>4</v>
      </c>
    </row>
    <row r="25" spans="1:5" x14ac:dyDescent="0.25">
      <c r="A25">
        <v>3</v>
      </c>
      <c r="B25">
        <v>2</v>
      </c>
    </row>
    <row r="26" spans="1:5" x14ac:dyDescent="0.25">
      <c r="A26">
        <v>5</v>
      </c>
      <c r="B26">
        <v>3</v>
      </c>
    </row>
    <row r="27" spans="1:5" x14ac:dyDescent="0.25">
      <c r="A27">
        <v>1</v>
      </c>
      <c r="B27">
        <v>1</v>
      </c>
    </row>
    <row r="28" spans="1:5" x14ac:dyDescent="0.25">
      <c r="A28">
        <v>3</v>
      </c>
      <c r="B28">
        <v>3</v>
      </c>
    </row>
    <row r="29" spans="1:5" x14ac:dyDescent="0.25">
      <c r="A29">
        <v>3</v>
      </c>
      <c r="B29">
        <v>4</v>
      </c>
      <c r="D29" t="s">
        <v>11</v>
      </c>
      <c r="E29">
        <f>(E2-E8)/SQRT(((E5^2)/E6)+((E11^2)/E12))</f>
        <v>-0.60622299240033428</v>
      </c>
    </row>
    <row r="30" spans="1:5" x14ac:dyDescent="0.25">
      <c r="A30">
        <v>2</v>
      </c>
      <c r="B30">
        <v>5</v>
      </c>
    </row>
    <row r="31" spans="1:5" x14ac:dyDescent="0.25">
      <c r="A31">
        <v>4</v>
      </c>
      <c r="B31">
        <v>3</v>
      </c>
      <c r="D31" s="2" t="s">
        <v>7</v>
      </c>
      <c r="E31" s="2"/>
    </row>
    <row r="32" spans="1:5" x14ac:dyDescent="0.25">
      <c r="A32">
        <v>5</v>
      </c>
      <c r="B32">
        <v>3</v>
      </c>
    </row>
    <row r="33" spans="1:6" x14ac:dyDescent="0.25">
      <c r="A33">
        <v>2</v>
      </c>
      <c r="B33">
        <v>2</v>
      </c>
    </row>
    <row r="34" spans="1:6" x14ac:dyDescent="0.25">
      <c r="A34">
        <v>5</v>
      </c>
      <c r="B34">
        <v>4</v>
      </c>
    </row>
    <row r="35" spans="1:6" x14ac:dyDescent="0.25">
      <c r="A35">
        <v>5</v>
      </c>
      <c r="B35">
        <v>2</v>
      </c>
    </row>
    <row r="36" spans="1:6" x14ac:dyDescent="0.25">
      <c r="A36">
        <v>2</v>
      </c>
      <c r="B36">
        <v>4</v>
      </c>
    </row>
    <row r="37" spans="1:6" x14ac:dyDescent="0.25">
      <c r="A37">
        <v>3</v>
      </c>
      <c r="B37">
        <v>5</v>
      </c>
    </row>
    <row r="38" spans="1:6" x14ac:dyDescent="0.25">
      <c r="A38">
        <v>5</v>
      </c>
      <c r="B38">
        <v>4</v>
      </c>
    </row>
    <row r="39" spans="1:6" x14ac:dyDescent="0.25">
      <c r="A39">
        <v>1</v>
      </c>
      <c r="B39">
        <v>1</v>
      </c>
    </row>
    <row r="40" spans="1:6" x14ac:dyDescent="0.25">
      <c r="A40">
        <v>3</v>
      </c>
      <c r="B40">
        <v>5</v>
      </c>
    </row>
    <row r="41" spans="1:6" ht="29.25" customHeight="1" x14ac:dyDescent="0.25">
      <c r="A41">
        <v>1</v>
      </c>
      <c r="B41">
        <v>1</v>
      </c>
      <c r="D41" t="s">
        <v>8</v>
      </c>
      <c r="E41">
        <f>(((E5^2)/E6)+((E11^2)/E12))^2</f>
        <v>8.3634111427337927E-4</v>
      </c>
    </row>
    <row r="42" spans="1:6" ht="47.25" customHeight="1" x14ac:dyDescent="0.25">
      <c r="A42">
        <v>4</v>
      </c>
      <c r="B42">
        <v>2</v>
      </c>
      <c r="D42" t="s">
        <v>9</v>
      </c>
      <c r="E42">
        <f>(((E5^2)/E6)^2)/(E6-1)</f>
        <v>1.7286488793470065E-6</v>
      </c>
    </row>
    <row r="43" spans="1:6" ht="43.5" customHeight="1" x14ac:dyDescent="0.25">
      <c r="A43">
        <v>3</v>
      </c>
      <c r="B43">
        <v>2</v>
      </c>
      <c r="D43" t="s">
        <v>10</v>
      </c>
      <c r="E43">
        <f>(((E11^2)/E12)^2)/(E12-1)</f>
        <v>2.679145657158467E-6</v>
      </c>
    </row>
    <row r="44" spans="1:6" x14ac:dyDescent="0.25">
      <c r="A44">
        <v>3</v>
      </c>
      <c r="B44">
        <v>4</v>
      </c>
    </row>
    <row r="45" spans="1:6" x14ac:dyDescent="0.25">
      <c r="A45">
        <v>3</v>
      </c>
      <c r="B45">
        <v>4</v>
      </c>
      <c r="D45" t="s">
        <v>7</v>
      </c>
      <c r="E45">
        <f>E41/(E42+E43)</f>
        <v>189.74140181598293</v>
      </c>
      <c r="F45" s="6" t="s">
        <v>12</v>
      </c>
    </row>
    <row r="46" spans="1:6" x14ac:dyDescent="0.25">
      <c r="A46">
        <v>5</v>
      </c>
      <c r="B46">
        <v>3</v>
      </c>
    </row>
    <row r="47" spans="1:6" x14ac:dyDescent="0.25">
      <c r="A47">
        <v>3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1</v>
      </c>
      <c r="B48">
        <v>3</v>
      </c>
    </row>
    <row r="49" spans="1:5" x14ac:dyDescent="0.25">
      <c r="A49">
        <v>3</v>
      </c>
      <c r="B49">
        <v>4</v>
      </c>
    </row>
    <row r="50" spans="1:5" x14ac:dyDescent="0.25">
      <c r="A50">
        <v>5</v>
      </c>
      <c r="B50">
        <v>4</v>
      </c>
    </row>
    <row r="51" spans="1:5" x14ac:dyDescent="0.25">
      <c r="A51">
        <v>4</v>
      </c>
      <c r="B51">
        <v>2</v>
      </c>
      <c r="D51" s="2"/>
      <c r="E51" s="2"/>
    </row>
    <row r="52" spans="1:5" x14ac:dyDescent="0.25">
      <c r="A52">
        <v>4</v>
      </c>
      <c r="B52">
        <v>2</v>
      </c>
      <c r="D52" t="s">
        <v>16</v>
      </c>
      <c r="E52">
        <f>_xlfn.T.INV.2T(E47,E45)</f>
        <v>1.9725950790996611</v>
      </c>
    </row>
    <row r="53" spans="1:5" x14ac:dyDescent="0.25">
      <c r="A53">
        <v>3</v>
      </c>
      <c r="B53">
        <v>3</v>
      </c>
      <c r="D53" t="s">
        <v>17</v>
      </c>
      <c r="E53">
        <f>_xlfn.T.INV(E47, E45)</f>
        <v>-1.6529558017258421</v>
      </c>
    </row>
    <row r="54" spans="1:5" x14ac:dyDescent="0.25">
      <c r="A54">
        <v>3</v>
      </c>
      <c r="B54">
        <v>1</v>
      </c>
    </row>
    <row r="55" spans="1:5" x14ac:dyDescent="0.25">
      <c r="A55">
        <v>3</v>
      </c>
      <c r="B55">
        <v>2</v>
      </c>
      <c r="D55" t="s">
        <v>18</v>
      </c>
      <c r="E55">
        <f>TTEST(A:A,B:B,2,2)</f>
        <v>0.54508274417435909</v>
      </c>
    </row>
    <row r="56" spans="1:5" x14ac:dyDescent="0.25">
      <c r="A56">
        <v>2</v>
      </c>
      <c r="B56">
        <v>3</v>
      </c>
      <c r="D56" t="s">
        <v>19</v>
      </c>
      <c r="E56">
        <f>TTEST(A:A,B:B,1,2)</f>
        <v>0.27254137208717955</v>
      </c>
    </row>
    <row r="57" spans="1:5" x14ac:dyDescent="0.25">
      <c r="A57">
        <v>3</v>
      </c>
      <c r="B57">
        <v>3</v>
      </c>
    </row>
    <row r="58" spans="1:5" x14ac:dyDescent="0.25">
      <c r="A58">
        <v>3</v>
      </c>
      <c r="B58">
        <v>5</v>
      </c>
    </row>
    <row r="59" spans="1:5" x14ac:dyDescent="0.25">
      <c r="A59">
        <v>4</v>
      </c>
      <c r="B59">
        <v>4</v>
      </c>
      <c r="D59" s="2" t="s">
        <v>20</v>
      </c>
      <c r="E59" s="2"/>
    </row>
    <row r="60" spans="1:5" x14ac:dyDescent="0.25">
      <c r="A60">
        <v>2</v>
      </c>
      <c r="B60">
        <v>4</v>
      </c>
    </row>
    <row r="61" spans="1:5" x14ac:dyDescent="0.25">
      <c r="A61">
        <v>3</v>
      </c>
      <c r="B61">
        <v>5</v>
      </c>
      <c r="D61" t="s">
        <v>21</v>
      </c>
    </row>
    <row r="62" spans="1:5" x14ac:dyDescent="0.25">
      <c r="A62">
        <v>2</v>
      </c>
      <c r="B62">
        <v>1</v>
      </c>
      <c r="D62" t="s">
        <v>22</v>
      </c>
    </row>
    <row r="63" spans="1:5" x14ac:dyDescent="0.25">
      <c r="A63">
        <v>3</v>
      </c>
      <c r="B63">
        <v>3</v>
      </c>
    </row>
    <row r="64" spans="1:5" x14ac:dyDescent="0.25">
      <c r="A64">
        <v>3</v>
      </c>
      <c r="B64">
        <v>4</v>
      </c>
    </row>
    <row r="65" spans="1:4" x14ac:dyDescent="0.25">
      <c r="A65">
        <v>3</v>
      </c>
      <c r="B65">
        <v>2</v>
      </c>
    </row>
    <row r="66" spans="1:4" x14ac:dyDescent="0.25">
      <c r="A66">
        <v>3</v>
      </c>
      <c r="B66">
        <v>5</v>
      </c>
      <c r="D66" t="s">
        <v>23</v>
      </c>
    </row>
    <row r="67" spans="1:4" x14ac:dyDescent="0.25">
      <c r="A67">
        <v>1</v>
      </c>
      <c r="B67">
        <v>2</v>
      </c>
      <c r="D67" t="str">
        <f>"Dos Colas: Si t calculado ("&amp;E29&amp;") &gt; a t critico  ("&amp;E52&amp;") (de tabla) ---&gt; Se rechaza la hipotesis nula"</f>
        <v>Dos Colas: Si t calculado (-0.606222992400334) &gt; a t critico  (1.97259507909966) (de tabla) ---&gt; Se rechaza la hipotesis nula</v>
      </c>
    </row>
    <row r="68" spans="1:4" x14ac:dyDescent="0.25">
      <c r="A68">
        <v>3</v>
      </c>
      <c r="B68">
        <v>3</v>
      </c>
      <c r="D68" t="str">
        <f>"Una Cola: Si t calculado ("&amp;E29&amp;") &gt; a t critico  ("&amp;E53&amp;") (de tabla) ---&gt; Se rechaza la hipotesis nula"</f>
        <v>Una Cola: Si t calculado (-0.606222992400334) &gt; a t critico  (-1.65295580172584) (de tabla) ---&gt; Se rechaza la hipotesis nula</v>
      </c>
    </row>
    <row r="69" spans="1:4" x14ac:dyDescent="0.25">
      <c r="A69">
        <v>1</v>
      </c>
      <c r="B69">
        <v>3</v>
      </c>
    </row>
    <row r="70" spans="1:4" x14ac:dyDescent="0.25">
      <c r="A70">
        <v>1</v>
      </c>
      <c r="B70">
        <v>3</v>
      </c>
    </row>
    <row r="71" spans="1:4" x14ac:dyDescent="0.25">
      <c r="A71">
        <v>2</v>
      </c>
      <c r="B71">
        <v>3</v>
      </c>
    </row>
    <row r="72" spans="1:4" x14ac:dyDescent="0.25">
      <c r="A72">
        <v>5</v>
      </c>
      <c r="B72">
        <v>3</v>
      </c>
      <c r="D72" t="s">
        <v>26</v>
      </c>
    </row>
    <row r="73" spans="1:4" x14ac:dyDescent="0.25">
      <c r="A73">
        <v>4</v>
      </c>
      <c r="B73">
        <v>2</v>
      </c>
      <c r="D73" t="str">
        <f>"Dos Colas: Si p valor ("&amp;E55&amp;") &lt; Nivel Significancia (0.05) ---&gt; Se rechaza la hipotesis nula"</f>
        <v>Dos Colas: Si p valor (0.545082744174359) &lt; Nivel Significancia (0.05) ---&gt; Se rechaza la hipotesis nula</v>
      </c>
    </row>
    <row r="74" spans="1:4" x14ac:dyDescent="0.25">
      <c r="A74">
        <v>2</v>
      </c>
      <c r="B74">
        <v>5</v>
      </c>
      <c r="D74" t="str">
        <f>"Una Cola: Si p valor ("&amp;E56&amp;") &lt; Nivel Significancia (0.05) ---&gt; Se rechaza la hipotesis nula"</f>
        <v>Una Cola: Si p valor (0.27254137208718) &lt; Nivel Significancia (0.05) ---&gt; Se rechaza la hipotesis nula</v>
      </c>
    </row>
    <row r="75" spans="1:4" x14ac:dyDescent="0.25">
      <c r="A75">
        <v>3</v>
      </c>
      <c r="B75">
        <v>2</v>
      </c>
    </row>
    <row r="76" spans="1:4" x14ac:dyDescent="0.25">
      <c r="A76">
        <v>2</v>
      </c>
      <c r="B76">
        <v>2</v>
      </c>
    </row>
    <row r="77" spans="1:4" x14ac:dyDescent="0.25">
      <c r="A77">
        <v>5</v>
      </c>
      <c r="B77">
        <v>1</v>
      </c>
    </row>
    <row r="78" spans="1:4" x14ac:dyDescent="0.25">
      <c r="A78">
        <v>3</v>
      </c>
      <c r="B78">
        <v>4</v>
      </c>
    </row>
    <row r="79" spans="1:4" x14ac:dyDescent="0.25">
      <c r="A79">
        <v>3</v>
      </c>
      <c r="B79">
        <v>1</v>
      </c>
    </row>
    <row r="80" spans="1:4" x14ac:dyDescent="0.25">
      <c r="A80">
        <v>4</v>
      </c>
      <c r="B80">
        <v>3</v>
      </c>
    </row>
    <row r="81" spans="1:2" x14ac:dyDescent="0.25">
      <c r="A81">
        <v>3</v>
      </c>
      <c r="B81">
        <v>4</v>
      </c>
    </row>
    <row r="82" spans="1:2" x14ac:dyDescent="0.25">
      <c r="A82">
        <v>3</v>
      </c>
      <c r="B82">
        <v>3</v>
      </c>
    </row>
    <row r="83" spans="1:2" x14ac:dyDescent="0.25">
      <c r="A83">
        <v>3</v>
      </c>
      <c r="B83">
        <v>2</v>
      </c>
    </row>
    <row r="84" spans="1:2" x14ac:dyDescent="0.25">
      <c r="A84">
        <v>2</v>
      </c>
      <c r="B84">
        <v>4</v>
      </c>
    </row>
    <row r="85" spans="1:2" x14ac:dyDescent="0.25">
      <c r="A85">
        <v>3</v>
      </c>
      <c r="B85">
        <v>5</v>
      </c>
    </row>
    <row r="86" spans="1:2" x14ac:dyDescent="0.25">
      <c r="A86">
        <v>3</v>
      </c>
      <c r="B86">
        <v>5</v>
      </c>
    </row>
    <row r="87" spans="1:2" x14ac:dyDescent="0.25">
      <c r="A87">
        <v>3</v>
      </c>
      <c r="B87">
        <v>4</v>
      </c>
    </row>
    <row r="88" spans="1:2" x14ac:dyDescent="0.25">
      <c r="A88">
        <v>3</v>
      </c>
      <c r="B88">
        <v>3</v>
      </c>
    </row>
    <row r="89" spans="1:2" x14ac:dyDescent="0.25">
      <c r="A89">
        <v>2</v>
      </c>
      <c r="B89">
        <v>4</v>
      </c>
    </row>
    <row r="90" spans="1:2" x14ac:dyDescent="0.25">
      <c r="A90">
        <v>2</v>
      </c>
      <c r="B90">
        <v>4</v>
      </c>
    </row>
    <row r="91" spans="1:2" x14ac:dyDescent="0.25">
      <c r="A91">
        <v>2</v>
      </c>
      <c r="B91">
        <v>5</v>
      </c>
    </row>
    <row r="92" spans="1:2" x14ac:dyDescent="0.25">
      <c r="A92">
        <v>2</v>
      </c>
      <c r="B92">
        <v>1</v>
      </c>
    </row>
    <row r="93" spans="1:2" x14ac:dyDescent="0.25">
      <c r="A93">
        <v>5</v>
      </c>
      <c r="B93">
        <v>1</v>
      </c>
    </row>
    <row r="94" spans="1:2" x14ac:dyDescent="0.25">
      <c r="A94">
        <v>3</v>
      </c>
      <c r="B94">
        <v>5</v>
      </c>
    </row>
    <row r="95" spans="1:2" x14ac:dyDescent="0.25">
      <c r="A95">
        <v>4</v>
      </c>
      <c r="B95">
        <v>5</v>
      </c>
    </row>
    <row r="96" spans="1:2" x14ac:dyDescent="0.25">
      <c r="A96">
        <v>2</v>
      </c>
      <c r="B96">
        <v>5</v>
      </c>
    </row>
    <row r="97" spans="1:2" x14ac:dyDescent="0.25">
      <c r="A97">
        <v>3</v>
      </c>
      <c r="B97">
        <v>4</v>
      </c>
    </row>
    <row r="98" spans="1:2" x14ac:dyDescent="0.25">
      <c r="A98">
        <v>5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B5" sqref="B5"/>
    </sheetView>
  </sheetViews>
  <sheetFormatPr baseColWidth="10" defaultColWidth="9.140625" defaultRowHeight="15" x14ac:dyDescent="0.25"/>
  <cols>
    <col min="1" max="1" width="33.140625" customWidth="1"/>
    <col min="2" max="2" width="30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1" t="s">
        <v>54</v>
      </c>
      <c r="B1" s="9" t="s">
        <v>55</v>
      </c>
    </row>
    <row r="2" spans="1:5" x14ac:dyDescent="0.25">
      <c r="A2">
        <v>2</v>
      </c>
      <c r="B2">
        <v>3</v>
      </c>
      <c r="D2" s="1" t="s">
        <v>24</v>
      </c>
      <c r="E2">
        <f>AVERAGE(A:A)</f>
        <v>3.2268041237113403</v>
      </c>
    </row>
    <row r="3" spans="1:5" x14ac:dyDescent="0.25">
      <c r="A3">
        <v>2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5</v>
      </c>
      <c r="B4">
        <v>3</v>
      </c>
      <c r="D4" s="1" t="s">
        <v>1</v>
      </c>
      <c r="E4">
        <f>MODE(A:A)</f>
        <v>3</v>
      </c>
    </row>
    <row r="5" spans="1:5" x14ac:dyDescent="0.25">
      <c r="A5">
        <v>4</v>
      </c>
      <c r="B5">
        <v>5</v>
      </c>
      <c r="D5" s="1" t="s">
        <v>15</v>
      </c>
      <c r="E5">
        <f>STDEV(A:A)</f>
        <v>1.1227306244076616</v>
      </c>
    </row>
    <row r="6" spans="1:5" x14ac:dyDescent="0.25">
      <c r="A6">
        <v>5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5</v>
      </c>
      <c r="B7">
        <v>3</v>
      </c>
    </row>
    <row r="8" spans="1:5" x14ac:dyDescent="0.25">
      <c r="A8">
        <v>5</v>
      </c>
      <c r="B8">
        <v>4</v>
      </c>
      <c r="D8" s="3" t="s">
        <v>25</v>
      </c>
      <c r="E8">
        <f>AVERAGE(B:B)</f>
        <v>3.0412371134020617</v>
      </c>
    </row>
    <row r="9" spans="1:5" x14ac:dyDescent="0.25">
      <c r="A9">
        <v>2</v>
      </c>
      <c r="B9">
        <v>3</v>
      </c>
      <c r="D9" s="3" t="s">
        <v>2</v>
      </c>
      <c r="E9">
        <f>MEDIAN(B:B)</f>
        <v>3</v>
      </c>
    </row>
    <row r="10" spans="1:5" x14ac:dyDescent="0.25">
      <c r="A10">
        <v>4</v>
      </c>
      <c r="B10">
        <v>4</v>
      </c>
      <c r="D10" s="3" t="s">
        <v>3</v>
      </c>
      <c r="E10">
        <f>MODE(B:B)</f>
        <v>3</v>
      </c>
    </row>
    <row r="11" spans="1:5" x14ac:dyDescent="0.25">
      <c r="A11">
        <v>3</v>
      </c>
      <c r="B11">
        <v>2</v>
      </c>
      <c r="D11" s="3" t="s">
        <v>14</v>
      </c>
      <c r="E11">
        <f>STDEV(B:B)</f>
        <v>1.2069031113867068</v>
      </c>
    </row>
    <row r="12" spans="1:5" x14ac:dyDescent="0.25">
      <c r="A12">
        <v>3</v>
      </c>
      <c r="B12">
        <v>1</v>
      </c>
      <c r="D12" s="5" t="s">
        <v>5</v>
      </c>
      <c r="E12">
        <f>COUNT(B:B)</f>
        <v>97</v>
      </c>
    </row>
    <row r="13" spans="1:5" x14ac:dyDescent="0.25">
      <c r="A13">
        <v>4</v>
      </c>
      <c r="B13">
        <v>3</v>
      </c>
    </row>
    <row r="14" spans="1:5" x14ac:dyDescent="0.25">
      <c r="A14">
        <v>3</v>
      </c>
      <c r="B14">
        <v>5</v>
      </c>
    </row>
    <row r="15" spans="1:5" x14ac:dyDescent="0.25">
      <c r="A15">
        <v>4</v>
      </c>
      <c r="B15">
        <v>5</v>
      </c>
    </row>
    <row r="16" spans="1:5" x14ac:dyDescent="0.25">
      <c r="A16">
        <v>3</v>
      </c>
      <c r="B16">
        <v>2</v>
      </c>
    </row>
    <row r="17" spans="1:5" x14ac:dyDescent="0.25">
      <c r="A17">
        <v>3</v>
      </c>
      <c r="B17">
        <v>3</v>
      </c>
      <c r="D17" s="2" t="s">
        <v>6</v>
      </c>
      <c r="E17" s="2"/>
    </row>
    <row r="18" spans="1:5" x14ac:dyDescent="0.25">
      <c r="A18">
        <v>4</v>
      </c>
      <c r="B18">
        <v>3</v>
      </c>
    </row>
    <row r="19" spans="1:5" x14ac:dyDescent="0.25">
      <c r="A19">
        <v>3</v>
      </c>
      <c r="B19">
        <v>4</v>
      </c>
    </row>
    <row r="20" spans="1:5" x14ac:dyDescent="0.25">
      <c r="A20">
        <v>3</v>
      </c>
      <c r="B20">
        <v>2</v>
      </c>
    </row>
    <row r="21" spans="1:5" x14ac:dyDescent="0.25">
      <c r="A21">
        <v>3</v>
      </c>
      <c r="B21">
        <v>5</v>
      </c>
    </row>
    <row r="22" spans="1:5" x14ac:dyDescent="0.25">
      <c r="A22">
        <v>4</v>
      </c>
      <c r="B22">
        <v>1</v>
      </c>
    </row>
    <row r="23" spans="1:5" x14ac:dyDescent="0.25">
      <c r="A23">
        <v>4</v>
      </c>
      <c r="B23">
        <v>4</v>
      </c>
    </row>
    <row r="24" spans="1:5" x14ac:dyDescent="0.25">
      <c r="A24">
        <v>1</v>
      </c>
      <c r="B24">
        <v>5</v>
      </c>
    </row>
    <row r="25" spans="1:5" x14ac:dyDescent="0.25">
      <c r="A25">
        <v>5</v>
      </c>
      <c r="B25">
        <v>3</v>
      </c>
    </row>
    <row r="26" spans="1:5" x14ac:dyDescent="0.25">
      <c r="A26">
        <v>5</v>
      </c>
      <c r="B26">
        <v>3</v>
      </c>
    </row>
    <row r="27" spans="1:5" x14ac:dyDescent="0.25">
      <c r="A27">
        <v>4</v>
      </c>
      <c r="B27">
        <v>3</v>
      </c>
    </row>
    <row r="28" spans="1:5" x14ac:dyDescent="0.25">
      <c r="A28">
        <v>4</v>
      </c>
      <c r="B28">
        <v>3</v>
      </c>
    </row>
    <row r="29" spans="1:5" x14ac:dyDescent="0.25">
      <c r="A29">
        <v>3</v>
      </c>
      <c r="B29">
        <v>5</v>
      </c>
      <c r="D29" t="s">
        <v>11</v>
      </c>
      <c r="E29">
        <f>(E2-E8)/SQRT(((E5^2)/E6)+((E11^2)/E12))</f>
        <v>1.1087425021047244</v>
      </c>
    </row>
    <row r="30" spans="1:5" x14ac:dyDescent="0.25">
      <c r="A30">
        <v>2</v>
      </c>
      <c r="B30">
        <v>5</v>
      </c>
    </row>
    <row r="31" spans="1:5" x14ac:dyDescent="0.25">
      <c r="A31">
        <v>5</v>
      </c>
      <c r="B31">
        <v>2</v>
      </c>
      <c r="D31" s="2" t="s">
        <v>7</v>
      </c>
      <c r="E31" s="2"/>
    </row>
    <row r="32" spans="1:5" x14ac:dyDescent="0.25">
      <c r="A32">
        <v>4</v>
      </c>
      <c r="B32">
        <v>1</v>
      </c>
    </row>
    <row r="33" spans="1:6" x14ac:dyDescent="0.25">
      <c r="A33">
        <v>3</v>
      </c>
      <c r="B33">
        <v>3</v>
      </c>
    </row>
    <row r="34" spans="1:6" x14ac:dyDescent="0.25">
      <c r="A34">
        <v>4</v>
      </c>
      <c r="B34">
        <v>3</v>
      </c>
    </row>
    <row r="35" spans="1:6" x14ac:dyDescent="0.25">
      <c r="A35">
        <v>1</v>
      </c>
      <c r="B35">
        <v>2</v>
      </c>
    </row>
    <row r="36" spans="1:6" x14ac:dyDescent="0.25">
      <c r="A36">
        <v>3</v>
      </c>
      <c r="B36">
        <v>3</v>
      </c>
    </row>
    <row r="37" spans="1:6" x14ac:dyDescent="0.25">
      <c r="A37">
        <v>3</v>
      </c>
      <c r="B37">
        <v>2</v>
      </c>
    </row>
    <row r="38" spans="1:6" x14ac:dyDescent="0.25">
      <c r="A38">
        <v>5</v>
      </c>
      <c r="B38">
        <v>3</v>
      </c>
    </row>
    <row r="39" spans="1:6" x14ac:dyDescent="0.25">
      <c r="A39">
        <v>3</v>
      </c>
      <c r="B39">
        <v>3</v>
      </c>
    </row>
    <row r="40" spans="1:6" x14ac:dyDescent="0.25">
      <c r="A40">
        <v>3</v>
      </c>
      <c r="B40">
        <v>3</v>
      </c>
    </row>
    <row r="41" spans="1:6" ht="29.25" customHeight="1" x14ac:dyDescent="0.25">
      <c r="A41">
        <v>4</v>
      </c>
      <c r="B41">
        <v>2</v>
      </c>
      <c r="D41" t="s">
        <v>8</v>
      </c>
      <c r="E41">
        <f>(((E5^2)/E6)+((E11^2)/E12))^2</f>
        <v>7.8465780611332368E-4</v>
      </c>
    </row>
    <row r="42" spans="1:6" ht="47.25" customHeight="1" x14ac:dyDescent="0.25">
      <c r="A42">
        <v>4</v>
      </c>
      <c r="B42">
        <v>3</v>
      </c>
      <c r="D42" t="s">
        <v>9</v>
      </c>
      <c r="E42">
        <f>(((E5^2)/E6)^2)/(E6-1)</f>
        <v>1.7590880331667434E-6</v>
      </c>
    </row>
    <row r="43" spans="1:6" ht="43.5" customHeight="1" x14ac:dyDescent="0.25">
      <c r="A43">
        <v>2</v>
      </c>
      <c r="B43">
        <v>1</v>
      </c>
      <c r="D43" t="s">
        <v>10</v>
      </c>
      <c r="E43">
        <f>(((E11^2)/E12)^2)/(E12-1)</f>
        <v>2.3489562393868243E-6</v>
      </c>
    </row>
    <row r="44" spans="1:6" x14ac:dyDescent="0.25">
      <c r="A44">
        <v>2</v>
      </c>
      <c r="B44">
        <v>4</v>
      </c>
    </row>
    <row r="45" spans="1:6" x14ac:dyDescent="0.25">
      <c r="A45">
        <v>4</v>
      </c>
      <c r="B45">
        <v>3</v>
      </c>
      <c r="D45" t="s">
        <v>7</v>
      </c>
      <c r="E45">
        <f>E41/(E42+E43)</f>
        <v>191.00519713376383</v>
      </c>
      <c r="F45" s="6" t="s">
        <v>12</v>
      </c>
    </row>
    <row r="46" spans="1:6" x14ac:dyDescent="0.25">
      <c r="A46">
        <v>4</v>
      </c>
      <c r="B46">
        <v>3</v>
      </c>
    </row>
    <row r="47" spans="1:6" x14ac:dyDescent="0.25">
      <c r="A47">
        <v>1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4</v>
      </c>
      <c r="B48">
        <v>3</v>
      </c>
    </row>
    <row r="49" spans="1:5" x14ac:dyDescent="0.25">
      <c r="A49">
        <v>4</v>
      </c>
      <c r="B49">
        <v>3</v>
      </c>
    </row>
    <row r="50" spans="1:5" x14ac:dyDescent="0.25">
      <c r="A50">
        <v>4</v>
      </c>
      <c r="B50">
        <v>4</v>
      </c>
    </row>
    <row r="51" spans="1:5" x14ac:dyDescent="0.25">
      <c r="A51">
        <v>2</v>
      </c>
      <c r="B51">
        <v>5</v>
      </c>
      <c r="D51" s="2"/>
      <c r="E51" s="2"/>
    </row>
    <row r="52" spans="1:5" x14ac:dyDescent="0.25">
      <c r="A52">
        <v>4</v>
      </c>
      <c r="B52">
        <v>3</v>
      </c>
      <c r="D52" t="s">
        <v>16</v>
      </c>
      <c r="E52">
        <f>_xlfn.T.INV.2T(E47,E45)</f>
        <v>1.9724619897672133</v>
      </c>
    </row>
    <row r="53" spans="1:5" x14ac:dyDescent="0.25">
      <c r="A53">
        <v>2</v>
      </c>
      <c r="B53">
        <v>4</v>
      </c>
      <c r="D53" t="s">
        <v>17</v>
      </c>
      <c r="E53">
        <f>_xlfn.T.INV(E47, E45)</f>
        <v>-1.6528705472303915</v>
      </c>
    </row>
    <row r="54" spans="1:5" x14ac:dyDescent="0.25">
      <c r="A54">
        <v>2</v>
      </c>
      <c r="B54">
        <v>1</v>
      </c>
    </row>
    <row r="55" spans="1:5" x14ac:dyDescent="0.25">
      <c r="A55">
        <v>4</v>
      </c>
      <c r="B55">
        <v>4</v>
      </c>
      <c r="D55" t="s">
        <v>18</v>
      </c>
      <c r="E55">
        <f>TTEST(A:A,B:B,2,2)</f>
        <v>0.26892816366887429</v>
      </c>
    </row>
    <row r="56" spans="1:5" x14ac:dyDescent="0.25">
      <c r="A56">
        <v>4</v>
      </c>
      <c r="B56">
        <v>2</v>
      </c>
      <c r="D56" t="s">
        <v>19</v>
      </c>
      <c r="E56">
        <f>TTEST(A:A,B:B,1,2)</f>
        <v>0.13446408183443714</v>
      </c>
    </row>
    <row r="57" spans="1:5" x14ac:dyDescent="0.25">
      <c r="A57">
        <v>3</v>
      </c>
      <c r="B57">
        <v>2</v>
      </c>
    </row>
    <row r="58" spans="1:5" x14ac:dyDescent="0.25">
      <c r="A58">
        <v>3</v>
      </c>
      <c r="B58">
        <v>1</v>
      </c>
    </row>
    <row r="59" spans="1:5" x14ac:dyDescent="0.25">
      <c r="A59">
        <v>4</v>
      </c>
      <c r="B59">
        <v>3</v>
      </c>
      <c r="D59" s="2" t="s">
        <v>20</v>
      </c>
      <c r="E59" s="2"/>
    </row>
    <row r="60" spans="1:5" x14ac:dyDescent="0.25">
      <c r="A60">
        <v>5</v>
      </c>
      <c r="B60">
        <v>4</v>
      </c>
    </row>
    <row r="61" spans="1:5" x14ac:dyDescent="0.25">
      <c r="A61">
        <v>5</v>
      </c>
      <c r="B61">
        <v>1</v>
      </c>
      <c r="D61" t="s">
        <v>21</v>
      </c>
    </row>
    <row r="62" spans="1:5" x14ac:dyDescent="0.25">
      <c r="A62">
        <v>3</v>
      </c>
      <c r="B62">
        <v>3</v>
      </c>
      <c r="D62" t="s">
        <v>22</v>
      </c>
    </row>
    <row r="63" spans="1:5" x14ac:dyDescent="0.25">
      <c r="A63">
        <v>1</v>
      </c>
      <c r="B63">
        <v>4</v>
      </c>
    </row>
    <row r="64" spans="1:5" x14ac:dyDescent="0.25">
      <c r="A64">
        <v>3</v>
      </c>
      <c r="B64">
        <v>5</v>
      </c>
    </row>
    <row r="65" spans="1:4" x14ac:dyDescent="0.25">
      <c r="A65">
        <v>1</v>
      </c>
      <c r="B65">
        <v>5</v>
      </c>
    </row>
    <row r="66" spans="1:4" x14ac:dyDescent="0.25">
      <c r="A66">
        <v>3</v>
      </c>
      <c r="B66">
        <v>2</v>
      </c>
      <c r="D66" t="s">
        <v>23</v>
      </c>
    </row>
    <row r="67" spans="1:4" x14ac:dyDescent="0.25">
      <c r="A67">
        <v>3</v>
      </c>
      <c r="B67">
        <v>2</v>
      </c>
      <c r="D67" t="str">
        <f>"Dos Colas: Si t calculado ("&amp;E29&amp;") &gt; a t critico  ("&amp;E52&amp;") (de tabla) ---&gt; Se rechaza la hipotesis nula"</f>
        <v>Dos Colas: Si t calculado (1.10874250210472) &gt; a t critico  (1.97246198976721) (de tabla) ---&gt; Se rechaza la hipotesis nula</v>
      </c>
    </row>
    <row r="68" spans="1:4" x14ac:dyDescent="0.25">
      <c r="A68">
        <v>3</v>
      </c>
      <c r="B68">
        <v>3</v>
      </c>
      <c r="D68" t="str">
        <f>"Una Cola: Si t calculado ("&amp;E29&amp;") &gt; a t critico  ("&amp;E53&amp;") (de tabla) ---&gt; Se rechaza la hipotesis nula"</f>
        <v>Una Cola: Si t calculado (1.10874250210472) &gt; a t critico  (-1.65287054723039) (de tabla) ---&gt; Se rechaza la hipotesis nula</v>
      </c>
    </row>
    <row r="69" spans="1:4" x14ac:dyDescent="0.25">
      <c r="A69">
        <v>5</v>
      </c>
      <c r="B69">
        <v>5</v>
      </c>
    </row>
    <row r="70" spans="1:4" x14ac:dyDescent="0.25">
      <c r="A70">
        <v>3</v>
      </c>
      <c r="B70">
        <v>3</v>
      </c>
    </row>
    <row r="71" spans="1:4" x14ac:dyDescent="0.25">
      <c r="A71">
        <v>5</v>
      </c>
      <c r="B71">
        <v>3</v>
      </c>
    </row>
    <row r="72" spans="1:4" x14ac:dyDescent="0.25">
      <c r="A72">
        <v>2</v>
      </c>
      <c r="B72">
        <v>4</v>
      </c>
      <c r="D72" t="s">
        <v>26</v>
      </c>
    </row>
    <row r="73" spans="1:4" x14ac:dyDescent="0.25">
      <c r="A73">
        <v>3</v>
      </c>
      <c r="B73">
        <v>5</v>
      </c>
      <c r="D73" t="str">
        <f>"Dos Colas: Si p valor ("&amp;E55&amp;") &lt; Nivel Significancia (0.05) ---&gt; Se rechaza la hipotesis nula"</f>
        <v>Dos Colas: Si p valor (0.268928163668874) &lt; Nivel Significancia (0.05) ---&gt; Se rechaza la hipotesis nula</v>
      </c>
    </row>
    <row r="74" spans="1:4" x14ac:dyDescent="0.25">
      <c r="A74">
        <v>1</v>
      </c>
      <c r="B74">
        <v>2</v>
      </c>
      <c r="D74" t="str">
        <f>"Una Cola: Si p valor ("&amp;E56&amp;") &lt; Nivel Significancia (0.05) ---&gt; Se rechaza la hipotesis nula"</f>
        <v>Una Cola: Si p valor (0.134464081834437) &lt; Nivel Significancia (0.05) ---&gt; Se rechaza la hipotesis nula</v>
      </c>
    </row>
    <row r="75" spans="1:4" x14ac:dyDescent="0.25">
      <c r="A75">
        <v>1</v>
      </c>
      <c r="B75">
        <v>3</v>
      </c>
    </row>
    <row r="76" spans="1:4" x14ac:dyDescent="0.25">
      <c r="A76">
        <v>3</v>
      </c>
      <c r="B76">
        <v>1</v>
      </c>
    </row>
    <row r="77" spans="1:4" x14ac:dyDescent="0.25">
      <c r="A77">
        <v>4</v>
      </c>
      <c r="B77">
        <v>3</v>
      </c>
    </row>
    <row r="78" spans="1:4" x14ac:dyDescent="0.25">
      <c r="A78">
        <v>5</v>
      </c>
      <c r="B78">
        <v>3</v>
      </c>
    </row>
    <row r="79" spans="1:4" x14ac:dyDescent="0.25">
      <c r="A79">
        <v>2</v>
      </c>
      <c r="B79">
        <v>3</v>
      </c>
    </row>
    <row r="80" spans="1:4" x14ac:dyDescent="0.25">
      <c r="A80">
        <v>3</v>
      </c>
      <c r="B80">
        <v>4</v>
      </c>
    </row>
    <row r="81" spans="1:2" x14ac:dyDescent="0.25">
      <c r="A81">
        <v>3</v>
      </c>
      <c r="B81">
        <v>2</v>
      </c>
    </row>
    <row r="82" spans="1:2" x14ac:dyDescent="0.25">
      <c r="A82">
        <v>1</v>
      </c>
      <c r="B82">
        <v>1</v>
      </c>
    </row>
    <row r="83" spans="1:2" x14ac:dyDescent="0.25">
      <c r="A83">
        <v>2</v>
      </c>
      <c r="B83">
        <v>3</v>
      </c>
    </row>
    <row r="84" spans="1:2" x14ac:dyDescent="0.25">
      <c r="A84">
        <v>2</v>
      </c>
      <c r="B84">
        <v>5</v>
      </c>
    </row>
    <row r="85" spans="1:2" x14ac:dyDescent="0.25">
      <c r="A85">
        <v>5</v>
      </c>
      <c r="B85">
        <v>1</v>
      </c>
    </row>
    <row r="86" spans="1:2" x14ac:dyDescent="0.25">
      <c r="A86">
        <v>3</v>
      </c>
      <c r="B86">
        <v>5</v>
      </c>
    </row>
    <row r="87" spans="1:2" x14ac:dyDescent="0.25">
      <c r="A87">
        <v>4</v>
      </c>
      <c r="B87">
        <v>2</v>
      </c>
    </row>
    <row r="88" spans="1:2" x14ac:dyDescent="0.25">
      <c r="A88">
        <v>3</v>
      </c>
      <c r="B88">
        <v>2</v>
      </c>
    </row>
    <row r="89" spans="1:2" x14ac:dyDescent="0.25">
      <c r="A89">
        <v>2</v>
      </c>
      <c r="B89">
        <v>2</v>
      </c>
    </row>
    <row r="90" spans="1:2" x14ac:dyDescent="0.25">
      <c r="A90">
        <v>3</v>
      </c>
      <c r="B90">
        <v>1</v>
      </c>
    </row>
    <row r="91" spans="1:2" x14ac:dyDescent="0.25">
      <c r="A91">
        <v>3</v>
      </c>
      <c r="B91">
        <v>3</v>
      </c>
    </row>
    <row r="92" spans="1:2" x14ac:dyDescent="0.25">
      <c r="A92">
        <v>3</v>
      </c>
      <c r="B92">
        <v>1</v>
      </c>
    </row>
    <row r="93" spans="1:2" x14ac:dyDescent="0.25">
      <c r="A93">
        <v>3</v>
      </c>
      <c r="B93">
        <v>3</v>
      </c>
    </row>
    <row r="94" spans="1:2" x14ac:dyDescent="0.25">
      <c r="A94">
        <v>3</v>
      </c>
      <c r="B94">
        <v>2</v>
      </c>
    </row>
    <row r="95" spans="1:2" x14ac:dyDescent="0.25">
      <c r="A95">
        <v>3</v>
      </c>
      <c r="B95">
        <v>3</v>
      </c>
    </row>
    <row r="96" spans="1:2" x14ac:dyDescent="0.25">
      <c r="A96">
        <v>3</v>
      </c>
      <c r="B96">
        <v>4</v>
      </c>
    </row>
    <row r="97" spans="1:2" x14ac:dyDescent="0.25">
      <c r="A97">
        <v>3</v>
      </c>
      <c r="B97">
        <v>4</v>
      </c>
    </row>
    <row r="98" spans="1:2" x14ac:dyDescent="0.25">
      <c r="A98">
        <v>3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B5" sqref="B5"/>
    </sheetView>
  </sheetViews>
  <sheetFormatPr baseColWidth="10" defaultColWidth="9.140625" defaultRowHeight="15" x14ac:dyDescent="0.25"/>
  <cols>
    <col min="1" max="1" width="36.5703125" customWidth="1"/>
    <col min="2" max="2" width="33.140625" customWidth="1"/>
    <col min="4" max="4" width="38.57031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2" t="s">
        <v>56</v>
      </c>
      <c r="B1" s="12" t="s">
        <v>57</v>
      </c>
    </row>
    <row r="2" spans="1:5" x14ac:dyDescent="0.25">
      <c r="A2">
        <v>3</v>
      </c>
      <c r="B2">
        <v>3</v>
      </c>
      <c r="D2" s="1" t="s">
        <v>24</v>
      </c>
      <c r="E2">
        <f>AVERAGE(A:A)</f>
        <v>2.9381443298969074</v>
      </c>
    </row>
    <row r="3" spans="1:5" x14ac:dyDescent="0.25">
      <c r="A3">
        <v>4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3</v>
      </c>
      <c r="B4">
        <v>3</v>
      </c>
      <c r="D4" s="1" t="s">
        <v>1</v>
      </c>
      <c r="E4">
        <f>MODE(A:A)</f>
        <v>3</v>
      </c>
    </row>
    <row r="5" spans="1:5" x14ac:dyDescent="0.25">
      <c r="A5">
        <v>3</v>
      </c>
      <c r="B5">
        <v>2</v>
      </c>
      <c r="D5" s="1" t="s">
        <v>15</v>
      </c>
      <c r="E5">
        <f>STDEV(A:A)</f>
        <v>1.0974822795616748</v>
      </c>
    </row>
    <row r="6" spans="1:5" x14ac:dyDescent="0.25">
      <c r="A6">
        <v>2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3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2.8969072164948453</v>
      </c>
    </row>
    <row r="9" spans="1:5" x14ac:dyDescent="0.25">
      <c r="A9">
        <v>1</v>
      </c>
      <c r="B9">
        <v>3</v>
      </c>
      <c r="D9" s="3" t="s">
        <v>2</v>
      </c>
      <c r="E9">
        <f>MEDIAN(B:B)</f>
        <v>3</v>
      </c>
    </row>
    <row r="10" spans="1:5" x14ac:dyDescent="0.25">
      <c r="A10">
        <v>4</v>
      </c>
      <c r="B10">
        <v>1</v>
      </c>
      <c r="D10" s="3" t="s">
        <v>3</v>
      </c>
      <c r="E10">
        <f>MODE(B:B)</f>
        <v>3</v>
      </c>
    </row>
    <row r="11" spans="1:5" x14ac:dyDescent="0.25">
      <c r="A11">
        <v>5</v>
      </c>
      <c r="B11">
        <v>4</v>
      </c>
      <c r="D11" s="3" t="s">
        <v>14</v>
      </c>
      <c r="E11">
        <f>STDEV(B:B)</f>
        <v>1.0356613837148767</v>
      </c>
    </row>
    <row r="12" spans="1:5" x14ac:dyDescent="0.25">
      <c r="A12">
        <v>1</v>
      </c>
      <c r="B12">
        <v>1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4</v>
      </c>
    </row>
    <row r="14" spans="1:5" x14ac:dyDescent="0.25">
      <c r="A14">
        <v>5</v>
      </c>
      <c r="B14">
        <v>2</v>
      </c>
    </row>
    <row r="15" spans="1:5" x14ac:dyDescent="0.25">
      <c r="A15">
        <v>3</v>
      </c>
      <c r="B15">
        <v>1</v>
      </c>
    </row>
    <row r="16" spans="1:5" x14ac:dyDescent="0.25">
      <c r="A16">
        <v>3</v>
      </c>
      <c r="B16">
        <v>3</v>
      </c>
    </row>
    <row r="17" spans="1:5" x14ac:dyDescent="0.25">
      <c r="A17">
        <v>3</v>
      </c>
      <c r="B17">
        <v>2</v>
      </c>
      <c r="D17" s="2" t="s">
        <v>6</v>
      </c>
      <c r="E17" s="2"/>
    </row>
    <row r="18" spans="1:5" x14ac:dyDescent="0.25">
      <c r="A18">
        <v>2</v>
      </c>
      <c r="B18">
        <v>4</v>
      </c>
    </row>
    <row r="19" spans="1:5" x14ac:dyDescent="0.25">
      <c r="A19">
        <v>3</v>
      </c>
      <c r="B19">
        <v>3</v>
      </c>
    </row>
    <row r="20" spans="1:5" x14ac:dyDescent="0.25">
      <c r="A20">
        <v>3</v>
      </c>
      <c r="B20">
        <v>3</v>
      </c>
    </row>
    <row r="21" spans="1:5" x14ac:dyDescent="0.25">
      <c r="A21">
        <v>4</v>
      </c>
      <c r="B21">
        <v>4</v>
      </c>
    </row>
    <row r="22" spans="1:5" x14ac:dyDescent="0.25">
      <c r="A22">
        <v>3</v>
      </c>
      <c r="B22">
        <v>3</v>
      </c>
    </row>
    <row r="23" spans="1:5" x14ac:dyDescent="0.25">
      <c r="A23">
        <v>4</v>
      </c>
      <c r="B23">
        <v>2</v>
      </c>
    </row>
    <row r="24" spans="1:5" x14ac:dyDescent="0.25">
      <c r="A24">
        <v>3</v>
      </c>
      <c r="B24">
        <v>5</v>
      </c>
    </row>
    <row r="25" spans="1:5" x14ac:dyDescent="0.25">
      <c r="A25">
        <v>3</v>
      </c>
      <c r="B25">
        <v>1</v>
      </c>
    </row>
    <row r="26" spans="1:5" x14ac:dyDescent="0.25">
      <c r="A26">
        <v>4</v>
      </c>
      <c r="B26">
        <v>5</v>
      </c>
    </row>
    <row r="27" spans="1:5" x14ac:dyDescent="0.25">
      <c r="A27">
        <v>2</v>
      </c>
      <c r="B27">
        <v>2</v>
      </c>
    </row>
    <row r="28" spans="1:5" x14ac:dyDescent="0.25">
      <c r="A28">
        <v>2</v>
      </c>
      <c r="B28">
        <v>5</v>
      </c>
    </row>
    <row r="29" spans="1:5" x14ac:dyDescent="0.25">
      <c r="A29">
        <v>2</v>
      </c>
      <c r="B29">
        <v>1</v>
      </c>
      <c r="D29" t="s">
        <v>11</v>
      </c>
      <c r="E29">
        <f>(E2-E8)/SQRT(((E5^2)/E6)+((E11^2)/E12))</f>
        <v>0.26914524410099755</v>
      </c>
    </row>
    <row r="30" spans="1:5" x14ac:dyDescent="0.25">
      <c r="A30">
        <v>1</v>
      </c>
      <c r="B30">
        <v>4</v>
      </c>
    </row>
    <row r="31" spans="1:5" x14ac:dyDescent="0.25">
      <c r="A31">
        <v>3</v>
      </c>
      <c r="B31">
        <v>2</v>
      </c>
      <c r="D31" s="2" t="s">
        <v>7</v>
      </c>
      <c r="E31" s="2"/>
    </row>
    <row r="32" spans="1:5" x14ac:dyDescent="0.25">
      <c r="A32">
        <v>4</v>
      </c>
      <c r="B32">
        <v>5</v>
      </c>
    </row>
    <row r="33" spans="1:6" x14ac:dyDescent="0.25">
      <c r="A33">
        <v>3</v>
      </c>
      <c r="B33">
        <v>2</v>
      </c>
    </row>
    <row r="34" spans="1:6" x14ac:dyDescent="0.25">
      <c r="A34">
        <v>4</v>
      </c>
      <c r="B34">
        <v>4</v>
      </c>
    </row>
    <row r="35" spans="1:6" x14ac:dyDescent="0.25">
      <c r="A35">
        <v>2</v>
      </c>
      <c r="B35">
        <v>3</v>
      </c>
    </row>
    <row r="36" spans="1:6" x14ac:dyDescent="0.25">
      <c r="A36">
        <v>1</v>
      </c>
      <c r="B36">
        <v>3</v>
      </c>
    </row>
    <row r="37" spans="1:6" x14ac:dyDescent="0.25">
      <c r="A37">
        <v>5</v>
      </c>
      <c r="B37">
        <v>2</v>
      </c>
    </row>
    <row r="38" spans="1:6" x14ac:dyDescent="0.25">
      <c r="A38">
        <v>2</v>
      </c>
      <c r="B38">
        <v>4</v>
      </c>
    </row>
    <row r="39" spans="1:6" x14ac:dyDescent="0.25">
      <c r="A39">
        <v>3</v>
      </c>
      <c r="B39">
        <v>1</v>
      </c>
    </row>
    <row r="40" spans="1:6" x14ac:dyDescent="0.25">
      <c r="A40">
        <v>3</v>
      </c>
      <c r="B40">
        <v>2</v>
      </c>
    </row>
    <row r="41" spans="1:6" ht="29.25" customHeight="1" x14ac:dyDescent="0.25">
      <c r="A41">
        <v>1</v>
      </c>
      <c r="B41">
        <v>4</v>
      </c>
      <c r="D41" t="s">
        <v>8</v>
      </c>
      <c r="E41">
        <f>(((E5^2)/E6)+((E11^2)/E12))^2</f>
        <v>5.5106926289167539E-4</v>
      </c>
    </row>
    <row r="42" spans="1:6" ht="47.25" customHeight="1" x14ac:dyDescent="0.25">
      <c r="A42">
        <v>3</v>
      </c>
      <c r="B42">
        <v>4</v>
      </c>
      <c r="D42" t="s">
        <v>9</v>
      </c>
      <c r="E42">
        <f>(((E5^2)/E6)^2)/(E6-1)</f>
        <v>1.6061102919366513E-6</v>
      </c>
    </row>
    <row r="43" spans="1:6" ht="43.5" customHeight="1" x14ac:dyDescent="0.25">
      <c r="A43">
        <v>4</v>
      </c>
      <c r="B43">
        <v>3</v>
      </c>
      <c r="D43" t="s">
        <v>10</v>
      </c>
      <c r="E43">
        <f>(((E11^2)/E12)^2)/(E12-1)</f>
        <v>1.2736685676791523E-6</v>
      </c>
    </row>
    <row r="44" spans="1:6" x14ac:dyDescent="0.25">
      <c r="A44">
        <v>5</v>
      </c>
      <c r="B44">
        <v>1</v>
      </c>
    </row>
    <row r="45" spans="1:6" x14ac:dyDescent="0.25">
      <c r="A45">
        <v>5</v>
      </c>
      <c r="B45">
        <v>2</v>
      </c>
      <c r="D45" t="s">
        <v>7</v>
      </c>
      <c r="E45">
        <f>E41/(E42+E43)</f>
        <v>191.35818747040685</v>
      </c>
      <c r="F45" s="6" t="s">
        <v>12</v>
      </c>
    </row>
    <row r="46" spans="1:6" x14ac:dyDescent="0.25">
      <c r="A46">
        <v>1</v>
      </c>
      <c r="B46">
        <v>3</v>
      </c>
    </row>
    <row r="47" spans="1:6" x14ac:dyDescent="0.25">
      <c r="A47">
        <v>2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3</v>
      </c>
    </row>
    <row r="49" spans="1:5" x14ac:dyDescent="0.25">
      <c r="A49">
        <v>4</v>
      </c>
      <c r="B49">
        <v>4</v>
      </c>
    </row>
    <row r="50" spans="1:5" x14ac:dyDescent="0.25">
      <c r="A50">
        <v>3</v>
      </c>
      <c r="B50">
        <v>4</v>
      </c>
    </row>
    <row r="51" spans="1:5" x14ac:dyDescent="0.25">
      <c r="A51">
        <v>4</v>
      </c>
      <c r="B51">
        <v>4</v>
      </c>
      <c r="D51" s="2"/>
      <c r="E51" s="2"/>
    </row>
    <row r="52" spans="1:5" x14ac:dyDescent="0.25">
      <c r="A52">
        <v>4</v>
      </c>
      <c r="B52">
        <v>3</v>
      </c>
      <c r="D52" t="s">
        <v>16</v>
      </c>
      <c r="E52">
        <f>_xlfn.T.INV.2T(E47,E45)</f>
        <v>1.9724619897672133</v>
      </c>
    </row>
    <row r="53" spans="1:5" x14ac:dyDescent="0.25">
      <c r="A53">
        <v>5</v>
      </c>
      <c r="B53">
        <v>3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4</v>
      </c>
    </row>
    <row r="55" spans="1:5" x14ac:dyDescent="0.25">
      <c r="A55">
        <v>3</v>
      </c>
      <c r="B55">
        <v>1</v>
      </c>
      <c r="D55" t="s">
        <v>18</v>
      </c>
      <c r="E55">
        <f>TTEST(A:A,B:B,2,2)</f>
        <v>0.78810692140010929</v>
      </c>
    </row>
    <row r="56" spans="1:5" x14ac:dyDescent="0.25">
      <c r="A56">
        <v>4</v>
      </c>
      <c r="B56">
        <v>1</v>
      </c>
      <c r="D56" t="s">
        <v>19</v>
      </c>
      <c r="E56">
        <f>TTEST(A:A,B:B,1,2)</f>
        <v>0.39405346070005465</v>
      </c>
    </row>
    <row r="57" spans="1:5" x14ac:dyDescent="0.25">
      <c r="A57">
        <v>2</v>
      </c>
      <c r="B57">
        <v>3</v>
      </c>
    </row>
    <row r="58" spans="1:5" x14ac:dyDescent="0.25">
      <c r="A58">
        <v>3</v>
      </c>
      <c r="B58">
        <v>4</v>
      </c>
    </row>
    <row r="59" spans="1:5" x14ac:dyDescent="0.25">
      <c r="A59">
        <v>2</v>
      </c>
      <c r="B59">
        <v>4</v>
      </c>
      <c r="D59" s="2" t="s">
        <v>20</v>
      </c>
      <c r="E59" s="2"/>
    </row>
    <row r="60" spans="1:5" x14ac:dyDescent="0.25">
      <c r="A60">
        <v>2</v>
      </c>
      <c r="B60">
        <v>2</v>
      </c>
    </row>
    <row r="61" spans="1:5" x14ac:dyDescent="0.25">
      <c r="A61">
        <v>3</v>
      </c>
      <c r="B61">
        <v>3</v>
      </c>
      <c r="D61" t="s">
        <v>21</v>
      </c>
    </row>
    <row r="62" spans="1:5" x14ac:dyDescent="0.25">
      <c r="A62">
        <v>2</v>
      </c>
      <c r="B62">
        <v>3</v>
      </c>
      <c r="D62" t="s">
        <v>22</v>
      </c>
    </row>
    <row r="63" spans="1:5" x14ac:dyDescent="0.25">
      <c r="A63">
        <v>3</v>
      </c>
      <c r="B63">
        <v>3</v>
      </c>
    </row>
    <row r="64" spans="1:5" x14ac:dyDescent="0.25">
      <c r="A64">
        <v>5</v>
      </c>
      <c r="B64">
        <v>2</v>
      </c>
    </row>
    <row r="65" spans="1:4" x14ac:dyDescent="0.25">
      <c r="A65">
        <v>2</v>
      </c>
      <c r="B65">
        <v>2</v>
      </c>
    </row>
    <row r="66" spans="1:4" x14ac:dyDescent="0.25">
      <c r="A66">
        <v>1</v>
      </c>
      <c r="B66">
        <v>4</v>
      </c>
      <c r="D66" t="s">
        <v>23</v>
      </c>
    </row>
    <row r="67" spans="1:4" x14ac:dyDescent="0.25">
      <c r="A67">
        <v>2</v>
      </c>
      <c r="B67">
        <v>4</v>
      </c>
      <c r="D67" t="str">
        <f>"Dos Colas: Si t calculado ("&amp;E29&amp;") &gt; a t critico  ("&amp;E52&amp;") (de tabla) ---&gt; Se rechaza la hipotesis nula"</f>
        <v>Dos Colas: Si t calculado (0.269145244100998) &gt; a t critico  (1.97246198976721) (de tabla) ---&gt; Se rechaza la hipotesis nula</v>
      </c>
    </row>
    <row r="68" spans="1:4" x14ac:dyDescent="0.25">
      <c r="A68">
        <v>4</v>
      </c>
      <c r="B68">
        <v>1</v>
      </c>
      <c r="D68" t="str">
        <f>"Una Cola: Si t calculado ("&amp;E29&amp;") &gt; a t critico  ("&amp;E53&amp;") (de tabla) ---&gt; Se rechaza la hipotesis nula"</f>
        <v>Una Cola: Si t calculado (0.269145244100998) &gt; a t critico  (-1.65287054723039) (de tabla) ---&gt; Se rechaza la hipotesis nula</v>
      </c>
    </row>
    <row r="69" spans="1:4" x14ac:dyDescent="0.25">
      <c r="A69">
        <v>3</v>
      </c>
      <c r="B69">
        <v>4</v>
      </c>
    </row>
    <row r="70" spans="1:4" x14ac:dyDescent="0.25">
      <c r="A70">
        <v>3</v>
      </c>
      <c r="B70">
        <v>2</v>
      </c>
    </row>
    <row r="71" spans="1:4" x14ac:dyDescent="0.25">
      <c r="A71">
        <v>3</v>
      </c>
      <c r="B71">
        <v>3</v>
      </c>
    </row>
    <row r="72" spans="1:4" x14ac:dyDescent="0.25">
      <c r="A72">
        <v>4</v>
      </c>
      <c r="B72">
        <v>3</v>
      </c>
      <c r="D72" t="s">
        <v>26</v>
      </c>
    </row>
    <row r="73" spans="1:4" x14ac:dyDescent="0.25">
      <c r="A73">
        <v>5</v>
      </c>
      <c r="B73">
        <v>4</v>
      </c>
      <c r="D73" t="str">
        <f>"Dos Colas: Si p valor ("&amp;E55&amp;") &lt; Nivel Significancia (0.05) ---&gt; Se rechaza la hipotesis nula"</f>
        <v>Dos Colas: Si p valor (0.788106921400109) &lt; Nivel Significancia (0.05) ---&gt; Se rechaza la hipotesis nula</v>
      </c>
    </row>
    <row r="74" spans="1:4" x14ac:dyDescent="0.25">
      <c r="A74">
        <v>3</v>
      </c>
      <c r="B74">
        <v>3</v>
      </c>
      <c r="D74" t="str">
        <f>"Una Cola: Si p valor ("&amp;E56&amp;") &lt; Nivel Significancia (0.05) ---&gt; Se rechaza la hipotesis nula"</f>
        <v>Una Cola: Si p valor (0.394053460700055) &lt; Nivel Significancia (0.05) ---&gt; Se rechaza la hipotesis nula</v>
      </c>
    </row>
    <row r="75" spans="1:4" x14ac:dyDescent="0.25">
      <c r="A75">
        <v>3</v>
      </c>
      <c r="B75">
        <v>5</v>
      </c>
    </row>
    <row r="76" spans="1:4" x14ac:dyDescent="0.25">
      <c r="A76">
        <v>3</v>
      </c>
      <c r="B76">
        <v>3</v>
      </c>
    </row>
    <row r="77" spans="1:4" x14ac:dyDescent="0.25">
      <c r="A77">
        <v>4</v>
      </c>
      <c r="B77">
        <v>2</v>
      </c>
    </row>
    <row r="78" spans="1:4" x14ac:dyDescent="0.25">
      <c r="A78">
        <v>3</v>
      </c>
      <c r="B78">
        <v>3</v>
      </c>
    </row>
    <row r="79" spans="1:4" x14ac:dyDescent="0.25">
      <c r="A79">
        <v>3</v>
      </c>
      <c r="B79">
        <v>2</v>
      </c>
    </row>
    <row r="80" spans="1:4" x14ac:dyDescent="0.25">
      <c r="A80">
        <v>2</v>
      </c>
      <c r="B80">
        <v>3</v>
      </c>
    </row>
    <row r="81" spans="1:2" x14ac:dyDescent="0.25">
      <c r="A81">
        <v>2</v>
      </c>
      <c r="B81">
        <v>2</v>
      </c>
    </row>
    <row r="82" spans="1:2" x14ac:dyDescent="0.25">
      <c r="A82">
        <v>3</v>
      </c>
      <c r="B82">
        <v>3</v>
      </c>
    </row>
    <row r="83" spans="1:2" x14ac:dyDescent="0.25">
      <c r="A83">
        <v>3</v>
      </c>
      <c r="B83">
        <v>4</v>
      </c>
    </row>
    <row r="84" spans="1:2" x14ac:dyDescent="0.25">
      <c r="A84">
        <v>3</v>
      </c>
      <c r="B84">
        <v>2</v>
      </c>
    </row>
    <row r="85" spans="1:2" x14ac:dyDescent="0.25">
      <c r="A85">
        <v>2</v>
      </c>
      <c r="B85">
        <v>3</v>
      </c>
    </row>
    <row r="86" spans="1:2" x14ac:dyDescent="0.25">
      <c r="A86">
        <v>1</v>
      </c>
      <c r="B86">
        <v>3</v>
      </c>
    </row>
    <row r="87" spans="1:2" x14ac:dyDescent="0.25">
      <c r="A87">
        <v>5</v>
      </c>
      <c r="B87">
        <v>2</v>
      </c>
    </row>
    <row r="88" spans="1:2" x14ac:dyDescent="0.25">
      <c r="A88">
        <v>3</v>
      </c>
      <c r="B88">
        <v>3</v>
      </c>
    </row>
    <row r="89" spans="1:2" x14ac:dyDescent="0.25">
      <c r="A89">
        <v>3</v>
      </c>
      <c r="B89">
        <v>2</v>
      </c>
    </row>
    <row r="90" spans="1:2" x14ac:dyDescent="0.25">
      <c r="A90">
        <v>3</v>
      </c>
      <c r="B90">
        <v>4</v>
      </c>
    </row>
    <row r="91" spans="1:2" x14ac:dyDescent="0.25">
      <c r="A91">
        <v>1</v>
      </c>
      <c r="B91">
        <v>3</v>
      </c>
    </row>
    <row r="92" spans="1:2" x14ac:dyDescent="0.25">
      <c r="A92">
        <v>4</v>
      </c>
      <c r="B92">
        <v>3</v>
      </c>
    </row>
    <row r="93" spans="1:2" x14ac:dyDescent="0.25">
      <c r="A93">
        <v>1</v>
      </c>
      <c r="B93">
        <v>2</v>
      </c>
    </row>
    <row r="94" spans="1:2" x14ac:dyDescent="0.25">
      <c r="A94">
        <v>2</v>
      </c>
      <c r="B94">
        <v>3</v>
      </c>
    </row>
    <row r="95" spans="1:2" x14ac:dyDescent="0.25">
      <c r="A95">
        <v>3</v>
      </c>
      <c r="B95">
        <v>4</v>
      </c>
    </row>
    <row r="96" spans="1:2" x14ac:dyDescent="0.25">
      <c r="A96">
        <v>1</v>
      </c>
      <c r="B96">
        <v>3</v>
      </c>
    </row>
    <row r="97" spans="1:2" x14ac:dyDescent="0.25">
      <c r="A97">
        <v>3</v>
      </c>
      <c r="B97">
        <v>3</v>
      </c>
    </row>
    <row r="98" spans="1:2" x14ac:dyDescent="0.25">
      <c r="A98">
        <v>4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1" sqref="C1"/>
    </sheetView>
  </sheetViews>
  <sheetFormatPr baseColWidth="10" defaultColWidth="9.140625" defaultRowHeight="15" x14ac:dyDescent="0.25"/>
  <cols>
    <col min="1" max="1" width="30.5703125" customWidth="1"/>
    <col min="2" max="2" width="32.28515625" customWidth="1"/>
    <col min="4" max="4" width="37.710937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58</v>
      </c>
      <c r="B1" s="8" t="s">
        <v>59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3.134020618556701</v>
      </c>
    </row>
    <row r="3" spans="1:5" x14ac:dyDescent="0.25">
      <c r="A3">
        <v>3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1</v>
      </c>
      <c r="B4">
        <v>4</v>
      </c>
      <c r="D4" s="1" t="s">
        <v>1</v>
      </c>
      <c r="E4">
        <f>MODE(A:A)</f>
        <v>3</v>
      </c>
    </row>
    <row r="5" spans="1:5" x14ac:dyDescent="0.25">
      <c r="A5">
        <v>3</v>
      </c>
      <c r="B5">
        <v>3</v>
      </c>
      <c r="D5" s="1" t="s">
        <v>15</v>
      </c>
      <c r="E5">
        <f>STDEV(A:A)</f>
        <v>1.2300818568576835</v>
      </c>
    </row>
    <row r="6" spans="1:5" x14ac:dyDescent="0.25">
      <c r="A6">
        <v>3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2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3.1237113402061856</v>
      </c>
    </row>
    <row r="9" spans="1:5" x14ac:dyDescent="0.25">
      <c r="A9">
        <v>4</v>
      </c>
      <c r="B9">
        <v>4</v>
      </c>
      <c r="D9" s="3" t="s">
        <v>2</v>
      </c>
      <c r="E9">
        <f>MEDIAN(B:B)</f>
        <v>3</v>
      </c>
    </row>
    <row r="10" spans="1:5" x14ac:dyDescent="0.25">
      <c r="A10">
        <v>3</v>
      </c>
      <c r="B10">
        <v>4</v>
      </c>
      <c r="D10" s="3" t="s">
        <v>3</v>
      </c>
      <c r="E10">
        <f>MODE(B:B)</f>
        <v>3</v>
      </c>
    </row>
    <row r="11" spans="1:5" x14ac:dyDescent="0.25">
      <c r="A11">
        <v>5</v>
      </c>
      <c r="B11">
        <v>4</v>
      </c>
      <c r="D11" s="3" t="s">
        <v>14</v>
      </c>
      <c r="E11">
        <f>STDEV(B:B)</f>
        <v>1.1110967925766981</v>
      </c>
    </row>
    <row r="12" spans="1:5" x14ac:dyDescent="0.25">
      <c r="A12">
        <v>1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2</v>
      </c>
      <c r="B13">
        <v>2</v>
      </c>
    </row>
    <row r="14" spans="1:5" x14ac:dyDescent="0.25">
      <c r="A14">
        <v>5</v>
      </c>
      <c r="B14">
        <v>3</v>
      </c>
    </row>
    <row r="15" spans="1:5" x14ac:dyDescent="0.25">
      <c r="A15">
        <v>2</v>
      </c>
      <c r="B15">
        <v>3</v>
      </c>
    </row>
    <row r="16" spans="1:5" x14ac:dyDescent="0.25">
      <c r="A16">
        <v>3</v>
      </c>
      <c r="B16">
        <v>1</v>
      </c>
    </row>
    <row r="17" spans="1:5" x14ac:dyDescent="0.25">
      <c r="A17">
        <v>4</v>
      </c>
      <c r="B17">
        <v>3</v>
      </c>
      <c r="D17" s="2" t="s">
        <v>6</v>
      </c>
      <c r="E17" s="2"/>
    </row>
    <row r="18" spans="1:5" x14ac:dyDescent="0.25">
      <c r="A18">
        <v>4</v>
      </c>
      <c r="B18">
        <v>5</v>
      </c>
    </row>
    <row r="19" spans="1:5" x14ac:dyDescent="0.25">
      <c r="A19">
        <v>3</v>
      </c>
      <c r="B19">
        <v>4</v>
      </c>
    </row>
    <row r="20" spans="1:5" x14ac:dyDescent="0.25">
      <c r="A20">
        <v>2</v>
      </c>
      <c r="B20">
        <v>2</v>
      </c>
    </row>
    <row r="21" spans="1:5" x14ac:dyDescent="0.25">
      <c r="A21">
        <v>4</v>
      </c>
      <c r="B21">
        <v>2</v>
      </c>
    </row>
    <row r="22" spans="1:5" x14ac:dyDescent="0.25">
      <c r="A22">
        <v>3</v>
      </c>
      <c r="B22">
        <v>4</v>
      </c>
    </row>
    <row r="23" spans="1:5" x14ac:dyDescent="0.25">
      <c r="A23">
        <v>4</v>
      </c>
      <c r="B23">
        <v>4</v>
      </c>
    </row>
    <row r="24" spans="1:5" x14ac:dyDescent="0.25">
      <c r="A24">
        <v>5</v>
      </c>
      <c r="B24">
        <v>4</v>
      </c>
    </row>
    <row r="25" spans="1:5" x14ac:dyDescent="0.25">
      <c r="A25">
        <v>4</v>
      </c>
      <c r="B25">
        <v>5</v>
      </c>
    </row>
    <row r="26" spans="1:5" x14ac:dyDescent="0.25">
      <c r="A26">
        <v>4</v>
      </c>
      <c r="B26">
        <v>3</v>
      </c>
    </row>
    <row r="27" spans="1:5" x14ac:dyDescent="0.25">
      <c r="A27">
        <v>5</v>
      </c>
      <c r="B27">
        <v>5</v>
      </c>
    </row>
    <row r="28" spans="1:5" x14ac:dyDescent="0.25">
      <c r="A28">
        <v>3</v>
      </c>
      <c r="B28">
        <v>2</v>
      </c>
    </row>
    <row r="29" spans="1:5" x14ac:dyDescent="0.25">
      <c r="A29">
        <v>3</v>
      </c>
      <c r="B29">
        <v>4</v>
      </c>
      <c r="D29" t="s">
        <v>11</v>
      </c>
      <c r="E29">
        <f>(E2-E8)/SQRT(((E5^2)/E6)+((E11^2)/E12))</f>
        <v>6.1253994999384637E-2</v>
      </c>
    </row>
    <row r="30" spans="1:5" x14ac:dyDescent="0.25">
      <c r="A30">
        <v>2</v>
      </c>
      <c r="B30">
        <v>2</v>
      </c>
    </row>
    <row r="31" spans="1:5" x14ac:dyDescent="0.25">
      <c r="A31">
        <v>2</v>
      </c>
      <c r="B31">
        <v>3</v>
      </c>
      <c r="D31" s="2" t="s">
        <v>7</v>
      </c>
      <c r="E31" s="2"/>
    </row>
    <row r="32" spans="1:5" x14ac:dyDescent="0.25">
      <c r="A32">
        <v>5</v>
      </c>
      <c r="B32">
        <v>3</v>
      </c>
    </row>
    <row r="33" spans="1:6" x14ac:dyDescent="0.25">
      <c r="A33">
        <v>3</v>
      </c>
      <c r="B33">
        <v>3</v>
      </c>
    </row>
    <row r="34" spans="1:6" x14ac:dyDescent="0.25">
      <c r="A34">
        <v>4</v>
      </c>
      <c r="B34">
        <v>4</v>
      </c>
    </row>
    <row r="35" spans="1:6" x14ac:dyDescent="0.25">
      <c r="A35">
        <v>4</v>
      </c>
      <c r="B35">
        <v>5</v>
      </c>
    </row>
    <row r="36" spans="1:6" x14ac:dyDescent="0.25">
      <c r="A36">
        <v>4</v>
      </c>
      <c r="B36">
        <v>3</v>
      </c>
    </row>
    <row r="37" spans="1:6" x14ac:dyDescent="0.25">
      <c r="A37">
        <v>2</v>
      </c>
      <c r="B37">
        <v>2</v>
      </c>
    </row>
    <row r="38" spans="1:6" x14ac:dyDescent="0.25">
      <c r="A38">
        <v>3</v>
      </c>
      <c r="B38">
        <v>5</v>
      </c>
    </row>
    <row r="39" spans="1:6" x14ac:dyDescent="0.25">
      <c r="A39">
        <v>2</v>
      </c>
      <c r="B39">
        <v>5</v>
      </c>
    </row>
    <row r="40" spans="1:6" x14ac:dyDescent="0.25">
      <c r="A40">
        <v>3</v>
      </c>
      <c r="B40">
        <v>2</v>
      </c>
    </row>
    <row r="41" spans="1:6" ht="29.25" customHeight="1" x14ac:dyDescent="0.25">
      <c r="A41">
        <v>3</v>
      </c>
      <c r="B41">
        <v>2</v>
      </c>
      <c r="D41" t="s">
        <v>8</v>
      </c>
      <c r="E41">
        <f>(((E5^2)/E6)+((E11^2)/E12))^2</f>
        <v>8.023713035768856E-4</v>
      </c>
    </row>
    <row r="42" spans="1:6" ht="47.25" customHeight="1" x14ac:dyDescent="0.25">
      <c r="A42">
        <v>2</v>
      </c>
      <c r="B42">
        <v>1</v>
      </c>
      <c r="D42" t="s">
        <v>9</v>
      </c>
      <c r="E42">
        <f>(((E5^2)/E6)^2)/(E6-1)</f>
        <v>2.5346695647418414E-6</v>
      </c>
    </row>
    <row r="43" spans="1:6" ht="43.5" customHeight="1" x14ac:dyDescent="0.25">
      <c r="A43">
        <v>4</v>
      </c>
      <c r="B43">
        <v>3</v>
      </c>
      <c r="D43" t="s">
        <v>10</v>
      </c>
      <c r="E43">
        <f>(((E11^2)/E12)^2)/(E12-1)</f>
        <v>1.6873022050372976E-6</v>
      </c>
    </row>
    <row r="44" spans="1:6" x14ac:dyDescent="0.25">
      <c r="A44">
        <v>3</v>
      </c>
      <c r="B44">
        <v>3</v>
      </c>
    </row>
    <row r="45" spans="1:6" x14ac:dyDescent="0.25">
      <c r="A45">
        <v>5</v>
      </c>
      <c r="B45">
        <v>4</v>
      </c>
      <c r="D45" t="s">
        <v>7</v>
      </c>
      <c r="E45">
        <f>E41/(E42+E43)</f>
        <v>190.04658186496104</v>
      </c>
      <c r="F45" s="6" t="s">
        <v>12</v>
      </c>
    </row>
    <row r="46" spans="1:6" x14ac:dyDescent="0.25">
      <c r="A46">
        <v>3</v>
      </c>
      <c r="B46">
        <v>3</v>
      </c>
    </row>
    <row r="47" spans="1:6" x14ac:dyDescent="0.25">
      <c r="A47">
        <v>2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1</v>
      </c>
      <c r="B48">
        <v>2</v>
      </c>
    </row>
    <row r="49" spans="1:5" x14ac:dyDescent="0.25">
      <c r="A49">
        <v>3</v>
      </c>
      <c r="B49">
        <v>2</v>
      </c>
    </row>
    <row r="50" spans="1:5" x14ac:dyDescent="0.25">
      <c r="A50">
        <v>3</v>
      </c>
      <c r="B50">
        <v>3</v>
      </c>
    </row>
    <row r="51" spans="1:5" x14ac:dyDescent="0.25">
      <c r="A51">
        <v>2</v>
      </c>
      <c r="B51">
        <v>2</v>
      </c>
      <c r="D51" s="2"/>
      <c r="E51" s="2"/>
    </row>
    <row r="52" spans="1:5" x14ac:dyDescent="0.25">
      <c r="A52">
        <v>4</v>
      </c>
      <c r="B52">
        <v>4</v>
      </c>
      <c r="D52" t="s">
        <v>16</v>
      </c>
      <c r="E52">
        <f>_xlfn.T.INV.2T(E47,E45)</f>
        <v>1.9725281820013127</v>
      </c>
    </row>
    <row r="53" spans="1:5" x14ac:dyDescent="0.25">
      <c r="A53">
        <v>4</v>
      </c>
      <c r="B53">
        <v>5</v>
      </c>
      <c r="D53" t="s">
        <v>17</v>
      </c>
      <c r="E53">
        <f>_xlfn.T.INV(E47, E45)</f>
        <v>-1.6529129490224199</v>
      </c>
    </row>
    <row r="54" spans="1:5" x14ac:dyDescent="0.25">
      <c r="A54">
        <v>2</v>
      </c>
      <c r="B54">
        <v>3</v>
      </c>
    </row>
    <row r="55" spans="1:5" x14ac:dyDescent="0.25">
      <c r="A55">
        <v>5</v>
      </c>
      <c r="B55">
        <v>3</v>
      </c>
      <c r="D55" t="s">
        <v>18</v>
      </c>
      <c r="E55">
        <f>TTEST(A:A,B:B,2,2)</f>
        <v>0.95122064332378808</v>
      </c>
    </row>
    <row r="56" spans="1:5" x14ac:dyDescent="0.25">
      <c r="A56">
        <v>1</v>
      </c>
      <c r="B56">
        <v>3</v>
      </c>
      <c r="D56" t="s">
        <v>19</v>
      </c>
      <c r="E56">
        <f>TTEST(A:A,B:B,1,2)</f>
        <v>0.47561032166189404</v>
      </c>
    </row>
    <row r="57" spans="1:5" x14ac:dyDescent="0.25">
      <c r="A57">
        <v>1</v>
      </c>
      <c r="B57">
        <v>3</v>
      </c>
    </row>
    <row r="58" spans="1:5" x14ac:dyDescent="0.25">
      <c r="A58">
        <v>4</v>
      </c>
      <c r="B58">
        <v>3</v>
      </c>
    </row>
    <row r="59" spans="1:5" x14ac:dyDescent="0.25">
      <c r="A59">
        <v>4</v>
      </c>
      <c r="B59">
        <v>5</v>
      </c>
      <c r="D59" s="2" t="s">
        <v>20</v>
      </c>
      <c r="E59" s="2"/>
    </row>
    <row r="60" spans="1:5" x14ac:dyDescent="0.25">
      <c r="A60">
        <v>2</v>
      </c>
      <c r="B60">
        <v>5</v>
      </c>
    </row>
    <row r="61" spans="1:5" x14ac:dyDescent="0.25">
      <c r="A61">
        <v>1</v>
      </c>
      <c r="B61">
        <v>2</v>
      </c>
      <c r="D61" t="s">
        <v>21</v>
      </c>
    </row>
    <row r="62" spans="1:5" x14ac:dyDescent="0.25">
      <c r="A62">
        <v>5</v>
      </c>
      <c r="B62">
        <v>5</v>
      </c>
      <c r="D62" t="s">
        <v>22</v>
      </c>
    </row>
    <row r="63" spans="1:5" x14ac:dyDescent="0.25">
      <c r="A63">
        <v>5</v>
      </c>
      <c r="B63">
        <v>3</v>
      </c>
    </row>
    <row r="64" spans="1:5" x14ac:dyDescent="0.25">
      <c r="A64">
        <v>4</v>
      </c>
      <c r="B64">
        <v>4</v>
      </c>
    </row>
    <row r="65" spans="1:4" x14ac:dyDescent="0.25">
      <c r="A65">
        <v>1</v>
      </c>
      <c r="B65">
        <v>2</v>
      </c>
    </row>
    <row r="66" spans="1:4" x14ac:dyDescent="0.25">
      <c r="A66">
        <v>5</v>
      </c>
      <c r="B66">
        <v>3</v>
      </c>
      <c r="D66" t="s">
        <v>23</v>
      </c>
    </row>
    <row r="67" spans="1:4" x14ac:dyDescent="0.25">
      <c r="A67">
        <v>5</v>
      </c>
      <c r="B67">
        <v>3</v>
      </c>
      <c r="D67" t="str">
        <f>"Dos Colas: Si t calculado ("&amp;E29&amp;") &gt; a t critico  ("&amp;E52&amp;") (de tabla) ---&gt; Se rechaza la hipotesis nula"</f>
        <v>Dos Colas: Si t calculado (0.0612539949993846) &gt; a t critico  (1.97252818200131) (de tabla) ---&gt; Se rechaza la hipotesis nula</v>
      </c>
    </row>
    <row r="68" spans="1:4" x14ac:dyDescent="0.25">
      <c r="A68">
        <v>3</v>
      </c>
      <c r="B68">
        <v>4</v>
      </c>
      <c r="D68" t="str">
        <f>"Una Cola: Si t calculado ("&amp;E29&amp;") &gt; a t critico  ("&amp;E53&amp;") (de tabla) ---&gt; Se rechaza la hipotesis nula"</f>
        <v>Una Cola: Si t calculado (0.0612539949993846) &gt; a t critico  (-1.65291294902242) (de tabla) ---&gt; Se rechaza la hipotesis nula</v>
      </c>
    </row>
    <row r="69" spans="1:4" x14ac:dyDescent="0.25">
      <c r="A69">
        <v>1</v>
      </c>
      <c r="B69">
        <v>2</v>
      </c>
    </row>
    <row r="70" spans="1:4" x14ac:dyDescent="0.25">
      <c r="A70">
        <v>5</v>
      </c>
      <c r="B70">
        <v>3</v>
      </c>
    </row>
    <row r="71" spans="1:4" x14ac:dyDescent="0.25">
      <c r="A71">
        <v>1</v>
      </c>
      <c r="B71">
        <v>2</v>
      </c>
    </row>
    <row r="72" spans="1:4" x14ac:dyDescent="0.25">
      <c r="A72">
        <v>4</v>
      </c>
      <c r="B72">
        <v>1</v>
      </c>
      <c r="D72" t="s">
        <v>26</v>
      </c>
    </row>
    <row r="73" spans="1:4" x14ac:dyDescent="0.25">
      <c r="A73">
        <v>5</v>
      </c>
      <c r="B73">
        <v>4</v>
      </c>
      <c r="D73" t="str">
        <f>"Dos Colas: Si p valor ("&amp;E55&amp;") &lt; Nivel Significancia (0.05) ---&gt; Se rechaza la hipotesis nula"</f>
        <v>Dos Colas: Si p valor (0.951220643323788) &lt; Nivel Significancia (0.05) ---&gt; Se rechaza la hipotesis nula</v>
      </c>
    </row>
    <row r="74" spans="1:4" x14ac:dyDescent="0.25">
      <c r="A74">
        <v>1</v>
      </c>
      <c r="B74">
        <v>3</v>
      </c>
      <c r="D74" t="str">
        <f>"Una Cola: Si p valor ("&amp;E56&amp;") &lt; Nivel Significancia (0.05) ---&gt; Se rechaza la hipotesis nula"</f>
        <v>Una Cola: Si p valor (0.475610321661894) &lt; Nivel Significancia (0.05) ---&gt; Se rechaza la hipotesis nula</v>
      </c>
    </row>
    <row r="75" spans="1:4" x14ac:dyDescent="0.25">
      <c r="A75">
        <v>3</v>
      </c>
      <c r="B75">
        <v>3</v>
      </c>
    </row>
    <row r="76" spans="1:4" x14ac:dyDescent="0.25">
      <c r="A76">
        <v>3</v>
      </c>
      <c r="B76">
        <v>4</v>
      </c>
    </row>
    <row r="77" spans="1:4" x14ac:dyDescent="0.25">
      <c r="A77">
        <v>4</v>
      </c>
      <c r="B77">
        <v>2</v>
      </c>
    </row>
    <row r="78" spans="1:4" x14ac:dyDescent="0.25">
      <c r="A78">
        <v>3</v>
      </c>
      <c r="B78">
        <v>4</v>
      </c>
    </row>
    <row r="79" spans="1:4" x14ac:dyDescent="0.25">
      <c r="A79">
        <v>4</v>
      </c>
      <c r="B79">
        <v>3</v>
      </c>
    </row>
    <row r="80" spans="1:4" x14ac:dyDescent="0.25">
      <c r="A80">
        <v>3</v>
      </c>
      <c r="B80">
        <v>3</v>
      </c>
    </row>
    <row r="81" spans="1:2" x14ac:dyDescent="0.25">
      <c r="A81">
        <v>3</v>
      </c>
      <c r="B81">
        <v>5</v>
      </c>
    </row>
    <row r="82" spans="1:2" x14ac:dyDescent="0.25">
      <c r="A82">
        <v>2</v>
      </c>
      <c r="B82">
        <v>2</v>
      </c>
    </row>
    <row r="83" spans="1:2" x14ac:dyDescent="0.25">
      <c r="A83">
        <v>1</v>
      </c>
      <c r="B83">
        <v>2</v>
      </c>
    </row>
    <row r="84" spans="1:2" x14ac:dyDescent="0.25">
      <c r="A84">
        <v>3</v>
      </c>
      <c r="B84">
        <v>1</v>
      </c>
    </row>
    <row r="85" spans="1:2" x14ac:dyDescent="0.25">
      <c r="A85">
        <v>3</v>
      </c>
      <c r="B85">
        <v>3</v>
      </c>
    </row>
    <row r="86" spans="1:2" x14ac:dyDescent="0.25">
      <c r="A86">
        <v>3</v>
      </c>
      <c r="B86">
        <v>3</v>
      </c>
    </row>
    <row r="87" spans="1:2" x14ac:dyDescent="0.25">
      <c r="A87">
        <v>2</v>
      </c>
      <c r="B87">
        <v>1</v>
      </c>
    </row>
    <row r="88" spans="1:2" x14ac:dyDescent="0.25">
      <c r="A88">
        <v>5</v>
      </c>
      <c r="B88">
        <v>2</v>
      </c>
    </row>
    <row r="89" spans="1:2" x14ac:dyDescent="0.25">
      <c r="A89">
        <v>3</v>
      </c>
      <c r="B89">
        <v>4</v>
      </c>
    </row>
    <row r="90" spans="1:2" x14ac:dyDescent="0.25">
      <c r="A90">
        <v>5</v>
      </c>
      <c r="B90">
        <v>3</v>
      </c>
    </row>
    <row r="91" spans="1:2" x14ac:dyDescent="0.25">
      <c r="A91">
        <v>2</v>
      </c>
      <c r="B91">
        <v>4</v>
      </c>
    </row>
    <row r="92" spans="1:2" x14ac:dyDescent="0.25">
      <c r="A92">
        <v>1</v>
      </c>
      <c r="B92">
        <v>3</v>
      </c>
    </row>
    <row r="93" spans="1:2" x14ac:dyDescent="0.25">
      <c r="A93">
        <v>3</v>
      </c>
      <c r="B93">
        <v>2</v>
      </c>
    </row>
    <row r="94" spans="1:2" x14ac:dyDescent="0.25">
      <c r="A94">
        <v>4</v>
      </c>
      <c r="B94">
        <v>3</v>
      </c>
    </row>
    <row r="95" spans="1:2" x14ac:dyDescent="0.25">
      <c r="A95">
        <v>3</v>
      </c>
      <c r="B95">
        <v>5</v>
      </c>
    </row>
    <row r="96" spans="1:2" x14ac:dyDescent="0.25">
      <c r="A96">
        <v>3</v>
      </c>
      <c r="B96">
        <v>2</v>
      </c>
    </row>
    <row r="97" spans="1:2" x14ac:dyDescent="0.25">
      <c r="A97">
        <v>5</v>
      </c>
      <c r="B97">
        <v>1</v>
      </c>
    </row>
    <row r="98" spans="1:2" x14ac:dyDescent="0.25">
      <c r="A98">
        <v>3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opLeftCell="A16" zoomScale="85" zoomScaleNormal="85" workbookViewId="0">
      <selection activeCell="C1" sqref="C1"/>
    </sheetView>
  </sheetViews>
  <sheetFormatPr baseColWidth="10" defaultColWidth="9.140625" defaultRowHeight="15" x14ac:dyDescent="0.25"/>
  <cols>
    <col min="1" max="1" width="33" customWidth="1"/>
    <col min="2" max="2" width="29.85546875" customWidth="1"/>
    <col min="4" max="4" width="37.28515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1" t="s">
        <v>60</v>
      </c>
      <c r="B1" s="9" t="s">
        <v>61</v>
      </c>
    </row>
    <row r="2" spans="1:5" x14ac:dyDescent="0.25">
      <c r="A2">
        <v>4</v>
      </c>
      <c r="B2">
        <v>3</v>
      </c>
      <c r="D2" s="1" t="s">
        <v>24</v>
      </c>
      <c r="E2">
        <f>AVERAGE(A:A)</f>
        <v>3.1546391752577319</v>
      </c>
    </row>
    <row r="3" spans="1:5" x14ac:dyDescent="0.25">
      <c r="A3">
        <v>4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3</v>
      </c>
      <c r="B4">
        <v>5</v>
      </c>
      <c r="D4" s="1" t="s">
        <v>1</v>
      </c>
      <c r="E4">
        <f>MODE(A:A)</f>
        <v>3</v>
      </c>
    </row>
    <row r="5" spans="1:5" x14ac:dyDescent="0.25">
      <c r="A5">
        <v>3</v>
      </c>
      <c r="B5">
        <v>3</v>
      </c>
      <c r="D5" s="1" t="s">
        <v>15</v>
      </c>
      <c r="E5">
        <f>STDEV(A:A)</f>
        <v>1.111869729569362</v>
      </c>
    </row>
    <row r="6" spans="1:5" x14ac:dyDescent="0.25">
      <c r="A6">
        <v>5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2</v>
      </c>
    </row>
    <row r="8" spans="1:5" x14ac:dyDescent="0.25">
      <c r="A8">
        <v>4</v>
      </c>
      <c r="B8">
        <v>4</v>
      </c>
      <c r="D8" s="3" t="s">
        <v>25</v>
      </c>
      <c r="E8">
        <f>AVERAGE(B:B)</f>
        <v>2.9587628865979383</v>
      </c>
    </row>
    <row r="9" spans="1:5" x14ac:dyDescent="0.25">
      <c r="A9">
        <v>3</v>
      </c>
      <c r="B9">
        <v>3</v>
      </c>
      <c r="D9" s="3" t="s">
        <v>2</v>
      </c>
      <c r="E9">
        <f>MEDIAN(B:B)</f>
        <v>3</v>
      </c>
    </row>
    <row r="10" spans="1:5" x14ac:dyDescent="0.25">
      <c r="A10">
        <v>5</v>
      </c>
      <c r="B10">
        <v>2</v>
      </c>
      <c r="D10" s="3" t="s">
        <v>3</v>
      </c>
      <c r="E10">
        <f>MODE(B:B)</f>
        <v>3</v>
      </c>
    </row>
    <row r="11" spans="1:5" x14ac:dyDescent="0.25">
      <c r="A11">
        <v>4</v>
      </c>
      <c r="B11">
        <v>4</v>
      </c>
      <c r="D11" s="3" t="s">
        <v>14</v>
      </c>
      <c r="E11">
        <f>STDEV(B:B)</f>
        <v>1.1265500966556763</v>
      </c>
    </row>
    <row r="12" spans="1:5" x14ac:dyDescent="0.25">
      <c r="A12">
        <v>3</v>
      </c>
      <c r="B12">
        <v>2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2</v>
      </c>
    </row>
    <row r="14" spans="1:5" x14ac:dyDescent="0.25">
      <c r="A14">
        <v>3</v>
      </c>
      <c r="B14">
        <v>5</v>
      </c>
    </row>
    <row r="15" spans="1:5" x14ac:dyDescent="0.25">
      <c r="A15">
        <v>1</v>
      </c>
      <c r="B15">
        <v>5</v>
      </c>
    </row>
    <row r="16" spans="1:5" x14ac:dyDescent="0.25">
      <c r="A16">
        <v>3</v>
      </c>
      <c r="B16">
        <v>5</v>
      </c>
    </row>
    <row r="17" spans="1:5" x14ac:dyDescent="0.25">
      <c r="A17">
        <v>1</v>
      </c>
      <c r="B17">
        <v>5</v>
      </c>
      <c r="D17" s="2" t="s">
        <v>6</v>
      </c>
      <c r="E17" s="2"/>
    </row>
    <row r="18" spans="1:5" x14ac:dyDescent="0.25">
      <c r="A18">
        <v>5</v>
      </c>
      <c r="B18">
        <v>3</v>
      </c>
    </row>
    <row r="19" spans="1:5" x14ac:dyDescent="0.25">
      <c r="A19">
        <v>1</v>
      </c>
      <c r="B19">
        <v>1</v>
      </c>
    </row>
    <row r="20" spans="1:5" x14ac:dyDescent="0.25">
      <c r="A20">
        <v>4</v>
      </c>
      <c r="B20">
        <v>3</v>
      </c>
    </row>
    <row r="21" spans="1:5" x14ac:dyDescent="0.25">
      <c r="A21">
        <v>4</v>
      </c>
      <c r="B21">
        <v>1</v>
      </c>
    </row>
    <row r="22" spans="1:5" x14ac:dyDescent="0.25">
      <c r="A22">
        <v>2</v>
      </c>
      <c r="B22">
        <v>5</v>
      </c>
    </row>
    <row r="23" spans="1:5" x14ac:dyDescent="0.25">
      <c r="A23">
        <v>2</v>
      </c>
      <c r="B23">
        <v>4</v>
      </c>
    </row>
    <row r="24" spans="1:5" x14ac:dyDescent="0.25">
      <c r="A24">
        <v>4</v>
      </c>
      <c r="B24">
        <v>3</v>
      </c>
    </row>
    <row r="25" spans="1:5" x14ac:dyDescent="0.25">
      <c r="A25">
        <v>3</v>
      </c>
      <c r="B25">
        <v>2</v>
      </c>
    </row>
    <row r="26" spans="1:5" x14ac:dyDescent="0.25">
      <c r="A26">
        <v>4</v>
      </c>
      <c r="B26">
        <v>1</v>
      </c>
    </row>
    <row r="27" spans="1:5" x14ac:dyDescent="0.25">
      <c r="A27">
        <v>4</v>
      </c>
      <c r="B27">
        <v>3</v>
      </c>
    </row>
    <row r="28" spans="1:5" x14ac:dyDescent="0.25">
      <c r="A28">
        <v>2</v>
      </c>
      <c r="B28">
        <v>3</v>
      </c>
    </row>
    <row r="29" spans="1:5" x14ac:dyDescent="0.25">
      <c r="A29">
        <v>2</v>
      </c>
      <c r="B29">
        <v>2</v>
      </c>
      <c r="D29" t="s">
        <v>11</v>
      </c>
      <c r="E29">
        <f>(E2-E8)/SQRT(((E5^2)/E6)+((E11^2)/E12))</f>
        <v>1.2187983232531447</v>
      </c>
    </row>
    <row r="30" spans="1:5" x14ac:dyDescent="0.25">
      <c r="A30">
        <v>3</v>
      </c>
      <c r="B30">
        <v>5</v>
      </c>
    </row>
    <row r="31" spans="1:5" x14ac:dyDescent="0.25">
      <c r="A31">
        <v>3</v>
      </c>
      <c r="B31">
        <v>1</v>
      </c>
      <c r="D31" s="2" t="s">
        <v>7</v>
      </c>
      <c r="E31" s="2"/>
    </row>
    <row r="32" spans="1:5" x14ac:dyDescent="0.25">
      <c r="A32">
        <v>5</v>
      </c>
      <c r="B32">
        <v>3</v>
      </c>
    </row>
    <row r="33" spans="1:6" x14ac:dyDescent="0.25">
      <c r="A33">
        <v>3</v>
      </c>
      <c r="B33">
        <v>3</v>
      </c>
    </row>
    <row r="34" spans="1:6" x14ac:dyDescent="0.25">
      <c r="A34">
        <v>4</v>
      </c>
      <c r="B34">
        <v>5</v>
      </c>
    </row>
    <row r="35" spans="1:6" x14ac:dyDescent="0.25">
      <c r="A35">
        <v>3</v>
      </c>
      <c r="B35">
        <v>3</v>
      </c>
    </row>
    <row r="36" spans="1:6" x14ac:dyDescent="0.25">
      <c r="A36">
        <v>3</v>
      </c>
      <c r="B36">
        <v>4</v>
      </c>
    </row>
    <row r="37" spans="1:6" x14ac:dyDescent="0.25">
      <c r="A37">
        <v>4</v>
      </c>
      <c r="B37">
        <v>3</v>
      </c>
    </row>
    <row r="38" spans="1:6" x14ac:dyDescent="0.25">
      <c r="A38">
        <v>2</v>
      </c>
      <c r="B38">
        <v>4</v>
      </c>
    </row>
    <row r="39" spans="1:6" x14ac:dyDescent="0.25">
      <c r="A39">
        <v>2</v>
      </c>
      <c r="B39">
        <v>2</v>
      </c>
    </row>
    <row r="40" spans="1:6" x14ac:dyDescent="0.25">
      <c r="A40">
        <v>5</v>
      </c>
      <c r="B40">
        <v>4</v>
      </c>
    </row>
    <row r="41" spans="1:6" ht="29.25" customHeight="1" x14ac:dyDescent="0.25">
      <c r="A41">
        <v>3</v>
      </c>
      <c r="B41">
        <v>5</v>
      </c>
      <c r="D41" t="s">
        <v>8</v>
      </c>
      <c r="E41">
        <f>(((E5^2)/E6)+((E11^2)/E12))^2</f>
        <v>6.6711403014814679E-4</v>
      </c>
    </row>
    <row r="42" spans="1:6" ht="47.25" customHeight="1" x14ac:dyDescent="0.25">
      <c r="A42">
        <v>4</v>
      </c>
      <c r="B42">
        <v>1</v>
      </c>
      <c r="D42" t="s">
        <v>9</v>
      </c>
      <c r="E42">
        <f>(((E5^2)/E6)^2)/(E6-1)</f>
        <v>1.6920022089033986E-6</v>
      </c>
    </row>
    <row r="43" spans="1:6" ht="43.5" customHeight="1" x14ac:dyDescent="0.25">
      <c r="A43">
        <v>2</v>
      </c>
      <c r="B43">
        <v>3</v>
      </c>
      <c r="D43" t="s">
        <v>10</v>
      </c>
      <c r="E43">
        <f>(((E11^2)/E12)^2)/(E12-1)</f>
        <v>1.7831477713164791E-6</v>
      </c>
    </row>
    <row r="44" spans="1:6" x14ac:dyDescent="0.25">
      <c r="A44">
        <v>2</v>
      </c>
      <c r="B44">
        <v>3</v>
      </c>
    </row>
    <row r="45" spans="1:6" x14ac:dyDescent="0.25">
      <c r="A45">
        <v>4</v>
      </c>
      <c r="B45">
        <v>4</v>
      </c>
      <c r="D45" t="s">
        <v>7</v>
      </c>
      <c r="E45">
        <f>E41/(E42+E43)</f>
        <v>191.966975222732</v>
      </c>
      <c r="F45" s="6" t="s">
        <v>12</v>
      </c>
    </row>
    <row r="46" spans="1:6" x14ac:dyDescent="0.25">
      <c r="A46">
        <v>2</v>
      </c>
      <c r="B46">
        <v>3</v>
      </c>
    </row>
    <row r="47" spans="1:6" x14ac:dyDescent="0.25">
      <c r="A47">
        <v>4</v>
      </c>
      <c r="B47">
        <v>3</v>
      </c>
      <c r="D47" t="s">
        <v>13</v>
      </c>
      <c r="E47">
        <v>0.05</v>
      </c>
      <c r="F47" s="6" t="s">
        <v>12</v>
      </c>
    </row>
    <row r="48" spans="1:6" x14ac:dyDescent="0.25">
      <c r="A48">
        <v>1</v>
      </c>
      <c r="B48">
        <v>5</v>
      </c>
    </row>
    <row r="49" spans="1:5" x14ac:dyDescent="0.25">
      <c r="A49">
        <v>2</v>
      </c>
      <c r="B49">
        <v>3</v>
      </c>
    </row>
    <row r="50" spans="1:5" x14ac:dyDescent="0.25">
      <c r="A50">
        <v>3</v>
      </c>
      <c r="B50">
        <v>3</v>
      </c>
    </row>
    <row r="51" spans="1:5" x14ac:dyDescent="0.25">
      <c r="A51">
        <v>2</v>
      </c>
      <c r="B51">
        <v>4</v>
      </c>
      <c r="D51" s="2"/>
      <c r="E51" s="2"/>
    </row>
    <row r="52" spans="1:5" x14ac:dyDescent="0.25">
      <c r="A52">
        <v>2</v>
      </c>
      <c r="B52">
        <v>2</v>
      </c>
      <c r="D52" t="s">
        <v>16</v>
      </c>
      <c r="E52">
        <f>_xlfn.T.INV.2T(E47,E45)</f>
        <v>1.9724619897672133</v>
      </c>
    </row>
    <row r="53" spans="1:5" x14ac:dyDescent="0.25">
      <c r="A53">
        <v>2</v>
      </c>
      <c r="B53">
        <v>3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2</v>
      </c>
    </row>
    <row r="55" spans="1:5" x14ac:dyDescent="0.25">
      <c r="A55">
        <v>3</v>
      </c>
      <c r="B55">
        <v>3</v>
      </c>
      <c r="D55" t="s">
        <v>18</v>
      </c>
      <c r="E55">
        <f>TTEST(A:A,B:B,2,2)</f>
        <v>0.22441610389177932</v>
      </c>
    </row>
    <row r="56" spans="1:5" x14ac:dyDescent="0.25">
      <c r="A56">
        <v>4</v>
      </c>
      <c r="B56">
        <v>3</v>
      </c>
      <c r="D56" t="s">
        <v>19</v>
      </c>
      <c r="E56">
        <f>TTEST(A:A,B:B,1,2)</f>
        <v>0.11220805194588966</v>
      </c>
    </row>
    <row r="57" spans="1:5" x14ac:dyDescent="0.25">
      <c r="A57">
        <v>2</v>
      </c>
      <c r="B57">
        <v>3</v>
      </c>
    </row>
    <row r="58" spans="1:5" x14ac:dyDescent="0.25">
      <c r="A58">
        <v>2</v>
      </c>
      <c r="B58">
        <v>2</v>
      </c>
    </row>
    <row r="59" spans="1:5" x14ac:dyDescent="0.25">
      <c r="A59">
        <v>2</v>
      </c>
      <c r="B59">
        <v>1</v>
      </c>
      <c r="D59" s="2" t="s">
        <v>20</v>
      </c>
      <c r="E59" s="2"/>
    </row>
    <row r="60" spans="1:5" x14ac:dyDescent="0.25">
      <c r="A60">
        <v>5</v>
      </c>
      <c r="B60">
        <v>1</v>
      </c>
    </row>
    <row r="61" spans="1:5" x14ac:dyDescent="0.25">
      <c r="A61">
        <v>5</v>
      </c>
      <c r="B61">
        <v>2</v>
      </c>
      <c r="D61" t="s">
        <v>21</v>
      </c>
    </row>
    <row r="62" spans="1:5" x14ac:dyDescent="0.25">
      <c r="A62">
        <v>5</v>
      </c>
      <c r="B62">
        <v>2</v>
      </c>
      <c r="D62" t="s">
        <v>22</v>
      </c>
    </row>
    <row r="63" spans="1:5" x14ac:dyDescent="0.25">
      <c r="A63">
        <v>4</v>
      </c>
      <c r="B63">
        <v>3</v>
      </c>
    </row>
    <row r="64" spans="1:5" x14ac:dyDescent="0.25">
      <c r="A64">
        <v>3</v>
      </c>
      <c r="B64">
        <v>4</v>
      </c>
    </row>
    <row r="65" spans="1:4" x14ac:dyDescent="0.25">
      <c r="A65">
        <v>3</v>
      </c>
      <c r="B65">
        <v>2</v>
      </c>
    </row>
    <row r="66" spans="1:4" x14ac:dyDescent="0.25">
      <c r="A66">
        <v>2</v>
      </c>
      <c r="B66">
        <v>2</v>
      </c>
      <c r="D66" t="s">
        <v>23</v>
      </c>
    </row>
    <row r="67" spans="1:4" x14ac:dyDescent="0.25">
      <c r="A67">
        <v>5</v>
      </c>
      <c r="B67">
        <v>2</v>
      </c>
      <c r="D67" t="str">
        <f>"Dos Colas: Si t calculado ("&amp;E29&amp;") &gt; a t critico  ("&amp;E52&amp;") (de tabla) ---&gt; Se rechaza la hipotesis nula"</f>
        <v>Dos Colas: Si t calculado (1.21879832325314) &gt; a t critico  (1.97246198976721) (de tabla) ---&gt; Se rechaza la hipotesis nula</v>
      </c>
    </row>
    <row r="68" spans="1:4" x14ac:dyDescent="0.25">
      <c r="A68">
        <v>3</v>
      </c>
      <c r="B68">
        <v>4</v>
      </c>
      <c r="D68" t="str">
        <f>"Una Cola: Si t calculado ("&amp;E29&amp;") &gt; a t critico  ("&amp;E53&amp;") (de tabla) ---&gt; Se rechaza la hipotesis nula"</f>
        <v>Una Cola: Si t calculado (1.21879832325314) &gt; a t critico  (-1.65287054723039) (de tabla) ---&gt; Se rechaza la hipotesis nula</v>
      </c>
    </row>
    <row r="69" spans="1:4" x14ac:dyDescent="0.25">
      <c r="A69">
        <v>3</v>
      </c>
      <c r="B69">
        <v>2</v>
      </c>
    </row>
    <row r="70" spans="1:4" x14ac:dyDescent="0.25">
      <c r="A70">
        <v>2</v>
      </c>
      <c r="B70">
        <v>1</v>
      </c>
    </row>
    <row r="71" spans="1:4" x14ac:dyDescent="0.25">
      <c r="A71">
        <v>2</v>
      </c>
      <c r="B71">
        <v>3</v>
      </c>
    </row>
    <row r="72" spans="1:4" x14ac:dyDescent="0.25">
      <c r="A72">
        <v>3</v>
      </c>
      <c r="B72">
        <v>4</v>
      </c>
      <c r="D72" t="s">
        <v>26</v>
      </c>
    </row>
    <row r="73" spans="1:4" x14ac:dyDescent="0.25">
      <c r="A73">
        <v>5</v>
      </c>
      <c r="B73">
        <v>3</v>
      </c>
      <c r="D73" t="str">
        <f>"Dos Colas: Si p valor ("&amp;E55&amp;") &lt; Nivel Significancia (0.05) ---&gt; Se rechaza la hipotesis nula"</f>
        <v>Dos Colas: Si p valor (0.224416103891779) &lt; Nivel Significancia (0.05) ---&gt; Se rechaza la hipotesis nula</v>
      </c>
    </row>
    <row r="74" spans="1:4" x14ac:dyDescent="0.25">
      <c r="A74">
        <v>5</v>
      </c>
      <c r="B74">
        <v>2</v>
      </c>
      <c r="D74" t="str">
        <f>"Una Cola: Si p valor ("&amp;E56&amp;") &lt; Nivel Significancia (0.05) ---&gt; Se rechaza la hipotesis nula"</f>
        <v>Una Cola: Si p valor (0.11220805194589) &lt; Nivel Significancia (0.05) ---&gt; Se rechaza la hipotesis nula</v>
      </c>
    </row>
    <row r="75" spans="1:4" x14ac:dyDescent="0.25">
      <c r="A75">
        <v>3</v>
      </c>
      <c r="B75">
        <v>3</v>
      </c>
    </row>
    <row r="76" spans="1:4" x14ac:dyDescent="0.25">
      <c r="A76">
        <v>2</v>
      </c>
      <c r="B76">
        <v>3</v>
      </c>
    </row>
    <row r="77" spans="1:4" x14ac:dyDescent="0.25">
      <c r="A77">
        <v>3</v>
      </c>
      <c r="B77">
        <v>2</v>
      </c>
    </row>
    <row r="78" spans="1:4" x14ac:dyDescent="0.25">
      <c r="A78">
        <v>3</v>
      </c>
      <c r="B78">
        <v>3</v>
      </c>
    </row>
    <row r="79" spans="1:4" x14ac:dyDescent="0.25">
      <c r="A79">
        <v>4</v>
      </c>
      <c r="B79">
        <v>4</v>
      </c>
    </row>
    <row r="80" spans="1:4" x14ac:dyDescent="0.25">
      <c r="A80">
        <v>5</v>
      </c>
      <c r="B80">
        <v>4</v>
      </c>
    </row>
    <row r="81" spans="1:2" x14ac:dyDescent="0.25">
      <c r="A81">
        <v>2</v>
      </c>
      <c r="B81">
        <v>3</v>
      </c>
    </row>
    <row r="82" spans="1:2" x14ac:dyDescent="0.25">
      <c r="A82">
        <v>4</v>
      </c>
      <c r="B82">
        <v>2</v>
      </c>
    </row>
    <row r="83" spans="1:2" x14ac:dyDescent="0.25">
      <c r="A83">
        <v>2</v>
      </c>
      <c r="B83">
        <v>5</v>
      </c>
    </row>
    <row r="84" spans="1:2" x14ac:dyDescent="0.25">
      <c r="A84">
        <v>3</v>
      </c>
      <c r="B84">
        <v>3</v>
      </c>
    </row>
    <row r="85" spans="1:2" x14ac:dyDescent="0.25">
      <c r="A85">
        <v>1</v>
      </c>
      <c r="B85">
        <v>3</v>
      </c>
    </row>
    <row r="86" spans="1:2" x14ac:dyDescent="0.25">
      <c r="A86">
        <v>1</v>
      </c>
      <c r="B86">
        <v>4</v>
      </c>
    </row>
    <row r="87" spans="1:2" x14ac:dyDescent="0.25">
      <c r="A87">
        <v>4</v>
      </c>
      <c r="B87">
        <v>3</v>
      </c>
    </row>
    <row r="88" spans="1:2" x14ac:dyDescent="0.25">
      <c r="A88">
        <v>4</v>
      </c>
      <c r="B88">
        <v>1</v>
      </c>
    </row>
    <row r="89" spans="1:2" x14ac:dyDescent="0.25">
      <c r="A89">
        <v>4</v>
      </c>
      <c r="B89">
        <v>3</v>
      </c>
    </row>
    <row r="90" spans="1:2" x14ac:dyDescent="0.25">
      <c r="A90">
        <v>3</v>
      </c>
      <c r="B90">
        <v>3</v>
      </c>
    </row>
    <row r="91" spans="1:2" x14ac:dyDescent="0.25">
      <c r="A91">
        <v>4</v>
      </c>
      <c r="B91">
        <v>1</v>
      </c>
    </row>
    <row r="92" spans="1:2" x14ac:dyDescent="0.25">
      <c r="A92">
        <v>5</v>
      </c>
      <c r="B92">
        <v>3</v>
      </c>
    </row>
    <row r="93" spans="1:2" x14ac:dyDescent="0.25">
      <c r="A93">
        <v>4</v>
      </c>
      <c r="B93">
        <v>2</v>
      </c>
    </row>
    <row r="94" spans="1:2" x14ac:dyDescent="0.25">
      <c r="A94">
        <v>3</v>
      </c>
      <c r="B94">
        <v>3</v>
      </c>
    </row>
    <row r="95" spans="1:2" x14ac:dyDescent="0.25">
      <c r="A95">
        <v>3</v>
      </c>
      <c r="B95">
        <v>2</v>
      </c>
    </row>
    <row r="96" spans="1:2" x14ac:dyDescent="0.25">
      <c r="A96">
        <v>3</v>
      </c>
      <c r="B96">
        <v>4</v>
      </c>
    </row>
    <row r="97" spans="1:2" x14ac:dyDescent="0.25">
      <c r="A97">
        <v>3</v>
      </c>
      <c r="B97">
        <v>2</v>
      </c>
    </row>
    <row r="98" spans="1:2" x14ac:dyDescent="0.25">
      <c r="A98">
        <v>3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B7" sqref="B7"/>
    </sheetView>
  </sheetViews>
  <sheetFormatPr baseColWidth="10" defaultColWidth="9.140625" defaultRowHeight="15" x14ac:dyDescent="0.25"/>
  <cols>
    <col min="1" max="1" width="30.5703125" customWidth="1"/>
    <col min="2" max="2" width="32.85546875" customWidth="1"/>
    <col min="4" max="4" width="37.85546875" customWidth="1"/>
    <col min="5" max="5" width="21.5703125" customWidth="1"/>
    <col min="6" max="6" width="17.85546875" customWidth="1"/>
    <col min="7" max="7" width="20" customWidth="1"/>
  </cols>
  <sheetData>
    <row r="1" spans="1:5" ht="75" x14ac:dyDescent="0.25">
      <c r="A1" s="8" t="s">
        <v>62</v>
      </c>
      <c r="B1" s="10" t="s">
        <v>63</v>
      </c>
    </row>
    <row r="2" spans="1:5" x14ac:dyDescent="0.25">
      <c r="A2">
        <v>3</v>
      </c>
      <c r="B2">
        <v>1</v>
      </c>
      <c r="D2" s="1" t="s">
        <v>24</v>
      </c>
      <c r="E2">
        <f>AVERAGE(A:A)</f>
        <v>2.9793814432989691</v>
      </c>
    </row>
    <row r="3" spans="1:5" x14ac:dyDescent="0.25">
      <c r="A3">
        <v>4</v>
      </c>
      <c r="B3">
        <v>1</v>
      </c>
      <c r="D3" s="1" t="s">
        <v>0</v>
      </c>
      <c r="E3">
        <f>MEDIAN(A:A)</f>
        <v>3</v>
      </c>
    </row>
    <row r="4" spans="1:5" x14ac:dyDescent="0.25">
      <c r="A4">
        <v>3</v>
      </c>
      <c r="B4">
        <v>3</v>
      </c>
      <c r="D4" s="1" t="s">
        <v>1</v>
      </c>
      <c r="E4">
        <f>MODE(A:A)</f>
        <v>3</v>
      </c>
    </row>
    <row r="5" spans="1:5" x14ac:dyDescent="0.25">
      <c r="A5">
        <v>3</v>
      </c>
      <c r="B5">
        <v>3</v>
      </c>
      <c r="D5" s="1" t="s">
        <v>15</v>
      </c>
      <c r="E5">
        <f>STDEV(A:A)</f>
        <v>1.0505889364551968</v>
      </c>
    </row>
    <row r="6" spans="1:5" x14ac:dyDescent="0.25">
      <c r="A6">
        <v>3</v>
      </c>
      <c r="B6">
        <v>1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3</v>
      </c>
    </row>
    <row r="8" spans="1:5" x14ac:dyDescent="0.25">
      <c r="A8">
        <v>3</v>
      </c>
      <c r="B8">
        <v>4</v>
      </c>
      <c r="D8" s="3" t="s">
        <v>25</v>
      </c>
      <c r="E8">
        <f>AVERAGE(B:B)</f>
        <v>3.0206185567010309</v>
      </c>
    </row>
    <row r="9" spans="1:5" x14ac:dyDescent="0.25">
      <c r="A9">
        <v>3</v>
      </c>
      <c r="B9">
        <v>1</v>
      </c>
      <c r="D9" s="3" t="s">
        <v>2</v>
      </c>
      <c r="E9">
        <f>MEDIAN(B:B)</f>
        <v>3</v>
      </c>
    </row>
    <row r="10" spans="1:5" x14ac:dyDescent="0.25">
      <c r="A10">
        <v>4</v>
      </c>
      <c r="B10">
        <v>4</v>
      </c>
      <c r="D10" s="3" t="s">
        <v>3</v>
      </c>
      <c r="E10">
        <f>MODE(B:B)</f>
        <v>3</v>
      </c>
    </row>
    <row r="11" spans="1:5" x14ac:dyDescent="0.25">
      <c r="A11">
        <v>3</v>
      </c>
      <c r="B11">
        <v>4</v>
      </c>
      <c r="D11" s="3" t="s">
        <v>14</v>
      </c>
      <c r="E11">
        <f>STDEV(B:B)</f>
        <v>1.0799245869050587</v>
      </c>
    </row>
    <row r="12" spans="1:5" x14ac:dyDescent="0.25">
      <c r="A12">
        <v>5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2</v>
      </c>
    </row>
    <row r="14" spans="1:5" x14ac:dyDescent="0.25">
      <c r="A14">
        <v>1</v>
      </c>
      <c r="B14">
        <v>3</v>
      </c>
    </row>
    <row r="15" spans="1:5" x14ac:dyDescent="0.25">
      <c r="A15">
        <v>2</v>
      </c>
      <c r="B15">
        <v>1</v>
      </c>
    </row>
    <row r="16" spans="1:5" x14ac:dyDescent="0.25">
      <c r="A16">
        <v>2</v>
      </c>
      <c r="B16">
        <v>3</v>
      </c>
    </row>
    <row r="17" spans="1:5" x14ac:dyDescent="0.25">
      <c r="A17">
        <v>3</v>
      </c>
      <c r="B17">
        <v>5</v>
      </c>
      <c r="D17" s="2" t="s">
        <v>6</v>
      </c>
      <c r="E17" s="2"/>
    </row>
    <row r="18" spans="1:5" x14ac:dyDescent="0.25">
      <c r="A18">
        <v>2</v>
      </c>
      <c r="B18">
        <v>3</v>
      </c>
    </row>
    <row r="19" spans="1:5" x14ac:dyDescent="0.25">
      <c r="A19">
        <v>3</v>
      </c>
      <c r="B19">
        <v>3</v>
      </c>
    </row>
    <row r="20" spans="1:5" x14ac:dyDescent="0.25">
      <c r="A20">
        <v>4</v>
      </c>
      <c r="B20">
        <v>3</v>
      </c>
    </row>
    <row r="21" spans="1:5" x14ac:dyDescent="0.25">
      <c r="A21">
        <v>5</v>
      </c>
      <c r="B21">
        <v>5</v>
      </c>
    </row>
    <row r="22" spans="1:5" x14ac:dyDescent="0.25">
      <c r="A22">
        <v>2</v>
      </c>
      <c r="B22">
        <v>3</v>
      </c>
    </row>
    <row r="23" spans="1:5" x14ac:dyDescent="0.25">
      <c r="A23">
        <v>3</v>
      </c>
      <c r="B23">
        <v>5</v>
      </c>
    </row>
    <row r="24" spans="1:5" x14ac:dyDescent="0.25">
      <c r="A24">
        <v>3</v>
      </c>
      <c r="B24">
        <v>3</v>
      </c>
    </row>
    <row r="25" spans="1:5" x14ac:dyDescent="0.25">
      <c r="A25">
        <v>4</v>
      </c>
      <c r="B25">
        <v>4</v>
      </c>
    </row>
    <row r="26" spans="1:5" x14ac:dyDescent="0.25">
      <c r="A26">
        <v>5</v>
      </c>
      <c r="B26">
        <v>3</v>
      </c>
    </row>
    <row r="27" spans="1:5" x14ac:dyDescent="0.25">
      <c r="A27">
        <v>2</v>
      </c>
      <c r="B27">
        <v>3</v>
      </c>
    </row>
    <row r="28" spans="1:5" x14ac:dyDescent="0.25">
      <c r="A28">
        <v>2</v>
      </c>
      <c r="B28">
        <v>3</v>
      </c>
    </row>
    <row r="29" spans="1:5" x14ac:dyDescent="0.25">
      <c r="A29">
        <v>2</v>
      </c>
      <c r="B29">
        <v>4</v>
      </c>
      <c r="D29" t="s">
        <v>11</v>
      </c>
      <c r="E29">
        <f>(E2-E8)/SQRT(((E5^2)/E6)+((E11^2)/E12))</f>
        <v>-0.26956509795972339</v>
      </c>
    </row>
    <row r="30" spans="1:5" x14ac:dyDescent="0.25">
      <c r="A30">
        <v>2</v>
      </c>
      <c r="B30">
        <v>3</v>
      </c>
    </row>
    <row r="31" spans="1:5" x14ac:dyDescent="0.25">
      <c r="A31">
        <v>4</v>
      </c>
      <c r="B31">
        <v>3</v>
      </c>
      <c r="D31" s="2" t="s">
        <v>7</v>
      </c>
      <c r="E31" s="2"/>
    </row>
    <row r="32" spans="1:5" x14ac:dyDescent="0.25">
      <c r="A32">
        <v>3</v>
      </c>
      <c r="B32">
        <v>4</v>
      </c>
    </row>
    <row r="33" spans="1:6" x14ac:dyDescent="0.25">
      <c r="A33">
        <v>4</v>
      </c>
      <c r="B33">
        <v>3</v>
      </c>
    </row>
    <row r="34" spans="1:6" x14ac:dyDescent="0.25">
      <c r="A34">
        <v>3</v>
      </c>
      <c r="B34">
        <v>2</v>
      </c>
    </row>
    <row r="35" spans="1:6" x14ac:dyDescent="0.25">
      <c r="A35">
        <v>3</v>
      </c>
      <c r="B35">
        <v>3</v>
      </c>
    </row>
    <row r="36" spans="1:6" x14ac:dyDescent="0.25">
      <c r="A36">
        <v>2</v>
      </c>
      <c r="B36">
        <v>3</v>
      </c>
    </row>
    <row r="37" spans="1:6" x14ac:dyDescent="0.25">
      <c r="A37">
        <v>1</v>
      </c>
      <c r="B37">
        <v>2</v>
      </c>
    </row>
    <row r="38" spans="1:6" x14ac:dyDescent="0.25">
      <c r="A38">
        <v>3</v>
      </c>
      <c r="B38">
        <v>5</v>
      </c>
    </row>
    <row r="39" spans="1:6" x14ac:dyDescent="0.25">
      <c r="A39">
        <v>3</v>
      </c>
      <c r="B39">
        <v>3</v>
      </c>
    </row>
    <row r="40" spans="1:6" x14ac:dyDescent="0.25">
      <c r="A40">
        <v>2</v>
      </c>
      <c r="B40">
        <v>2</v>
      </c>
    </row>
    <row r="41" spans="1:6" ht="29.25" customHeight="1" x14ac:dyDescent="0.25">
      <c r="A41">
        <v>4</v>
      </c>
      <c r="B41">
        <v>1</v>
      </c>
      <c r="D41" t="s">
        <v>8</v>
      </c>
      <c r="E41">
        <f>(((E5^2)/E6)+((E11^2)/E12))^2</f>
        <v>5.4764406316877188E-4</v>
      </c>
    </row>
    <row r="42" spans="1:6" ht="47.25" customHeight="1" x14ac:dyDescent="0.25">
      <c r="A42">
        <v>2</v>
      </c>
      <c r="B42">
        <v>2</v>
      </c>
      <c r="D42" t="s">
        <v>9</v>
      </c>
      <c r="E42">
        <f>(((E5^2)/E6)^2)/(E6-1)</f>
        <v>1.3487038291143178E-6</v>
      </c>
    </row>
    <row r="43" spans="1:6" ht="43.5" customHeight="1" x14ac:dyDescent="0.25">
      <c r="A43">
        <v>2</v>
      </c>
      <c r="B43">
        <v>4</v>
      </c>
      <c r="D43" t="s">
        <v>10</v>
      </c>
      <c r="E43">
        <f>(((E11^2)/E12)^2)/(E12-1)</f>
        <v>1.5057712968482886E-6</v>
      </c>
    </row>
    <row r="44" spans="1:6" x14ac:dyDescent="0.25">
      <c r="A44">
        <v>2</v>
      </c>
      <c r="B44">
        <v>1</v>
      </c>
    </row>
    <row r="45" spans="1:6" x14ac:dyDescent="0.25">
      <c r="A45">
        <v>5</v>
      </c>
      <c r="B45">
        <v>4</v>
      </c>
      <c r="D45" t="s">
        <v>7</v>
      </c>
      <c r="E45">
        <f>E41/(E42+E43)</f>
        <v>191.85455784418212</v>
      </c>
      <c r="F45" s="6" t="s">
        <v>12</v>
      </c>
    </row>
    <row r="46" spans="1:6" x14ac:dyDescent="0.25">
      <c r="A46">
        <v>3</v>
      </c>
      <c r="B46">
        <v>3</v>
      </c>
    </row>
    <row r="47" spans="1:6" x14ac:dyDescent="0.25">
      <c r="A47">
        <v>2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3</v>
      </c>
    </row>
    <row r="49" spans="1:5" x14ac:dyDescent="0.25">
      <c r="A49">
        <v>2</v>
      </c>
      <c r="B49">
        <v>4</v>
      </c>
    </row>
    <row r="50" spans="1:5" x14ac:dyDescent="0.25">
      <c r="A50">
        <v>2</v>
      </c>
      <c r="B50">
        <v>2</v>
      </c>
    </row>
    <row r="51" spans="1:5" x14ac:dyDescent="0.25">
      <c r="A51">
        <v>4</v>
      </c>
      <c r="B51">
        <v>4</v>
      </c>
      <c r="D51" s="2"/>
      <c r="E51" s="2"/>
    </row>
    <row r="52" spans="1:5" x14ac:dyDescent="0.25">
      <c r="A52">
        <v>3</v>
      </c>
      <c r="B52">
        <v>1</v>
      </c>
      <c r="D52" t="s">
        <v>16</v>
      </c>
      <c r="E52">
        <f>_xlfn.T.INV.2T(E47,E45)</f>
        <v>1.9724619897672133</v>
      </c>
    </row>
    <row r="53" spans="1:5" x14ac:dyDescent="0.25">
      <c r="A53">
        <v>2</v>
      </c>
      <c r="B53">
        <v>3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4</v>
      </c>
    </row>
    <row r="55" spans="1:5" x14ac:dyDescent="0.25">
      <c r="A55">
        <v>3</v>
      </c>
      <c r="B55">
        <v>5</v>
      </c>
      <c r="D55" t="s">
        <v>18</v>
      </c>
      <c r="E55">
        <f>TTEST(A:A,B:B,2,2)</f>
        <v>0.78778434013023824</v>
      </c>
    </row>
    <row r="56" spans="1:5" x14ac:dyDescent="0.25">
      <c r="A56">
        <v>1</v>
      </c>
      <c r="B56">
        <v>2</v>
      </c>
      <c r="D56" t="s">
        <v>19</v>
      </c>
      <c r="E56">
        <f>TTEST(A:A,B:B,1,2)</f>
        <v>0.39389217006511912</v>
      </c>
    </row>
    <row r="57" spans="1:5" x14ac:dyDescent="0.25">
      <c r="A57">
        <v>2</v>
      </c>
      <c r="B57">
        <v>2</v>
      </c>
    </row>
    <row r="58" spans="1:5" x14ac:dyDescent="0.25">
      <c r="A58">
        <v>3</v>
      </c>
      <c r="B58">
        <v>3</v>
      </c>
    </row>
    <row r="59" spans="1:5" x14ac:dyDescent="0.25">
      <c r="A59">
        <v>2</v>
      </c>
      <c r="B59">
        <v>3</v>
      </c>
      <c r="D59" s="2" t="s">
        <v>20</v>
      </c>
      <c r="E59" s="2"/>
    </row>
    <row r="60" spans="1:5" x14ac:dyDescent="0.25">
      <c r="A60">
        <v>3</v>
      </c>
      <c r="B60">
        <v>3</v>
      </c>
    </row>
    <row r="61" spans="1:5" x14ac:dyDescent="0.25">
      <c r="A61">
        <v>4</v>
      </c>
      <c r="B61">
        <v>2</v>
      </c>
      <c r="D61" t="s">
        <v>21</v>
      </c>
    </row>
    <row r="62" spans="1:5" x14ac:dyDescent="0.25">
      <c r="A62">
        <v>1</v>
      </c>
      <c r="B62">
        <v>4</v>
      </c>
      <c r="D62" t="s">
        <v>22</v>
      </c>
    </row>
    <row r="63" spans="1:5" x14ac:dyDescent="0.25">
      <c r="A63">
        <v>3</v>
      </c>
      <c r="B63">
        <v>3</v>
      </c>
    </row>
    <row r="64" spans="1:5" x14ac:dyDescent="0.25">
      <c r="A64">
        <v>2</v>
      </c>
      <c r="B64">
        <v>3</v>
      </c>
    </row>
    <row r="65" spans="1:4" x14ac:dyDescent="0.25">
      <c r="A65">
        <v>1</v>
      </c>
      <c r="B65">
        <v>2</v>
      </c>
    </row>
    <row r="66" spans="1:4" x14ac:dyDescent="0.25">
      <c r="A66">
        <v>2</v>
      </c>
      <c r="B66">
        <v>2</v>
      </c>
      <c r="D66" t="s">
        <v>23</v>
      </c>
    </row>
    <row r="67" spans="1:4" x14ac:dyDescent="0.25">
      <c r="A67">
        <v>4</v>
      </c>
      <c r="B67">
        <v>2</v>
      </c>
      <c r="D67" t="str">
        <f>"Dos Colas: Si t calculado ("&amp;E29&amp;") &gt; a t critico  ("&amp;E52&amp;") (de tabla) ---&gt; Se rechaza la hipotesis nula"</f>
        <v>Dos Colas: Si t calculado (-0.269565097959723) &gt; a t critico  (1.97246198976721) (de tabla) ---&gt; Se rechaza la hipotesis nula</v>
      </c>
    </row>
    <row r="68" spans="1:4" x14ac:dyDescent="0.25">
      <c r="A68">
        <v>3</v>
      </c>
      <c r="B68">
        <v>2</v>
      </c>
      <c r="D68" t="str">
        <f>"Una Cola: Si t calculado ("&amp;E29&amp;") &gt; a t critico  ("&amp;E53&amp;") (de tabla) ---&gt; Se rechaza la hipotesis nula"</f>
        <v>Una Cola: Si t calculado (-0.269565097959723) &gt; a t critico  (-1.65287054723039) (de tabla) ---&gt; Se rechaza la hipotesis nula</v>
      </c>
    </row>
    <row r="69" spans="1:4" x14ac:dyDescent="0.25">
      <c r="A69">
        <v>2</v>
      </c>
      <c r="B69">
        <v>3</v>
      </c>
    </row>
    <row r="70" spans="1:4" x14ac:dyDescent="0.25">
      <c r="A70">
        <v>3</v>
      </c>
      <c r="B70">
        <v>3</v>
      </c>
    </row>
    <row r="71" spans="1:4" x14ac:dyDescent="0.25">
      <c r="A71">
        <v>2</v>
      </c>
      <c r="B71">
        <v>3</v>
      </c>
    </row>
    <row r="72" spans="1:4" x14ac:dyDescent="0.25">
      <c r="A72">
        <v>5</v>
      </c>
      <c r="B72">
        <v>4</v>
      </c>
      <c r="D72" t="s">
        <v>26</v>
      </c>
    </row>
    <row r="73" spans="1:4" x14ac:dyDescent="0.25">
      <c r="A73">
        <v>5</v>
      </c>
      <c r="B73">
        <v>4</v>
      </c>
      <c r="D73" t="str">
        <f>"Dos Colas: Si p valor ("&amp;E55&amp;") &lt; Nivel Significancia (0.05) ---&gt; Se rechaza la hipotesis nula"</f>
        <v>Dos Colas: Si p valor (0.787784340130238) &lt; Nivel Significancia (0.05) ---&gt; Se rechaza la hipotesis nula</v>
      </c>
    </row>
    <row r="74" spans="1:4" x14ac:dyDescent="0.25">
      <c r="A74">
        <v>1</v>
      </c>
      <c r="B74">
        <v>3</v>
      </c>
      <c r="D74" t="str">
        <f>"Una Cola: Si p valor ("&amp;E56&amp;") &lt; Nivel Significancia (0.05) ---&gt; Se rechaza la hipotesis nula"</f>
        <v>Una Cola: Si p valor (0.393892170065119) &lt; Nivel Significancia (0.05) ---&gt; Se rechaza la hipotesis nula</v>
      </c>
    </row>
    <row r="75" spans="1:4" x14ac:dyDescent="0.25">
      <c r="A75">
        <v>2</v>
      </c>
      <c r="B75">
        <v>3</v>
      </c>
    </row>
    <row r="76" spans="1:4" x14ac:dyDescent="0.25">
      <c r="A76">
        <v>3</v>
      </c>
      <c r="B76">
        <v>5</v>
      </c>
    </row>
    <row r="77" spans="1:4" x14ac:dyDescent="0.25">
      <c r="A77">
        <v>4</v>
      </c>
      <c r="B77">
        <v>3</v>
      </c>
    </row>
    <row r="78" spans="1:4" x14ac:dyDescent="0.25">
      <c r="A78">
        <v>3</v>
      </c>
      <c r="B78">
        <v>4</v>
      </c>
    </row>
    <row r="79" spans="1:4" x14ac:dyDescent="0.25">
      <c r="A79">
        <v>3</v>
      </c>
      <c r="B79">
        <v>3</v>
      </c>
    </row>
    <row r="80" spans="1:4" x14ac:dyDescent="0.25">
      <c r="A80">
        <v>3</v>
      </c>
      <c r="B80">
        <v>5</v>
      </c>
    </row>
    <row r="81" spans="1:2" x14ac:dyDescent="0.25">
      <c r="A81">
        <v>2</v>
      </c>
      <c r="B81">
        <v>2</v>
      </c>
    </row>
    <row r="82" spans="1:2" x14ac:dyDescent="0.25">
      <c r="A82">
        <v>4</v>
      </c>
      <c r="B82">
        <v>5</v>
      </c>
    </row>
    <row r="83" spans="1:2" x14ac:dyDescent="0.25">
      <c r="A83">
        <v>4</v>
      </c>
      <c r="B83">
        <v>4</v>
      </c>
    </row>
    <row r="84" spans="1:2" x14ac:dyDescent="0.25">
      <c r="A84">
        <v>3</v>
      </c>
      <c r="B84">
        <v>4</v>
      </c>
    </row>
    <row r="85" spans="1:2" x14ac:dyDescent="0.25">
      <c r="A85">
        <v>3</v>
      </c>
      <c r="B85">
        <v>4</v>
      </c>
    </row>
    <row r="86" spans="1:2" x14ac:dyDescent="0.25">
      <c r="A86">
        <v>3</v>
      </c>
      <c r="B86">
        <v>3</v>
      </c>
    </row>
    <row r="87" spans="1:2" x14ac:dyDescent="0.25">
      <c r="A87">
        <v>5</v>
      </c>
      <c r="B87">
        <v>2</v>
      </c>
    </row>
    <row r="88" spans="1:2" x14ac:dyDescent="0.25">
      <c r="A88">
        <v>4</v>
      </c>
      <c r="B88">
        <v>2</v>
      </c>
    </row>
    <row r="89" spans="1:2" x14ac:dyDescent="0.25">
      <c r="A89">
        <v>3</v>
      </c>
      <c r="B89">
        <v>4</v>
      </c>
    </row>
    <row r="90" spans="1:2" x14ac:dyDescent="0.25">
      <c r="A90">
        <v>3</v>
      </c>
      <c r="B90">
        <v>4</v>
      </c>
    </row>
    <row r="91" spans="1:2" x14ac:dyDescent="0.25">
      <c r="A91">
        <v>5</v>
      </c>
      <c r="B91">
        <v>1</v>
      </c>
    </row>
    <row r="92" spans="1:2" x14ac:dyDescent="0.25">
      <c r="A92">
        <v>4</v>
      </c>
      <c r="B92">
        <v>3</v>
      </c>
    </row>
    <row r="93" spans="1:2" x14ac:dyDescent="0.25">
      <c r="A93">
        <v>5</v>
      </c>
      <c r="B93">
        <v>2</v>
      </c>
    </row>
    <row r="94" spans="1:2" x14ac:dyDescent="0.25">
      <c r="A94">
        <v>4</v>
      </c>
      <c r="B94">
        <v>2</v>
      </c>
    </row>
    <row r="95" spans="1:2" x14ac:dyDescent="0.25">
      <c r="A95">
        <v>3</v>
      </c>
      <c r="B95">
        <v>4</v>
      </c>
    </row>
    <row r="96" spans="1:2" x14ac:dyDescent="0.25">
      <c r="A96">
        <v>2</v>
      </c>
      <c r="B96">
        <v>3</v>
      </c>
    </row>
    <row r="97" spans="1:2" x14ac:dyDescent="0.25">
      <c r="A97">
        <v>5</v>
      </c>
      <c r="B97">
        <v>2</v>
      </c>
    </row>
    <row r="98" spans="1:2" x14ac:dyDescent="0.25">
      <c r="A98">
        <v>3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H27" sqref="H27"/>
    </sheetView>
  </sheetViews>
  <sheetFormatPr baseColWidth="10" defaultColWidth="9.140625" defaultRowHeight="15" x14ac:dyDescent="0.25"/>
  <cols>
    <col min="1" max="1" width="32.85546875" customWidth="1"/>
    <col min="2" max="2" width="32.5703125" customWidth="1"/>
    <col min="4" max="4" width="37.5703125" customWidth="1"/>
    <col min="5" max="5" width="21.5703125" customWidth="1"/>
    <col min="6" max="6" width="17.85546875" customWidth="1"/>
    <col min="7" max="7" width="20" customWidth="1"/>
  </cols>
  <sheetData>
    <row r="1" spans="1:5" ht="75" x14ac:dyDescent="0.25">
      <c r="A1" s="11" t="s">
        <v>64</v>
      </c>
      <c r="B1" s="10" t="s">
        <v>65</v>
      </c>
    </row>
    <row r="2" spans="1:5" x14ac:dyDescent="0.25">
      <c r="A2">
        <v>4</v>
      </c>
      <c r="B2">
        <v>3</v>
      </c>
      <c r="D2" s="1" t="s">
        <v>24</v>
      </c>
      <c r="E2">
        <f>AVERAGE(A:A)</f>
        <v>3.0309278350515463</v>
      </c>
    </row>
    <row r="3" spans="1:5" x14ac:dyDescent="0.25">
      <c r="A3">
        <v>4</v>
      </c>
      <c r="B3">
        <v>4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2</v>
      </c>
      <c r="D4" s="1" t="s">
        <v>1</v>
      </c>
      <c r="E4">
        <f>MODE(A:A)</f>
        <v>3</v>
      </c>
    </row>
    <row r="5" spans="1:5" x14ac:dyDescent="0.25">
      <c r="A5">
        <v>3</v>
      </c>
      <c r="B5">
        <v>1</v>
      </c>
      <c r="D5" s="1" t="s">
        <v>15</v>
      </c>
      <c r="E5">
        <f>STDEV(A:A)</f>
        <v>1.0552804548971673</v>
      </c>
    </row>
    <row r="6" spans="1:5" x14ac:dyDescent="0.25">
      <c r="A6">
        <v>3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3</v>
      </c>
    </row>
    <row r="8" spans="1:5" x14ac:dyDescent="0.25">
      <c r="A8">
        <v>4</v>
      </c>
      <c r="B8">
        <v>3</v>
      </c>
      <c r="D8" s="3" t="s">
        <v>25</v>
      </c>
      <c r="E8">
        <f>AVERAGE(B:B)</f>
        <v>2.9484536082474229</v>
      </c>
    </row>
    <row r="9" spans="1:5" x14ac:dyDescent="0.25">
      <c r="A9">
        <v>3</v>
      </c>
      <c r="B9">
        <v>2</v>
      </c>
      <c r="D9" s="3" t="s">
        <v>2</v>
      </c>
      <c r="E9">
        <f>MEDIAN(B:B)</f>
        <v>3</v>
      </c>
    </row>
    <row r="10" spans="1:5" x14ac:dyDescent="0.25">
      <c r="A10">
        <v>3</v>
      </c>
      <c r="B10">
        <v>3</v>
      </c>
      <c r="D10" s="3" t="s">
        <v>3</v>
      </c>
      <c r="E10">
        <f>MODE(B:B)</f>
        <v>3</v>
      </c>
    </row>
    <row r="11" spans="1:5" x14ac:dyDescent="0.25">
      <c r="A11">
        <v>1</v>
      </c>
      <c r="B11">
        <v>3</v>
      </c>
      <c r="D11" s="3" t="s">
        <v>14</v>
      </c>
      <c r="E11">
        <f>STDEV(B:B)</f>
        <v>1.0445407086831131</v>
      </c>
    </row>
    <row r="12" spans="1:5" x14ac:dyDescent="0.25">
      <c r="A12">
        <v>1</v>
      </c>
      <c r="B12">
        <v>2</v>
      </c>
      <c r="D12" s="5" t="s">
        <v>5</v>
      </c>
      <c r="E12">
        <f>COUNT(B:B)</f>
        <v>97</v>
      </c>
    </row>
    <row r="13" spans="1:5" x14ac:dyDescent="0.25">
      <c r="A13">
        <v>4</v>
      </c>
      <c r="B13">
        <v>4</v>
      </c>
    </row>
    <row r="14" spans="1:5" x14ac:dyDescent="0.25">
      <c r="A14">
        <v>4</v>
      </c>
      <c r="B14">
        <v>3</v>
      </c>
    </row>
    <row r="15" spans="1:5" x14ac:dyDescent="0.25">
      <c r="A15">
        <v>5</v>
      </c>
      <c r="B15">
        <v>5</v>
      </c>
    </row>
    <row r="16" spans="1:5" x14ac:dyDescent="0.25">
      <c r="A16">
        <v>5</v>
      </c>
      <c r="B16">
        <v>3</v>
      </c>
    </row>
    <row r="17" spans="1:5" x14ac:dyDescent="0.25">
      <c r="A17">
        <v>2</v>
      </c>
      <c r="B17">
        <v>3</v>
      </c>
      <c r="D17" s="2" t="s">
        <v>6</v>
      </c>
      <c r="E17" s="2"/>
    </row>
    <row r="18" spans="1:5" x14ac:dyDescent="0.25">
      <c r="A18">
        <v>3</v>
      </c>
      <c r="B18">
        <v>3</v>
      </c>
    </row>
    <row r="19" spans="1:5" x14ac:dyDescent="0.25">
      <c r="A19">
        <v>3</v>
      </c>
      <c r="B19">
        <v>3</v>
      </c>
    </row>
    <row r="20" spans="1:5" x14ac:dyDescent="0.25">
      <c r="A20">
        <v>4</v>
      </c>
      <c r="B20">
        <v>4</v>
      </c>
    </row>
    <row r="21" spans="1:5" x14ac:dyDescent="0.25">
      <c r="A21">
        <v>3</v>
      </c>
      <c r="B21">
        <v>2</v>
      </c>
    </row>
    <row r="22" spans="1:5" x14ac:dyDescent="0.25">
      <c r="A22">
        <v>2</v>
      </c>
      <c r="B22">
        <v>2</v>
      </c>
    </row>
    <row r="23" spans="1:5" x14ac:dyDescent="0.25">
      <c r="A23">
        <v>3</v>
      </c>
      <c r="B23">
        <v>3</v>
      </c>
    </row>
    <row r="24" spans="1:5" x14ac:dyDescent="0.25">
      <c r="A24">
        <v>1</v>
      </c>
      <c r="B24">
        <v>4</v>
      </c>
    </row>
    <row r="25" spans="1:5" x14ac:dyDescent="0.25">
      <c r="A25">
        <v>3</v>
      </c>
      <c r="B25">
        <v>2</v>
      </c>
    </row>
    <row r="26" spans="1:5" x14ac:dyDescent="0.25">
      <c r="A26">
        <v>3</v>
      </c>
      <c r="B26">
        <v>4</v>
      </c>
    </row>
    <row r="27" spans="1:5" x14ac:dyDescent="0.25">
      <c r="A27">
        <v>4</v>
      </c>
      <c r="B27">
        <v>4</v>
      </c>
    </row>
    <row r="28" spans="1:5" x14ac:dyDescent="0.25">
      <c r="A28">
        <v>3</v>
      </c>
      <c r="B28">
        <v>1</v>
      </c>
    </row>
    <row r="29" spans="1:5" x14ac:dyDescent="0.25">
      <c r="A29">
        <v>3</v>
      </c>
      <c r="B29">
        <v>3</v>
      </c>
      <c r="D29" t="s">
        <v>11</v>
      </c>
      <c r="E29">
        <f>(E2-E8)/SQRT(((E5^2)/E6)+((E11^2)/E12))</f>
        <v>0.54705517263745784</v>
      </c>
    </row>
    <row r="30" spans="1:5" x14ac:dyDescent="0.25">
      <c r="A30">
        <v>3</v>
      </c>
      <c r="B30">
        <v>1</v>
      </c>
    </row>
    <row r="31" spans="1:5" x14ac:dyDescent="0.25">
      <c r="A31">
        <v>3</v>
      </c>
      <c r="B31">
        <v>3</v>
      </c>
      <c r="D31" s="2" t="s">
        <v>7</v>
      </c>
      <c r="E31" s="2"/>
    </row>
    <row r="32" spans="1:5" x14ac:dyDescent="0.25">
      <c r="A32">
        <v>5</v>
      </c>
      <c r="B32">
        <v>3</v>
      </c>
    </row>
    <row r="33" spans="1:6" x14ac:dyDescent="0.25">
      <c r="A33">
        <v>3</v>
      </c>
      <c r="B33">
        <v>5</v>
      </c>
    </row>
    <row r="34" spans="1:6" x14ac:dyDescent="0.25">
      <c r="A34">
        <v>1</v>
      </c>
      <c r="B34">
        <v>3</v>
      </c>
    </row>
    <row r="35" spans="1:6" x14ac:dyDescent="0.25">
      <c r="A35">
        <v>5</v>
      </c>
      <c r="B35">
        <v>1</v>
      </c>
    </row>
    <row r="36" spans="1:6" x14ac:dyDescent="0.25">
      <c r="A36">
        <v>1</v>
      </c>
      <c r="B36">
        <v>5</v>
      </c>
    </row>
    <row r="37" spans="1:6" x14ac:dyDescent="0.25">
      <c r="A37">
        <v>3</v>
      </c>
      <c r="B37">
        <v>3</v>
      </c>
    </row>
    <row r="38" spans="1:6" x14ac:dyDescent="0.25">
      <c r="A38">
        <v>2</v>
      </c>
      <c r="B38">
        <v>3</v>
      </c>
    </row>
    <row r="39" spans="1:6" x14ac:dyDescent="0.25">
      <c r="A39">
        <v>2</v>
      </c>
      <c r="B39">
        <v>4</v>
      </c>
    </row>
    <row r="40" spans="1:6" x14ac:dyDescent="0.25">
      <c r="A40">
        <v>3</v>
      </c>
      <c r="B40">
        <v>4</v>
      </c>
    </row>
    <row r="41" spans="1:6" ht="29.25" customHeight="1" x14ac:dyDescent="0.25">
      <c r="A41">
        <v>2</v>
      </c>
      <c r="B41">
        <v>2</v>
      </c>
      <c r="D41" t="s">
        <v>8</v>
      </c>
      <c r="E41">
        <f>(((E5^2)/E6)+((E11^2)/E12))^2</f>
        <v>5.1659297448371276E-4</v>
      </c>
    </row>
    <row r="42" spans="1:6" ht="47.25" customHeight="1" x14ac:dyDescent="0.25">
      <c r="A42">
        <v>4</v>
      </c>
      <c r="B42">
        <v>2</v>
      </c>
      <c r="D42" t="s">
        <v>9</v>
      </c>
      <c r="E42">
        <f>(((E5^2)/E6)^2)/(E6-1)</f>
        <v>1.3729568132505519E-6</v>
      </c>
    </row>
    <row r="43" spans="1:6" ht="43.5" customHeight="1" x14ac:dyDescent="0.25">
      <c r="A43">
        <v>4</v>
      </c>
      <c r="B43">
        <v>2</v>
      </c>
      <c r="D43" t="s">
        <v>10</v>
      </c>
      <c r="E43">
        <f>(((E11^2)/E12)^2)/(E12-1)</f>
        <v>1.3179131146785545E-6</v>
      </c>
    </row>
    <row r="44" spans="1:6" x14ac:dyDescent="0.25">
      <c r="A44">
        <v>3</v>
      </c>
      <c r="B44">
        <v>5</v>
      </c>
    </row>
    <row r="45" spans="1:6" x14ac:dyDescent="0.25">
      <c r="A45">
        <v>4</v>
      </c>
      <c r="B45">
        <v>4</v>
      </c>
      <c r="D45" t="s">
        <v>7</v>
      </c>
      <c r="E45">
        <f>E41/(E42+E43)</f>
        <v>191.97991293517586</v>
      </c>
      <c r="F45" s="6" t="s">
        <v>12</v>
      </c>
    </row>
    <row r="46" spans="1:6" x14ac:dyDescent="0.25">
      <c r="A46">
        <v>3</v>
      </c>
      <c r="B46">
        <v>4</v>
      </c>
    </row>
    <row r="47" spans="1:6" x14ac:dyDescent="0.25">
      <c r="A47">
        <v>1</v>
      </c>
      <c r="B47">
        <v>3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4</v>
      </c>
    </row>
    <row r="49" spans="1:5" x14ac:dyDescent="0.25">
      <c r="A49">
        <v>3</v>
      </c>
      <c r="B49">
        <v>2</v>
      </c>
    </row>
    <row r="50" spans="1:5" x14ac:dyDescent="0.25">
      <c r="A50">
        <v>5</v>
      </c>
      <c r="B50">
        <v>3</v>
      </c>
    </row>
    <row r="51" spans="1:5" x14ac:dyDescent="0.25">
      <c r="A51">
        <v>3</v>
      </c>
      <c r="B51">
        <v>5</v>
      </c>
      <c r="D51" s="2"/>
      <c r="E51" s="2"/>
    </row>
    <row r="52" spans="1:5" x14ac:dyDescent="0.25">
      <c r="A52">
        <v>1</v>
      </c>
      <c r="B52">
        <v>3</v>
      </c>
      <c r="D52" t="s">
        <v>16</v>
      </c>
      <c r="E52">
        <f>_xlfn.T.INV.2T(E47,E45)</f>
        <v>1.9724619897672133</v>
      </c>
    </row>
    <row r="53" spans="1:5" x14ac:dyDescent="0.25">
      <c r="A53">
        <v>5</v>
      </c>
      <c r="B53">
        <v>3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4</v>
      </c>
    </row>
    <row r="55" spans="1:5" x14ac:dyDescent="0.25">
      <c r="A55">
        <v>3</v>
      </c>
      <c r="B55">
        <v>3</v>
      </c>
      <c r="D55" t="s">
        <v>18</v>
      </c>
      <c r="E55">
        <f>TTEST(A:A,B:B,2,2)</f>
        <v>0.5849760951012386</v>
      </c>
    </row>
    <row r="56" spans="1:5" x14ac:dyDescent="0.25">
      <c r="A56">
        <v>4</v>
      </c>
      <c r="B56">
        <v>1</v>
      </c>
      <c r="D56" t="s">
        <v>19</v>
      </c>
      <c r="E56">
        <f>TTEST(A:A,B:B,1,2)</f>
        <v>0.2924880475506193</v>
      </c>
    </row>
    <row r="57" spans="1:5" x14ac:dyDescent="0.25">
      <c r="A57">
        <v>3</v>
      </c>
      <c r="B57">
        <v>3</v>
      </c>
    </row>
    <row r="58" spans="1:5" x14ac:dyDescent="0.25">
      <c r="A58">
        <v>4</v>
      </c>
      <c r="B58">
        <v>1</v>
      </c>
    </row>
    <row r="59" spans="1:5" x14ac:dyDescent="0.25">
      <c r="A59">
        <v>4</v>
      </c>
      <c r="B59">
        <v>5</v>
      </c>
      <c r="D59" s="2" t="s">
        <v>20</v>
      </c>
      <c r="E59" s="2"/>
    </row>
    <row r="60" spans="1:5" x14ac:dyDescent="0.25">
      <c r="A60">
        <v>3</v>
      </c>
      <c r="B60">
        <v>3</v>
      </c>
    </row>
    <row r="61" spans="1:5" x14ac:dyDescent="0.25">
      <c r="A61">
        <v>2</v>
      </c>
      <c r="B61">
        <v>3</v>
      </c>
      <c r="D61" t="s">
        <v>21</v>
      </c>
    </row>
    <row r="62" spans="1:5" x14ac:dyDescent="0.25">
      <c r="A62">
        <v>5</v>
      </c>
      <c r="B62">
        <v>3</v>
      </c>
      <c r="D62" t="s">
        <v>22</v>
      </c>
    </row>
    <row r="63" spans="1:5" x14ac:dyDescent="0.25">
      <c r="A63">
        <v>2</v>
      </c>
      <c r="B63">
        <v>2</v>
      </c>
    </row>
    <row r="64" spans="1:5" x14ac:dyDescent="0.25">
      <c r="A64">
        <v>4</v>
      </c>
      <c r="B64">
        <v>3</v>
      </c>
    </row>
    <row r="65" spans="1:4" x14ac:dyDescent="0.25">
      <c r="A65">
        <v>5</v>
      </c>
      <c r="B65">
        <v>5</v>
      </c>
    </row>
    <row r="66" spans="1:4" x14ac:dyDescent="0.25">
      <c r="A66">
        <v>1</v>
      </c>
      <c r="B66">
        <v>2</v>
      </c>
      <c r="D66" t="s">
        <v>23</v>
      </c>
    </row>
    <row r="67" spans="1:4" x14ac:dyDescent="0.25">
      <c r="A67">
        <v>3</v>
      </c>
      <c r="B67">
        <v>5</v>
      </c>
      <c r="D67" t="str">
        <f>"Dos Colas: Si t calculado ("&amp;E29&amp;") &gt; a t critico  ("&amp;E52&amp;") (de tabla) ---&gt; Se rechaza la hipotesis nula"</f>
        <v>Dos Colas: Si t calculado (0.547055172637458) &gt; a t critico  (1.97246198976721) (de tabla) ---&gt; Se rechaza la hipotesis nula</v>
      </c>
    </row>
    <row r="68" spans="1:4" x14ac:dyDescent="0.25">
      <c r="A68">
        <v>3</v>
      </c>
      <c r="B68">
        <v>3</v>
      </c>
      <c r="D68" t="str">
        <f>"Una Cola: Si t calculado ("&amp;E29&amp;") &gt; a t critico  ("&amp;E53&amp;") (de tabla) ---&gt; Se rechaza la hipotesis nula"</f>
        <v>Una Cola: Si t calculado (0.547055172637458) &gt; a t critico  (-1.65287054723039) (de tabla) ---&gt; Se rechaza la hipotesis nula</v>
      </c>
    </row>
    <row r="69" spans="1:4" x14ac:dyDescent="0.25">
      <c r="A69">
        <v>2</v>
      </c>
      <c r="B69">
        <v>3</v>
      </c>
    </row>
    <row r="70" spans="1:4" x14ac:dyDescent="0.25">
      <c r="A70">
        <v>2</v>
      </c>
      <c r="B70">
        <v>2</v>
      </c>
    </row>
    <row r="71" spans="1:4" x14ac:dyDescent="0.25">
      <c r="A71">
        <v>4</v>
      </c>
      <c r="B71">
        <v>3</v>
      </c>
    </row>
    <row r="72" spans="1:4" x14ac:dyDescent="0.25">
      <c r="A72">
        <v>3</v>
      </c>
      <c r="B72">
        <v>2</v>
      </c>
      <c r="D72" t="s">
        <v>26</v>
      </c>
    </row>
    <row r="73" spans="1:4" x14ac:dyDescent="0.25">
      <c r="A73">
        <v>4</v>
      </c>
      <c r="B73">
        <v>2</v>
      </c>
      <c r="D73" t="str">
        <f>"Dos Colas: Si p valor ("&amp;E55&amp;") &lt; Nivel Significancia (0.05) ---&gt; Se rechaza la hipotesis nula"</f>
        <v>Dos Colas: Si p valor (0.584976095101239) &lt; Nivel Significancia (0.05) ---&gt; Se rechaza la hipotesis nula</v>
      </c>
    </row>
    <row r="74" spans="1:4" x14ac:dyDescent="0.25">
      <c r="A74">
        <v>4</v>
      </c>
      <c r="B74">
        <v>3</v>
      </c>
      <c r="D74" t="str">
        <f>"Una Cola: Si p valor ("&amp;E56&amp;") &lt; Nivel Significancia (0.05) ---&gt; Se rechaza la hipotesis nula"</f>
        <v>Una Cola: Si p valor (0.292488047550619) &lt; Nivel Significancia (0.05) ---&gt; Se rechaza la hipotesis nula</v>
      </c>
    </row>
    <row r="75" spans="1:4" x14ac:dyDescent="0.25">
      <c r="A75">
        <v>1</v>
      </c>
      <c r="B75">
        <v>3</v>
      </c>
    </row>
    <row r="76" spans="1:4" x14ac:dyDescent="0.25">
      <c r="A76">
        <v>2</v>
      </c>
      <c r="B76">
        <v>1</v>
      </c>
    </row>
    <row r="77" spans="1:4" x14ac:dyDescent="0.25">
      <c r="A77">
        <v>4</v>
      </c>
      <c r="B77">
        <v>2</v>
      </c>
    </row>
    <row r="78" spans="1:4" x14ac:dyDescent="0.25">
      <c r="A78">
        <v>3</v>
      </c>
      <c r="B78">
        <v>3</v>
      </c>
    </row>
    <row r="79" spans="1:4" x14ac:dyDescent="0.25">
      <c r="A79">
        <v>3</v>
      </c>
      <c r="B79">
        <v>2</v>
      </c>
    </row>
    <row r="80" spans="1:4" x14ac:dyDescent="0.25">
      <c r="A80">
        <v>3</v>
      </c>
      <c r="B80">
        <v>4</v>
      </c>
    </row>
    <row r="81" spans="1:2" x14ac:dyDescent="0.25">
      <c r="A81">
        <v>3</v>
      </c>
      <c r="B81">
        <v>4</v>
      </c>
    </row>
    <row r="82" spans="1:2" x14ac:dyDescent="0.25">
      <c r="A82">
        <v>4</v>
      </c>
      <c r="B82">
        <v>3</v>
      </c>
    </row>
    <row r="83" spans="1:2" x14ac:dyDescent="0.25">
      <c r="A83">
        <v>4</v>
      </c>
      <c r="B83">
        <v>1</v>
      </c>
    </row>
    <row r="84" spans="1:2" x14ac:dyDescent="0.25">
      <c r="A84">
        <v>3</v>
      </c>
      <c r="B84">
        <v>2</v>
      </c>
    </row>
    <row r="85" spans="1:2" x14ac:dyDescent="0.25">
      <c r="A85">
        <v>2</v>
      </c>
      <c r="B85">
        <v>2</v>
      </c>
    </row>
    <row r="86" spans="1:2" x14ac:dyDescent="0.25">
      <c r="A86">
        <v>3</v>
      </c>
      <c r="B86">
        <v>2</v>
      </c>
    </row>
    <row r="87" spans="1:2" x14ac:dyDescent="0.25">
      <c r="A87">
        <v>3</v>
      </c>
      <c r="B87">
        <v>3</v>
      </c>
    </row>
    <row r="88" spans="1:2" x14ac:dyDescent="0.25">
      <c r="A88">
        <v>3</v>
      </c>
      <c r="B88">
        <v>1</v>
      </c>
    </row>
    <row r="89" spans="1:2" x14ac:dyDescent="0.25">
      <c r="A89">
        <v>2</v>
      </c>
      <c r="B89">
        <v>3</v>
      </c>
    </row>
    <row r="90" spans="1:2" x14ac:dyDescent="0.25">
      <c r="A90">
        <v>3</v>
      </c>
      <c r="B90">
        <v>3</v>
      </c>
    </row>
    <row r="91" spans="1:2" x14ac:dyDescent="0.25">
      <c r="A91">
        <v>3</v>
      </c>
      <c r="B91">
        <v>3</v>
      </c>
    </row>
    <row r="92" spans="1:2" x14ac:dyDescent="0.25">
      <c r="A92">
        <v>3</v>
      </c>
      <c r="B92">
        <v>3</v>
      </c>
    </row>
    <row r="93" spans="1:2" x14ac:dyDescent="0.25">
      <c r="A93">
        <v>3</v>
      </c>
      <c r="B93">
        <v>3</v>
      </c>
    </row>
    <row r="94" spans="1:2" x14ac:dyDescent="0.25">
      <c r="A94">
        <v>2</v>
      </c>
      <c r="B94">
        <v>4</v>
      </c>
    </row>
    <row r="95" spans="1:2" x14ac:dyDescent="0.25">
      <c r="A95">
        <v>4</v>
      </c>
      <c r="B95">
        <v>4</v>
      </c>
    </row>
    <row r="96" spans="1:2" x14ac:dyDescent="0.25">
      <c r="A96">
        <v>4</v>
      </c>
      <c r="B96">
        <v>3</v>
      </c>
    </row>
    <row r="97" spans="1:2" x14ac:dyDescent="0.25">
      <c r="A97">
        <v>2</v>
      </c>
      <c r="B97">
        <v>4</v>
      </c>
    </row>
    <row r="98" spans="1:2" x14ac:dyDescent="0.25">
      <c r="A98">
        <v>3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2026-06-24T05:43:10Z</dcterms:modified>
</cp:coreProperties>
</file>
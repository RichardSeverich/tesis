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prueba-chi-cuadrado\"/>
    </mc:Choice>
  </mc:AlternateContent>
  <bookViews>
    <workbookView xWindow="0" yWindow="0" windowWidth="28800" windowHeight="12435" tabRatio="929" firstSheet="1" activeTab="12"/>
  </bookViews>
  <sheets>
    <sheet name="Objetivo" sheetId="2" r:id="rId1"/>
    <sheet name="Resumen" sheetId="11" r:id="rId2"/>
    <sheet name="Participas-actividades" sheetId="12" r:id="rId3"/>
    <sheet name="Comunicación-equipo" sheetId="13" r:id="rId4"/>
    <sheet name="Cumplimiento-tareas" sheetId="1" r:id="rId5"/>
    <sheet name="Contribución-grupo" sheetId="3" r:id="rId6"/>
    <sheet name="Resolución-problemas" sheetId="4" r:id="rId7"/>
    <sheet name="Conocimientos-adquiridos" sheetId="5" r:id="rId8"/>
    <sheet name="Nota-final" sheetId="6" r:id="rId9"/>
    <sheet name="Comprensión" sheetId="7" r:id="rId10"/>
    <sheet name="Habilidades" sheetId="8" r:id="rId11"/>
    <sheet name="Resolución-autónoma" sheetId="9" r:id="rId12"/>
    <sheet name="Motivación" sheetId="10" r:id="rId13"/>
  </sheets>
  <calcPr calcId="152511"/>
</workbook>
</file>

<file path=xl/calcChain.xml><?xml version="1.0" encoding="utf-8"?>
<calcChain xmlns="http://schemas.openxmlformats.org/spreadsheetml/2006/main">
  <c r="D12" i="11" l="1"/>
  <c r="D11" i="11"/>
  <c r="D10" i="11"/>
  <c r="D9" i="11"/>
  <c r="D8" i="11"/>
  <c r="D7" i="11"/>
  <c r="D6" i="11"/>
  <c r="D5" i="11"/>
  <c r="D4" i="11"/>
  <c r="D3" i="11"/>
  <c r="D2" i="11"/>
  <c r="B28" i="12" l="1"/>
  <c r="B27" i="12"/>
  <c r="B26" i="12"/>
  <c r="B25" i="12"/>
  <c r="B24" i="12"/>
  <c r="B23" i="12"/>
  <c r="B22" i="12"/>
  <c r="B21" i="12"/>
  <c r="B20" i="12"/>
  <c r="B19" i="12"/>
  <c r="B11" i="12" l="1"/>
  <c r="G11" i="12"/>
  <c r="F11" i="12"/>
  <c r="E11" i="12"/>
  <c r="D11" i="12"/>
  <c r="C11" i="12"/>
  <c r="B11" i="13"/>
  <c r="C12" i="11" l="1"/>
  <c r="C11" i="11"/>
  <c r="C10" i="11"/>
  <c r="C9" i="11"/>
  <c r="C8" i="11"/>
  <c r="C7" i="11"/>
  <c r="C6" i="11"/>
  <c r="C5" i="11"/>
  <c r="C4" i="11"/>
  <c r="C3" i="11"/>
  <c r="C2" i="11"/>
  <c r="D11" i="13" l="1"/>
  <c r="B55" i="13"/>
  <c r="C41" i="13"/>
  <c r="B44" i="13" s="1"/>
  <c r="B46" i="13" s="1"/>
  <c r="B60" i="13" s="1"/>
  <c r="C28" i="13"/>
  <c r="B28" i="13"/>
  <c r="A28" i="13"/>
  <c r="C27" i="13"/>
  <c r="B27" i="13"/>
  <c r="A27" i="13"/>
  <c r="C26" i="13"/>
  <c r="B26" i="13"/>
  <c r="A26" i="13"/>
  <c r="C25" i="13"/>
  <c r="B25" i="13"/>
  <c r="A25" i="13"/>
  <c r="C24" i="13"/>
  <c r="B24" i="13"/>
  <c r="A24" i="13"/>
  <c r="C23" i="13"/>
  <c r="B23" i="13"/>
  <c r="A23" i="13"/>
  <c r="C22" i="13"/>
  <c r="B22" i="13"/>
  <c r="A22" i="13"/>
  <c r="C21" i="13"/>
  <c r="B21" i="13"/>
  <c r="A21" i="13"/>
  <c r="C20" i="13"/>
  <c r="B20" i="13"/>
  <c r="A20" i="13"/>
  <c r="C19" i="13"/>
  <c r="B19" i="13"/>
  <c r="A19" i="13"/>
  <c r="A13" i="13"/>
  <c r="A12" i="13"/>
  <c r="G11" i="13"/>
  <c r="F11" i="13"/>
  <c r="E11" i="13"/>
  <c r="C11" i="13"/>
  <c r="F5" i="13"/>
  <c r="E5" i="13"/>
  <c r="D5" i="13"/>
  <c r="C5" i="13"/>
  <c r="B5" i="13"/>
  <c r="G4" i="13"/>
  <c r="G3" i="13"/>
  <c r="B55" i="12"/>
  <c r="C41" i="12"/>
  <c r="B44" i="12" s="1"/>
  <c r="B46" i="12" s="1"/>
  <c r="B60" i="12" s="1"/>
  <c r="C28" i="12"/>
  <c r="A28" i="12"/>
  <c r="C27" i="12"/>
  <c r="A27" i="12"/>
  <c r="C26" i="12"/>
  <c r="A26" i="12"/>
  <c r="C25" i="12"/>
  <c r="A25" i="12"/>
  <c r="C24" i="12"/>
  <c r="A24" i="12"/>
  <c r="C23" i="12"/>
  <c r="A23" i="12"/>
  <c r="C22" i="12"/>
  <c r="A22" i="12"/>
  <c r="C21" i="12"/>
  <c r="A21" i="12"/>
  <c r="C20" i="12"/>
  <c r="A20" i="12"/>
  <c r="C19" i="12"/>
  <c r="A19" i="12"/>
  <c r="A13" i="12"/>
  <c r="A12" i="12"/>
  <c r="F5" i="12"/>
  <c r="E5" i="12"/>
  <c r="D5" i="12"/>
  <c r="C5" i="12"/>
  <c r="B5" i="12"/>
  <c r="G4" i="12"/>
  <c r="G3" i="12"/>
  <c r="G5" i="13" l="1"/>
  <c r="F12" i="13" s="1"/>
  <c r="D23" i="13" s="1"/>
  <c r="E23" i="13" s="1"/>
  <c r="F23" i="13" s="1"/>
  <c r="G5" i="12"/>
  <c r="E12" i="12" s="1"/>
  <c r="D22" i="12" s="1"/>
  <c r="E22" i="12" s="1"/>
  <c r="F22" i="12" s="1"/>
  <c r="B55" i="10"/>
  <c r="C41" i="10"/>
  <c r="B44" i="10" s="1"/>
  <c r="B46" i="10" s="1"/>
  <c r="B60" i="10" s="1"/>
  <c r="C28" i="10"/>
  <c r="B28" i="10"/>
  <c r="A28" i="10"/>
  <c r="C27" i="10"/>
  <c r="B27" i="10"/>
  <c r="A27" i="10"/>
  <c r="C26" i="10"/>
  <c r="B26" i="10"/>
  <c r="A26" i="10"/>
  <c r="C25" i="10"/>
  <c r="B25" i="10"/>
  <c r="A25" i="10"/>
  <c r="C24" i="10"/>
  <c r="B24" i="10"/>
  <c r="A24" i="10"/>
  <c r="C23" i="10"/>
  <c r="B23" i="10"/>
  <c r="A23" i="10"/>
  <c r="C22" i="10"/>
  <c r="B22" i="10"/>
  <c r="A22" i="10"/>
  <c r="C21" i="10"/>
  <c r="B21" i="10"/>
  <c r="A21" i="10"/>
  <c r="C20" i="10"/>
  <c r="B20" i="10"/>
  <c r="A20" i="10"/>
  <c r="C19" i="10"/>
  <c r="B19" i="10"/>
  <c r="A19" i="10"/>
  <c r="A13" i="10"/>
  <c r="A12" i="10"/>
  <c r="G11" i="10"/>
  <c r="F11" i="10"/>
  <c r="E11" i="10"/>
  <c r="D11" i="10"/>
  <c r="C11" i="10"/>
  <c r="B11" i="10"/>
  <c r="F5" i="10"/>
  <c r="E5" i="10"/>
  <c r="D5" i="10"/>
  <c r="C5" i="10"/>
  <c r="B5" i="10"/>
  <c r="G4" i="10"/>
  <c r="G3" i="10"/>
  <c r="B55" i="9"/>
  <c r="C41" i="9"/>
  <c r="B44" i="9" s="1"/>
  <c r="B46" i="9" s="1"/>
  <c r="B60" i="9" s="1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A13" i="9"/>
  <c r="A12" i="9"/>
  <c r="G11" i="9"/>
  <c r="F11" i="9"/>
  <c r="E11" i="9"/>
  <c r="D11" i="9"/>
  <c r="C11" i="9"/>
  <c r="B11" i="9"/>
  <c r="F5" i="9"/>
  <c r="E5" i="9"/>
  <c r="D5" i="9"/>
  <c r="C5" i="9"/>
  <c r="B5" i="9"/>
  <c r="G4" i="9"/>
  <c r="G3" i="9"/>
  <c r="B55" i="8"/>
  <c r="C41" i="8"/>
  <c r="B44" i="8" s="1"/>
  <c r="B46" i="8" s="1"/>
  <c r="B60" i="8" s="1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A13" i="8"/>
  <c r="A12" i="8"/>
  <c r="G11" i="8"/>
  <c r="F11" i="8"/>
  <c r="E11" i="8"/>
  <c r="D11" i="8"/>
  <c r="C11" i="8"/>
  <c r="B11" i="8"/>
  <c r="F5" i="8"/>
  <c r="E5" i="8"/>
  <c r="D5" i="8"/>
  <c r="C5" i="8"/>
  <c r="B5" i="8"/>
  <c r="G4" i="8"/>
  <c r="G3" i="8"/>
  <c r="B55" i="7"/>
  <c r="C41" i="7"/>
  <c r="B44" i="7" s="1"/>
  <c r="B46" i="7" s="1"/>
  <c r="B60" i="7" s="1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A13" i="7"/>
  <c r="A12" i="7"/>
  <c r="G11" i="7"/>
  <c r="F11" i="7"/>
  <c r="E11" i="7"/>
  <c r="D11" i="7"/>
  <c r="C11" i="7"/>
  <c r="B11" i="7"/>
  <c r="F5" i="7"/>
  <c r="E5" i="7"/>
  <c r="D5" i="7"/>
  <c r="C5" i="7"/>
  <c r="B5" i="7"/>
  <c r="G4" i="7"/>
  <c r="G3" i="7"/>
  <c r="B55" i="6"/>
  <c r="C41" i="6"/>
  <c r="B44" i="6" s="1"/>
  <c r="B46" i="6" s="1"/>
  <c r="B60" i="6" s="1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A13" i="6"/>
  <c r="A12" i="6"/>
  <c r="G11" i="6"/>
  <c r="F11" i="6"/>
  <c r="E11" i="6"/>
  <c r="D11" i="6"/>
  <c r="C11" i="6"/>
  <c r="B11" i="6"/>
  <c r="F5" i="6"/>
  <c r="E5" i="6"/>
  <c r="D5" i="6"/>
  <c r="C5" i="6"/>
  <c r="B5" i="6"/>
  <c r="G4" i="6"/>
  <c r="G3" i="6"/>
  <c r="B55" i="5"/>
  <c r="C41" i="5"/>
  <c r="B44" i="5" s="1"/>
  <c r="B46" i="5" s="1"/>
  <c r="B60" i="5" s="1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A13" i="5"/>
  <c r="A12" i="5"/>
  <c r="G11" i="5"/>
  <c r="F11" i="5"/>
  <c r="E11" i="5"/>
  <c r="D11" i="5"/>
  <c r="C11" i="5"/>
  <c r="B11" i="5"/>
  <c r="F5" i="5"/>
  <c r="E5" i="5"/>
  <c r="D5" i="5"/>
  <c r="C5" i="5"/>
  <c r="B5" i="5"/>
  <c r="G4" i="5"/>
  <c r="G3" i="5"/>
  <c r="B55" i="4"/>
  <c r="C41" i="4"/>
  <c r="B44" i="4" s="1"/>
  <c r="B46" i="4" s="1"/>
  <c r="B60" i="4" s="1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A13" i="4"/>
  <c r="A12" i="4"/>
  <c r="G11" i="4"/>
  <c r="F11" i="4"/>
  <c r="E11" i="4"/>
  <c r="D11" i="4"/>
  <c r="C11" i="4"/>
  <c r="B11" i="4"/>
  <c r="F5" i="4"/>
  <c r="E5" i="4"/>
  <c r="D5" i="4"/>
  <c r="C5" i="4"/>
  <c r="B5" i="4"/>
  <c r="G4" i="4"/>
  <c r="G3" i="4"/>
  <c r="B55" i="3"/>
  <c r="C41" i="3"/>
  <c r="B44" i="3" s="1"/>
  <c r="B46" i="3" s="1"/>
  <c r="B60" i="3" s="1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A13" i="3"/>
  <c r="A12" i="3"/>
  <c r="G11" i="3"/>
  <c r="F11" i="3"/>
  <c r="E11" i="3"/>
  <c r="D11" i="3"/>
  <c r="C11" i="3"/>
  <c r="B11" i="3"/>
  <c r="F5" i="3"/>
  <c r="E5" i="3"/>
  <c r="D5" i="3"/>
  <c r="C5" i="3"/>
  <c r="B5" i="3"/>
  <c r="G4" i="3"/>
  <c r="G3" i="3"/>
  <c r="G5" i="9" l="1"/>
  <c r="F13" i="9" s="1"/>
  <c r="D28" i="9" s="1"/>
  <c r="E28" i="9" s="1"/>
  <c r="F28" i="9" s="1"/>
  <c r="C13" i="13"/>
  <c r="D25" i="13" s="1"/>
  <c r="E25" i="13" s="1"/>
  <c r="F25" i="13" s="1"/>
  <c r="G5" i="8"/>
  <c r="D13" i="8" s="1"/>
  <c r="D26" i="8" s="1"/>
  <c r="E26" i="8" s="1"/>
  <c r="F26" i="8" s="1"/>
  <c r="B13" i="13"/>
  <c r="D24" i="13" s="1"/>
  <c r="E24" i="13" s="1"/>
  <c r="F24" i="13" s="1"/>
  <c r="F12" i="12"/>
  <c r="D23" i="12" s="1"/>
  <c r="E23" i="12" s="1"/>
  <c r="F23" i="12" s="1"/>
  <c r="D12" i="12"/>
  <c r="D21" i="12" s="1"/>
  <c r="E21" i="12" s="1"/>
  <c r="F21" i="12" s="1"/>
  <c r="C12" i="13"/>
  <c r="D20" i="13" s="1"/>
  <c r="E20" i="13" s="1"/>
  <c r="F20" i="13" s="1"/>
  <c r="F13" i="13"/>
  <c r="D28" i="13" s="1"/>
  <c r="E28" i="13" s="1"/>
  <c r="F28" i="13" s="1"/>
  <c r="B12" i="13"/>
  <c r="D19" i="13" s="1"/>
  <c r="E19" i="13" s="1"/>
  <c r="F19" i="13" s="1"/>
  <c r="D13" i="13"/>
  <c r="D26" i="13" s="1"/>
  <c r="E26" i="13" s="1"/>
  <c r="F26" i="13" s="1"/>
  <c r="E13" i="13"/>
  <c r="D27" i="13" s="1"/>
  <c r="E27" i="13" s="1"/>
  <c r="F27" i="13" s="1"/>
  <c r="E12" i="13"/>
  <c r="D22" i="13" s="1"/>
  <c r="E22" i="13" s="1"/>
  <c r="F22" i="13" s="1"/>
  <c r="D12" i="13"/>
  <c r="D21" i="13" s="1"/>
  <c r="E21" i="13" s="1"/>
  <c r="F21" i="13" s="1"/>
  <c r="B12" i="12"/>
  <c r="D19" i="12" s="1"/>
  <c r="E19" i="12" s="1"/>
  <c r="F19" i="12" s="1"/>
  <c r="D13" i="12"/>
  <c r="D26" i="12" s="1"/>
  <c r="E26" i="12" s="1"/>
  <c r="F26" i="12" s="1"/>
  <c r="C12" i="12"/>
  <c r="D20" i="12" s="1"/>
  <c r="E20" i="12" s="1"/>
  <c r="F20" i="12" s="1"/>
  <c r="F13" i="12"/>
  <c r="D28" i="12" s="1"/>
  <c r="E28" i="12" s="1"/>
  <c r="F28" i="12" s="1"/>
  <c r="B13" i="12"/>
  <c r="D24" i="12" s="1"/>
  <c r="E24" i="12" s="1"/>
  <c r="F24" i="12" s="1"/>
  <c r="C13" i="12"/>
  <c r="D25" i="12" s="1"/>
  <c r="E25" i="12" s="1"/>
  <c r="F25" i="12" s="1"/>
  <c r="E13" i="12"/>
  <c r="D27" i="12" s="1"/>
  <c r="E27" i="12" s="1"/>
  <c r="F27" i="12" s="1"/>
  <c r="G5" i="10"/>
  <c r="B13" i="10" s="1"/>
  <c r="F12" i="9"/>
  <c r="D23" i="9" s="1"/>
  <c r="E23" i="9" s="1"/>
  <c r="F23" i="9" s="1"/>
  <c r="G5" i="7"/>
  <c r="F12" i="7" s="1"/>
  <c r="D23" i="7" s="1"/>
  <c r="E23" i="7" s="1"/>
  <c r="F23" i="7" s="1"/>
  <c r="G5" i="6"/>
  <c r="E12" i="6" s="1"/>
  <c r="D22" i="6" s="1"/>
  <c r="E22" i="6" s="1"/>
  <c r="F22" i="6" s="1"/>
  <c r="G5" i="5"/>
  <c r="F12" i="5" s="1"/>
  <c r="D23" i="5" s="1"/>
  <c r="E23" i="5" s="1"/>
  <c r="F23" i="5" s="1"/>
  <c r="G5" i="4"/>
  <c r="F12" i="4" s="1"/>
  <c r="D23" i="4" s="1"/>
  <c r="E23" i="4" s="1"/>
  <c r="F23" i="4" s="1"/>
  <c r="G5" i="3"/>
  <c r="D12" i="3" s="1"/>
  <c r="D21" i="3" s="1"/>
  <c r="E21" i="3" s="1"/>
  <c r="F21" i="3" s="1"/>
  <c r="C19" i="1"/>
  <c r="B60" i="1"/>
  <c r="D12" i="9" l="1"/>
  <c r="D21" i="9" s="1"/>
  <c r="E21" i="9" s="1"/>
  <c r="F21" i="9" s="1"/>
  <c r="C12" i="9"/>
  <c r="D20" i="9" s="1"/>
  <c r="E20" i="9" s="1"/>
  <c r="F20" i="9" s="1"/>
  <c r="D13" i="9"/>
  <c r="D26" i="9" s="1"/>
  <c r="E26" i="9" s="1"/>
  <c r="F26" i="9" s="1"/>
  <c r="E13" i="9"/>
  <c r="D27" i="9" s="1"/>
  <c r="E27" i="9" s="1"/>
  <c r="F27" i="9" s="1"/>
  <c r="E12" i="9"/>
  <c r="D22" i="9" s="1"/>
  <c r="E22" i="9" s="1"/>
  <c r="F22" i="9" s="1"/>
  <c r="B13" i="9"/>
  <c r="B12" i="9"/>
  <c r="C13" i="9"/>
  <c r="D25" i="9" s="1"/>
  <c r="E25" i="9" s="1"/>
  <c r="F25" i="9" s="1"/>
  <c r="B12" i="8"/>
  <c r="D19" i="8" s="1"/>
  <c r="E19" i="8" s="1"/>
  <c r="F19" i="8" s="1"/>
  <c r="E12" i="8"/>
  <c r="D22" i="8" s="1"/>
  <c r="E22" i="8" s="1"/>
  <c r="F22" i="8" s="1"/>
  <c r="B13" i="8"/>
  <c r="D24" i="8" s="1"/>
  <c r="E24" i="8" s="1"/>
  <c r="F24" i="8" s="1"/>
  <c r="F12" i="8"/>
  <c r="D23" i="8" s="1"/>
  <c r="E23" i="8" s="1"/>
  <c r="F23" i="8" s="1"/>
  <c r="C12" i="8"/>
  <c r="D20" i="8" s="1"/>
  <c r="E20" i="8" s="1"/>
  <c r="F20" i="8" s="1"/>
  <c r="E13" i="8"/>
  <c r="D27" i="8" s="1"/>
  <c r="E27" i="8" s="1"/>
  <c r="F27" i="8" s="1"/>
  <c r="F13" i="8"/>
  <c r="D28" i="8" s="1"/>
  <c r="E28" i="8" s="1"/>
  <c r="F28" i="8" s="1"/>
  <c r="C13" i="8"/>
  <c r="D25" i="8" s="1"/>
  <c r="E25" i="8" s="1"/>
  <c r="F25" i="8" s="1"/>
  <c r="D12" i="8"/>
  <c r="D21" i="8" s="1"/>
  <c r="E21" i="8" s="1"/>
  <c r="F21" i="8" s="1"/>
  <c r="G12" i="13"/>
  <c r="G13" i="13"/>
  <c r="G12" i="12"/>
  <c r="G13" i="12"/>
  <c r="B35" i="13"/>
  <c r="B3" i="11" s="1"/>
  <c r="B35" i="12"/>
  <c r="B2" i="11" s="1"/>
  <c r="D13" i="10"/>
  <c r="D26" i="10" s="1"/>
  <c r="E26" i="10" s="1"/>
  <c r="F26" i="10" s="1"/>
  <c r="B12" i="10"/>
  <c r="D19" i="10" s="1"/>
  <c r="E19" i="10" s="1"/>
  <c r="F19" i="10" s="1"/>
  <c r="C12" i="10"/>
  <c r="D20" i="10" s="1"/>
  <c r="E20" i="10" s="1"/>
  <c r="F20" i="10" s="1"/>
  <c r="F13" i="10"/>
  <c r="D28" i="10" s="1"/>
  <c r="E28" i="10" s="1"/>
  <c r="F28" i="10" s="1"/>
  <c r="E12" i="10"/>
  <c r="D22" i="10" s="1"/>
  <c r="E22" i="10" s="1"/>
  <c r="F22" i="10" s="1"/>
  <c r="F12" i="10"/>
  <c r="D23" i="10" s="1"/>
  <c r="E23" i="10" s="1"/>
  <c r="F23" i="10" s="1"/>
  <c r="E13" i="10"/>
  <c r="D27" i="10" s="1"/>
  <c r="E27" i="10" s="1"/>
  <c r="F27" i="10" s="1"/>
  <c r="D12" i="10"/>
  <c r="D21" i="10" s="1"/>
  <c r="E21" i="10" s="1"/>
  <c r="F21" i="10" s="1"/>
  <c r="C13" i="10"/>
  <c r="D25" i="10" s="1"/>
  <c r="E25" i="10" s="1"/>
  <c r="F25" i="10" s="1"/>
  <c r="D24" i="10"/>
  <c r="E24" i="10" s="1"/>
  <c r="F24" i="10" s="1"/>
  <c r="D24" i="9"/>
  <c r="E24" i="9" s="1"/>
  <c r="F24" i="9" s="1"/>
  <c r="D19" i="9"/>
  <c r="E19" i="9" s="1"/>
  <c r="F19" i="9" s="1"/>
  <c r="B12" i="7"/>
  <c r="D19" i="7" s="1"/>
  <c r="E19" i="7" s="1"/>
  <c r="F19" i="7" s="1"/>
  <c r="B13" i="7"/>
  <c r="E12" i="7"/>
  <c r="D22" i="7" s="1"/>
  <c r="E22" i="7" s="1"/>
  <c r="F22" i="7" s="1"/>
  <c r="E13" i="7"/>
  <c r="D27" i="7" s="1"/>
  <c r="E27" i="7" s="1"/>
  <c r="F27" i="7" s="1"/>
  <c r="C13" i="7"/>
  <c r="D25" i="7" s="1"/>
  <c r="E25" i="7" s="1"/>
  <c r="F25" i="7" s="1"/>
  <c r="D12" i="7"/>
  <c r="D21" i="7" s="1"/>
  <c r="E21" i="7" s="1"/>
  <c r="F21" i="7" s="1"/>
  <c r="F13" i="7"/>
  <c r="D28" i="7" s="1"/>
  <c r="E28" i="7" s="1"/>
  <c r="F28" i="7" s="1"/>
  <c r="C12" i="7"/>
  <c r="D20" i="7" s="1"/>
  <c r="E20" i="7" s="1"/>
  <c r="F20" i="7" s="1"/>
  <c r="D13" i="7"/>
  <c r="D26" i="7" s="1"/>
  <c r="E26" i="7" s="1"/>
  <c r="F26" i="7" s="1"/>
  <c r="D24" i="7"/>
  <c r="E24" i="7" s="1"/>
  <c r="F24" i="7" s="1"/>
  <c r="F12" i="6"/>
  <c r="D23" i="6" s="1"/>
  <c r="E23" i="6" s="1"/>
  <c r="F23" i="6" s="1"/>
  <c r="C13" i="6"/>
  <c r="D25" i="6" s="1"/>
  <c r="E25" i="6" s="1"/>
  <c r="F25" i="6" s="1"/>
  <c r="C12" i="6"/>
  <c r="D20" i="6" s="1"/>
  <c r="E20" i="6" s="1"/>
  <c r="F20" i="6" s="1"/>
  <c r="F13" i="6"/>
  <c r="D28" i="6" s="1"/>
  <c r="E28" i="6" s="1"/>
  <c r="F28" i="6" s="1"/>
  <c r="B12" i="6"/>
  <c r="D19" i="6" s="1"/>
  <c r="E19" i="6" s="1"/>
  <c r="F19" i="6" s="1"/>
  <c r="E13" i="6"/>
  <c r="D27" i="6" s="1"/>
  <c r="E27" i="6" s="1"/>
  <c r="F27" i="6" s="1"/>
  <c r="D13" i="6"/>
  <c r="D26" i="6" s="1"/>
  <c r="E26" i="6" s="1"/>
  <c r="F26" i="6" s="1"/>
  <c r="B13" i="6"/>
  <c r="D12" i="6"/>
  <c r="D21" i="6" s="1"/>
  <c r="E21" i="6" s="1"/>
  <c r="F21" i="6" s="1"/>
  <c r="E13" i="5"/>
  <c r="D27" i="5" s="1"/>
  <c r="E27" i="5" s="1"/>
  <c r="F27" i="5" s="1"/>
  <c r="F13" i="5"/>
  <c r="D28" i="5" s="1"/>
  <c r="E28" i="5" s="1"/>
  <c r="F28" i="5" s="1"/>
  <c r="D12" i="5"/>
  <c r="D21" i="5" s="1"/>
  <c r="E21" i="5" s="1"/>
  <c r="F21" i="5" s="1"/>
  <c r="D13" i="5"/>
  <c r="D26" i="5" s="1"/>
  <c r="E26" i="5" s="1"/>
  <c r="F26" i="5" s="1"/>
  <c r="C12" i="5"/>
  <c r="D20" i="5" s="1"/>
  <c r="E20" i="5" s="1"/>
  <c r="F20" i="5" s="1"/>
  <c r="E12" i="5"/>
  <c r="D22" i="5" s="1"/>
  <c r="E22" i="5" s="1"/>
  <c r="F22" i="5" s="1"/>
  <c r="B13" i="5"/>
  <c r="D24" i="5" s="1"/>
  <c r="E24" i="5" s="1"/>
  <c r="F24" i="5" s="1"/>
  <c r="B12" i="5"/>
  <c r="D19" i="5" s="1"/>
  <c r="E19" i="5" s="1"/>
  <c r="F19" i="5" s="1"/>
  <c r="C13" i="5"/>
  <c r="D25" i="5" s="1"/>
  <c r="E25" i="5" s="1"/>
  <c r="F25" i="5" s="1"/>
  <c r="B12" i="4"/>
  <c r="D19" i="4" s="1"/>
  <c r="E19" i="4" s="1"/>
  <c r="F19" i="4" s="1"/>
  <c r="B13" i="4"/>
  <c r="D24" i="4" s="1"/>
  <c r="E24" i="4" s="1"/>
  <c r="F24" i="4" s="1"/>
  <c r="E12" i="4"/>
  <c r="D22" i="4" s="1"/>
  <c r="E22" i="4" s="1"/>
  <c r="F22" i="4" s="1"/>
  <c r="C12" i="4"/>
  <c r="D20" i="4" s="1"/>
  <c r="E20" i="4" s="1"/>
  <c r="F20" i="4" s="1"/>
  <c r="E13" i="4"/>
  <c r="D27" i="4" s="1"/>
  <c r="E27" i="4" s="1"/>
  <c r="F27" i="4" s="1"/>
  <c r="C13" i="4"/>
  <c r="D25" i="4" s="1"/>
  <c r="E25" i="4" s="1"/>
  <c r="F25" i="4" s="1"/>
  <c r="D13" i="4"/>
  <c r="D26" i="4" s="1"/>
  <c r="E26" i="4" s="1"/>
  <c r="F26" i="4" s="1"/>
  <c r="F13" i="4"/>
  <c r="D28" i="4" s="1"/>
  <c r="E28" i="4" s="1"/>
  <c r="F28" i="4" s="1"/>
  <c r="D12" i="4"/>
  <c r="D21" i="4" s="1"/>
  <c r="E21" i="4" s="1"/>
  <c r="F21" i="4" s="1"/>
  <c r="E13" i="3"/>
  <c r="D27" i="3" s="1"/>
  <c r="E27" i="3" s="1"/>
  <c r="F27" i="3" s="1"/>
  <c r="C13" i="3"/>
  <c r="D25" i="3" s="1"/>
  <c r="E25" i="3" s="1"/>
  <c r="F25" i="3" s="1"/>
  <c r="F13" i="3"/>
  <c r="D28" i="3" s="1"/>
  <c r="E28" i="3" s="1"/>
  <c r="F28" i="3" s="1"/>
  <c r="E12" i="3"/>
  <c r="D22" i="3" s="1"/>
  <c r="E22" i="3" s="1"/>
  <c r="F22" i="3" s="1"/>
  <c r="F12" i="3"/>
  <c r="D23" i="3" s="1"/>
  <c r="E23" i="3" s="1"/>
  <c r="F23" i="3" s="1"/>
  <c r="D13" i="3"/>
  <c r="D26" i="3" s="1"/>
  <c r="E26" i="3" s="1"/>
  <c r="F26" i="3" s="1"/>
  <c r="B13" i="3"/>
  <c r="B12" i="3"/>
  <c r="C12" i="3"/>
  <c r="D20" i="3" s="1"/>
  <c r="E20" i="3" s="1"/>
  <c r="F20" i="3" s="1"/>
  <c r="B55" i="1"/>
  <c r="C41" i="1"/>
  <c r="B44" i="1" s="1"/>
  <c r="B46" i="1" s="1"/>
  <c r="C28" i="1"/>
  <c r="C27" i="1"/>
  <c r="C26" i="1"/>
  <c r="C25" i="1"/>
  <c r="C24" i="1"/>
  <c r="B28" i="1"/>
  <c r="B27" i="1"/>
  <c r="B26" i="1"/>
  <c r="B25" i="1"/>
  <c r="B24" i="1"/>
  <c r="A28" i="1"/>
  <c r="A27" i="1"/>
  <c r="A26" i="1"/>
  <c r="A25" i="1"/>
  <c r="A24" i="1"/>
  <c r="A23" i="1"/>
  <c r="C23" i="1"/>
  <c r="C22" i="1"/>
  <c r="C21" i="1"/>
  <c r="C20" i="1"/>
  <c r="A22" i="1"/>
  <c r="A21" i="1"/>
  <c r="A20" i="1"/>
  <c r="A19" i="1"/>
  <c r="B23" i="1"/>
  <c r="B22" i="1"/>
  <c r="B21" i="1"/>
  <c r="B20" i="1"/>
  <c r="B19" i="1"/>
  <c r="A13" i="1"/>
  <c r="A12" i="1"/>
  <c r="C11" i="1"/>
  <c r="D11" i="1"/>
  <c r="E11" i="1"/>
  <c r="F11" i="1"/>
  <c r="G11" i="1"/>
  <c r="B11" i="1"/>
  <c r="F5" i="1"/>
  <c r="E5" i="1"/>
  <c r="D5" i="1"/>
  <c r="C5" i="1"/>
  <c r="B5" i="1"/>
  <c r="G12" i="9" l="1"/>
  <c r="G13" i="9"/>
  <c r="G12" i="8"/>
  <c r="G13" i="8"/>
  <c r="B47" i="12"/>
  <c r="B47" i="13"/>
  <c r="B59" i="13"/>
  <c r="B59" i="12"/>
  <c r="G13" i="10"/>
  <c r="G12" i="10"/>
  <c r="B35" i="10"/>
  <c r="B12" i="11" s="1"/>
  <c r="B35" i="9"/>
  <c r="B11" i="11" s="1"/>
  <c r="B35" i="8"/>
  <c r="B10" i="11" s="1"/>
  <c r="G13" i="7"/>
  <c r="B35" i="7"/>
  <c r="G12" i="7"/>
  <c r="G13" i="6"/>
  <c r="D24" i="6"/>
  <c r="E24" i="6" s="1"/>
  <c r="F24" i="6" s="1"/>
  <c r="B35" i="6" s="1"/>
  <c r="B8" i="11" s="1"/>
  <c r="G12" i="6"/>
  <c r="G12" i="5"/>
  <c r="G13" i="5"/>
  <c r="B35" i="5"/>
  <c r="B7" i="11" s="1"/>
  <c r="G12" i="4"/>
  <c r="G13" i="4"/>
  <c r="B35" i="4"/>
  <c r="B6" i="11" s="1"/>
  <c r="G13" i="3"/>
  <c r="D24" i="3"/>
  <c r="E24" i="3" s="1"/>
  <c r="F24" i="3" s="1"/>
  <c r="G12" i="3"/>
  <c r="D19" i="3"/>
  <c r="E19" i="3" s="1"/>
  <c r="F19" i="3" s="1"/>
  <c r="G4" i="1"/>
  <c r="G3" i="1"/>
  <c r="B47" i="7" l="1"/>
  <c r="B9" i="11"/>
  <c r="B56" i="13"/>
  <c r="B56" i="12"/>
  <c r="B59" i="10"/>
  <c r="B47" i="10"/>
  <c r="B59" i="9"/>
  <c r="B47" i="9"/>
  <c r="B47" i="8"/>
  <c r="B59" i="8"/>
  <c r="B59" i="7"/>
  <c r="B59" i="6"/>
  <c r="B47" i="6"/>
  <c r="B47" i="5"/>
  <c r="B59" i="5"/>
  <c r="B59" i="4"/>
  <c r="B47" i="4"/>
  <c r="B35" i="3"/>
  <c r="B5" i="11" s="1"/>
  <c r="G5" i="1"/>
  <c r="C12" i="1" s="1"/>
  <c r="B56" i="10" l="1"/>
  <c r="B56" i="9"/>
  <c r="B56" i="8"/>
  <c r="B56" i="7"/>
  <c r="B56" i="6"/>
  <c r="B56" i="5"/>
  <c r="B56" i="4"/>
  <c r="B47" i="3"/>
  <c r="B59" i="3"/>
  <c r="B12" i="1"/>
  <c r="D19" i="1" s="1"/>
  <c r="D13" i="1"/>
  <c r="D26" i="1" s="1"/>
  <c r="E26" i="1" s="1"/>
  <c r="F26" i="1" s="1"/>
  <c r="E13" i="1"/>
  <c r="D27" i="1" s="1"/>
  <c r="E27" i="1" s="1"/>
  <c r="F27" i="1" s="1"/>
  <c r="B13" i="1"/>
  <c r="F13" i="1"/>
  <c r="D28" i="1" s="1"/>
  <c r="E28" i="1" s="1"/>
  <c r="F28" i="1" s="1"/>
  <c r="C13" i="1"/>
  <c r="D25" i="1" s="1"/>
  <c r="E25" i="1" s="1"/>
  <c r="F25" i="1" s="1"/>
  <c r="F12" i="1"/>
  <c r="D23" i="1" s="1"/>
  <c r="E23" i="1" s="1"/>
  <c r="F23" i="1" s="1"/>
  <c r="E12" i="1"/>
  <c r="D22" i="1" s="1"/>
  <c r="E22" i="1" s="1"/>
  <c r="F22" i="1" s="1"/>
  <c r="D20" i="1"/>
  <c r="E20" i="1" s="1"/>
  <c r="F20" i="1" s="1"/>
  <c r="D12" i="1"/>
  <c r="B56" i="3" l="1"/>
  <c r="G12" i="1"/>
  <c r="E19" i="1"/>
  <c r="F19" i="1" s="1"/>
  <c r="D21" i="1"/>
  <c r="E21" i="1" s="1"/>
  <c r="F21" i="1" s="1"/>
  <c r="D24" i="1"/>
  <c r="E24" i="1" s="1"/>
  <c r="F24" i="1" s="1"/>
  <c r="G13" i="1"/>
  <c r="B35" i="1" l="1"/>
  <c r="B4" i="11" s="1"/>
  <c r="B59" i="1" l="1"/>
  <c r="B47" i="1"/>
  <c r="B56" i="1" l="1"/>
</calcChain>
</file>

<file path=xl/sharedStrings.xml><?xml version="1.0" encoding="utf-8"?>
<sst xmlns="http://schemas.openxmlformats.org/spreadsheetml/2006/main" count="474" uniqueCount="77">
  <si>
    <t>Grupo / Categoría</t>
  </si>
  <si>
    <t>Total</t>
  </si>
  <si>
    <t>Categoria</t>
  </si>
  <si>
    <t>Tabla completa Valores Observados (O) y Valores Esperados (E)</t>
  </si>
  <si>
    <t>Grupo</t>
  </si>
  <si>
    <t xml:space="preserve"> Valor Observado (O)</t>
  </si>
  <si>
    <t>Valor Esperado (E )</t>
  </si>
  <si>
    <t>Tabla Valores Observados</t>
  </si>
  <si>
    <t>Tabla Valores Esperados</t>
  </si>
  <si>
    <t>Calculo Chi Cuadrado</t>
  </si>
  <si>
    <t>Chi Cuadrado</t>
  </si>
  <si>
    <t>Filas = 2 (Sin sistema, Con sistema)</t>
  </si>
  <si>
    <t>Columnas = 5 (las 5 categorías)</t>
  </si>
  <si>
    <t>Calculo Grados Libertad</t>
  </si>
  <si>
    <t>Grados de libertad df</t>
  </si>
  <si>
    <t>df</t>
  </si>
  <si>
    <t>(el más usado en tesis)</t>
  </si>
  <si>
    <t>α</t>
  </si>
  <si>
    <t>valor critico</t>
  </si>
  <si>
    <t>p valor</t>
  </si>
  <si>
    <t>Interpretacion</t>
  </si>
  <si>
    <t xml:space="preserve">Busqueda de  Valor Critico en Tabla Chi Cuadrado </t>
  </si>
  <si>
    <t>Valor critico</t>
  </si>
  <si>
    <t>H0 Hipotesis Nula</t>
  </si>
  <si>
    <t>H1 Hipotesis Alternativa</t>
  </si>
  <si>
    <t>No existe relación entre los grupos y la variable</t>
  </si>
  <si>
    <t>Si existe relación entre los grupos y la variable</t>
  </si>
  <si>
    <t>Objetivo:</t>
  </si>
  <si>
    <t>Grupos:</t>
  </si>
  <si>
    <t>a) Siempre</t>
  </si>
  <si>
    <t>b) Frecuente</t>
  </si>
  <si>
    <t>c) A veces</t>
  </si>
  <si>
    <t>d) Raro</t>
  </si>
  <si>
    <t>e) Nunca</t>
  </si>
  <si>
    <t>Grupo Control - Post Test</t>
  </si>
  <si>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</si>
  <si>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si </t>
    </r>
    <r>
      <rPr>
        <sz val="11"/>
        <color rgb="FFC00000"/>
        <rFont val="Calibri"/>
        <family val="2"/>
        <scheme val="minor"/>
      </rPr>
      <t>p valor</t>
    </r>
    <r>
      <rPr>
        <sz val="11"/>
        <color theme="1"/>
        <rFont val="Calibri"/>
        <family val="2"/>
        <scheme val="minor"/>
      </rPr>
      <t xml:space="preserve"> &lt; </t>
    </r>
    <r>
      <rPr>
        <sz val="11"/>
        <color rgb="FF7030A0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</si>
  <si>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r>
      <t xml:space="preserve">Si </t>
    </r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&gt; </t>
    </r>
    <r>
      <rPr>
        <sz val="11"/>
        <color rgb="FF7030A0"/>
        <rFont val="Calibri"/>
        <family val="2"/>
        <scheme val="minor"/>
      </rPr>
      <t>valor critico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</si>
  <si>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t>Indicador</t>
  </si>
  <si>
    <t>Resolución problemas</t>
  </si>
  <si>
    <t>Motivación</t>
  </si>
  <si>
    <t>Chi Cuadrado
Valor Critico</t>
  </si>
  <si>
    <t>P-Valor</t>
  </si>
  <si>
    <t>Chi Cuadrado
Observado</t>
  </si>
  <si>
    <t>α
nivel de significancia</t>
  </si>
  <si>
    <t>α nivel de significancia</t>
  </si>
  <si>
    <t>b) Muchas veces</t>
  </si>
  <si>
    <t>d) Pocas veces</t>
  </si>
  <si>
    <t>a) 81 - 100</t>
  </si>
  <si>
    <t>b) 61 – 80</t>
  </si>
  <si>
    <t>c) 41 - 60</t>
  </si>
  <si>
    <t>d) 21 - 40</t>
  </si>
  <si>
    <t>e) 0 - 20</t>
  </si>
  <si>
    <t>a) Muy Bueno</t>
  </si>
  <si>
    <t>b) bueno</t>
  </si>
  <si>
    <t>c) Regular</t>
  </si>
  <si>
    <t>d) Malo</t>
  </si>
  <si>
    <t>e) Muy malo</t>
  </si>
  <si>
    <t>Participación activa</t>
  </si>
  <si>
    <t>Comunicación equipo</t>
  </si>
  <si>
    <t>Cumplimiento tareas</t>
  </si>
  <si>
    <t>Contribución grupo</t>
  </si>
  <si>
    <t>Conocimientos adquiridos</t>
  </si>
  <si>
    <t>Nota final</t>
  </si>
  <si>
    <t>Comprensión</t>
  </si>
  <si>
    <t>Habilidades</t>
  </si>
  <si>
    <t>Resolución autónoma</t>
  </si>
  <si>
    <t>a) Muy alta</t>
  </si>
  <si>
    <t>b) Alta</t>
  </si>
  <si>
    <t>d) Baja</t>
  </si>
  <si>
    <t>e) Muy baja</t>
  </si>
  <si>
    <r>
      <t>✅</t>
    </r>
    <r>
      <rPr>
        <sz val="16"/>
        <color rgb="FF2E74B5"/>
        <rFont val="Calibri Light"/>
        <family val="2"/>
      </rPr>
      <t xml:space="preserve"> Chi-cuadrado (Post-test)</t>
    </r>
  </si>
  <si>
    <t>Demuestra que la intervencion si genera cambio</t>
  </si>
  <si>
    <t>Evaluar si existe relación significativa entre las variables analizadas en el grupo control y  el grupo experimental después de la implementación de la intervencion (post-test), con el fin  de determinar el efecto de la intervencion en la mejora de los resultados.</t>
  </si>
  <si>
    <t xml:space="preserve">Grupo Control – Post Test </t>
  </si>
  <si>
    <t>Grupo Experimental – Post Test</t>
  </si>
  <si>
    <t>Grupo Experimental - Post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</si>
</sst>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6"/>
      <color rgb="FF2E74B5"/>
      <name val="Calibri Light"/>
      <family val="2"/>
    </font>
    <font>
      <sz val="16"/>
      <color rgb="FF2E74B5"/>
      <name val="Segoe UI Symbol"/>
      <family val="2"/>
    </font>
    <font>
      <b/>
      <sz val="12"/>
      <color theme="1"/>
      <name val="Times New Roman"/>
      <family val="1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0" fillId="0" borderId="8" xfId="0" applyBorder="1" applyAlignment="1">
      <alignment horizontal="center"/>
    </xf>
    <xf numFmtId="0" fontId="10" fillId="0" borderId="8" xfId="0" applyFont="1" applyBorder="1" applyAlignment="1">
      <alignment horizontal="justify" vertical="center" wrapText="1"/>
    </xf>
    <xf numFmtId="0" fontId="0" fillId="0" borderId="8" xfId="0" applyBorder="1" applyAlignment="1">
      <alignment horizontal="center" wrapText="1"/>
    </xf>
    <xf numFmtId="0" fontId="0" fillId="0" borderId="8" xfId="0" applyBorder="1"/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2" borderId="5" xfId="1" applyFont="1" applyBorder="1" applyAlignment="1">
      <alignment horizontal="center"/>
    </xf>
    <xf numFmtId="0" fontId="3" fillId="2" borderId="6" xfId="1" applyFont="1" applyBorder="1" applyAlignment="1">
      <alignment horizontal="center"/>
    </xf>
    <xf numFmtId="0" fontId="3" fillId="2" borderId="7" xfId="1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1" applyFont="1" applyBorder="1" applyAlignment="1">
      <alignment horizontal="center"/>
    </xf>
    <xf numFmtId="0" fontId="1" fillId="2" borderId="3" xfId="1" applyFont="1" applyBorder="1" applyAlignment="1">
      <alignment horizontal="center"/>
    </xf>
    <xf numFmtId="0" fontId="1" fillId="2" borderId="4" xfId="1" applyFont="1" applyBorder="1" applyAlignment="1">
      <alignment horizontal="center"/>
    </xf>
    <xf numFmtId="0" fontId="11" fillId="0" borderId="0" xfId="0" applyFont="1" applyAlignment="1">
      <alignment vertical="center"/>
    </xf>
  </cellXfs>
  <cellStyles count="2">
    <cellStyle name="Normal" xfId="0" builtinId="0"/>
    <cellStyle name="Notas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0896"/>
          <a:ext cx="1502019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051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4414" y="38065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7" name="Imagen 6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6971573" y="36523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8207830"/>
          <a:ext cx="1014675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zoomScale="175" zoomScaleNormal="175" workbookViewId="0">
      <selection activeCell="A14" sqref="A14"/>
    </sheetView>
  </sheetViews>
  <sheetFormatPr baseColWidth="10" defaultRowHeight="15" x14ac:dyDescent="0.25"/>
  <cols>
    <col min="1" max="1" width="97.7109375" customWidth="1"/>
  </cols>
  <sheetData>
    <row r="1" spans="1:1" ht="25.5" x14ac:dyDescent="0.25">
      <c r="A1" s="8" t="s">
        <v>71</v>
      </c>
    </row>
    <row r="2" spans="1:1" x14ac:dyDescent="0.25">
      <c r="A2" t="s">
        <v>72</v>
      </c>
    </row>
    <row r="4" spans="1:1" ht="15.75" x14ac:dyDescent="0.25">
      <c r="A4" s="9" t="s">
        <v>27</v>
      </c>
    </row>
    <row r="5" spans="1:1" ht="45" x14ac:dyDescent="0.25">
      <c r="A5" s="11" t="s">
        <v>73</v>
      </c>
    </row>
    <row r="6" spans="1:1" ht="15.75" x14ac:dyDescent="0.25">
      <c r="A6" s="29"/>
    </row>
    <row r="7" spans="1:1" ht="15.75" x14ac:dyDescent="0.25">
      <c r="A7" s="9" t="s">
        <v>28</v>
      </c>
    </row>
    <row r="8" spans="1:1" x14ac:dyDescent="0.25">
      <c r="A8" s="10" t="s">
        <v>74</v>
      </c>
    </row>
    <row r="9" spans="1:1" x14ac:dyDescent="0.25">
      <c r="A9" s="10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175" zoomScaleNormal="175" workbookViewId="0">
      <selection activeCell="F1" sqref="F1"/>
    </sheetView>
  </sheetViews>
  <sheetFormatPr baseColWidth="10" defaultRowHeight="15" x14ac:dyDescent="0.25"/>
  <cols>
    <col min="1" max="1" width="25.5703125" customWidth="1"/>
    <col min="2" max="2" width="12.7109375" bestFit="1" customWidth="1"/>
    <col min="3" max="3" width="13.85546875" customWidth="1"/>
    <col min="4" max="4" width="11.42578125" customWidth="1"/>
    <col min="5" max="5" width="12.5703125" customWidth="1"/>
  </cols>
  <sheetData>
    <row r="1" spans="1:5" ht="45" x14ac:dyDescent="0.25">
      <c r="A1" s="16" t="s">
        <v>38</v>
      </c>
      <c r="B1" s="18" t="s">
        <v>43</v>
      </c>
      <c r="C1" s="18" t="s">
        <v>41</v>
      </c>
      <c r="D1" s="18" t="s">
        <v>42</v>
      </c>
      <c r="E1" s="18" t="s">
        <v>44</v>
      </c>
    </row>
    <row r="2" spans="1:5" x14ac:dyDescent="0.25">
      <c r="A2" s="17" t="s">
        <v>58</v>
      </c>
      <c r="B2" s="19">
        <f>ROUND('Participas-actividades'!B35, 4)</f>
        <v>43.804099999999998</v>
      </c>
      <c r="C2" s="19">
        <f>ROUND('Participas-actividades'!B46, 4)</f>
        <v>9.4877000000000002</v>
      </c>
      <c r="D2" s="19">
        <f>'Participas-actividades'!B47</f>
        <v>7.0458884103926367E-9</v>
      </c>
      <c r="E2" s="16">
        <v>0.05</v>
      </c>
    </row>
    <row r="3" spans="1:5" x14ac:dyDescent="0.25">
      <c r="A3" s="17" t="s">
        <v>59</v>
      </c>
      <c r="B3" s="19">
        <f>ROUND('Comunicación-equipo'!B35, 4)</f>
        <v>31.266100000000002</v>
      </c>
      <c r="C3" s="19">
        <f>ROUND('Comunicación-equipo'!B46, 4)</f>
        <v>9.4877000000000002</v>
      </c>
      <c r="D3" s="19">
        <f>'Comunicación-equipo'!B47</f>
        <v>2.7015985132867051E-6</v>
      </c>
      <c r="E3" s="16">
        <v>0.05</v>
      </c>
    </row>
    <row r="4" spans="1:5" x14ac:dyDescent="0.25">
      <c r="A4" s="17" t="s">
        <v>60</v>
      </c>
      <c r="B4" s="19">
        <f>ROUND('Cumplimiento-tareas'!B35, 4)</f>
        <v>35.856000000000002</v>
      </c>
      <c r="C4" s="19">
        <f>ROUND('Cumplimiento-tareas'!B46, 4)</f>
        <v>9.4877000000000002</v>
      </c>
      <c r="D4" s="19">
        <f>'Cumplimiento-tareas'!B47</f>
        <v>3.097948124332175E-7</v>
      </c>
      <c r="E4" s="16">
        <v>0.05</v>
      </c>
    </row>
    <row r="5" spans="1:5" x14ac:dyDescent="0.25">
      <c r="A5" s="17" t="s">
        <v>61</v>
      </c>
      <c r="B5" s="19">
        <f>ROUND('Contribución-grupo'!B35,4)</f>
        <v>43.123199999999997</v>
      </c>
      <c r="C5" s="19">
        <f>ROUND('Contribución-grupo'!B46,4)</f>
        <v>9.4877000000000002</v>
      </c>
      <c r="D5" s="19">
        <f>'Contribución-grupo'!B47</f>
        <v>9.7564153953887839E-9</v>
      </c>
      <c r="E5" s="16">
        <v>0.05</v>
      </c>
    </row>
    <row r="6" spans="1:5" x14ac:dyDescent="0.25">
      <c r="A6" s="17" t="s">
        <v>39</v>
      </c>
      <c r="B6" s="19">
        <f>ROUND('Resolución-problemas'!B35,4)</f>
        <v>20.3782</v>
      </c>
      <c r="C6" s="19">
        <f>ROUND('Resolución-problemas'!B46,4)</f>
        <v>9.4877000000000002</v>
      </c>
      <c r="D6" s="19">
        <f>'Resolución-problemas'!B47</f>
        <v>4.2046474497926117E-4</v>
      </c>
      <c r="E6" s="16">
        <v>0.05</v>
      </c>
    </row>
    <row r="7" spans="1:5" x14ac:dyDescent="0.25">
      <c r="A7" s="17" t="s">
        <v>62</v>
      </c>
      <c r="B7" s="19">
        <f>ROUND('Conocimientos-adquiridos'!B35,4)</f>
        <v>41.321300000000001</v>
      </c>
      <c r="C7" s="19">
        <f>ROUND('Conocimientos-adquiridos'!B46,4)</f>
        <v>9.4877000000000002</v>
      </c>
      <c r="D7" s="19">
        <f>'Conocimientos-adquiridos'!B47</f>
        <v>2.3060268065789028E-8</v>
      </c>
      <c r="E7" s="16">
        <v>0.05</v>
      </c>
    </row>
    <row r="8" spans="1:5" x14ac:dyDescent="0.25">
      <c r="A8" s="17" t="s">
        <v>63</v>
      </c>
      <c r="B8" s="19">
        <f>ROUND('Nota-final'!B35,4)</f>
        <v>66.286699999999996</v>
      </c>
      <c r="C8" s="19">
        <f>ROUND('Nota-final'!B46,4)</f>
        <v>9.4877000000000002</v>
      </c>
      <c r="D8" s="19">
        <f>'Nota-final'!B47</f>
        <v>1.3782853482683205E-13</v>
      </c>
      <c r="E8" s="16">
        <v>0.05</v>
      </c>
    </row>
    <row r="9" spans="1:5" x14ac:dyDescent="0.25">
      <c r="A9" s="17" t="s">
        <v>64</v>
      </c>
      <c r="B9" s="19">
        <f>ROUND(Comprensión!B35,4)</f>
        <v>49.174199999999999</v>
      </c>
      <c r="C9" s="19">
        <f>ROUND(Comprensión!B46,4)</f>
        <v>9.4877000000000002</v>
      </c>
      <c r="D9" s="19">
        <f>Comprensión!B47</f>
        <v>5.3701422759417508E-10</v>
      </c>
      <c r="E9" s="16">
        <v>0.05</v>
      </c>
    </row>
    <row r="10" spans="1:5" x14ac:dyDescent="0.25">
      <c r="A10" s="17" t="s">
        <v>65</v>
      </c>
      <c r="B10" s="19">
        <f>ROUND(Habilidades!B35,4)</f>
        <v>33.657899999999998</v>
      </c>
      <c r="C10" s="19">
        <f>ROUND(Habilidades!B46,4)</f>
        <v>9.4877000000000002</v>
      </c>
      <c r="D10" s="19">
        <f>Habilidades!B47</f>
        <v>8.7578418414368914E-7</v>
      </c>
      <c r="E10" s="16">
        <v>0.05</v>
      </c>
    </row>
    <row r="11" spans="1:5" x14ac:dyDescent="0.25">
      <c r="A11" s="17" t="s">
        <v>66</v>
      </c>
      <c r="B11" s="19">
        <f>ROUND('Resolución-autónoma'!B35,4)</f>
        <v>60.635599999999997</v>
      </c>
      <c r="C11" s="19">
        <f>ROUND('Resolución-autónoma'!B46,4)</f>
        <v>9.4877000000000002</v>
      </c>
      <c r="D11" s="19">
        <f>'Resolución-autónoma'!B47</f>
        <v>2.1327275129837687E-12</v>
      </c>
      <c r="E11" s="16">
        <v>0.05</v>
      </c>
    </row>
    <row r="12" spans="1:5" x14ac:dyDescent="0.25">
      <c r="A12" s="17" t="s">
        <v>40</v>
      </c>
      <c r="B12" s="19">
        <f>ROUND(Motivación!B35,4)</f>
        <v>39.066699999999997</v>
      </c>
      <c r="C12" s="19">
        <f>ROUND(Motivación!B46,4)</f>
        <v>9.4877000000000002</v>
      </c>
      <c r="D12" s="19">
        <f>Motivación!B47</f>
        <v>6.7490699908921805E-8</v>
      </c>
      <c r="E12" s="16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3" customWidth="1"/>
    <col min="7" max="7" width="10.7109375" style="13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29</v>
      </c>
      <c r="C2" s="5" t="s">
        <v>46</v>
      </c>
      <c r="D2" s="5" t="s">
        <v>31</v>
      </c>
      <c r="E2" s="5" t="s">
        <v>47</v>
      </c>
      <c r="F2" s="5" t="s">
        <v>33</v>
      </c>
      <c r="G2" s="5" t="s">
        <v>1</v>
      </c>
    </row>
    <row r="3" spans="1:7" x14ac:dyDescent="0.25">
      <c r="A3" t="s">
        <v>34</v>
      </c>
      <c r="B3" s="20">
        <v>12</v>
      </c>
      <c r="C3" s="20">
        <v>19</v>
      </c>
      <c r="D3" s="20">
        <v>33</v>
      </c>
      <c r="E3" s="20">
        <v>23</v>
      </c>
      <c r="F3" s="20">
        <v>10</v>
      </c>
      <c r="G3" s="13">
        <f>SUM(B3:F3)</f>
        <v>97</v>
      </c>
    </row>
    <row r="4" spans="1:7" x14ac:dyDescent="0.25">
      <c r="A4" t="s">
        <v>76</v>
      </c>
      <c r="B4" s="20">
        <v>42</v>
      </c>
      <c r="C4" s="20">
        <v>32</v>
      </c>
      <c r="D4" s="20">
        <v>17</v>
      </c>
      <c r="E4" s="20">
        <v>4</v>
      </c>
      <c r="F4" s="20">
        <v>2</v>
      </c>
      <c r="G4" s="13">
        <f>SUM(B4:F4)</f>
        <v>97</v>
      </c>
    </row>
    <row r="5" spans="1:7" x14ac:dyDescent="0.25">
      <c r="A5" t="s">
        <v>1</v>
      </c>
      <c r="B5" s="13">
        <f t="shared" ref="B5:G5" si="0">SUM(B3:B4)</f>
        <v>54</v>
      </c>
      <c r="C5" s="13">
        <f t="shared" si="0"/>
        <v>51</v>
      </c>
      <c r="D5" s="13">
        <f t="shared" si="0"/>
        <v>50</v>
      </c>
      <c r="E5" s="13">
        <f t="shared" si="0"/>
        <v>27</v>
      </c>
      <c r="F5" s="13">
        <f t="shared" si="0"/>
        <v>12</v>
      </c>
      <c r="G5" s="13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 t="shared" ref="B11:G11" si="1">B2</f>
        <v>a) Siempre</v>
      </c>
      <c r="C11" s="3" t="str">
        <f t="shared" si="1"/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>Grupo Control - Post Test</v>
      </c>
      <c r="B12" s="6">
        <f>(G3*B5)/G5</f>
        <v>27</v>
      </c>
      <c r="C12" s="6">
        <f>(G3*C5)/G5</f>
        <v>25.5</v>
      </c>
      <c r="D12" s="6">
        <f>(G3*D5)/G5</f>
        <v>25</v>
      </c>
      <c r="E12" s="6">
        <f>(G3*E5)/G5</f>
        <v>13.5</v>
      </c>
      <c r="F12" s="6">
        <f>(G3*F5)/G5</f>
        <v>6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3">
        <f>(G4*B5)/G5</f>
        <v>27</v>
      </c>
      <c r="C13" s="13">
        <f>(G4*C5)/G5</f>
        <v>25.5</v>
      </c>
      <c r="D13" s="13">
        <f>(G4*D5)/G5</f>
        <v>25</v>
      </c>
      <c r="E13" s="13">
        <f>(G4*E5)/G5</f>
        <v>13.5</v>
      </c>
      <c r="F13" s="13">
        <f>(G4*F5)/G5</f>
        <v>6</v>
      </c>
      <c r="G13" s="13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>Grupo Control - Post Test</v>
      </c>
      <c r="B19" s="13" t="str">
        <f>B2</f>
        <v>a) Siempre</v>
      </c>
      <c r="C19" s="13">
        <f>B3</f>
        <v>12</v>
      </c>
      <c r="D19" s="13">
        <f>B12</f>
        <v>27</v>
      </c>
      <c r="E19" s="13">
        <f>(C19-D19)^2</f>
        <v>225</v>
      </c>
      <c r="F19" s="13">
        <f>E19/D19</f>
        <v>8.3333333333333339</v>
      </c>
    </row>
    <row r="20" spans="1:7" x14ac:dyDescent="0.25">
      <c r="A20" t="str">
        <f>A3</f>
        <v>Grupo Control - Post Test</v>
      </c>
      <c r="B20" s="13" t="str">
        <f>C2</f>
        <v>b) Muchas veces</v>
      </c>
      <c r="C20" s="13">
        <f>C3</f>
        <v>19</v>
      </c>
      <c r="D20" s="13">
        <f>C12</f>
        <v>25.5</v>
      </c>
      <c r="E20" s="13">
        <f t="shared" ref="E20:E28" si="2">(C20-D20)^2</f>
        <v>42.25</v>
      </c>
      <c r="F20" s="13">
        <f t="shared" ref="F20:F28" si="3">E20/D20</f>
        <v>1.6568627450980393</v>
      </c>
    </row>
    <row r="21" spans="1:7" x14ac:dyDescent="0.25">
      <c r="A21" t="str">
        <f>A3</f>
        <v>Grupo Control - Post Test</v>
      </c>
      <c r="B21" s="13" t="str">
        <f>D2</f>
        <v>c) A veces</v>
      </c>
      <c r="C21" s="13">
        <f>D3</f>
        <v>33</v>
      </c>
      <c r="D21" s="13">
        <f>D12</f>
        <v>25</v>
      </c>
      <c r="E21" s="13">
        <f t="shared" si="2"/>
        <v>64</v>
      </c>
      <c r="F21" s="13">
        <f t="shared" si="3"/>
        <v>2.56</v>
      </c>
    </row>
    <row r="22" spans="1:7" x14ac:dyDescent="0.25">
      <c r="A22" t="str">
        <f>A3</f>
        <v>Grupo Control - Post Test</v>
      </c>
      <c r="B22" s="13" t="str">
        <f>E2</f>
        <v>d) Pocas veces</v>
      </c>
      <c r="C22" s="13">
        <f>E3</f>
        <v>23</v>
      </c>
      <c r="D22" s="13">
        <f>E12</f>
        <v>13.5</v>
      </c>
      <c r="E22" s="13">
        <f t="shared" si="2"/>
        <v>90.25</v>
      </c>
      <c r="F22" s="13">
        <f t="shared" si="3"/>
        <v>6.6851851851851851</v>
      </c>
    </row>
    <row r="23" spans="1:7" x14ac:dyDescent="0.25">
      <c r="A23" t="str">
        <f>A3</f>
        <v>Grupo Control - Post Test</v>
      </c>
      <c r="B23" s="13" t="str">
        <f>F2</f>
        <v>e) Nunca</v>
      </c>
      <c r="C23" s="13">
        <f>F3</f>
        <v>10</v>
      </c>
      <c r="D23" s="13">
        <f>F12</f>
        <v>6</v>
      </c>
      <c r="E23" s="13">
        <f t="shared" si="2"/>
        <v>16</v>
      </c>
      <c r="F23" s="13">
        <f t="shared" si="3"/>
        <v>2.6666666666666665</v>
      </c>
    </row>
    <row r="24" spans="1:7" x14ac:dyDescent="0.25">
      <c r="A24" t="str">
        <f>A4</f>
        <v>Grupo Experimental - Post Test</v>
      </c>
      <c r="B24" s="13" t="str">
        <f>B2</f>
        <v>a) Siempre</v>
      </c>
      <c r="C24" s="13">
        <f>B4</f>
        <v>42</v>
      </c>
      <c r="D24" s="13">
        <f>B13</f>
        <v>27</v>
      </c>
      <c r="E24" s="13">
        <f t="shared" si="2"/>
        <v>225</v>
      </c>
      <c r="F24" s="13">
        <f t="shared" si="3"/>
        <v>8.3333333333333339</v>
      </c>
    </row>
    <row r="25" spans="1:7" x14ac:dyDescent="0.25">
      <c r="A25" t="str">
        <f>A4</f>
        <v>Grupo Experimental - Post Test</v>
      </c>
      <c r="B25" s="13" t="str">
        <f>C2</f>
        <v>b) Muchas veces</v>
      </c>
      <c r="C25" s="13">
        <f>C4</f>
        <v>32</v>
      </c>
      <c r="D25" s="13">
        <f>C13</f>
        <v>25.5</v>
      </c>
      <c r="E25" s="13">
        <f t="shared" si="2"/>
        <v>42.25</v>
      </c>
      <c r="F25" s="13">
        <f t="shared" si="3"/>
        <v>1.6568627450980393</v>
      </c>
    </row>
    <row r="26" spans="1:7" x14ac:dyDescent="0.25">
      <c r="A26" t="str">
        <f>A4</f>
        <v>Grupo Experimental - Post Test</v>
      </c>
      <c r="B26" s="13" t="str">
        <f>D2</f>
        <v>c) A veces</v>
      </c>
      <c r="C26" s="13">
        <f>D4</f>
        <v>17</v>
      </c>
      <c r="D26" s="13">
        <f>D13</f>
        <v>25</v>
      </c>
      <c r="E26" s="13">
        <f t="shared" si="2"/>
        <v>64</v>
      </c>
      <c r="F26" s="13">
        <f t="shared" si="3"/>
        <v>2.56</v>
      </c>
    </row>
    <row r="27" spans="1:7" x14ac:dyDescent="0.25">
      <c r="A27" t="str">
        <f>A4</f>
        <v>Grupo Experimental - Post Test</v>
      </c>
      <c r="B27" s="13" t="str">
        <f>E2</f>
        <v>d) Pocas veces</v>
      </c>
      <c r="C27" s="13">
        <f>E4</f>
        <v>4</v>
      </c>
      <c r="D27" s="13">
        <f>E13</f>
        <v>13.5</v>
      </c>
      <c r="E27" s="13">
        <f t="shared" si="2"/>
        <v>90.25</v>
      </c>
      <c r="F27" s="13">
        <f t="shared" si="3"/>
        <v>6.6851851851851851</v>
      </c>
    </row>
    <row r="28" spans="1:7" x14ac:dyDescent="0.25">
      <c r="A28" t="str">
        <f>A4</f>
        <v>Grupo Experimental - Post Test</v>
      </c>
      <c r="B28" s="13" t="str">
        <f>F2</f>
        <v>e) Nunca</v>
      </c>
      <c r="C28" s="13">
        <f>F4</f>
        <v>2</v>
      </c>
      <c r="D28" s="13">
        <f>F13</f>
        <v>6</v>
      </c>
      <c r="E28" s="13">
        <f t="shared" si="2"/>
        <v>16</v>
      </c>
      <c r="F28" s="13">
        <f t="shared" si="3"/>
        <v>2.6666666666666665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3">
        <f>SUM(F19:F28)</f>
        <v>43.804095860566449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3">
        <v>2</v>
      </c>
    </row>
    <row r="40" spans="1:7" x14ac:dyDescent="0.25">
      <c r="A40" s="21" t="s">
        <v>12</v>
      </c>
      <c r="B40" s="21"/>
      <c r="C40" s="13">
        <v>5</v>
      </c>
    </row>
    <row r="41" spans="1:7" x14ac:dyDescent="0.25">
      <c r="A41" s="21" t="s">
        <v>14</v>
      </c>
      <c r="B41" s="21"/>
      <c r="C41" s="13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3">
        <f>C41</f>
        <v>4</v>
      </c>
    </row>
    <row r="45" spans="1:7" x14ac:dyDescent="0.25">
      <c r="A45" t="s">
        <v>17</v>
      </c>
      <c r="B45" s="13">
        <v>0.05</v>
      </c>
      <c r="C45" s="13" t="s">
        <v>16</v>
      </c>
    </row>
    <row r="46" spans="1:7" x14ac:dyDescent="0.25">
      <c r="A46" t="s">
        <v>18</v>
      </c>
      <c r="B46" s="13">
        <f>CHIINV(B45,B44)</f>
        <v>9.4877290367811575</v>
      </c>
    </row>
    <row r="47" spans="1:7" x14ac:dyDescent="0.25">
      <c r="A47" t="s">
        <v>19</v>
      </c>
      <c r="B47" s="13">
        <f>_xlfn.CHISQ.DIST.RT(B35, B44)</f>
        <v>7.0458884103926367E-9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36</v>
      </c>
      <c r="B54" s="21"/>
      <c r="C54" s="21"/>
    </row>
    <row r="55" spans="1:7" x14ac:dyDescent="0.25">
      <c r="A55" s="15" t="s">
        <v>45</v>
      </c>
      <c r="B55" s="13">
        <f>B45</f>
        <v>0.05</v>
      </c>
    </row>
    <row r="56" spans="1:7" x14ac:dyDescent="0.25">
      <c r="A56" s="14" t="s">
        <v>19</v>
      </c>
      <c r="B56" s="13">
        <f>B47</f>
        <v>7.0458884103926367E-9</v>
      </c>
    </row>
    <row r="58" spans="1:7" x14ac:dyDescent="0.25">
      <c r="A58" s="21" t="s">
        <v>37</v>
      </c>
      <c r="B58" s="21"/>
      <c r="C58" s="21"/>
    </row>
    <row r="59" spans="1:7" x14ac:dyDescent="0.25">
      <c r="A59" t="s">
        <v>35</v>
      </c>
      <c r="B59" s="13">
        <f>B35</f>
        <v>43.804095860566449</v>
      </c>
    </row>
    <row r="60" spans="1:7" x14ac:dyDescent="0.25">
      <c r="A60" s="15" t="s">
        <v>22</v>
      </c>
      <c r="B60" s="13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3" customWidth="1"/>
    <col min="7" max="7" width="10.7109375" style="13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34</v>
      </c>
      <c r="B3" s="20">
        <v>17</v>
      </c>
      <c r="C3" s="20">
        <v>18</v>
      </c>
      <c r="D3" s="20">
        <v>34</v>
      </c>
      <c r="E3" s="20">
        <v>16</v>
      </c>
      <c r="F3" s="20">
        <v>12</v>
      </c>
      <c r="G3" s="13">
        <f>SUM(B3:F3)</f>
        <v>97</v>
      </c>
    </row>
    <row r="4" spans="1:7" x14ac:dyDescent="0.25">
      <c r="A4" t="s">
        <v>76</v>
      </c>
      <c r="B4" s="20">
        <v>42</v>
      </c>
      <c r="C4" s="20">
        <v>29</v>
      </c>
      <c r="D4" s="20">
        <v>19</v>
      </c>
      <c r="E4" s="20">
        <v>6</v>
      </c>
      <c r="F4" s="20">
        <v>1</v>
      </c>
      <c r="G4" s="13">
        <f>SUM(B4:F4)</f>
        <v>97</v>
      </c>
    </row>
    <row r="5" spans="1:7" x14ac:dyDescent="0.25">
      <c r="A5" t="s">
        <v>1</v>
      </c>
      <c r="B5" s="13">
        <f t="shared" ref="B5:G5" si="0">SUM(B3:B4)</f>
        <v>59</v>
      </c>
      <c r="C5" s="13">
        <f t="shared" si="0"/>
        <v>47</v>
      </c>
      <c r="D5" s="13">
        <f t="shared" si="0"/>
        <v>53</v>
      </c>
      <c r="E5" s="13">
        <f t="shared" si="0"/>
        <v>22</v>
      </c>
      <c r="F5" s="13">
        <f t="shared" si="0"/>
        <v>13</v>
      </c>
      <c r="G5" s="13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>D2</f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>Grupo Control - Post Test</v>
      </c>
      <c r="B12" s="6">
        <f>(G3*B5)/G5</f>
        <v>29.5</v>
      </c>
      <c r="C12" s="6">
        <f>(G3*C5)/G5</f>
        <v>23.5</v>
      </c>
      <c r="D12" s="6">
        <f>(G3*D5)/G5</f>
        <v>26.5</v>
      </c>
      <c r="E12" s="6">
        <f>(G3*E5)/G5</f>
        <v>11</v>
      </c>
      <c r="F12" s="6">
        <f>(G3*F5)/G5</f>
        <v>6.5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3">
        <f>(G4*B5)/G5</f>
        <v>29.5</v>
      </c>
      <c r="C13" s="13">
        <f>(G4*C5)/G5</f>
        <v>23.5</v>
      </c>
      <c r="D13" s="13">
        <f>(G4*D5)/G5</f>
        <v>26.5</v>
      </c>
      <c r="E13" s="13">
        <f>(G4*E5)/G5</f>
        <v>11</v>
      </c>
      <c r="F13" s="13">
        <f>(G4*F5)/G5</f>
        <v>6.5</v>
      </c>
      <c r="G13" s="13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>Grupo Control - Post Test</v>
      </c>
      <c r="B19" s="13" t="str">
        <f>B2</f>
        <v>a) Siempre</v>
      </c>
      <c r="C19" s="13">
        <f>B3</f>
        <v>17</v>
      </c>
      <c r="D19" s="13">
        <f>B12</f>
        <v>29.5</v>
      </c>
      <c r="E19" s="13">
        <f>(C19-D19)^2</f>
        <v>156.25</v>
      </c>
      <c r="F19" s="13">
        <f>E19/D19</f>
        <v>5.2966101694915251</v>
      </c>
    </row>
    <row r="20" spans="1:7" x14ac:dyDescent="0.25">
      <c r="A20" t="str">
        <f>A3</f>
        <v>Grupo Control - Post Test</v>
      </c>
      <c r="B20" s="13" t="str">
        <f>C2</f>
        <v>b) Frecuente</v>
      </c>
      <c r="C20" s="13">
        <f>C3</f>
        <v>18</v>
      </c>
      <c r="D20" s="13">
        <f>C12</f>
        <v>23.5</v>
      </c>
      <c r="E20" s="13">
        <f t="shared" ref="E20:E28" si="2">(C20-D20)^2</f>
        <v>30.25</v>
      </c>
      <c r="F20" s="13">
        <f t="shared" ref="F20:F28" si="3">E20/D20</f>
        <v>1.2872340425531914</v>
      </c>
    </row>
    <row r="21" spans="1:7" x14ac:dyDescent="0.25">
      <c r="A21" t="str">
        <f>A3</f>
        <v>Grupo Control - Post Test</v>
      </c>
      <c r="B21" s="13" t="str">
        <f>D2</f>
        <v>c) A veces</v>
      </c>
      <c r="C21" s="13">
        <f>D3</f>
        <v>34</v>
      </c>
      <c r="D21" s="13">
        <f>D12</f>
        <v>26.5</v>
      </c>
      <c r="E21" s="13">
        <f t="shared" si="2"/>
        <v>56.25</v>
      </c>
      <c r="F21" s="13">
        <f t="shared" si="3"/>
        <v>2.1226415094339623</v>
      </c>
    </row>
    <row r="22" spans="1:7" x14ac:dyDescent="0.25">
      <c r="A22" t="str">
        <f>A3</f>
        <v>Grupo Control - Post Test</v>
      </c>
      <c r="B22" s="13" t="str">
        <f>E2</f>
        <v>d) Raro</v>
      </c>
      <c r="C22" s="13">
        <f>E3</f>
        <v>16</v>
      </c>
      <c r="D22" s="13">
        <f>E12</f>
        <v>11</v>
      </c>
      <c r="E22" s="13">
        <f t="shared" si="2"/>
        <v>25</v>
      </c>
      <c r="F22" s="13">
        <f t="shared" si="3"/>
        <v>2.2727272727272729</v>
      </c>
    </row>
    <row r="23" spans="1:7" x14ac:dyDescent="0.25">
      <c r="A23" t="str">
        <f>A3</f>
        <v>Grupo Control - Post Test</v>
      </c>
      <c r="B23" s="13" t="str">
        <f>F2</f>
        <v>e) Nunca</v>
      </c>
      <c r="C23" s="13">
        <f>F3</f>
        <v>12</v>
      </c>
      <c r="D23" s="13">
        <f>F12</f>
        <v>6.5</v>
      </c>
      <c r="E23" s="13">
        <f t="shared" si="2"/>
        <v>30.25</v>
      </c>
      <c r="F23" s="13">
        <f t="shared" si="3"/>
        <v>4.6538461538461542</v>
      </c>
    </row>
    <row r="24" spans="1:7" x14ac:dyDescent="0.25">
      <c r="A24" t="str">
        <f>A4</f>
        <v>Grupo Experimental - Post Test</v>
      </c>
      <c r="B24" s="13" t="str">
        <f>B2</f>
        <v>a) Siempre</v>
      </c>
      <c r="C24" s="13">
        <f>B4</f>
        <v>42</v>
      </c>
      <c r="D24" s="13">
        <f>B13</f>
        <v>29.5</v>
      </c>
      <c r="E24" s="13">
        <f t="shared" si="2"/>
        <v>156.25</v>
      </c>
      <c r="F24" s="13">
        <f t="shared" si="3"/>
        <v>5.2966101694915251</v>
      </c>
    </row>
    <row r="25" spans="1:7" x14ac:dyDescent="0.25">
      <c r="A25" t="str">
        <f>A4</f>
        <v>Grupo Experimental - Post Test</v>
      </c>
      <c r="B25" s="13" t="str">
        <f>C2</f>
        <v>b) Frecuente</v>
      </c>
      <c r="C25" s="13">
        <f>C4</f>
        <v>29</v>
      </c>
      <c r="D25" s="13">
        <f>C13</f>
        <v>23.5</v>
      </c>
      <c r="E25" s="13">
        <f t="shared" si="2"/>
        <v>30.25</v>
      </c>
      <c r="F25" s="13">
        <f t="shared" si="3"/>
        <v>1.2872340425531914</v>
      </c>
    </row>
    <row r="26" spans="1:7" x14ac:dyDescent="0.25">
      <c r="A26" t="str">
        <f>A4</f>
        <v>Grupo Experimental - Post Test</v>
      </c>
      <c r="B26" s="13" t="str">
        <f>D2</f>
        <v>c) A veces</v>
      </c>
      <c r="C26" s="13">
        <f>D4</f>
        <v>19</v>
      </c>
      <c r="D26" s="13">
        <f>D13</f>
        <v>26.5</v>
      </c>
      <c r="E26" s="13">
        <f t="shared" si="2"/>
        <v>56.25</v>
      </c>
      <c r="F26" s="13">
        <f t="shared" si="3"/>
        <v>2.1226415094339623</v>
      </c>
    </row>
    <row r="27" spans="1:7" x14ac:dyDescent="0.25">
      <c r="A27" t="str">
        <f>A4</f>
        <v>Grupo Experimental - Post Test</v>
      </c>
      <c r="B27" s="13" t="str">
        <f>E2</f>
        <v>d) Raro</v>
      </c>
      <c r="C27" s="13">
        <f>E4</f>
        <v>6</v>
      </c>
      <c r="D27" s="13">
        <f>E13</f>
        <v>11</v>
      </c>
      <c r="E27" s="13">
        <f t="shared" si="2"/>
        <v>25</v>
      </c>
      <c r="F27" s="13">
        <f t="shared" si="3"/>
        <v>2.2727272727272729</v>
      </c>
    </row>
    <row r="28" spans="1:7" x14ac:dyDescent="0.25">
      <c r="A28" t="str">
        <f>A4</f>
        <v>Grupo Experimental - Post Test</v>
      </c>
      <c r="B28" s="13" t="str">
        <f>F2</f>
        <v>e) Nunca</v>
      </c>
      <c r="C28" s="13">
        <f>F4</f>
        <v>1</v>
      </c>
      <c r="D28" s="13">
        <f>F13</f>
        <v>6.5</v>
      </c>
      <c r="E28" s="13">
        <f t="shared" si="2"/>
        <v>30.25</v>
      </c>
      <c r="F28" s="13">
        <f t="shared" si="3"/>
        <v>4.6538461538461542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3">
        <f>SUM(F19:F28)</f>
        <v>31.26611829610421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3">
        <v>2</v>
      </c>
    </row>
    <row r="40" spans="1:7" x14ac:dyDescent="0.25">
      <c r="A40" s="21" t="s">
        <v>12</v>
      </c>
      <c r="B40" s="21"/>
      <c r="C40" s="13">
        <v>5</v>
      </c>
    </row>
    <row r="41" spans="1:7" x14ac:dyDescent="0.25">
      <c r="A41" s="21" t="s">
        <v>14</v>
      </c>
      <c r="B41" s="21"/>
      <c r="C41" s="13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3">
        <f>C41</f>
        <v>4</v>
      </c>
    </row>
    <row r="45" spans="1:7" x14ac:dyDescent="0.25">
      <c r="A45" t="s">
        <v>17</v>
      </c>
      <c r="B45" s="13">
        <v>0.05</v>
      </c>
      <c r="C45" s="13" t="s">
        <v>16</v>
      </c>
    </row>
    <row r="46" spans="1:7" x14ac:dyDescent="0.25">
      <c r="A46" t="s">
        <v>18</v>
      </c>
      <c r="B46" s="13">
        <f>CHIINV(B45,B44)</f>
        <v>9.4877290367811575</v>
      </c>
    </row>
    <row r="47" spans="1:7" x14ac:dyDescent="0.25">
      <c r="A47" t="s">
        <v>19</v>
      </c>
      <c r="B47" s="13">
        <f>_xlfn.CHISQ.DIST.RT(B35, B44)</f>
        <v>2.7015985132867051E-6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36</v>
      </c>
      <c r="B54" s="21"/>
      <c r="C54" s="21"/>
    </row>
    <row r="55" spans="1:7" x14ac:dyDescent="0.25">
      <c r="A55" s="15" t="s">
        <v>45</v>
      </c>
      <c r="B55" s="13">
        <f>B45</f>
        <v>0.05</v>
      </c>
    </row>
    <row r="56" spans="1:7" x14ac:dyDescent="0.25">
      <c r="A56" s="14" t="s">
        <v>19</v>
      </c>
      <c r="B56" s="13">
        <f>B47</f>
        <v>2.7015985132867051E-6</v>
      </c>
    </row>
    <row r="58" spans="1:7" x14ac:dyDescent="0.25">
      <c r="A58" s="21" t="s">
        <v>37</v>
      </c>
      <c r="B58" s="21"/>
      <c r="C58" s="21"/>
    </row>
    <row r="59" spans="1:7" x14ac:dyDescent="0.25">
      <c r="A59" t="s">
        <v>35</v>
      </c>
      <c r="B59" s="13">
        <f>B35</f>
        <v>31.26611829610421</v>
      </c>
    </row>
    <row r="60" spans="1:7" x14ac:dyDescent="0.25">
      <c r="A60" s="15" t="s">
        <v>22</v>
      </c>
      <c r="B60" s="13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2" customWidth="1"/>
    <col min="7" max="7" width="10.7109375" style="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29</v>
      </c>
      <c r="C2" s="5" t="s">
        <v>46</v>
      </c>
      <c r="D2" s="5" t="s">
        <v>31</v>
      </c>
      <c r="E2" s="5" t="s">
        <v>47</v>
      </c>
      <c r="F2" s="5" t="s">
        <v>33</v>
      </c>
      <c r="G2" s="5" t="s">
        <v>1</v>
      </c>
    </row>
    <row r="3" spans="1:7" x14ac:dyDescent="0.25">
      <c r="A3" t="s">
        <v>34</v>
      </c>
      <c r="B3" s="20">
        <v>14</v>
      </c>
      <c r="C3" s="20">
        <v>21</v>
      </c>
      <c r="D3" s="20">
        <v>35</v>
      </c>
      <c r="E3" s="20">
        <v>17</v>
      </c>
      <c r="F3" s="20">
        <v>10</v>
      </c>
      <c r="G3" s="2">
        <f>SUM(B3:F3)</f>
        <v>97</v>
      </c>
    </row>
    <row r="4" spans="1:7" x14ac:dyDescent="0.25">
      <c r="A4" t="s">
        <v>76</v>
      </c>
      <c r="B4" s="20">
        <v>41</v>
      </c>
      <c r="C4" s="20">
        <v>32</v>
      </c>
      <c r="D4" s="20">
        <v>16</v>
      </c>
      <c r="E4" s="20">
        <v>8</v>
      </c>
      <c r="F4" s="20">
        <v>0</v>
      </c>
      <c r="G4" s="2">
        <f>SUM(B4:F4)</f>
        <v>97</v>
      </c>
    </row>
    <row r="5" spans="1:7" x14ac:dyDescent="0.25">
      <c r="A5" t="s">
        <v>1</v>
      </c>
      <c r="B5" s="2">
        <f t="shared" ref="B5:F5" si="0">SUM(B3:B4)</f>
        <v>55</v>
      </c>
      <c r="C5" s="2">
        <f t="shared" si="0"/>
        <v>53</v>
      </c>
      <c r="D5" s="2">
        <f t="shared" si="0"/>
        <v>51</v>
      </c>
      <c r="E5" s="2">
        <f t="shared" si="0"/>
        <v>25</v>
      </c>
      <c r="F5" s="2">
        <f t="shared" si="0"/>
        <v>10</v>
      </c>
      <c r="G5" s="2">
        <f t="shared" ref="G5" si="1">SUM(G3:G4)</f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2">C2</f>
        <v>b) Muchas veces</v>
      </c>
      <c r="D11" s="3" t="str">
        <f t="shared" si="2"/>
        <v>c) A veces</v>
      </c>
      <c r="E11" s="3" t="str">
        <f t="shared" si="2"/>
        <v>d) Pocas veces</v>
      </c>
      <c r="F11" s="3" t="str">
        <f t="shared" si="2"/>
        <v>e) Nunca</v>
      </c>
      <c r="G11" s="3" t="str">
        <f t="shared" si="2"/>
        <v>Total</v>
      </c>
    </row>
    <row r="12" spans="1:7" x14ac:dyDescent="0.25">
      <c r="A12" s="4" t="str">
        <f>A3</f>
        <v>Grupo Control - Post Test</v>
      </c>
      <c r="B12" s="6">
        <f>(G3*B5)/G5</f>
        <v>27.5</v>
      </c>
      <c r="C12" s="6">
        <f>(G3*C5)/G5</f>
        <v>26.5</v>
      </c>
      <c r="D12" s="6">
        <f>(G3*D5)/G5</f>
        <v>25.5</v>
      </c>
      <c r="E12" s="6">
        <f>(G3*E5)/G5</f>
        <v>12.5</v>
      </c>
      <c r="F12" s="6">
        <f>(G3*F5)/G5</f>
        <v>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2">
        <f>(G4*B5)/G5</f>
        <v>27.5</v>
      </c>
      <c r="C13" s="2">
        <f>(G4*C5)/G5</f>
        <v>26.5</v>
      </c>
      <c r="D13" s="2">
        <f>(G4*D5)/G5</f>
        <v>25.5</v>
      </c>
      <c r="E13" s="2">
        <f>(G4*E5)/G5</f>
        <v>12.5</v>
      </c>
      <c r="F13" s="2">
        <f>(G4*F5)/G5</f>
        <v>5</v>
      </c>
      <c r="G13" s="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>Grupo Control - Post Test</v>
      </c>
      <c r="B19" s="2" t="str">
        <f>B2</f>
        <v>a) Siempre</v>
      </c>
      <c r="C19" s="2">
        <f>B3</f>
        <v>14</v>
      </c>
      <c r="D19" s="2">
        <f>B12</f>
        <v>27.5</v>
      </c>
      <c r="E19" s="2">
        <f>(C19-D19)^2</f>
        <v>182.25</v>
      </c>
      <c r="F19" s="2">
        <f>E19/D19</f>
        <v>6.627272727272727</v>
      </c>
    </row>
    <row r="20" spans="1:7" x14ac:dyDescent="0.25">
      <c r="A20" t="str">
        <f>A3</f>
        <v>Grupo Control - Post Test</v>
      </c>
      <c r="B20" s="2" t="str">
        <f>C2</f>
        <v>b) Muchas veces</v>
      </c>
      <c r="C20" s="2">
        <f>C3</f>
        <v>21</v>
      </c>
      <c r="D20" s="2">
        <f>C12</f>
        <v>26.5</v>
      </c>
      <c r="E20" s="2">
        <f t="shared" ref="E20:E28" si="3">(C20-D20)^2</f>
        <v>30.25</v>
      </c>
      <c r="F20" s="2">
        <f t="shared" ref="F20:F28" si="4">E20/D20</f>
        <v>1.1415094339622642</v>
      </c>
    </row>
    <row r="21" spans="1:7" x14ac:dyDescent="0.25">
      <c r="A21" t="str">
        <f>A3</f>
        <v>Grupo Control - Post Test</v>
      </c>
      <c r="B21" s="2" t="str">
        <f>D2</f>
        <v>c) A veces</v>
      </c>
      <c r="C21" s="2">
        <f>D3</f>
        <v>35</v>
      </c>
      <c r="D21" s="2">
        <f>D12</f>
        <v>25.5</v>
      </c>
      <c r="E21" s="2">
        <f t="shared" si="3"/>
        <v>90.25</v>
      </c>
      <c r="F21" s="2">
        <f t="shared" si="4"/>
        <v>3.5392156862745097</v>
      </c>
    </row>
    <row r="22" spans="1:7" x14ac:dyDescent="0.25">
      <c r="A22" t="str">
        <f>A3</f>
        <v>Grupo Control - Post Test</v>
      </c>
      <c r="B22" s="2" t="str">
        <f>E2</f>
        <v>d) Pocas veces</v>
      </c>
      <c r="C22" s="2">
        <f>E3</f>
        <v>17</v>
      </c>
      <c r="D22" s="2">
        <f>E12</f>
        <v>12.5</v>
      </c>
      <c r="E22" s="2">
        <f t="shared" si="3"/>
        <v>20.25</v>
      </c>
      <c r="F22" s="2">
        <f t="shared" si="4"/>
        <v>1.62</v>
      </c>
    </row>
    <row r="23" spans="1:7" x14ac:dyDescent="0.25">
      <c r="A23" t="str">
        <f>A3</f>
        <v>Grupo Control - Post Test</v>
      </c>
      <c r="B23" s="2" t="str">
        <f>F2</f>
        <v>e) Nunca</v>
      </c>
      <c r="C23" s="2">
        <f>F3</f>
        <v>10</v>
      </c>
      <c r="D23" s="2">
        <f>F12</f>
        <v>5</v>
      </c>
      <c r="E23" s="2">
        <f t="shared" si="3"/>
        <v>25</v>
      </c>
      <c r="F23" s="2">
        <f t="shared" si="4"/>
        <v>5</v>
      </c>
    </row>
    <row r="24" spans="1:7" x14ac:dyDescent="0.25">
      <c r="A24" t="str">
        <f>A4</f>
        <v>Grupo Experimental - Post Test</v>
      </c>
      <c r="B24" s="2" t="str">
        <f>B2</f>
        <v>a) Siempre</v>
      </c>
      <c r="C24" s="2">
        <f>B4</f>
        <v>41</v>
      </c>
      <c r="D24" s="2">
        <f>B13</f>
        <v>27.5</v>
      </c>
      <c r="E24" s="2">
        <f t="shared" si="3"/>
        <v>182.25</v>
      </c>
      <c r="F24" s="2">
        <f t="shared" si="4"/>
        <v>6.627272727272727</v>
      </c>
    </row>
    <row r="25" spans="1:7" x14ac:dyDescent="0.25">
      <c r="A25" t="str">
        <f>A4</f>
        <v>Grupo Experimental - Post Test</v>
      </c>
      <c r="B25" s="2" t="str">
        <f>C2</f>
        <v>b) Muchas veces</v>
      </c>
      <c r="C25" s="2">
        <f>C4</f>
        <v>32</v>
      </c>
      <c r="D25" s="2">
        <f>C13</f>
        <v>26.5</v>
      </c>
      <c r="E25" s="2">
        <f t="shared" si="3"/>
        <v>30.25</v>
      </c>
      <c r="F25" s="2">
        <f t="shared" si="4"/>
        <v>1.1415094339622642</v>
      </c>
    </row>
    <row r="26" spans="1:7" x14ac:dyDescent="0.25">
      <c r="A26" t="str">
        <f>A4</f>
        <v>Grupo Experimental - Post Test</v>
      </c>
      <c r="B26" s="2" t="str">
        <f>D2</f>
        <v>c) A veces</v>
      </c>
      <c r="C26" s="2">
        <f>D4</f>
        <v>16</v>
      </c>
      <c r="D26" s="2">
        <f>D13</f>
        <v>25.5</v>
      </c>
      <c r="E26" s="2">
        <f t="shared" si="3"/>
        <v>90.25</v>
      </c>
      <c r="F26" s="2">
        <f t="shared" si="4"/>
        <v>3.5392156862745097</v>
      </c>
    </row>
    <row r="27" spans="1:7" x14ac:dyDescent="0.25">
      <c r="A27" t="str">
        <f>A4</f>
        <v>Grupo Experimental - Post Test</v>
      </c>
      <c r="B27" s="2" t="str">
        <f>E2</f>
        <v>d) Pocas veces</v>
      </c>
      <c r="C27" s="2">
        <f>E4</f>
        <v>8</v>
      </c>
      <c r="D27" s="2">
        <f>E13</f>
        <v>12.5</v>
      </c>
      <c r="E27" s="2">
        <f t="shared" si="3"/>
        <v>20.25</v>
      </c>
      <c r="F27" s="2">
        <f t="shared" si="4"/>
        <v>1.62</v>
      </c>
    </row>
    <row r="28" spans="1:7" x14ac:dyDescent="0.25">
      <c r="A28" t="str">
        <f>A4</f>
        <v>Grupo Experimental - Post Test</v>
      </c>
      <c r="B28" s="2" t="str">
        <f>F2</f>
        <v>e) Nunca</v>
      </c>
      <c r="C28" s="2">
        <f>F4</f>
        <v>0</v>
      </c>
      <c r="D28" s="2">
        <f>F13</f>
        <v>5</v>
      </c>
      <c r="E28" s="2">
        <f t="shared" si="3"/>
        <v>25</v>
      </c>
      <c r="F28" s="2">
        <f t="shared" si="4"/>
        <v>5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2">
        <f>SUM(F19:F28)</f>
        <v>35.855995695019004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2">
        <v>2</v>
      </c>
    </row>
    <row r="40" spans="1:7" x14ac:dyDescent="0.25">
      <c r="A40" s="21" t="s">
        <v>12</v>
      </c>
      <c r="B40" s="21"/>
      <c r="C40" s="2">
        <v>5</v>
      </c>
    </row>
    <row r="41" spans="1:7" x14ac:dyDescent="0.25">
      <c r="A41" s="21" t="s">
        <v>14</v>
      </c>
      <c r="B41" s="21"/>
      <c r="C41" s="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2">
        <f>C41</f>
        <v>4</v>
      </c>
    </row>
    <row r="45" spans="1:7" x14ac:dyDescent="0.25">
      <c r="A45" t="s">
        <v>17</v>
      </c>
      <c r="B45" s="2">
        <v>0.05</v>
      </c>
      <c r="C45" s="2" t="s">
        <v>16</v>
      </c>
    </row>
    <row r="46" spans="1:7" x14ac:dyDescent="0.25">
      <c r="A46" t="s">
        <v>18</v>
      </c>
      <c r="B46" s="2">
        <f>CHIINV(B45,B44)</f>
        <v>9.4877290367811575</v>
      </c>
    </row>
    <row r="47" spans="1:7" x14ac:dyDescent="0.25">
      <c r="A47" t="s">
        <v>19</v>
      </c>
      <c r="B47" s="2">
        <f>_xlfn.CHISQ.DIST.RT(B35, B44)</f>
        <v>3.097948124332175E-7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36</v>
      </c>
      <c r="B54" s="21"/>
      <c r="C54" s="21"/>
    </row>
    <row r="55" spans="1:7" x14ac:dyDescent="0.25">
      <c r="A55" s="15" t="s">
        <v>45</v>
      </c>
      <c r="B55" s="2">
        <f>B45</f>
        <v>0.05</v>
      </c>
    </row>
    <row r="56" spans="1:7" x14ac:dyDescent="0.25">
      <c r="A56" s="14" t="s">
        <v>19</v>
      </c>
      <c r="B56" s="2">
        <f>B47</f>
        <v>3.097948124332175E-7</v>
      </c>
    </row>
    <row r="58" spans="1:7" x14ac:dyDescent="0.25">
      <c r="A58" s="21" t="s">
        <v>37</v>
      </c>
      <c r="B58" s="21"/>
      <c r="C58" s="21"/>
    </row>
    <row r="59" spans="1:7" x14ac:dyDescent="0.25">
      <c r="A59" t="s">
        <v>35</v>
      </c>
      <c r="B59" s="2">
        <f>B35</f>
        <v>35.855995695019004</v>
      </c>
    </row>
    <row r="60" spans="1:7" x14ac:dyDescent="0.25">
      <c r="A60" s="15" t="s">
        <v>22</v>
      </c>
      <c r="B60" s="2">
        <f>B46</f>
        <v>9.4877290367811575</v>
      </c>
    </row>
  </sheetData>
  <mergeCells count="14">
    <mergeCell ref="A58:C58"/>
    <mergeCell ref="B51:D51"/>
    <mergeCell ref="B52:D52"/>
    <mergeCell ref="A54:C54"/>
    <mergeCell ref="A39:B39"/>
    <mergeCell ref="A40:B40"/>
    <mergeCell ref="A43:G43"/>
    <mergeCell ref="A41:B41"/>
    <mergeCell ref="A49:G4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34</v>
      </c>
      <c r="B3" s="20">
        <v>13</v>
      </c>
      <c r="C3" s="20">
        <v>22</v>
      </c>
      <c r="D3" s="20">
        <v>38</v>
      </c>
      <c r="E3" s="20">
        <v>19</v>
      </c>
      <c r="F3" s="20">
        <v>5</v>
      </c>
      <c r="G3" s="12">
        <f>SUM(B3:F3)</f>
        <v>97</v>
      </c>
    </row>
    <row r="4" spans="1:7" x14ac:dyDescent="0.25">
      <c r="A4" t="s">
        <v>76</v>
      </c>
      <c r="B4" s="20">
        <v>48</v>
      </c>
      <c r="C4" s="20">
        <v>28</v>
      </c>
      <c r="D4" s="20">
        <v>17</v>
      </c>
      <c r="E4" s="20">
        <v>3</v>
      </c>
      <c r="F4" s="20">
        <v>1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61</v>
      </c>
      <c r="C5" s="12">
        <f t="shared" si="0"/>
        <v>50</v>
      </c>
      <c r="D5" s="12">
        <f t="shared" si="0"/>
        <v>55</v>
      </c>
      <c r="E5" s="12">
        <f t="shared" si="0"/>
        <v>22</v>
      </c>
      <c r="F5" s="12">
        <f t="shared" si="0"/>
        <v>6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>Grupo Control - Post Test</v>
      </c>
      <c r="B12" s="6">
        <f>(G3*B5)/G5</f>
        <v>30.5</v>
      </c>
      <c r="C12" s="6">
        <f>(G3*C5)/G5</f>
        <v>25</v>
      </c>
      <c r="D12" s="6">
        <f>(G3*D5)/G5</f>
        <v>27.5</v>
      </c>
      <c r="E12" s="6">
        <f>(G3*E5)/G5</f>
        <v>11</v>
      </c>
      <c r="F12" s="6">
        <f>(G3*F5)/G5</f>
        <v>3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30.5</v>
      </c>
      <c r="C13" s="12">
        <f>(G4*C5)/G5</f>
        <v>25</v>
      </c>
      <c r="D13" s="12">
        <f>(G4*D5)/G5</f>
        <v>27.5</v>
      </c>
      <c r="E13" s="12">
        <f>(G4*E5)/G5</f>
        <v>11</v>
      </c>
      <c r="F13" s="12">
        <f>(G4*F5)/G5</f>
        <v>3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>Grupo Control - Post Test</v>
      </c>
      <c r="B19" s="12" t="str">
        <f>B2</f>
        <v>a) Siempre</v>
      </c>
      <c r="C19" s="12">
        <f>B3</f>
        <v>13</v>
      </c>
      <c r="D19" s="12">
        <f>B12</f>
        <v>30.5</v>
      </c>
      <c r="E19" s="12">
        <f>(C19-D19)^2</f>
        <v>306.25</v>
      </c>
      <c r="F19" s="12">
        <f>E19/D19</f>
        <v>10.040983606557377</v>
      </c>
    </row>
    <row r="20" spans="1:7" x14ac:dyDescent="0.25">
      <c r="A20" t="str">
        <f>A3</f>
        <v>Grupo Control - Post Test</v>
      </c>
      <c r="B20" s="12" t="str">
        <f>C2</f>
        <v>b) Frecuente</v>
      </c>
      <c r="C20" s="12">
        <f>C3</f>
        <v>22</v>
      </c>
      <c r="D20" s="12">
        <f>C12</f>
        <v>25</v>
      </c>
      <c r="E20" s="12">
        <f t="shared" ref="E20:E28" si="2">(C20-D20)^2</f>
        <v>9</v>
      </c>
      <c r="F20" s="12">
        <f t="shared" ref="F20:F28" si="3">E20/D20</f>
        <v>0.36</v>
      </c>
    </row>
    <row r="21" spans="1:7" x14ac:dyDescent="0.25">
      <c r="A21" t="str">
        <f>A3</f>
        <v>Grupo Control - Post Test</v>
      </c>
      <c r="B21" s="12" t="str">
        <f>D2</f>
        <v>c) A veces</v>
      </c>
      <c r="C21" s="12">
        <f>D3</f>
        <v>38</v>
      </c>
      <c r="D21" s="12">
        <f>D12</f>
        <v>27.5</v>
      </c>
      <c r="E21" s="12">
        <f t="shared" si="2"/>
        <v>110.25</v>
      </c>
      <c r="F21" s="12">
        <f t="shared" si="3"/>
        <v>4.0090909090909088</v>
      </c>
    </row>
    <row r="22" spans="1:7" x14ac:dyDescent="0.25">
      <c r="A22" t="str">
        <f>A3</f>
        <v>Grupo Control - Post Test</v>
      </c>
      <c r="B22" s="12" t="str">
        <f>E2</f>
        <v>d) Raro</v>
      </c>
      <c r="C22" s="12">
        <f>E3</f>
        <v>19</v>
      </c>
      <c r="D22" s="12">
        <f>E12</f>
        <v>11</v>
      </c>
      <c r="E22" s="12">
        <f t="shared" si="2"/>
        <v>64</v>
      </c>
      <c r="F22" s="12">
        <f t="shared" si="3"/>
        <v>5.8181818181818183</v>
      </c>
    </row>
    <row r="23" spans="1:7" x14ac:dyDescent="0.25">
      <c r="A23" t="str">
        <f>A3</f>
        <v>Grupo Control - Post Test</v>
      </c>
      <c r="B23" s="12" t="str">
        <f>F2</f>
        <v>e) Nunca</v>
      </c>
      <c r="C23" s="12">
        <f>F3</f>
        <v>5</v>
      </c>
      <c r="D23" s="12">
        <f>F12</f>
        <v>3</v>
      </c>
      <c r="E23" s="12">
        <f t="shared" si="2"/>
        <v>4</v>
      </c>
      <c r="F23" s="12">
        <f t="shared" si="3"/>
        <v>1.3333333333333333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48</v>
      </c>
      <c r="D24" s="12">
        <f>B13</f>
        <v>30.5</v>
      </c>
      <c r="E24" s="12">
        <f t="shared" si="2"/>
        <v>306.25</v>
      </c>
      <c r="F24" s="12">
        <f t="shared" si="3"/>
        <v>10.040983606557377</v>
      </c>
    </row>
    <row r="25" spans="1:7" x14ac:dyDescent="0.25">
      <c r="A25" t="str">
        <f>A4</f>
        <v>Grupo Experimental - Post Test</v>
      </c>
      <c r="B25" s="12" t="str">
        <f>C2</f>
        <v>b) Frecuente</v>
      </c>
      <c r="C25" s="12">
        <f>C4</f>
        <v>28</v>
      </c>
      <c r="D25" s="12">
        <f>C13</f>
        <v>25</v>
      </c>
      <c r="E25" s="12">
        <f t="shared" si="2"/>
        <v>9</v>
      </c>
      <c r="F25" s="12">
        <f t="shared" si="3"/>
        <v>0.36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17</v>
      </c>
      <c r="D26" s="12">
        <f>D13</f>
        <v>27.5</v>
      </c>
      <c r="E26" s="12">
        <f t="shared" si="2"/>
        <v>110.25</v>
      </c>
      <c r="F26" s="12">
        <f t="shared" si="3"/>
        <v>4.0090909090909088</v>
      </c>
    </row>
    <row r="27" spans="1:7" x14ac:dyDescent="0.25">
      <c r="A27" t="str">
        <f>A4</f>
        <v>Grupo Experimental - Post Test</v>
      </c>
      <c r="B27" s="12" t="str">
        <f>E2</f>
        <v>d) Raro</v>
      </c>
      <c r="C27" s="12">
        <f>E4</f>
        <v>3</v>
      </c>
      <c r="D27" s="12">
        <f>E13</f>
        <v>11</v>
      </c>
      <c r="E27" s="12">
        <f t="shared" si="2"/>
        <v>64</v>
      </c>
      <c r="F27" s="12">
        <f t="shared" si="3"/>
        <v>5.8181818181818183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1</v>
      </c>
      <c r="D28" s="12">
        <f>F13</f>
        <v>3</v>
      </c>
      <c r="E28" s="12">
        <f t="shared" si="2"/>
        <v>4</v>
      </c>
      <c r="F28" s="12">
        <f t="shared" si="3"/>
        <v>1.3333333333333333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43.123179334326878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9.7564153953887839E-9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36</v>
      </c>
      <c r="B54" s="21"/>
      <c r="C54" s="21"/>
    </row>
    <row r="55" spans="1:7" x14ac:dyDescent="0.25">
      <c r="A55" s="15" t="s">
        <v>45</v>
      </c>
      <c r="B55" s="12">
        <f>B45</f>
        <v>0.05</v>
      </c>
    </row>
    <row r="56" spans="1:7" x14ac:dyDescent="0.25">
      <c r="A56" s="14" t="s">
        <v>19</v>
      </c>
      <c r="B56" s="12">
        <f>B47</f>
        <v>9.7564153953887839E-9</v>
      </c>
    </row>
    <row r="58" spans="1:7" x14ac:dyDescent="0.25">
      <c r="A58" s="21" t="s">
        <v>37</v>
      </c>
      <c r="B58" s="21"/>
      <c r="C58" s="21"/>
    </row>
    <row r="59" spans="1:7" x14ac:dyDescent="0.25">
      <c r="A59" t="s">
        <v>35</v>
      </c>
      <c r="B59" s="12">
        <f>B35</f>
        <v>43.123179334326878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29</v>
      </c>
      <c r="C2" s="5" t="s">
        <v>46</v>
      </c>
      <c r="D2" s="5" t="s">
        <v>31</v>
      </c>
      <c r="E2" s="5" t="s">
        <v>47</v>
      </c>
      <c r="F2" s="5" t="s">
        <v>33</v>
      </c>
      <c r="G2" s="5" t="s">
        <v>1</v>
      </c>
    </row>
    <row r="3" spans="1:7" x14ac:dyDescent="0.25">
      <c r="A3" t="s">
        <v>34</v>
      </c>
      <c r="B3" s="20">
        <v>14</v>
      </c>
      <c r="C3" s="20">
        <v>30</v>
      </c>
      <c r="D3" s="20">
        <v>32</v>
      </c>
      <c r="E3" s="20">
        <v>12</v>
      </c>
      <c r="F3" s="20">
        <v>9</v>
      </c>
      <c r="G3" s="12">
        <f>SUM(B3:F3)</f>
        <v>97</v>
      </c>
    </row>
    <row r="4" spans="1:7" x14ac:dyDescent="0.25">
      <c r="A4" t="s">
        <v>76</v>
      </c>
      <c r="B4" s="20">
        <v>34</v>
      </c>
      <c r="C4" s="20">
        <v>38</v>
      </c>
      <c r="D4" s="20">
        <v>16</v>
      </c>
      <c r="E4" s="20">
        <v>7</v>
      </c>
      <c r="F4" s="20">
        <v>2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48</v>
      </c>
      <c r="C5" s="12">
        <f t="shared" si="0"/>
        <v>68</v>
      </c>
      <c r="D5" s="12">
        <f t="shared" si="0"/>
        <v>48</v>
      </c>
      <c r="E5" s="12">
        <f t="shared" si="0"/>
        <v>19</v>
      </c>
      <c r="F5" s="12">
        <f t="shared" si="0"/>
        <v>11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>Grupo Control - Post Test</v>
      </c>
      <c r="B12" s="6">
        <f>(G3*B5)/G5</f>
        <v>24</v>
      </c>
      <c r="C12" s="6">
        <f>(G3*C5)/G5</f>
        <v>34</v>
      </c>
      <c r="D12" s="6">
        <f>(G3*D5)/G5</f>
        <v>24</v>
      </c>
      <c r="E12" s="6">
        <f>(G3*E5)/G5</f>
        <v>9.5</v>
      </c>
      <c r="F12" s="6">
        <f>(G3*F5)/G5</f>
        <v>5.5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24</v>
      </c>
      <c r="C13" s="12">
        <f>(G4*C5)/G5</f>
        <v>34</v>
      </c>
      <c r="D13" s="12">
        <f>(G4*D5)/G5</f>
        <v>24</v>
      </c>
      <c r="E13" s="12">
        <f>(G4*E5)/G5</f>
        <v>9.5</v>
      </c>
      <c r="F13" s="12">
        <f>(G4*F5)/G5</f>
        <v>5.5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>Grupo Control - Post Test</v>
      </c>
      <c r="B19" s="12" t="str">
        <f>B2</f>
        <v>a) Siempre</v>
      </c>
      <c r="C19" s="12">
        <f>B3</f>
        <v>14</v>
      </c>
      <c r="D19" s="12">
        <f>B12</f>
        <v>24</v>
      </c>
      <c r="E19" s="12">
        <f>(C19-D19)^2</f>
        <v>100</v>
      </c>
      <c r="F19" s="12">
        <f>E19/D19</f>
        <v>4.166666666666667</v>
      </c>
    </row>
    <row r="20" spans="1:7" x14ac:dyDescent="0.25">
      <c r="A20" t="str">
        <f>A3</f>
        <v>Grupo Control - Post Test</v>
      </c>
      <c r="B20" s="12" t="str">
        <f>C2</f>
        <v>b) Muchas veces</v>
      </c>
      <c r="C20" s="12">
        <f>C3</f>
        <v>30</v>
      </c>
      <c r="D20" s="12">
        <f>C12</f>
        <v>34</v>
      </c>
      <c r="E20" s="12">
        <f t="shared" ref="E20:E28" si="2">(C20-D20)^2</f>
        <v>16</v>
      </c>
      <c r="F20" s="12">
        <f t="shared" ref="F20:F28" si="3">E20/D20</f>
        <v>0.47058823529411764</v>
      </c>
    </row>
    <row r="21" spans="1:7" x14ac:dyDescent="0.25">
      <c r="A21" t="str">
        <f>A3</f>
        <v>Grupo Control - Post Test</v>
      </c>
      <c r="B21" s="12" t="str">
        <f>D2</f>
        <v>c) A veces</v>
      </c>
      <c r="C21" s="12">
        <f>D3</f>
        <v>32</v>
      </c>
      <c r="D21" s="12">
        <f>D12</f>
        <v>24</v>
      </c>
      <c r="E21" s="12">
        <f t="shared" si="2"/>
        <v>64</v>
      </c>
      <c r="F21" s="12">
        <f t="shared" si="3"/>
        <v>2.6666666666666665</v>
      </c>
    </row>
    <row r="22" spans="1:7" x14ac:dyDescent="0.25">
      <c r="A22" t="str">
        <f>A3</f>
        <v>Grupo Control - Post Test</v>
      </c>
      <c r="B22" s="12" t="str">
        <f>E2</f>
        <v>d) Pocas veces</v>
      </c>
      <c r="C22" s="12">
        <f>E3</f>
        <v>12</v>
      </c>
      <c r="D22" s="12">
        <f>E12</f>
        <v>9.5</v>
      </c>
      <c r="E22" s="12">
        <f t="shared" si="2"/>
        <v>6.25</v>
      </c>
      <c r="F22" s="12">
        <f t="shared" si="3"/>
        <v>0.65789473684210531</v>
      </c>
    </row>
    <row r="23" spans="1:7" x14ac:dyDescent="0.25">
      <c r="A23" t="str">
        <f>A3</f>
        <v>Grupo Control - Post Test</v>
      </c>
      <c r="B23" s="12" t="str">
        <f>F2</f>
        <v>e) Nunca</v>
      </c>
      <c r="C23" s="12">
        <f>F3</f>
        <v>9</v>
      </c>
      <c r="D23" s="12">
        <f>F12</f>
        <v>5.5</v>
      </c>
      <c r="E23" s="12">
        <f t="shared" si="2"/>
        <v>12.25</v>
      </c>
      <c r="F23" s="12">
        <f t="shared" si="3"/>
        <v>2.2272727272727271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34</v>
      </c>
      <c r="D24" s="12">
        <f>B13</f>
        <v>24</v>
      </c>
      <c r="E24" s="12">
        <f t="shared" si="2"/>
        <v>100</v>
      </c>
      <c r="F24" s="12">
        <f t="shared" si="3"/>
        <v>4.166666666666667</v>
      </c>
    </row>
    <row r="25" spans="1:7" x14ac:dyDescent="0.25">
      <c r="A25" t="str">
        <f>A4</f>
        <v>Grupo Experimental - Post Test</v>
      </c>
      <c r="B25" s="12" t="str">
        <f>C2</f>
        <v>b) Muchas veces</v>
      </c>
      <c r="C25" s="12">
        <f>C4</f>
        <v>38</v>
      </c>
      <c r="D25" s="12">
        <f>C13</f>
        <v>34</v>
      </c>
      <c r="E25" s="12">
        <f t="shared" si="2"/>
        <v>16</v>
      </c>
      <c r="F25" s="12">
        <f t="shared" si="3"/>
        <v>0.47058823529411764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16</v>
      </c>
      <c r="D26" s="12">
        <f>D13</f>
        <v>24</v>
      </c>
      <c r="E26" s="12">
        <f t="shared" si="2"/>
        <v>64</v>
      </c>
      <c r="F26" s="12">
        <f t="shared" si="3"/>
        <v>2.6666666666666665</v>
      </c>
    </row>
    <row r="27" spans="1:7" x14ac:dyDescent="0.25">
      <c r="A27" t="str">
        <f>A4</f>
        <v>Grupo Experimental - Post Test</v>
      </c>
      <c r="B27" s="12" t="str">
        <f>E2</f>
        <v>d) Pocas veces</v>
      </c>
      <c r="C27" s="12">
        <f>E4</f>
        <v>7</v>
      </c>
      <c r="D27" s="12">
        <f>E13</f>
        <v>9.5</v>
      </c>
      <c r="E27" s="12">
        <f t="shared" si="2"/>
        <v>6.25</v>
      </c>
      <c r="F27" s="12">
        <f t="shared" si="3"/>
        <v>0.65789473684210531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2</v>
      </c>
      <c r="D28" s="12">
        <f>F13</f>
        <v>5.5</v>
      </c>
      <c r="E28" s="12">
        <f t="shared" si="2"/>
        <v>12.25</v>
      </c>
      <c r="F28" s="12">
        <f t="shared" si="3"/>
        <v>2.2272727272727271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20.378178065484569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4.2046474497926117E-4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36</v>
      </c>
      <c r="B54" s="21"/>
      <c r="C54" s="21"/>
    </row>
    <row r="55" spans="1:7" x14ac:dyDescent="0.25">
      <c r="A55" s="15" t="s">
        <v>45</v>
      </c>
      <c r="B55" s="12">
        <f>B45</f>
        <v>0.05</v>
      </c>
    </row>
    <row r="56" spans="1:7" x14ac:dyDescent="0.25">
      <c r="A56" s="14" t="s">
        <v>19</v>
      </c>
      <c r="B56" s="12">
        <f>B47</f>
        <v>4.2046474497926117E-4</v>
      </c>
    </row>
    <row r="58" spans="1:7" x14ac:dyDescent="0.25">
      <c r="A58" s="21" t="s">
        <v>37</v>
      </c>
      <c r="B58" s="21"/>
      <c r="C58" s="21"/>
    </row>
    <row r="59" spans="1:7" x14ac:dyDescent="0.25">
      <c r="A59" t="s">
        <v>35</v>
      </c>
      <c r="B59" s="12">
        <f>B35</f>
        <v>20.378178065484569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34</v>
      </c>
      <c r="B3" s="20">
        <v>16</v>
      </c>
      <c r="C3" s="20">
        <v>23</v>
      </c>
      <c r="D3" s="20">
        <v>25</v>
      </c>
      <c r="E3" s="20">
        <v>24</v>
      </c>
      <c r="F3" s="20">
        <v>9</v>
      </c>
      <c r="G3" s="12">
        <f>SUM(B3:F3)</f>
        <v>97</v>
      </c>
    </row>
    <row r="4" spans="1:7" x14ac:dyDescent="0.25">
      <c r="A4" t="s">
        <v>76</v>
      </c>
      <c r="B4" s="20">
        <v>43</v>
      </c>
      <c r="C4" s="20">
        <v>38</v>
      </c>
      <c r="D4" s="20">
        <v>10</v>
      </c>
      <c r="E4" s="20">
        <v>5</v>
      </c>
      <c r="F4" s="20">
        <v>1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59</v>
      </c>
      <c r="C5" s="12">
        <f t="shared" si="0"/>
        <v>61</v>
      </c>
      <c r="D5" s="12">
        <f t="shared" si="0"/>
        <v>35</v>
      </c>
      <c r="E5" s="12">
        <f t="shared" si="0"/>
        <v>29</v>
      </c>
      <c r="F5" s="12">
        <f t="shared" si="0"/>
        <v>10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>Grupo Control - Post Test</v>
      </c>
      <c r="B12" s="6">
        <f>(G3*B5)/G5</f>
        <v>29.5</v>
      </c>
      <c r="C12" s="6">
        <f>(G3*C5)/G5</f>
        <v>30.5</v>
      </c>
      <c r="D12" s="6">
        <f>(G3*D5)/G5</f>
        <v>17.5</v>
      </c>
      <c r="E12" s="6">
        <f>(G3*E5)/G5</f>
        <v>14.5</v>
      </c>
      <c r="F12" s="6">
        <f>(G3*F5)/G5</f>
        <v>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29.5</v>
      </c>
      <c r="C13" s="12">
        <f>(G4*C5)/G5</f>
        <v>30.5</v>
      </c>
      <c r="D13" s="12">
        <f>(G4*D5)/G5</f>
        <v>17.5</v>
      </c>
      <c r="E13" s="12">
        <f>(G4*E5)/G5</f>
        <v>14.5</v>
      </c>
      <c r="F13" s="12">
        <f>(G4*F5)/G5</f>
        <v>5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>Grupo Control - Post Test</v>
      </c>
      <c r="B19" s="12" t="str">
        <f>B2</f>
        <v>a) Siempre</v>
      </c>
      <c r="C19" s="12">
        <f>B3</f>
        <v>16</v>
      </c>
      <c r="D19" s="12">
        <f>B12</f>
        <v>29.5</v>
      </c>
      <c r="E19" s="12">
        <f>(C19-D19)^2</f>
        <v>182.25</v>
      </c>
      <c r="F19" s="12">
        <f>E19/D19</f>
        <v>6.1779661016949152</v>
      </c>
    </row>
    <row r="20" spans="1:7" x14ac:dyDescent="0.25">
      <c r="A20" t="str">
        <f>A3</f>
        <v>Grupo Control - Post Test</v>
      </c>
      <c r="B20" s="12" t="str">
        <f>C2</f>
        <v>b) Frecuente</v>
      </c>
      <c r="C20" s="12">
        <f>C3</f>
        <v>23</v>
      </c>
      <c r="D20" s="12">
        <f>C12</f>
        <v>30.5</v>
      </c>
      <c r="E20" s="12">
        <f t="shared" ref="E20:E28" si="2">(C20-D20)^2</f>
        <v>56.25</v>
      </c>
      <c r="F20" s="12">
        <f t="shared" ref="F20:F28" si="3">E20/D20</f>
        <v>1.8442622950819672</v>
      </c>
    </row>
    <row r="21" spans="1:7" x14ac:dyDescent="0.25">
      <c r="A21" t="str">
        <f>A3</f>
        <v>Grupo Control - Post Test</v>
      </c>
      <c r="B21" s="12" t="str">
        <f>D2</f>
        <v>c) A veces</v>
      </c>
      <c r="C21" s="12">
        <f>D3</f>
        <v>25</v>
      </c>
      <c r="D21" s="12">
        <f>D12</f>
        <v>17.5</v>
      </c>
      <c r="E21" s="12">
        <f t="shared" si="2"/>
        <v>56.25</v>
      </c>
      <c r="F21" s="12">
        <f t="shared" si="3"/>
        <v>3.2142857142857144</v>
      </c>
    </row>
    <row r="22" spans="1:7" x14ac:dyDescent="0.25">
      <c r="A22" t="str">
        <f>A3</f>
        <v>Grupo Control - Post Test</v>
      </c>
      <c r="B22" s="12" t="str">
        <f>E2</f>
        <v>d) Raro</v>
      </c>
      <c r="C22" s="12">
        <f>E3</f>
        <v>24</v>
      </c>
      <c r="D22" s="12">
        <f>E12</f>
        <v>14.5</v>
      </c>
      <c r="E22" s="12">
        <f t="shared" si="2"/>
        <v>90.25</v>
      </c>
      <c r="F22" s="12">
        <f t="shared" si="3"/>
        <v>6.2241379310344831</v>
      </c>
    </row>
    <row r="23" spans="1:7" x14ac:dyDescent="0.25">
      <c r="A23" t="str">
        <f>A3</f>
        <v>Grupo Control - Post Test</v>
      </c>
      <c r="B23" s="12" t="str">
        <f>F2</f>
        <v>e) Nunca</v>
      </c>
      <c r="C23" s="12">
        <f>F3</f>
        <v>9</v>
      </c>
      <c r="D23" s="12">
        <f>F12</f>
        <v>5</v>
      </c>
      <c r="E23" s="12">
        <f t="shared" si="2"/>
        <v>16</v>
      </c>
      <c r="F23" s="12">
        <f t="shared" si="3"/>
        <v>3.2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43</v>
      </c>
      <c r="D24" s="12">
        <f>B13</f>
        <v>29.5</v>
      </c>
      <c r="E24" s="12">
        <f t="shared" si="2"/>
        <v>182.25</v>
      </c>
      <c r="F24" s="12">
        <f t="shared" si="3"/>
        <v>6.1779661016949152</v>
      </c>
    </row>
    <row r="25" spans="1:7" x14ac:dyDescent="0.25">
      <c r="A25" t="str">
        <f>A4</f>
        <v>Grupo Experimental - Post Test</v>
      </c>
      <c r="B25" s="12" t="str">
        <f>C2</f>
        <v>b) Frecuente</v>
      </c>
      <c r="C25" s="12">
        <f>C4</f>
        <v>38</v>
      </c>
      <c r="D25" s="12">
        <f>C13</f>
        <v>30.5</v>
      </c>
      <c r="E25" s="12">
        <f t="shared" si="2"/>
        <v>56.25</v>
      </c>
      <c r="F25" s="12">
        <f t="shared" si="3"/>
        <v>1.8442622950819672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10</v>
      </c>
      <c r="D26" s="12">
        <f>D13</f>
        <v>17.5</v>
      </c>
      <c r="E26" s="12">
        <f t="shared" si="2"/>
        <v>56.25</v>
      </c>
      <c r="F26" s="12">
        <f t="shared" si="3"/>
        <v>3.2142857142857144</v>
      </c>
    </row>
    <row r="27" spans="1:7" x14ac:dyDescent="0.25">
      <c r="A27" t="str">
        <f>A4</f>
        <v>Grupo Experimental - Post Test</v>
      </c>
      <c r="B27" s="12" t="str">
        <f>E2</f>
        <v>d) Raro</v>
      </c>
      <c r="C27" s="12">
        <f>E4</f>
        <v>5</v>
      </c>
      <c r="D27" s="12">
        <f>E13</f>
        <v>14.5</v>
      </c>
      <c r="E27" s="12">
        <f t="shared" si="2"/>
        <v>90.25</v>
      </c>
      <c r="F27" s="12">
        <f t="shared" si="3"/>
        <v>6.2241379310344831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1</v>
      </c>
      <c r="D28" s="12">
        <f>F13</f>
        <v>5</v>
      </c>
      <c r="E28" s="12">
        <f t="shared" si="2"/>
        <v>16</v>
      </c>
      <c r="F28" s="12">
        <f t="shared" si="3"/>
        <v>3.2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41.321304084194168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2.3060268065789028E-8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36</v>
      </c>
      <c r="B54" s="21"/>
      <c r="C54" s="21"/>
    </row>
    <row r="55" spans="1:7" x14ac:dyDescent="0.25">
      <c r="A55" s="15" t="s">
        <v>45</v>
      </c>
      <c r="B55" s="12">
        <f>B45</f>
        <v>0.05</v>
      </c>
    </row>
    <row r="56" spans="1:7" x14ac:dyDescent="0.25">
      <c r="A56" s="14" t="s">
        <v>19</v>
      </c>
      <c r="B56" s="12">
        <f>B47</f>
        <v>2.3060268065789028E-8</v>
      </c>
    </row>
    <row r="58" spans="1:7" x14ac:dyDescent="0.25">
      <c r="A58" s="21" t="s">
        <v>37</v>
      </c>
      <c r="B58" s="21"/>
      <c r="C58" s="21"/>
    </row>
    <row r="59" spans="1:7" x14ac:dyDescent="0.25">
      <c r="A59" t="s">
        <v>35</v>
      </c>
      <c r="B59" s="12">
        <f>B35</f>
        <v>41.321304084194168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48</v>
      </c>
      <c r="C2" s="5" t="s">
        <v>49</v>
      </c>
      <c r="D2" s="5" t="s">
        <v>50</v>
      </c>
      <c r="E2" s="5" t="s">
        <v>51</v>
      </c>
      <c r="F2" s="5" t="s">
        <v>52</v>
      </c>
      <c r="G2" s="5" t="s">
        <v>1</v>
      </c>
    </row>
    <row r="3" spans="1:7" x14ac:dyDescent="0.25">
      <c r="A3" t="s">
        <v>34</v>
      </c>
      <c r="B3" s="20">
        <v>8</v>
      </c>
      <c r="C3" s="20">
        <v>15</v>
      </c>
      <c r="D3" s="20">
        <v>39</v>
      </c>
      <c r="E3" s="20">
        <v>17</v>
      </c>
      <c r="F3" s="20">
        <v>18</v>
      </c>
      <c r="G3" s="12">
        <f>SUM(B3:F3)</f>
        <v>97</v>
      </c>
    </row>
    <row r="4" spans="1:7" x14ac:dyDescent="0.25">
      <c r="A4" t="s">
        <v>76</v>
      </c>
      <c r="B4" s="20">
        <v>42</v>
      </c>
      <c r="C4" s="20">
        <v>35</v>
      </c>
      <c r="D4" s="20">
        <v>13</v>
      </c>
      <c r="E4" s="20">
        <v>7</v>
      </c>
      <c r="F4" s="20">
        <v>0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50</v>
      </c>
      <c r="C5" s="12">
        <f t="shared" si="0"/>
        <v>50</v>
      </c>
      <c r="D5" s="12">
        <f t="shared" si="0"/>
        <v>52</v>
      </c>
      <c r="E5" s="12">
        <f t="shared" si="0"/>
        <v>24</v>
      </c>
      <c r="F5" s="12">
        <f t="shared" si="0"/>
        <v>18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81 - 100</v>
      </c>
      <c r="C11" s="3" t="str">
        <f t="shared" ref="C11:G11" si="1">C2</f>
        <v>b) 61 – 80</v>
      </c>
      <c r="D11" s="3" t="str">
        <f t="shared" si="1"/>
        <v>c) 41 - 60</v>
      </c>
      <c r="E11" s="3" t="str">
        <f t="shared" si="1"/>
        <v>d) 21 - 40</v>
      </c>
      <c r="F11" s="3" t="str">
        <f t="shared" si="1"/>
        <v>e) 0 - 20</v>
      </c>
      <c r="G11" s="3" t="str">
        <f t="shared" si="1"/>
        <v>Total</v>
      </c>
    </row>
    <row r="12" spans="1:7" x14ac:dyDescent="0.25">
      <c r="A12" s="4" t="str">
        <f>A3</f>
        <v>Grupo Control - Post Test</v>
      </c>
      <c r="B12" s="6">
        <f>(G3*B5)/G5</f>
        <v>25</v>
      </c>
      <c r="C12" s="6">
        <f>(G3*C5)/G5</f>
        <v>25</v>
      </c>
      <c r="D12" s="6">
        <f>(G3*D5)/G5</f>
        <v>26</v>
      </c>
      <c r="E12" s="6">
        <f>(G3*E5)/G5</f>
        <v>12</v>
      </c>
      <c r="F12" s="6">
        <f>(G3*F5)/G5</f>
        <v>9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25</v>
      </c>
      <c r="C13" s="12">
        <f>(G4*C5)/G5</f>
        <v>25</v>
      </c>
      <c r="D13" s="12">
        <f>(G4*D5)/G5</f>
        <v>26</v>
      </c>
      <c r="E13" s="12">
        <f>(G4*E5)/G5</f>
        <v>12</v>
      </c>
      <c r="F13" s="12">
        <f>(G4*F5)/G5</f>
        <v>9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>Grupo Control - Post Test</v>
      </c>
      <c r="B19" s="12" t="str">
        <f>B2</f>
        <v>a) 81 - 100</v>
      </c>
      <c r="C19" s="12">
        <f>B3</f>
        <v>8</v>
      </c>
      <c r="D19" s="12">
        <f>B12</f>
        <v>25</v>
      </c>
      <c r="E19" s="12">
        <f>(C19-D19)^2</f>
        <v>289</v>
      </c>
      <c r="F19" s="12">
        <f>E19/D19</f>
        <v>11.56</v>
      </c>
    </row>
    <row r="20" spans="1:7" x14ac:dyDescent="0.25">
      <c r="A20" t="str">
        <f>A3</f>
        <v>Grupo Control - Post Test</v>
      </c>
      <c r="B20" s="12" t="str">
        <f>C2</f>
        <v>b) 61 – 80</v>
      </c>
      <c r="C20" s="12">
        <f>C3</f>
        <v>15</v>
      </c>
      <c r="D20" s="12">
        <f>C12</f>
        <v>25</v>
      </c>
      <c r="E20" s="12">
        <f t="shared" ref="E20:E28" si="2">(C20-D20)^2</f>
        <v>100</v>
      </c>
      <c r="F20" s="12">
        <f t="shared" ref="F20:F28" si="3">E20/D20</f>
        <v>4</v>
      </c>
    </row>
    <row r="21" spans="1:7" x14ac:dyDescent="0.25">
      <c r="A21" t="str">
        <f>A3</f>
        <v>Grupo Control - Post Test</v>
      </c>
      <c r="B21" s="12" t="str">
        <f>D2</f>
        <v>c) 41 - 60</v>
      </c>
      <c r="C21" s="12">
        <f>D3</f>
        <v>39</v>
      </c>
      <c r="D21" s="12">
        <f>D12</f>
        <v>26</v>
      </c>
      <c r="E21" s="12">
        <f t="shared" si="2"/>
        <v>169</v>
      </c>
      <c r="F21" s="12">
        <f t="shared" si="3"/>
        <v>6.5</v>
      </c>
    </row>
    <row r="22" spans="1:7" x14ac:dyDescent="0.25">
      <c r="A22" t="str">
        <f>A3</f>
        <v>Grupo Control - Post Test</v>
      </c>
      <c r="B22" s="12" t="str">
        <f>E2</f>
        <v>d) 21 - 40</v>
      </c>
      <c r="C22" s="12">
        <f>E3</f>
        <v>17</v>
      </c>
      <c r="D22" s="12">
        <f>E12</f>
        <v>12</v>
      </c>
      <c r="E22" s="12">
        <f t="shared" si="2"/>
        <v>25</v>
      </c>
      <c r="F22" s="12">
        <f t="shared" si="3"/>
        <v>2.0833333333333335</v>
      </c>
    </row>
    <row r="23" spans="1:7" x14ac:dyDescent="0.25">
      <c r="A23" t="str">
        <f>A3</f>
        <v>Grupo Control - Post Test</v>
      </c>
      <c r="B23" s="12" t="str">
        <f>F2</f>
        <v>e) 0 - 20</v>
      </c>
      <c r="C23" s="12">
        <f>F3</f>
        <v>18</v>
      </c>
      <c r="D23" s="12">
        <f>F12</f>
        <v>9</v>
      </c>
      <c r="E23" s="12">
        <f t="shared" si="2"/>
        <v>81</v>
      </c>
      <c r="F23" s="12">
        <f t="shared" si="3"/>
        <v>9</v>
      </c>
    </row>
    <row r="24" spans="1:7" x14ac:dyDescent="0.25">
      <c r="A24" t="str">
        <f>A4</f>
        <v>Grupo Experimental - Post Test</v>
      </c>
      <c r="B24" s="12" t="str">
        <f>B2</f>
        <v>a) 81 - 100</v>
      </c>
      <c r="C24" s="12">
        <f>B4</f>
        <v>42</v>
      </c>
      <c r="D24" s="12">
        <f>B13</f>
        <v>25</v>
      </c>
      <c r="E24" s="12">
        <f t="shared" si="2"/>
        <v>289</v>
      </c>
      <c r="F24" s="12">
        <f t="shared" si="3"/>
        <v>11.56</v>
      </c>
    </row>
    <row r="25" spans="1:7" x14ac:dyDescent="0.25">
      <c r="A25" t="str">
        <f>A4</f>
        <v>Grupo Experimental - Post Test</v>
      </c>
      <c r="B25" s="12" t="str">
        <f>C2</f>
        <v>b) 61 – 80</v>
      </c>
      <c r="C25" s="12">
        <f>C4</f>
        <v>35</v>
      </c>
      <c r="D25" s="12">
        <f>C13</f>
        <v>25</v>
      </c>
      <c r="E25" s="12">
        <f t="shared" si="2"/>
        <v>100</v>
      </c>
      <c r="F25" s="12">
        <f t="shared" si="3"/>
        <v>4</v>
      </c>
    </row>
    <row r="26" spans="1:7" x14ac:dyDescent="0.25">
      <c r="A26" t="str">
        <f>A4</f>
        <v>Grupo Experimental - Post Test</v>
      </c>
      <c r="B26" s="12" t="str">
        <f>D2</f>
        <v>c) 41 - 60</v>
      </c>
      <c r="C26" s="12">
        <f>D4</f>
        <v>13</v>
      </c>
      <c r="D26" s="12">
        <f>D13</f>
        <v>26</v>
      </c>
      <c r="E26" s="12">
        <f t="shared" si="2"/>
        <v>169</v>
      </c>
      <c r="F26" s="12">
        <f t="shared" si="3"/>
        <v>6.5</v>
      </c>
    </row>
    <row r="27" spans="1:7" x14ac:dyDescent="0.25">
      <c r="A27" t="str">
        <f>A4</f>
        <v>Grupo Experimental - Post Test</v>
      </c>
      <c r="B27" s="12" t="str">
        <f>E2</f>
        <v>d) 21 - 40</v>
      </c>
      <c r="C27" s="12">
        <f>E4</f>
        <v>7</v>
      </c>
      <c r="D27" s="12">
        <f>E13</f>
        <v>12</v>
      </c>
      <c r="E27" s="12">
        <f t="shared" si="2"/>
        <v>25</v>
      </c>
      <c r="F27" s="12">
        <f t="shared" si="3"/>
        <v>2.0833333333333335</v>
      </c>
    </row>
    <row r="28" spans="1:7" x14ac:dyDescent="0.25">
      <c r="A28" t="str">
        <f>A4</f>
        <v>Grupo Experimental - Post Test</v>
      </c>
      <c r="B28" s="12" t="str">
        <f>F2</f>
        <v>e) 0 - 20</v>
      </c>
      <c r="C28" s="12">
        <f>F4</f>
        <v>0</v>
      </c>
      <c r="D28" s="12">
        <f>F13</f>
        <v>9</v>
      </c>
      <c r="E28" s="12">
        <f t="shared" si="2"/>
        <v>81</v>
      </c>
      <c r="F28" s="12">
        <f t="shared" si="3"/>
        <v>9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66.286666666666662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1.3782853482683205E-13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36</v>
      </c>
      <c r="B54" s="21"/>
      <c r="C54" s="21"/>
    </row>
    <row r="55" spans="1:7" x14ac:dyDescent="0.25">
      <c r="A55" s="15" t="s">
        <v>45</v>
      </c>
      <c r="B55" s="12">
        <f>B45</f>
        <v>0.05</v>
      </c>
    </row>
    <row r="56" spans="1:7" x14ac:dyDescent="0.25">
      <c r="A56" s="14" t="s">
        <v>19</v>
      </c>
      <c r="B56" s="12">
        <f>B47</f>
        <v>1.3782853482683205E-13</v>
      </c>
    </row>
    <row r="58" spans="1:7" x14ac:dyDescent="0.25">
      <c r="A58" s="21" t="s">
        <v>37</v>
      </c>
      <c r="B58" s="21"/>
      <c r="C58" s="21"/>
    </row>
    <row r="59" spans="1:7" x14ac:dyDescent="0.25">
      <c r="A59" t="s">
        <v>35</v>
      </c>
      <c r="B59" s="12">
        <f>B35</f>
        <v>66.286666666666662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F30" sqref="F30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53</v>
      </c>
      <c r="C2" s="5" t="s">
        <v>54</v>
      </c>
      <c r="D2" s="5" t="s">
        <v>55</v>
      </c>
      <c r="E2" s="5" t="s">
        <v>56</v>
      </c>
      <c r="F2" s="5" t="s">
        <v>57</v>
      </c>
      <c r="G2" s="5" t="s">
        <v>1</v>
      </c>
    </row>
    <row r="3" spans="1:7" x14ac:dyDescent="0.25">
      <c r="A3" t="s">
        <v>34</v>
      </c>
      <c r="B3" s="20">
        <v>18</v>
      </c>
      <c r="C3" s="20">
        <v>11</v>
      </c>
      <c r="D3" s="20">
        <v>36</v>
      </c>
      <c r="E3" s="20">
        <v>23</v>
      </c>
      <c r="F3" s="20">
        <v>9</v>
      </c>
      <c r="G3" s="12">
        <f>SUM(B3:F3)</f>
        <v>97</v>
      </c>
    </row>
    <row r="4" spans="1:7" x14ac:dyDescent="0.25">
      <c r="A4" t="s">
        <v>76</v>
      </c>
      <c r="B4" s="20">
        <v>40</v>
      </c>
      <c r="C4" s="20">
        <v>36</v>
      </c>
      <c r="D4" s="20">
        <v>16</v>
      </c>
      <c r="E4" s="20">
        <v>3</v>
      </c>
      <c r="F4" s="20">
        <v>2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58</v>
      </c>
      <c r="C5" s="12">
        <f t="shared" si="0"/>
        <v>47</v>
      </c>
      <c r="D5" s="12">
        <f t="shared" si="0"/>
        <v>52</v>
      </c>
      <c r="E5" s="12">
        <f t="shared" si="0"/>
        <v>26</v>
      </c>
      <c r="F5" s="12">
        <f t="shared" si="0"/>
        <v>11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Muy Bueno</v>
      </c>
      <c r="C11" s="3" t="str">
        <f t="shared" ref="C11:G11" si="1">C2</f>
        <v>b) bueno</v>
      </c>
      <c r="D11" s="3" t="str">
        <f t="shared" si="1"/>
        <v>c) Regular</v>
      </c>
      <c r="E11" s="3" t="str">
        <f t="shared" si="1"/>
        <v>d) Malo</v>
      </c>
      <c r="F11" s="3" t="str">
        <f t="shared" si="1"/>
        <v>e) Muy malo</v>
      </c>
      <c r="G11" s="3" t="str">
        <f t="shared" si="1"/>
        <v>Total</v>
      </c>
    </row>
    <row r="12" spans="1:7" x14ac:dyDescent="0.25">
      <c r="A12" s="4" t="str">
        <f>A3</f>
        <v>Grupo Control - Post Test</v>
      </c>
      <c r="B12" s="6">
        <f>(G3*B5)/G5</f>
        <v>29</v>
      </c>
      <c r="C12" s="6">
        <f>(G3*C5)/G5</f>
        <v>23.5</v>
      </c>
      <c r="D12" s="6">
        <f>(G3*D5)/G5</f>
        <v>26</v>
      </c>
      <c r="E12" s="6">
        <f>(G3*E5)/G5</f>
        <v>13</v>
      </c>
      <c r="F12" s="6">
        <f>(G3*F5)/G5</f>
        <v>5.5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29</v>
      </c>
      <c r="C13" s="12">
        <f>(G4*C5)/G5</f>
        <v>23.5</v>
      </c>
      <c r="D13" s="12">
        <f>(G4*D5)/G5</f>
        <v>26</v>
      </c>
      <c r="E13" s="12">
        <f>(G4*E5)/G5</f>
        <v>13</v>
      </c>
      <c r="F13" s="12">
        <f>(G4*F5)/G5</f>
        <v>5.5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>Grupo Control - Post Test</v>
      </c>
      <c r="B19" s="12" t="str">
        <f>B2</f>
        <v>a) Muy Bueno</v>
      </c>
      <c r="C19" s="12">
        <f>B3</f>
        <v>18</v>
      </c>
      <c r="D19" s="12">
        <f>B12</f>
        <v>29</v>
      </c>
      <c r="E19" s="12">
        <f>(C19-D19)^2</f>
        <v>121</v>
      </c>
      <c r="F19" s="12">
        <f>E19/D19</f>
        <v>4.1724137931034484</v>
      </c>
    </row>
    <row r="20" spans="1:7" x14ac:dyDescent="0.25">
      <c r="A20" t="str">
        <f>A3</f>
        <v>Grupo Control - Post Test</v>
      </c>
      <c r="B20" s="12" t="str">
        <f>C2</f>
        <v>b) bueno</v>
      </c>
      <c r="C20" s="12">
        <f>C3</f>
        <v>11</v>
      </c>
      <c r="D20" s="12">
        <f>C12</f>
        <v>23.5</v>
      </c>
      <c r="E20" s="12">
        <f t="shared" ref="E20:E28" si="2">(C20-D20)^2</f>
        <v>156.25</v>
      </c>
      <c r="F20" s="12">
        <f t="shared" ref="F20:F28" si="3">E20/D20</f>
        <v>6.6489361702127656</v>
      </c>
    </row>
    <row r="21" spans="1:7" x14ac:dyDescent="0.25">
      <c r="A21" t="str">
        <f>A3</f>
        <v>Grupo Control - Post Test</v>
      </c>
      <c r="B21" s="12" t="str">
        <f>D2</f>
        <v>c) Regular</v>
      </c>
      <c r="C21" s="12">
        <f>D3</f>
        <v>36</v>
      </c>
      <c r="D21" s="12">
        <f>D12</f>
        <v>26</v>
      </c>
      <c r="E21" s="12">
        <f t="shared" si="2"/>
        <v>100</v>
      </c>
      <c r="F21" s="12">
        <f t="shared" si="3"/>
        <v>3.8461538461538463</v>
      </c>
    </row>
    <row r="22" spans="1:7" x14ac:dyDescent="0.25">
      <c r="A22" t="str">
        <f>A3</f>
        <v>Grupo Control - Post Test</v>
      </c>
      <c r="B22" s="12" t="str">
        <f>E2</f>
        <v>d) Malo</v>
      </c>
      <c r="C22" s="12">
        <f>E3</f>
        <v>23</v>
      </c>
      <c r="D22" s="12">
        <f>E12</f>
        <v>13</v>
      </c>
      <c r="E22" s="12">
        <f t="shared" si="2"/>
        <v>100</v>
      </c>
      <c r="F22" s="12">
        <f t="shared" si="3"/>
        <v>7.6923076923076925</v>
      </c>
    </row>
    <row r="23" spans="1:7" x14ac:dyDescent="0.25">
      <c r="A23" t="str">
        <f>A3</f>
        <v>Grupo Control - Post Test</v>
      </c>
      <c r="B23" s="12" t="str">
        <f>F2</f>
        <v>e) Muy malo</v>
      </c>
      <c r="C23" s="12">
        <f>F3</f>
        <v>9</v>
      </c>
      <c r="D23" s="12">
        <f>F12</f>
        <v>5.5</v>
      </c>
      <c r="E23" s="12">
        <f t="shared" si="2"/>
        <v>12.25</v>
      </c>
      <c r="F23" s="12">
        <f t="shared" si="3"/>
        <v>2.2272727272727271</v>
      </c>
    </row>
    <row r="24" spans="1:7" x14ac:dyDescent="0.25">
      <c r="A24" t="str">
        <f>A4</f>
        <v>Grupo Experimental - Post Test</v>
      </c>
      <c r="B24" s="12" t="str">
        <f>B2</f>
        <v>a) Muy Bueno</v>
      </c>
      <c r="C24" s="12">
        <f>B4</f>
        <v>40</v>
      </c>
      <c r="D24" s="12">
        <f>B13</f>
        <v>29</v>
      </c>
      <c r="E24" s="12">
        <f t="shared" si="2"/>
        <v>121</v>
      </c>
      <c r="F24" s="12">
        <f t="shared" si="3"/>
        <v>4.1724137931034484</v>
      </c>
    </row>
    <row r="25" spans="1:7" x14ac:dyDescent="0.25">
      <c r="A25" t="str">
        <f>A4</f>
        <v>Grupo Experimental - Post Test</v>
      </c>
      <c r="B25" s="12" t="str">
        <f>C2</f>
        <v>b) bueno</v>
      </c>
      <c r="C25" s="12">
        <f>C4</f>
        <v>36</v>
      </c>
      <c r="D25" s="12">
        <f>C13</f>
        <v>23.5</v>
      </c>
      <c r="E25" s="12">
        <f t="shared" si="2"/>
        <v>156.25</v>
      </c>
      <c r="F25" s="12">
        <f t="shared" si="3"/>
        <v>6.6489361702127656</v>
      </c>
    </row>
    <row r="26" spans="1:7" x14ac:dyDescent="0.25">
      <c r="A26" t="str">
        <f>A4</f>
        <v>Grupo Experimental - Post Test</v>
      </c>
      <c r="B26" s="12" t="str">
        <f>D2</f>
        <v>c) Regular</v>
      </c>
      <c r="C26" s="12">
        <f>D4</f>
        <v>16</v>
      </c>
      <c r="D26" s="12">
        <f>D13</f>
        <v>26</v>
      </c>
      <c r="E26" s="12">
        <f t="shared" si="2"/>
        <v>100</v>
      </c>
      <c r="F26" s="12">
        <f t="shared" si="3"/>
        <v>3.8461538461538463</v>
      </c>
    </row>
    <row r="27" spans="1:7" x14ac:dyDescent="0.25">
      <c r="A27" t="str">
        <f>A4</f>
        <v>Grupo Experimental - Post Test</v>
      </c>
      <c r="B27" s="12" t="str">
        <f>E2</f>
        <v>d) Malo</v>
      </c>
      <c r="C27" s="12">
        <f>E4</f>
        <v>3</v>
      </c>
      <c r="D27" s="12">
        <f>E13</f>
        <v>13</v>
      </c>
      <c r="E27" s="12">
        <f t="shared" si="2"/>
        <v>100</v>
      </c>
      <c r="F27" s="12">
        <f t="shared" si="3"/>
        <v>7.6923076923076925</v>
      </c>
    </row>
    <row r="28" spans="1:7" x14ac:dyDescent="0.25">
      <c r="A28" t="str">
        <f>A4</f>
        <v>Grupo Experimental - Post Test</v>
      </c>
      <c r="B28" s="12" t="str">
        <f>F2</f>
        <v>e) Muy malo</v>
      </c>
      <c r="C28" s="12">
        <f>F4</f>
        <v>2</v>
      </c>
      <c r="D28" s="12">
        <f>F13</f>
        <v>5.5</v>
      </c>
      <c r="E28" s="12">
        <f t="shared" si="2"/>
        <v>12.25</v>
      </c>
      <c r="F28" s="12">
        <f t="shared" si="3"/>
        <v>2.2272727272727271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49.174168458100958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5.3701422759417508E-10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36</v>
      </c>
      <c r="B54" s="21"/>
      <c r="C54" s="21"/>
    </row>
    <row r="55" spans="1:7" x14ac:dyDescent="0.25">
      <c r="A55" s="15" t="s">
        <v>45</v>
      </c>
      <c r="B55" s="12">
        <f>B45</f>
        <v>0.05</v>
      </c>
    </row>
    <row r="56" spans="1:7" x14ac:dyDescent="0.25">
      <c r="A56" s="14" t="s">
        <v>19</v>
      </c>
      <c r="B56" s="12">
        <f>B47</f>
        <v>5.3701422759417508E-10</v>
      </c>
    </row>
    <row r="58" spans="1:7" x14ac:dyDescent="0.25">
      <c r="A58" s="21" t="s">
        <v>37</v>
      </c>
      <c r="B58" s="21"/>
      <c r="C58" s="21"/>
    </row>
    <row r="59" spans="1:7" x14ac:dyDescent="0.25">
      <c r="A59" t="s">
        <v>35</v>
      </c>
      <c r="B59" s="12">
        <f>B35</f>
        <v>49.174168458100958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29</v>
      </c>
      <c r="C2" s="5" t="s">
        <v>46</v>
      </c>
      <c r="D2" s="5" t="s">
        <v>31</v>
      </c>
      <c r="E2" s="5" t="s">
        <v>47</v>
      </c>
      <c r="F2" s="5" t="s">
        <v>33</v>
      </c>
      <c r="G2" s="5" t="s">
        <v>1</v>
      </c>
    </row>
    <row r="3" spans="1:7" x14ac:dyDescent="0.25">
      <c r="A3" t="s">
        <v>34</v>
      </c>
      <c r="B3" s="20">
        <v>13</v>
      </c>
      <c r="C3" s="20">
        <v>24</v>
      </c>
      <c r="D3" s="20">
        <v>27</v>
      </c>
      <c r="E3" s="20">
        <v>25</v>
      </c>
      <c r="F3" s="20">
        <v>8</v>
      </c>
      <c r="G3" s="12">
        <f>SUM(B3:F3)</f>
        <v>97</v>
      </c>
    </row>
    <row r="4" spans="1:7" x14ac:dyDescent="0.25">
      <c r="A4" t="s">
        <v>76</v>
      </c>
      <c r="B4" s="20">
        <v>45</v>
      </c>
      <c r="C4" s="20">
        <v>27</v>
      </c>
      <c r="D4" s="20">
        <v>15</v>
      </c>
      <c r="E4" s="20">
        <v>7</v>
      </c>
      <c r="F4" s="20">
        <v>3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58</v>
      </c>
      <c r="C5" s="12">
        <f t="shared" si="0"/>
        <v>51</v>
      </c>
      <c r="D5" s="12">
        <f t="shared" si="0"/>
        <v>42</v>
      </c>
      <c r="E5" s="12">
        <f t="shared" si="0"/>
        <v>32</v>
      </c>
      <c r="F5" s="12">
        <f t="shared" si="0"/>
        <v>11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>Grupo Control - Post Test</v>
      </c>
      <c r="B12" s="6">
        <f>(G3*B5)/G5</f>
        <v>29</v>
      </c>
      <c r="C12" s="6">
        <f>(G3*C5)/G5</f>
        <v>25.5</v>
      </c>
      <c r="D12" s="6">
        <f>(G3*D5)/G5</f>
        <v>21</v>
      </c>
      <c r="E12" s="6">
        <f>(G3*E5)/G5</f>
        <v>16</v>
      </c>
      <c r="F12" s="6">
        <f>(G3*F5)/G5</f>
        <v>5.5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29</v>
      </c>
      <c r="C13" s="12">
        <f>(G4*C5)/G5</f>
        <v>25.5</v>
      </c>
      <c r="D13" s="12">
        <f>(G4*D5)/G5</f>
        <v>21</v>
      </c>
      <c r="E13" s="12">
        <f>(G4*E5)/G5</f>
        <v>16</v>
      </c>
      <c r="F13" s="12">
        <f>(G4*F5)/G5</f>
        <v>5.5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>Grupo Control - Post Test</v>
      </c>
      <c r="B19" s="12" t="str">
        <f>B2</f>
        <v>a) Siempre</v>
      </c>
      <c r="C19" s="12">
        <f>B3</f>
        <v>13</v>
      </c>
      <c r="D19" s="12">
        <f>B12</f>
        <v>29</v>
      </c>
      <c r="E19" s="12">
        <f>(C19-D19)^2</f>
        <v>256</v>
      </c>
      <c r="F19" s="12">
        <f>E19/D19</f>
        <v>8.8275862068965516</v>
      </c>
    </row>
    <row r="20" spans="1:7" x14ac:dyDescent="0.25">
      <c r="A20" t="str">
        <f>A3</f>
        <v>Grupo Control - Post Test</v>
      </c>
      <c r="B20" s="12" t="str">
        <f>C2</f>
        <v>b) Muchas veces</v>
      </c>
      <c r="C20" s="12">
        <f>C3</f>
        <v>24</v>
      </c>
      <c r="D20" s="12">
        <f>C12</f>
        <v>25.5</v>
      </c>
      <c r="E20" s="12">
        <f t="shared" ref="E20:E28" si="2">(C20-D20)^2</f>
        <v>2.25</v>
      </c>
      <c r="F20" s="12">
        <f t="shared" ref="F20:F28" si="3">E20/D20</f>
        <v>8.8235294117647065E-2</v>
      </c>
    </row>
    <row r="21" spans="1:7" x14ac:dyDescent="0.25">
      <c r="A21" t="str">
        <f>A3</f>
        <v>Grupo Control - Post Test</v>
      </c>
      <c r="B21" s="12" t="str">
        <f>D2</f>
        <v>c) A veces</v>
      </c>
      <c r="C21" s="12">
        <f>D3</f>
        <v>27</v>
      </c>
      <c r="D21" s="12">
        <f>D12</f>
        <v>21</v>
      </c>
      <c r="E21" s="12">
        <f t="shared" si="2"/>
        <v>36</v>
      </c>
      <c r="F21" s="12">
        <f t="shared" si="3"/>
        <v>1.7142857142857142</v>
      </c>
    </row>
    <row r="22" spans="1:7" x14ac:dyDescent="0.25">
      <c r="A22" t="str">
        <f>A3</f>
        <v>Grupo Control - Post Test</v>
      </c>
      <c r="B22" s="12" t="str">
        <f>E2</f>
        <v>d) Pocas veces</v>
      </c>
      <c r="C22" s="12">
        <f>E3</f>
        <v>25</v>
      </c>
      <c r="D22" s="12">
        <f>E12</f>
        <v>16</v>
      </c>
      <c r="E22" s="12">
        <f t="shared" si="2"/>
        <v>81</v>
      </c>
      <c r="F22" s="12">
        <f t="shared" si="3"/>
        <v>5.0625</v>
      </c>
    </row>
    <row r="23" spans="1:7" x14ac:dyDescent="0.25">
      <c r="A23" t="str">
        <f>A3</f>
        <v>Grupo Control - Post Test</v>
      </c>
      <c r="B23" s="12" t="str">
        <f>F2</f>
        <v>e) Nunca</v>
      </c>
      <c r="C23" s="12">
        <f>F3</f>
        <v>8</v>
      </c>
      <c r="D23" s="12">
        <f>F12</f>
        <v>5.5</v>
      </c>
      <c r="E23" s="12">
        <f t="shared" si="2"/>
        <v>6.25</v>
      </c>
      <c r="F23" s="12">
        <f t="shared" si="3"/>
        <v>1.1363636363636365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45</v>
      </c>
      <c r="D24" s="12">
        <f>B13</f>
        <v>29</v>
      </c>
      <c r="E24" s="12">
        <f t="shared" si="2"/>
        <v>256</v>
      </c>
      <c r="F24" s="12">
        <f t="shared" si="3"/>
        <v>8.8275862068965516</v>
      </c>
    </row>
    <row r="25" spans="1:7" x14ac:dyDescent="0.25">
      <c r="A25" t="str">
        <f>A4</f>
        <v>Grupo Experimental - Post Test</v>
      </c>
      <c r="B25" s="12" t="str">
        <f>C2</f>
        <v>b) Muchas veces</v>
      </c>
      <c r="C25" s="12">
        <f>C4</f>
        <v>27</v>
      </c>
      <c r="D25" s="12">
        <f>C13</f>
        <v>25.5</v>
      </c>
      <c r="E25" s="12">
        <f t="shared" si="2"/>
        <v>2.25</v>
      </c>
      <c r="F25" s="12">
        <f t="shared" si="3"/>
        <v>8.8235294117647065E-2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15</v>
      </c>
      <c r="D26" s="12">
        <f>D13</f>
        <v>21</v>
      </c>
      <c r="E26" s="12">
        <f t="shared" si="2"/>
        <v>36</v>
      </c>
      <c r="F26" s="12">
        <f t="shared" si="3"/>
        <v>1.7142857142857142</v>
      </c>
    </row>
    <row r="27" spans="1:7" x14ac:dyDescent="0.25">
      <c r="A27" t="str">
        <f>A4</f>
        <v>Grupo Experimental - Post Test</v>
      </c>
      <c r="B27" s="12" t="str">
        <f>E2</f>
        <v>d) Pocas veces</v>
      </c>
      <c r="C27" s="12">
        <f>E4</f>
        <v>7</v>
      </c>
      <c r="D27" s="12">
        <f>E13</f>
        <v>16</v>
      </c>
      <c r="E27" s="12">
        <f t="shared" si="2"/>
        <v>81</v>
      </c>
      <c r="F27" s="12">
        <f t="shared" si="3"/>
        <v>5.0625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3</v>
      </c>
      <c r="D28" s="12">
        <f>F13</f>
        <v>5.5</v>
      </c>
      <c r="E28" s="12">
        <f t="shared" si="2"/>
        <v>6.25</v>
      </c>
      <c r="F28" s="12">
        <f t="shared" si="3"/>
        <v>1.1363636363636365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33.657941703327097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8.7578418414368914E-7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36</v>
      </c>
      <c r="B54" s="21"/>
      <c r="C54" s="21"/>
    </row>
    <row r="55" spans="1:7" x14ac:dyDescent="0.25">
      <c r="A55" s="15" t="s">
        <v>45</v>
      </c>
      <c r="B55" s="12">
        <f>B45</f>
        <v>0.05</v>
      </c>
    </row>
    <row r="56" spans="1:7" x14ac:dyDescent="0.25">
      <c r="A56" s="14" t="s">
        <v>19</v>
      </c>
      <c r="B56" s="12">
        <f>B47</f>
        <v>8.7578418414368914E-7</v>
      </c>
    </row>
    <row r="58" spans="1:7" x14ac:dyDescent="0.25">
      <c r="A58" s="21" t="s">
        <v>37</v>
      </c>
      <c r="B58" s="21"/>
      <c r="C58" s="21"/>
    </row>
    <row r="59" spans="1:7" x14ac:dyDescent="0.25">
      <c r="A59" t="s">
        <v>35</v>
      </c>
      <c r="B59" s="12">
        <f>B35</f>
        <v>33.657941703327097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34</v>
      </c>
      <c r="B3" s="20">
        <v>9</v>
      </c>
      <c r="C3" s="20">
        <v>19</v>
      </c>
      <c r="D3" s="20">
        <v>37</v>
      </c>
      <c r="E3" s="20">
        <v>23</v>
      </c>
      <c r="F3" s="20">
        <v>9</v>
      </c>
      <c r="G3" s="12">
        <f>SUM(B3:F3)</f>
        <v>97</v>
      </c>
    </row>
    <row r="4" spans="1:7" x14ac:dyDescent="0.25">
      <c r="A4" t="s">
        <v>76</v>
      </c>
      <c r="B4" s="20">
        <v>49</v>
      </c>
      <c r="C4" s="20">
        <v>30</v>
      </c>
      <c r="D4" s="20">
        <v>12</v>
      </c>
      <c r="E4" s="20">
        <v>4</v>
      </c>
      <c r="F4" s="20">
        <v>2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58</v>
      </c>
      <c r="C5" s="12">
        <f t="shared" si="0"/>
        <v>49</v>
      </c>
      <c r="D5" s="12">
        <f t="shared" si="0"/>
        <v>49</v>
      </c>
      <c r="E5" s="12">
        <f t="shared" si="0"/>
        <v>27</v>
      </c>
      <c r="F5" s="12">
        <f t="shared" si="0"/>
        <v>11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>Grupo Control - Post Test</v>
      </c>
      <c r="B12" s="6">
        <f>(G3*B5)/G5</f>
        <v>29</v>
      </c>
      <c r="C12" s="6">
        <f>(G3*C5)/G5</f>
        <v>24.5</v>
      </c>
      <c r="D12" s="6">
        <f>(G3*D5)/G5</f>
        <v>24.5</v>
      </c>
      <c r="E12" s="6">
        <f>(G3*E5)/G5</f>
        <v>13.5</v>
      </c>
      <c r="F12" s="6">
        <f>(G3*F5)/G5</f>
        <v>5.5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29</v>
      </c>
      <c r="C13" s="12">
        <f>(G4*C5)/G5</f>
        <v>24.5</v>
      </c>
      <c r="D13" s="12">
        <f>(G4*D5)/G5</f>
        <v>24.5</v>
      </c>
      <c r="E13" s="12">
        <f>(G4*E5)/G5</f>
        <v>13.5</v>
      </c>
      <c r="F13" s="12">
        <f>(G4*F5)/G5</f>
        <v>5.5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>Grupo Control - Post Test</v>
      </c>
      <c r="B19" s="12" t="str">
        <f>B2</f>
        <v>a) Siempre</v>
      </c>
      <c r="C19" s="12">
        <f>B3</f>
        <v>9</v>
      </c>
      <c r="D19" s="12">
        <f>B12</f>
        <v>29</v>
      </c>
      <c r="E19" s="12">
        <f>(C19-D19)^2</f>
        <v>400</v>
      </c>
      <c r="F19" s="12">
        <f>E19/D19</f>
        <v>13.793103448275861</v>
      </c>
    </row>
    <row r="20" spans="1:7" x14ac:dyDescent="0.25">
      <c r="A20" t="str">
        <f>A3</f>
        <v>Grupo Control - Post Test</v>
      </c>
      <c r="B20" s="12" t="str">
        <f>C2</f>
        <v>b) Frecuente</v>
      </c>
      <c r="C20" s="12">
        <f>C3</f>
        <v>19</v>
      </c>
      <c r="D20" s="12">
        <f>C12</f>
        <v>24.5</v>
      </c>
      <c r="E20" s="12">
        <f t="shared" ref="E20:E28" si="2">(C20-D20)^2</f>
        <v>30.25</v>
      </c>
      <c r="F20" s="12">
        <f t="shared" ref="F20:F28" si="3">E20/D20</f>
        <v>1.2346938775510203</v>
      </c>
    </row>
    <row r="21" spans="1:7" x14ac:dyDescent="0.25">
      <c r="A21" t="str">
        <f>A3</f>
        <v>Grupo Control - Post Test</v>
      </c>
      <c r="B21" s="12" t="str">
        <f>D2</f>
        <v>c) A veces</v>
      </c>
      <c r="C21" s="12">
        <f>D3</f>
        <v>37</v>
      </c>
      <c r="D21" s="12">
        <f>D12</f>
        <v>24.5</v>
      </c>
      <c r="E21" s="12">
        <f t="shared" si="2"/>
        <v>156.25</v>
      </c>
      <c r="F21" s="12">
        <f t="shared" si="3"/>
        <v>6.3775510204081636</v>
      </c>
    </row>
    <row r="22" spans="1:7" x14ac:dyDescent="0.25">
      <c r="A22" t="str">
        <f>A3</f>
        <v>Grupo Control - Post Test</v>
      </c>
      <c r="B22" s="12" t="str">
        <f>E2</f>
        <v>d) Raro</v>
      </c>
      <c r="C22" s="12">
        <f>E3</f>
        <v>23</v>
      </c>
      <c r="D22" s="12">
        <f>E12</f>
        <v>13.5</v>
      </c>
      <c r="E22" s="12">
        <f t="shared" si="2"/>
        <v>90.25</v>
      </c>
      <c r="F22" s="12">
        <f t="shared" si="3"/>
        <v>6.6851851851851851</v>
      </c>
    </row>
    <row r="23" spans="1:7" x14ac:dyDescent="0.25">
      <c r="A23" t="str">
        <f>A3</f>
        <v>Grupo Control - Post Test</v>
      </c>
      <c r="B23" s="12" t="str">
        <f>F2</f>
        <v>e) Nunca</v>
      </c>
      <c r="C23" s="12">
        <f>F3</f>
        <v>9</v>
      </c>
      <c r="D23" s="12">
        <f>F12</f>
        <v>5.5</v>
      </c>
      <c r="E23" s="12">
        <f t="shared" si="2"/>
        <v>12.25</v>
      </c>
      <c r="F23" s="12">
        <f t="shared" si="3"/>
        <v>2.2272727272727271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49</v>
      </c>
      <c r="D24" s="12">
        <f>B13</f>
        <v>29</v>
      </c>
      <c r="E24" s="12">
        <f t="shared" si="2"/>
        <v>400</v>
      </c>
      <c r="F24" s="12">
        <f t="shared" si="3"/>
        <v>13.793103448275861</v>
      </c>
    </row>
    <row r="25" spans="1:7" x14ac:dyDescent="0.25">
      <c r="A25" t="str">
        <f>A4</f>
        <v>Grupo Experimental - Post Test</v>
      </c>
      <c r="B25" s="12" t="str">
        <f>C2</f>
        <v>b) Frecuente</v>
      </c>
      <c r="C25" s="12">
        <f>C4</f>
        <v>30</v>
      </c>
      <c r="D25" s="12">
        <f>C13</f>
        <v>24.5</v>
      </c>
      <c r="E25" s="12">
        <f t="shared" si="2"/>
        <v>30.25</v>
      </c>
      <c r="F25" s="12">
        <f t="shared" si="3"/>
        <v>1.2346938775510203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12</v>
      </c>
      <c r="D26" s="12">
        <f>D13</f>
        <v>24.5</v>
      </c>
      <c r="E26" s="12">
        <f t="shared" si="2"/>
        <v>156.25</v>
      </c>
      <c r="F26" s="12">
        <f t="shared" si="3"/>
        <v>6.3775510204081636</v>
      </c>
    </row>
    <row r="27" spans="1:7" x14ac:dyDescent="0.25">
      <c r="A27" t="str">
        <f>A4</f>
        <v>Grupo Experimental - Post Test</v>
      </c>
      <c r="B27" s="12" t="str">
        <f>E2</f>
        <v>d) Raro</v>
      </c>
      <c r="C27" s="12">
        <f>E4</f>
        <v>4</v>
      </c>
      <c r="D27" s="12">
        <f>E13</f>
        <v>13.5</v>
      </c>
      <c r="E27" s="12">
        <f t="shared" si="2"/>
        <v>90.25</v>
      </c>
      <c r="F27" s="12">
        <f t="shared" si="3"/>
        <v>6.6851851851851851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2</v>
      </c>
      <c r="D28" s="12">
        <f>F13</f>
        <v>5.5</v>
      </c>
      <c r="E28" s="12">
        <f t="shared" si="2"/>
        <v>12.25</v>
      </c>
      <c r="F28" s="12">
        <f t="shared" si="3"/>
        <v>2.2272727272727271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60.635612517385908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2.1327275129837687E-12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36</v>
      </c>
      <c r="B54" s="21"/>
      <c r="C54" s="21"/>
    </row>
    <row r="55" spans="1:7" x14ac:dyDescent="0.25">
      <c r="A55" s="15" t="s">
        <v>45</v>
      </c>
      <c r="B55" s="12">
        <f>B45</f>
        <v>0.05</v>
      </c>
    </row>
    <row r="56" spans="1:7" x14ac:dyDescent="0.25">
      <c r="A56" s="14" t="s">
        <v>19</v>
      </c>
      <c r="B56" s="12">
        <f>B47</f>
        <v>2.1327275129837687E-12</v>
      </c>
    </row>
    <row r="58" spans="1:7" x14ac:dyDescent="0.25">
      <c r="A58" s="21" t="s">
        <v>37</v>
      </c>
      <c r="B58" s="21"/>
      <c r="C58" s="21"/>
    </row>
    <row r="59" spans="1:7" x14ac:dyDescent="0.25">
      <c r="A59" t="s">
        <v>35</v>
      </c>
      <c r="B59" s="12">
        <f>B35</f>
        <v>60.635612517385908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67</v>
      </c>
      <c r="C2" s="5" t="s">
        <v>68</v>
      </c>
      <c r="D2" s="5" t="s">
        <v>55</v>
      </c>
      <c r="E2" s="5" t="s">
        <v>69</v>
      </c>
      <c r="F2" s="5" t="s">
        <v>70</v>
      </c>
      <c r="G2" s="5" t="s">
        <v>1</v>
      </c>
    </row>
    <row r="3" spans="1:7" x14ac:dyDescent="0.25">
      <c r="A3" t="s">
        <v>34</v>
      </c>
      <c r="B3" s="20">
        <v>12</v>
      </c>
      <c r="C3" s="20">
        <v>13</v>
      </c>
      <c r="D3" s="20">
        <v>42</v>
      </c>
      <c r="E3" s="20">
        <v>16</v>
      </c>
      <c r="F3" s="20">
        <v>14</v>
      </c>
      <c r="G3" s="12">
        <f>SUM(B3:F3)</f>
        <v>97</v>
      </c>
    </row>
    <row r="4" spans="1:7" x14ac:dyDescent="0.25">
      <c r="A4" t="s">
        <v>76</v>
      </c>
      <c r="B4" s="20">
        <v>39</v>
      </c>
      <c r="C4" s="20">
        <v>29</v>
      </c>
      <c r="D4" s="20">
        <v>18</v>
      </c>
      <c r="E4" s="20">
        <v>7</v>
      </c>
      <c r="F4" s="20">
        <v>4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51</v>
      </c>
      <c r="C5" s="12">
        <f t="shared" si="0"/>
        <v>42</v>
      </c>
      <c r="D5" s="12">
        <f t="shared" si="0"/>
        <v>60</v>
      </c>
      <c r="E5" s="12">
        <f t="shared" si="0"/>
        <v>23</v>
      </c>
      <c r="F5" s="12">
        <f t="shared" si="0"/>
        <v>18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Muy alta</v>
      </c>
      <c r="C11" s="3" t="str">
        <f t="shared" ref="C11:G11" si="1">C2</f>
        <v>b) Alta</v>
      </c>
      <c r="D11" s="3" t="str">
        <f t="shared" si="1"/>
        <v>c) Regular</v>
      </c>
      <c r="E11" s="3" t="str">
        <f t="shared" si="1"/>
        <v>d) Baja</v>
      </c>
      <c r="F11" s="3" t="str">
        <f t="shared" si="1"/>
        <v>e) Muy baja</v>
      </c>
      <c r="G11" s="3" t="str">
        <f t="shared" si="1"/>
        <v>Total</v>
      </c>
    </row>
    <row r="12" spans="1:7" x14ac:dyDescent="0.25">
      <c r="A12" s="4" t="str">
        <f>A3</f>
        <v>Grupo Control - Post Test</v>
      </c>
      <c r="B12" s="6">
        <f>(G3*B5)/G5</f>
        <v>25.5</v>
      </c>
      <c r="C12" s="6">
        <f>(G3*C5)/G5</f>
        <v>21</v>
      </c>
      <c r="D12" s="6">
        <f>(G3*D5)/G5</f>
        <v>30</v>
      </c>
      <c r="E12" s="6">
        <f>(G3*E5)/G5</f>
        <v>11.5</v>
      </c>
      <c r="F12" s="6">
        <f>(G3*F5)/G5</f>
        <v>9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25.5</v>
      </c>
      <c r="C13" s="12">
        <f>(G4*C5)/G5</f>
        <v>21</v>
      </c>
      <c r="D13" s="12">
        <f>(G4*D5)/G5</f>
        <v>30</v>
      </c>
      <c r="E13" s="12">
        <f>(G4*E5)/G5</f>
        <v>11.5</v>
      </c>
      <c r="F13" s="12">
        <f>(G4*F5)/G5</f>
        <v>9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>Grupo Control - Post Test</v>
      </c>
      <c r="B19" s="12" t="str">
        <f>B2</f>
        <v>a) Muy alta</v>
      </c>
      <c r="C19" s="12">
        <f>B3</f>
        <v>12</v>
      </c>
      <c r="D19" s="12">
        <f>B12</f>
        <v>25.5</v>
      </c>
      <c r="E19" s="12">
        <f>(C19-D19)^2</f>
        <v>182.25</v>
      </c>
      <c r="F19" s="12">
        <f>E19/D19</f>
        <v>7.1470588235294121</v>
      </c>
    </row>
    <row r="20" spans="1:7" x14ac:dyDescent="0.25">
      <c r="A20" t="str">
        <f>A3</f>
        <v>Grupo Control - Post Test</v>
      </c>
      <c r="B20" s="12" t="str">
        <f>C2</f>
        <v>b) Alta</v>
      </c>
      <c r="C20" s="12">
        <f>C3</f>
        <v>13</v>
      </c>
      <c r="D20" s="12">
        <f>C12</f>
        <v>21</v>
      </c>
      <c r="E20" s="12">
        <f t="shared" ref="E20:E28" si="2">(C20-D20)^2</f>
        <v>64</v>
      </c>
      <c r="F20" s="12">
        <f t="shared" ref="F20:F28" si="3">E20/D20</f>
        <v>3.0476190476190474</v>
      </c>
    </row>
    <row r="21" spans="1:7" x14ac:dyDescent="0.25">
      <c r="A21" t="str">
        <f>A3</f>
        <v>Grupo Control - Post Test</v>
      </c>
      <c r="B21" s="12" t="str">
        <f>D2</f>
        <v>c) Regular</v>
      </c>
      <c r="C21" s="12">
        <f>D3</f>
        <v>42</v>
      </c>
      <c r="D21" s="12">
        <f>D12</f>
        <v>30</v>
      </c>
      <c r="E21" s="12">
        <f t="shared" si="2"/>
        <v>144</v>
      </c>
      <c r="F21" s="12">
        <f t="shared" si="3"/>
        <v>4.8</v>
      </c>
    </row>
    <row r="22" spans="1:7" x14ac:dyDescent="0.25">
      <c r="A22" t="str">
        <f>A3</f>
        <v>Grupo Control - Post Test</v>
      </c>
      <c r="B22" s="12" t="str">
        <f>E2</f>
        <v>d) Baja</v>
      </c>
      <c r="C22" s="12">
        <f>E3</f>
        <v>16</v>
      </c>
      <c r="D22" s="12">
        <f>E12</f>
        <v>11.5</v>
      </c>
      <c r="E22" s="12">
        <f t="shared" si="2"/>
        <v>20.25</v>
      </c>
      <c r="F22" s="12">
        <f t="shared" si="3"/>
        <v>1.7608695652173914</v>
      </c>
    </row>
    <row r="23" spans="1:7" x14ac:dyDescent="0.25">
      <c r="A23" t="str">
        <f>A3</f>
        <v>Grupo Control - Post Test</v>
      </c>
      <c r="B23" s="12" t="str">
        <f>F2</f>
        <v>e) Muy baja</v>
      </c>
      <c r="C23" s="12">
        <f>F3</f>
        <v>14</v>
      </c>
      <c r="D23" s="12">
        <f>F12</f>
        <v>9</v>
      </c>
      <c r="E23" s="12">
        <f t="shared" si="2"/>
        <v>25</v>
      </c>
      <c r="F23" s="12">
        <f t="shared" si="3"/>
        <v>2.7777777777777777</v>
      </c>
    </row>
    <row r="24" spans="1:7" x14ac:dyDescent="0.25">
      <c r="A24" t="str">
        <f>A4</f>
        <v>Grupo Experimental - Post Test</v>
      </c>
      <c r="B24" s="12" t="str">
        <f>B2</f>
        <v>a) Muy alta</v>
      </c>
      <c r="C24" s="12">
        <f>B4</f>
        <v>39</v>
      </c>
      <c r="D24" s="12">
        <f>B13</f>
        <v>25.5</v>
      </c>
      <c r="E24" s="12">
        <f t="shared" si="2"/>
        <v>182.25</v>
      </c>
      <c r="F24" s="12">
        <f t="shared" si="3"/>
        <v>7.1470588235294121</v>
      </c>
    </row>
    <row r="25" spans="1:7" x14ac:dyDescent="0.25">
      <c r="A25" t="str">
        <f>A4</f>
        <v>Grupo Experimental - Post Test</v>
      </c>
      <c r="B25" s="12" t="str">
        <f>C2</f>
        <v>b) Alta</v>
      </c>
      <c r="C25" s="12">
        <f>C4</f>
        <v>29</v>
      </c>
      <c r="D25" s="12">
        <f>C13</f>
        <v>21</v>
      </c>
      <c r="E25" s="12">
        <f t="shared" si="2"/>
        <v>64</v>
      </c>
      <c r="F25" s="12">
        <f t="shared" si="3"/>
        <v>3.0476190476190474</v>
      </c>
    </row>
    <row r="26" spans="1:7" x14ac:dyDescent="0.25">
      <c r="A26" t="str">
        <f>A4</f>
        <v>Grupo Experimental - Post Test</v>
      </c>
      <c r="B26" s="12" t="str">
        <f>D2</f>
        <v>c) Regular</v>
      </c>
      <c r="C26" s="12">
        <f>D4</f>
        <v>18</v>
      </c>
      <c r="D26" s="12">
        <f>D13</f>
        <v>30</v>
      </c>
      <c r="E26" s="12">
        <f t="shared" si="2"/>
        <v>144</v>
      </c>
      <c r="F26" s="12">
        <f t="shared" si="3"/>
        <v>4.8</v>
      </c>
    </row>
    <row r="27" spans="1:7" x14ac:dyDescent="0.25">
      <c r="A27" t="str">
        <f>A4</f>
        <v>Grupo Experimental - Post Test</v>
      </c>
      <c r="B27" s="12" t="str">
        <f>E2</f>
        <v>d) Baja</v>
      </c>
      <c r="C27" s="12">
        <f>E4</f>
        <v>7</v>
      </c>
      <c r="D27" s="12">
        <f>E13</f>
        <v>11.5</v>
      </c>
      <c r="E27" s="12">
        <f t="shared" si="2"/>
        <v>20.25</v>
      </c>
      <c r="F27" s="12">
        <f t="shared" si="3"/>
        <v>1.7608695652173914</v>
      </c>
    </row>
    <row r="28" spans="1:7" x14ac:dyDescent="0.25">
      <c r="A28" t="str">
        <f>A4</f>
        <v>Grupo Experimental - Post Test</v>
      </c>
      <c r="B28" s="12" t="str">
        <f>F2</f>
        <v>e) Muy baja</v>
      </c>
      <c r="C28" s="12">
        <f>F4</f>
        <v>4</v>
      </c>
      <c r="D28" s="12">
        <f>F13</f>
        <v>9</v>
      </c>
      <c r="E28" s="12">
        <f t="shared" si="2"/>
        <v>25</v>
      </c>
      <c r="F28" s="12">
        <f t="shared" si="3"/>
        <v>2.7777777777777777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39.066650428287261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6.7490699908921805E-8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36</v>
      </c>
      <c r="B54" s="21"/>
      <c r="C54" s="21"/>
    </row>
    <row r="55" spans="1:7" x14ac:dyDescent="0.25">
      <c r="A55" s="15" t="s">
        <v>45</v>
      </c>
      <c r="B55" s="12">
        <f>B45</f>
        <v>0.05</v>
      </c>
    </row>
    <row r="56" spans="1:7" x14ac:dyDescent="0.25">
      <c r="A56" s="14" t="s">
        <v>19</v>
      </c>
      <c r="B56" s="12">
        <f>B47</f>
        <v>6.7490699908921805E-8</v>
      </c>
    </row>
    <row r="58" spans="1:7" x14ac:dyDescent="0.25">
      <c r="A58" s="21" t="s">
        <v>37</v>
      </c>
      <c r="B58" s="21"/>
      <c r="C58" s="21"/>
    </row>
    <row r="59" spans="1:7" x14ac:dyDescent="0.25">
      <c r="A59" t="s">
        <v>35</v>
      </c>
      <c r="B59" s="12">
        <f>B35</f>
        <v>39.066650428287261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Objetivo</vt:lpstr>
      <vt:lpstr>Resumen</vt:lpstr>
      <vt:lpstr>Participas-actividades</vt:lpstr>
      <vt:lpstr>Comunicación-equipo</vt:lpstr>
      <vt:lpstr>Cumplimiento-tareas</vt:lpstr>
      <vt:lpstr>Contribución-grupo</vt:lpstr>
      <vt:lpstr>Resolución-problemas</vt:lpstr>
      <vt:lpstr>Conocimientos-adquiridos</vt:lpstr>
      <vt:lpstr>Nota-final</vt:lpstr>
      <vt:lpstr>Comprensión</vt:lpstr>
      <vt:lpstr>Habilidades</vt:lpstr>
      <vt:lpstr>Resolución-autónoma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2026-03-23T20:32:18Z</dcterms:created>
  <dcterms:modified xsi:type="dcterms:W3CDTF">2026-06-25T14:42:39Z</dcterms:modified>
</cp:coreProperties>
</file>
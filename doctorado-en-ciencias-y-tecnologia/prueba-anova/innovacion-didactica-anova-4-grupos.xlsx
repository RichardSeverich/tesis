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anova\"/>
    </mc:Choice>
  </mc:AlternateContent>
  <bookViews>
    <workbookView xWindow="0" yWindow="0" windowWidth="28800" windowHeight="12435" tabRatio="966"/>
  </bookViews>
  <sheets>
    <sheet name="Resumen" sheetId="12" r:id="rId1"/>
    <sheet name="Participas-actividades" sheetId="1" r:id="rId2"/>
    <sheet name="Comprensión-contenidos" sheetId="2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7" r:id="rId8"/>
    <sheet name="Nivel-comprensión" sheetId="8" r:id="rId9"/>
    <sheet name="Habilidades-tareas" sheetId="9" r:id="rId10"/>
    <sheet name="Resolución-problemas" sheetId="10" r:id="rId11"/>
    <sheet name="Motivación" sheetId="11" r:id="rId12"/>
  </sheets>
  <calcPr calcId="152511"/>
</workbook>
</file>

<file path=xl/calcChain.xml><?xml version="1.0" encoding="utf-8"?>
<calcChain xmlns="http://schemas.openxmlformats.org/spreadsheetml/2006/main">
  <c r="D12" i="12" l="1"/>
  <c r="D11" i="12"/>
  <c r="D10" i="12"/>
  <c r="D9" i="12"/>
  <c r="D8" i="12"/>
  <c r="D7" i="12"/>
  <c r="D6" i="12"/>
  <c r="D5" i="12"/>
  <c r="D4" i="12"/>
  <c r="D3" i="12"/>
  <c r="D2" i="12"/>
  <c r="C12" i="12"/>
  <c r="C11" i="12"/>
  <c r="C10" i="12"/>
  <c r="C9" i="12"/>
  <c r="C8" i="12"/>
  <c r="C7" i="12"/>
  <c r="C6" i="12"/>
  <c r="C5" i="12"/>
  <c r="C4" i="12"/>
  <c r="C3" i="12"/>
  <c r="C2" i="12"/>
  <c r="B12" i="12"/>
  <c r="B11" i="12"/>
  <c r="B10" i="12"/>
  <c r="B9" i="12"/>
  <c r="B8" i="12"/>
  <c r="B7" i="12"/>
  <c r="B6" i="12"/>
  <c r="B5" i="12"/>
  <c r="B4" i="12"/>
  <c r="B3" i="12"/>
  <c r="B2" i="12"/>
  <c r="G74" i="1"/>
  <c r="G49" i="11" l="1"/>
  <c r="G48" i="11"/>
  <c r="G44" i="11"/>
  <c r="G25" i="11"/>
  <c r="G80" i="11" s="1"/>
  <c r="G7" i="11"/>
  <c r="G6" i="11"/>
  <c r="G5" i="11"/>
  <c r="G4" i="11"/>
  <c r="G3" i="11"/>
  <c r="G49" i="10"/>
  <c r="G48" i="10"/>
  <c r="G44" i="10"/>
  <c r="G25" i="10"/>
  <c r="G80" i="10" s="1"/>
  <c r="G7" i="10"/>
  <c r="G6" i="10"/>
  <c r="G5" i="10"/>
  <c r="G4" i="10"/>
  <c r="G3" i="10"/>
  <c r="G49" i="9"/>
  <c r="G48" i="9"/>
  <c r="G44" i="9"/>
  <c r="G25" i="9"/>
  <c r="G80" i="9" s="1"/>
  <c r="G7" i="9"/>
  <c r="G6" i="9"/>
  <c r="G5" i="9"/>
  <c r="G4" i="9"/>
  <c r="G8" i="9" s="1"/>
  <c r="G3" i="9"/>
  <c r="G49" i="8"/>
  <c r="G48" i="8"/>
  <c r="G54" i="8" s="1"/>
  <c r="G81" i="8" s="1"/>
  <c r="G44" i="8"/>
  <c r="G25" i="8"/>
  <c r="G80" i="8" s="1"/>
  <c r="G7" i="8"/>
  <c r="G6" i="8"/>
  <c r="G5" i="8"/>
  <c r="G4" i="8"/>
  <c r="G3" i="8"/>
  <c r="G49" i="7"/>
  <c r="G54" i="7" s="1"/>
  <c r="G81" i="7" s="1"/>
  <c r="G48" i="7"/>
  <c r="G44" i="7"/>
  <c r="G25" i="7"/>
  <c r="G80" i="7" s="1"/>
  <c r="G7" i="7"/>
  <c r="G6" i="7"/>
  <c r="G5" i="7"/>
  <c r="G4" i="7"/>
  <c r="G3" i="7"/>
  <c r="G49" i="6"/>
  <c r="G48" i="6"/>
  <c r="G44" i="6"/>
  <c r="G25" i="6"/>
  <c r="G80" i="6" s="1"/>
  <c r="G7" i="6"/>
  <c r="G6" i="6"/>
  <c r="G5" i="6"/>
  <c r="G4" i="6"/>
  <c r="G8" i="6" s="1"/>
  <c r="G3" i="6"/>
  <c r="G49" i="5"/>
  <c r="G48" i="5"/>
  <c r="G54" i="5" s="1"/>
  <c r="G81" i="5" s="1"/>
  <c r="G44" i="5"/>
  <c r="G25" i="5"/>
  <c r="G80" i="5" s="1"/>
  <c r="G7" i="5"/>
  <c r="G6" i="5"/>
  <c r="G5" i="5"/>
  <c r="G4" i="5"/>
  <c r="G3" i="5"/>
  <c r="G54" i="4"/>
  <c r="G81" i="4" s="1"/>
  <c r="G49" i="4"/>
  <c r="G48" i="4"/>
  <c r="G44" i="4"/>
  <c r="G25" i="4"/>
  <c r="G80" i="4" s="1"/>
  <c r="G82" i="4" s="1"/>
  <c r="G7" i="4"/>
  <c r="G6" i="4"/>
  <c r="G5" i="4"/>
  <c r="G4" i="4"/>
  <c r="G8" i="4" s="1"/>
  <c r="G3" i="4"/>
  <c r="G49" i="3"/>
  <c r="G48" i="3"/>
  <c r="G44" i="3"/>
  <c r="G25" i="3"/>
  <c r="G80" i="3" s="1"/>
  <c r="G7" i="3"/>
  <c r="G6" i="3"/>
  <c r="G5" i="3"/>
  <c r="G4" i="3"/>
  <c r="G3" i="3"/>
  <c r="G49" i="2"/>
  <c r="G48" i="2"/>
  <c r="G54" i="2" s="1"/>
  <c r="G81" i="2" s="1"/>
  <c r="G44" i="2"/>
  <c r="G25" i="2"/>
  <c r="G80" i="2" s="1"/>
  <c r="G7" i="2"/>
  <c r="G6" i="2"/>
  <c r="G5" i="2"/>
  <c r="G4" i="2"/>
  <c r="G3" i="2"/>
  <c r="G25" i="1"/>
  <c r="G8" i="10" l="1"/>
  <c r="G8" i="8"/>
  <c r="G17" i="8" s="1"/>
  <c r="G34" i="8" s="1"/>
  <c r="G74" i="8" s="1"/>
  <c r="G82" i="8"/>
  <c r="G64" i="8"/>
  <c r="G8" i="7"/>
  <c r="G17" i="7" s="1"/>
  <c r="G34" i="7" s="1"/>
  <c r="G74" i="7" s="1"/>
  <c r="G54" i="11"/>
  <c r="G81" i="11" s="1"/>
  <c r="G82" i="11" s="1"/>
  <c r="G8" i="11"/>
  <c r="G17" i="11" s="1"/>
  <c r="G34" i="11" s="1"/>
  <c r="G17" i="10"/>
  <c r="G34" i="10" s="1"/>
  <c r="G54" i="10"/>
  <c r="G81" i="10" s="1"/>
  <c r="G82" i="10" s="1"/>
  <c r="G17" i="9"/>
  <c r="G34" i="9" s="1"/>
  <c r="G54" i="9"/>
  <c r="G81" i="9" s="1"/>
  <c r="G82" i="9" s="1"/>
  <c r="G17" i="6"/>
  <c r="G34" i="6" s="1"/>
  <c r="G54" i="6"/>
  <c r="G81" i="6" s="1"/>
  <c r="G82" i="6" s="1"/>
  <c r="G8" i="5"/>
  <c r="G17" i="5" s="1"/>
  <c r="G34" i="5" s="1"/>
  <c r="G74" i="5" s="1"/>
  <c r="G82" i="5"/>
  <c r="G64" i="5"/>
  <c r="G64" i="4"/>
  <c r="G17" i="4"/>
  <c r="G34" i="4" s="1"/>
  <c r="G74" i="4" s="1"/>
  <c r="F90" i="4" s="1"/>
  <c r="G54" i="3"/>
  <c r="G81" i="3" s="1"/>
  <c r="G82" i="3" s="1"/>
  <c r="G8" i="3"/>
  <c r="G17" i="3" s="1"/>
  <c r="G34" i="3" s="1"/>
  <c r="G64" i="2"/>
  <c r="G82" i="7"/>
  <c r="G64" i="7"/>
  <c r="G82" i="2"/>
  <c r="G8" i="2"/>
  <c r="G17" i="2" s="1"/>
  <c r="G34" i="2" s="1"/>
  <c r="G74" i="2" s="1"/>
  <c r="G64" i="10" l="1"/>
  <c r="G74" i="10" s="1"/>
  <c r="G64" i="6"/>
  <c r="G74" i="6"/>
  <c r="G83" i="6" s="1"/>
  <c r="F91" i="6" s="1"/>
  <c r="G64" i="11"/>
  <c r="G74" i="11" s="1"/>
  <c r="G64" i="9"/>
  <c r="G74" i="9" s="1"/>
  <c r="G83" i="4"/>
  <c r="F91" i="4" s="1"/>
  <c r="G64" i="3"/>
  <c r="G74" i="3" s="1"/>
  <c r="G83" i="10"/>
  <c r="F91" i="10" s="1"/>
  <c r="F90" i="10"/>
  <c r="F90" i="8"/>
  <c r="G83" i="8"/>
  <c r="F91" i="8" s="1"/>
  <c r="G83" i="7"/>
  <c r="F91" i="7" s="1"/>
  <c r="F90" i="7"/>
  <c r="F90" i="6"/>
  <c r="F90" i="5"/>
  <c r="G83" i="5"/>
  <c r="F91" i="5" s="1"/>
  <c r="F90" i="2"/>
  <c r="G83" i="2"/>
  <c r="F91" i="2" s="1"/>
  <c r="F90" i="11" l="1"/>
  <c r="G83" i="11"/>
  <c r="F91" i="11" s="1"/>
  <c r="G83" i="9"/>
  <c r="F91" i="9" s="1"/>
  <c r="F90" i="9"/>
  <c r="G83" i="3"/>
  <c r="F91" i="3" s="1"/>
  <c r="F90" i="3"/>
  <c r="G49" i="1"/>
  <c r="G48" i="1" l="1"/>
  <c r="G54" i="1" s="1"/>
  <c r="G81" i="1" s="1"/>
  <c r="G44" i="1"/>
  <c r="G80" i="1"/>
  <c r="G3" i="1"/>
  <c r="G7" i="1"/>
  <c r="G6" i="1"/>
  <c r="G5" i="1"/>
  <c r="G4" i="1"/>
  <c r="G82" i="1" l="1"/>
  <c r="G8" i="1"/>
  <c r="G17" i="1" s="1"/>
  <c r="G34" i="1" s="1"/>
  <c r="G64" i="1"/>
  <c r="G83" i="1" l="1"/>
  <c r="F91" i="1" s="1"/>
  <c r="F90" i="1"/>
</calcChain>
</file>

<file path=xl/sharedStrings.xml><?xml version="1.0" encoding="utf-8"?>
<sst xmlns="http://schemas.openxmlformats.org/spreadsheetml/2006/main" count="554" uniqueCount="61">
  <si>
    <t>gl entre</t>
  </si>
  <si>
    <t>MC entre</t>
  </si>
  <si>
    <t>F calculado</t>
  </si>
  <si>
    <t>SC Dentro Grupos</t>
  </si>
  <si>
    <t>gl dentro</t>
  </si>
  <si>
    <t>MC dentro</t>
  </si>
  <si>
    <t>Interpretación:</t>
  </si>
  <si>
    <t>Promedio Grupo A</t>
  </si>
  <si>
    <t>Promedio Grupo B</t>
  </si>
  <si>
    <t>Promedio Grupo C</t>
  </si>
  <si>
    <t>Promedio Grupo D</t>
  </si>
  <si>
    <t xml:space="preserve">SC Entre Grupos </t>
  </si>
  <si>
    <t>Calculo Suma de Cuadrados Entre Grupos</t>
  </si>
  <si>
    <t>Datos Generales</t>
  </si>
  <si>
    <t>Tamano Grupos</t>
  </si>
  <si>
    <t>Promedio Total total</t>
  </si>
  <si>
    <t>k (Numero de grupos)</t>
  </si>
  <si>
    <t>Mide qué tan diferentes son los grupos entre sí</t>
  </si>
  <si>
    <t>Compara las medias de cada grupo con la media general</t>
  </si>
  <si>
    <t>Calculo gl ENTRE (Grados de libertad entre grupos)</t>
  </si>
  <si>
    <t>Cantidad de grupos independientes que puedes comparar</t>
  </si>
  <si>
    <t>Calculo MC ENTRE (Media Cuadrática Entre)</t>
  </si>
  <si>
    <t>Es el promedio de la variación entre grupos</t>
  </si>
  <si>
    <t>Mide la variabilidad interna de cada grupo</t>
  </si>
  <si>
    <t>Qué tanto varían los datos dentro del mismo grupo</t>
  </si>
  <si>
    <t>Calculo gl DENTRO (Grados de libertad dentro)</t>
  </si>
  <si>
    <t>Calculo SC DENTRO DE GRUPOS (Suma de Cuadrados Dentro)</t>
  </si>
  <si>
    <t>N = total de datos</t>
  </si>
  <si>
    <t>Calculo MC DENTRO (Media Cuadrática Dentro)</t>
  </si>
  <si>
    <t>Es el promedio de la variación interna</t>
  </si>
  <si>
    <t>Calculo F Calculado</t>
  </si>
  <si>
    <t>El F calculado es un valor numérico que obtienes al aplicar la fórmula de ANOVA.</t>
  </si>
  <si>
    <t>Sirve para decidir si hay diferencias significativas entre grupos.</t>
  </si>
  <si>
    <t>α  El mas comun 5%</t>
  </si>
  <si>
    <t>F critico (Tabla)</t>
  </si>
  <si>
    <t>Calculo F critico (Tabla) y P valor</t>
  </si>
  <si>
    <t xml:space="preserve">P valor </t>
  </si>
  <si>
    <t>Nota:</t>
  </si>
  <si>
    <t>El ANOVA solo te dice que al menos un grupo difiere de los otros, Pero no te dice que grupo</t>
  </si>
  <si>
    <t>Para saber qué grupos son diferentes, necesitas hacer pruebas post-hoc.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</si>
  <si>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</si>
  <si>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</si>
  <si>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 xml:space="preserve">Grupo 
Control
Pre Test
Sin intervención </t>
  </si>
  <si>
    <t>Grupo 
Control
Post Test
Sin intervención</t>
  </si>
  <si>
    <t>Grupo 
Experimental
Pre Test
Sin intervención</t>
  </si>
  <si>
    <t>Grupo 
Experimental
Post Test
Con intervención</t>
  </si>
  <si>
    <t>Indicador</t>
  </si>
  <si>
    <t>F
Calculado</t>
  </si>
  <si>
    <t>F Critico
Critico</t>
  </si>
  <si>
    <t>P Valor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</si>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</sst>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570" y="2514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0852" y="1360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4897" y="2571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2558" y="4212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9115" y="5553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2559" y="7473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290039" y="7488116"/>
          <a:ext cx="1743808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3250" y="9477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7550" y="11125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9884" y="13291038"/>
          <a:ext cx="1247619" cy="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205" zoomScaleNormal="205" workbookViewId="0">
      <selection activeCell="F10" sqref="F10"/>
    </sheetView>
  </sheetViews>
  <sheetFormatPr baseColWidth="10" defaultRowHeight="15" x14ac:dyDescent="0.25"/>
  <cols>
    <col min="1" max="1" width="27" customWidth="1"/>
    <col min="2" max="2" width="18" customWidth="1"/>
  </cols>
  <sheetData>
    <row r="1" spans="1:4" ht="30" x14ac:dyDescent="0.25">
      <c r="A1" s="6" t="s">
        <v>46</v>
      </c>
      <c r="B1" s="7" t="s">
        <v>47</v>
      </c>
      <c r="C1" s="7" t="s">
        <v>48</v>
      </c>
      <c r="D1" s="7" t="s">
        <v>49</v>
      </c>
    </row>
    <row r="2" spans="1:4" x14ac:dyDescent="0.25">
      <c r="A2" s="8" t="s">
        <v>50</v>
      </c>
      <c r="B2" s="8">
        <f>ROUND('Participas-actividades'!G74, 4)</f>
        <v>13.032999999999999</v>
      </c>
      <c r="C2" s="8">
        <f>ROUND('Participas-actividades'!G82, 4)</f>
        <v>2.6292</v>
      </c>
      <c r="D2" s="8">
        <f>'Participas-actividades'!G83</f>
        <v>4.1573119479939826E-8</v>
      </c>
    </row>
    <row r="3" spans="1:4" x14ac:dyDescent="0.25">
      <c r="A3" s="8" t="s">
        <v>51</v>
      </c>
      <c r="B3" s="8">
        <f>ROUND('Comprensión-contenidos'!G74, 4)</f>
        <v>6.1862000000000004</v>
      </c>
      <c r="C3" s="8">
        <f>ROUND('Comprensión-contenidos'!G82, 4)</f>
        <v>2.6292</v>
      </c>
      <c r="D3" s="8">
        <f>'Comprensión-contenidos'!G83</f>
        <v>4.1346211792649883E-4</v>
      </c>
    </row>
    <row r="4" spans="1:4" x14ac:dyDescent="0.25">
      <c r="A4" s="8" t="s">
        <v>52</v>
      </c>
      <c r="B4" s="8">
        <f>ROUND('Herramientas-tecnológicas'!G74, 4)</f>
        <v>5.1935000000000002</v>
      </c>
      <c r="C4" s="8">
        <f>ROUND('Herramientas-tecnológicas'!G82, 4)</f>
        <v>2.6292</v>
      </c>
      <c r="D4" s="8">
        <f>'Herramientas-tecnológicas'!G83</f>
        <v>1.5919933500680515E-3</v>
      </c>
    </row>
    <row r="5" spans="1:4" x14ac:dyDescent="0.25">
      <c r="A5" s="8" t="s">
        <v>53</v>
      </c>
      <c r="B5" s="8">
        <f>ROUND('Recursos-tecnológicos'!G74, 4)</f>
        <v>16.1907</v>
      </c>
      <c r="C5" s="8">
        <f>ROUND('Recursos-tecnológicos'!G82, 4)</f>
        <v>2.6292</v>
      </c>
      <c r="D5" s="8">
        <f>'Recursos-tecnológicos'!G83</f>
        <v>6.6177378598034705E-10</v>
      </c>
    </row>
    <row r="6" spans="1:4" x14ac:dyDescent="0.25">
      <c r="A6" s="8" t="s">
        <v>54</v>
      </c>
      <c r="B6" s="8">
        <f>ROUND('Percepción-evaluaciones'!G74, 4)</f>
        <v>8.4048999999999996</v>
      </c>
      <c r="C6" s="8">
        <f>ROUND('Percepción-evaluaciones'!G82, 4)</f>
        <v>2.6292</v>
      </c>
      <c r="D6" s="8">
        <f>'Percepción-evaluaciones'!G83</f>
        <v>2.0399586721241499E-5</v>
      </c>
    </row>
    <row r="7" spans="1:4" x14ac:dyDescent="0.25">
      <c r="A7" s="8" t="s">
        <v>55</v>
      </c>
      <c r="B7" s="8">
        <f>ROUND('Retroalimentación-oportuna'!G74, 4)</f>
        <v>14.5108</v>
      </c>
      <c r="C7" s="8">
        <f>ROUND('Retroalimentación-oportuna'!G82, 4)</f>
        <v>2.6292</v>
      </c>
      <c r="D7" s="8">
        <f>'Retroalimentación-oportuna'!G83</f>
        <v>5.9321227107129973E-9</v>
      </c>
    </row>
    <row r="8" spans="1:4" x14ac:dyDescent="0.25">
      <c r="A8" s="8" t="s">
        <v>56</v>
      </c>
      <c r="B8" s="8">
        <f>ROUND(Calificación!G74, 4)</f>
        <v>10.5175</v>
      </c>
      <c r="C8" s="8">
        <f>ROUND(Calificación!G82, 4)</f>
        <v>2.6292</v>
      </c>
      <c r="D8" s="8">
        <f>Calificación!G83</f>
        <v>1.1857365966706541E-6</v>
      </c>
    </row>
    <row r="9" spans="1:4" x14ac:dyDescent="0.25">
      <c r="A9" s="8" t="s">
        <v>57</v>
      </c>
      <c r="B9" s="8">
        <f>ROUND('Nivel-comprensión'!G74, 4)</f>
        <v>15.2818</v>
      </c>
      <c r="C9" s="8">
        <f>ROUND('Nivel-comprensión'!G82, 4)</f>
        <v>2.6292</v>
      </c>
      <c r="D9" s="8">
        <f>'Nivel-comprensión'!G83</f>
        <v>2.1623126059832064E-9</v>
      </c>
    </row>
    <row r="10" spans="1:4" x14ac:dyDescent="0.25">
      <c r="A10" s="8" t="s">
        <v>58</v>
      </c>
      <c r="B10" s="8">
        <f>ROUND('Habilidades-tareas'!G74, 4)</f>
        <v>8.9892000000000003</v>
      </c>
      <c r="C10" s="8">
        <f>ROUND('Habilidades-tareas'!G82, 4)</f>
        <v>2.6292</v>
      </c>
      <c r="D10" s="8">
        <f>'Habilidades-tareas'!G83</f>
        <v>9.2635932273378541E-6</v>
      </c>
    </row>
    <row r="11" spans="1:4" x14ac:dyDescent="0.25">
      <c r="A11" s="8" t="s">
        <v>59</v>
      </c>
      <c r="B11" s="8">
        <f>ROUND('Resolución-problemas'!G74, 4)</f>
        <v>13.134499999999999</v>
      </c>
      <c r="C11" s="8">
        <f>ROUND('Resolución-problemas'!G82, 4)</f>
        <v>2.6292</v>
      </c>
      <c r="D11" s="8">
        <f>'Resolución-problemas'!G83</f>
        <v>3.6350587183564484E-8</v>
      </c>
    </row>
    <row r="12" spans="1:4" x14ac:dyDescent="0.25">
      <c r="A12" s="8" t="s">
        <v>60</v>
      </c>
      <c r="B12" s="8">
        <f>ROUND(Motivación!G74, 4)</f>
        <v>12.5679</v>
      </c>
      <c r="C12" s="8">
        <f>ROUND(Motivación!G82, 4)</f>
        <v>2.6292</v>
      </c>
      <c r="D12" s="8">
        <f>Motivación!G83</f>
        <v>7.6984744716085196E-8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66" zoomScale="130" zoomScaleNormal="130" workbookViewId="0">
      <selection activeCell="A82" sqref="A82:XFD82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5</v>
      </c>
      <c r="B2" s="1">
        <v>2</v>
      </c>
      <c r="C2" s="1">
        <v>3</v>
      </c>
      <c r="D2" s="1">
        <v>4</v>
      </c>
      <c r="F2" s="2" t="s">
        <v>13</v>
      </c>
      <c r="G2" s="2"/>
    </row>
    <row r="3" spans="1:7" x14ac:dyDescent="0.25">
      <c r="A3" s="1">
        <v>5</v>
      </c>
      <c r="B3" s="1">
        <v>1</v>
      </c>
      <c r="C3" s="1">
        <v>4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2</v>
      </c>
      <c r="B4" s="1">
        <v>4</v>
      </c>
      <c r="C4" s="1">
        <v>2</v>
      </c>
      <c r="D4" s="1">
        <v>4</v>
      </c>
      <c r="F4" t="s">
        <v>7</v>
      </c>
      <c r="G4">
        <f>AVERAGE(A:A)</f>
        <v>3.4623655913978495</v>
      </c>
    </row>
    <row r="5" spans="1:7" x14ac:dyDescent="0.25">
      <c r="A5" s="1">
        <v>3</v>
      </c>
      <c r="B5" s="1">
        <v>3</v>
      </c>
      <c r="C5" s="1">
        <v>3</v>
      </c>
      <c r="D5" s="1">
        <v>4</v>
      </c>
      <c r="F5" t="s">
        <v>8</v>
      </c>
      <c r="G5">
        <f>AVERAGE(B:B)</f>
        <v>3.139784946236559</v>
      </c>
    </row>
    <row r="6" spans="1:7" x14ac:dyDescent="0.25">
      <c r="A6" s="1">
        <v>3</v>
      </c>
      <c r="B6" s="1">
        <v>4</v>
      </c>
      <c r="C6" s="1">
        <v>1</v>
      </c>
      <c r="D6" s="1">
        <v>4</v>
      </c>
      <c r="F6" t="s">
        <v>9</v>
      </c>
      <c r="G6">
        <f>AVERAGE(C:C)</f>
        <v>3.21505376344086</v>
      </c>
    </row>
    <row r="7" spans="1:7" x14ac:dyDescent="0.25">
      <c r="A7" s="1">
        <v>5</v>
      </c>
      <c r="B7" s="1">
        <v>1</v>
      </c>
      <c r="C7" s="1">
        <v>3</v>
      </c>
      <c r="D7" s="1">
        <v>4</v>
      </c>
      <c r="F7" t="s">
        <v>10</v>
      </c>
      <c r="G7">
        <f>AVERAGE(D:D)</f>
        <v>4.032258064516129</v>
      </c>
    </row>
    <row r="8" spans="1:7" x14ac:dyDescent="0.25">
      <c r="A8" s="1">
        <v>1</v>
      </c>
      <c r="B8" s="1">
        <v>4</v>
      </c>
      <c r="C8" s="1">
        <v>5</v>
      </c>
      <c r="D8" s="1">
        <v>5</v>
      </c>
      <c r="F8" t="s">
        <v>15</v>
      </c>
      <c r="G8">
        <f>AVERAGE(G4:G7)</f>
        <v>3.4623655913978491</v>
      </c>
    </row>
    <row r="9" spans="1:7" x14ac:dyDescent="0.25">
      <c r="A9" s="1">
        <v>2</v>
      </c>
      <c r="B9" s="1">
        <v>1</v>
      </c>
      <c r="C9" s="1">
        <v>3</v>
      </c>
      <c r="D9" s="1">
        <v>4</v>
      </c>
    </row>
    <row r="10" spans="1:7" x14ac:dyDescent="0.25">
      <c r="A10" s="1">
        <v>4</v>
      </c>
      <c r="B10" s="1">
        <v>3</v>
      </c>
      <c r="C10" s="1">
        <v>4</v>
      </c>
      <c r="D10" s="1">
        <v>5</v>
      </c>
    </row>
    <row r="11" spans="1:7" x14ac:dyDescent="0.25">
      <c r="A11" s="1">
        <v>4</v>
      </c>
      <c r="B11" s="1">
        <v>3</v>
      </c>
      <c r="C11" s="1">
        <v>3</v>
      </c>
      <c r="D11" s="1">
        <v>3</v>
      </c>
      <c r="F11" s="2" t="s">
        <v>12</v>
      </c>
      <c r="G11" s="2"/>
    </row>
    <row r="12" spans="1:7" x14ac:dyDescent="0.25">
      <c r="A12" s="1">
        <v>4</v>
      </c>
      <c r="B12" s="1">
        <v>3</v>
      </c>
      <c r="C12" s="1">
        <v>5</v>
      </c>
      <c r="D12" s="1">
        <v>4</v>
      </c>
      <c r="F12" s="3" t="s">
        <v>17</v>
      </c>
    </row>
    <row r="13" spans="1:7" x14ac:dyDescent="0.25">
      <c r="A13" s="1">
        <v>4</v>
      </c>
      <c r="B13" s="1">
        <v>4</v>
      </c>
      <c r="C13" s="1">
        <v>4</v>
      </c>
      <c r="D13" s="1">
        <v>4</v>
      </c>
      <c r="F13" s="3" t="s">
        <v>18</v>
      </c>
    </row>
    <row r="14" spans="1:7" x14ac:dyDescent="0.25">
      <c r="A14" s="1">
        <v>3</v>
      </c>
      <c r="B14" s="1">
        <v>4</v>
      </c>
      <c r="C14" s="1">
        <v>2</v>
      </c>
      <c r="D14" s="1">
        <v>5</v>
      </c>
    </row>
    <row r="15" spans="1:7" x14ac:dyDescent="0.25">
      <c r="A15" s="1">
        <v>4</v>
      </c>
      <c r="B15" s="1">
        <v>4</v>
      </c>
      <c r="C15" s="1">
        <v>4</v>
      </c>
      <c r="D15" s="1">
        <v>4</v>
      </c>
    </row>
    <row r="16" spans="1:7" x14ac:dyDescent="0.25">
      <c r="A16" s="1">
        <v>4</v>
      </c>
      <c r="B16" s="1">
        <v>4</v>
      </c>
      <c r="C16" s="1">
        <v>2</v>
      </c>
      <c r="D16" s="1">
        <v>5</v>
      </c>
    </row>
    <row r="17" spans="1:7" x14ac:dyDescent="0.25">
      <c r="A17" s="1">
        <v>3</v>
      </c>
      <c r="B17" s="1">
        <v>3</v>
      </c>
      <c r="C17" s="1">
        <v>4</v>
      </c>
      <c r="D17" s="1">
        <v>5</v>
      </c>
      <c r="F17" t="s">
        <v>11</v>
      </c>
      <c r="G17">
        <f>G3*((G4-G8)^2+(G5-G8)^2+(G6-G8)^2+(G7-G8)^2)</f>
        <v>45.569892473118294</v>
      </c>
    </row>
    <row r="18" spans="1:7" x14ac:dyDescent="0.25">
      <c r="A18" s="1">
        <v>5</v>
      </c>
      <c r="B18" s="1">
        <v>4</v>
      </c>
      <c r="C18" s="1">
        <v>3</v>
      </c>
      <c r="D18" s="1">
        <v>5</v>
      </c>
    </row>
    <row r="19" spans="1:7" x14ac:dyDescent="0.25">
      <c r="A19" s="1">
        <v>4</v>
      </c>
      <c r="B19" s="1">
        <v>5</v>
      </c>
      <c r="C19" s="1">
        <v>3</v>
      </c>
      <c r="D19" s="1">
        <v>4</v>
      </c>
    </row>
    <row r="20" spans="1:7" x14ac:dyDescent="0.25">
      <c r="A20" s="1">
        <v>4</v>
      </c>
      <c r="B20" s="1">
        <v>1</v>
      </c>
      <c r="C20" s="1">
        <v>3</v>
      </c>
      <c r="D20" s="1">
        <v>5</v>
      </c>
      <c r="F20" s="2" t="s">
        <v>19</v>
      </c>
      <c r="G20" s="2"/>
    </row>
    <row r="21" spans="1:7" x14ac:dyDescent="0.25">
      <c r="A21" s="1">
        <v>4</v>
      </c>
      <c r="B21" s="1">
        <v>2</v>
      </c>
      <c r="C21" s="1">
        <v>4</v>
      </c>
      <c r="D21" s="1">
        <v>5</v>
      </c>
      <c r="F21" t="s">
        <v>20</v>
      </c>
    </row>
    <row r="22" spans="1:7" x14ac:dyDescent="0.25">
      <c r="A22" s="1">
        <v>3</v>
      </c>
      <c r="B22" s="1">
        <v>2</v>
      </c>
      <c r="C22" s="1">
        <v>4</v>
      </c>
      <c r="D22" s="1">
        <v>2</v>
      </c>
      <c r="F22" t="s">
        <v>16</v>
      </c>
      <c r="G22">
        <v>4</v>
      </c>
    </row>
    <row r="23" spans="1:7" x14ac:dyDescent="0.25">
      <c r="A23" s="1">
        <v>4</v>
      </c>
      <c r="B23" s="1">
        <v>1</v>
      </c>
      <c r="C23" s="1">
        <v>5</v>
      </c>
      <c r="D23" s="1">
        <v>5</v>
      </c>
    </row>
    <row r="24" spans="1:7" x14ac:dyDescent="0.25">
      <c r="A24" s="1">
        <v>3</v>
      </c>
      <c r="B24" s="1">
        <v>4</v>
      </c>
      <c r="C24" s="1">
        <v>4</v>
      </c>
      <c r="D24" s="1">
        <v>4</v>
      </c>
    </row>
    <row r="25" spans="1:7" x14ac:dyDescent="0.25">
      <c r="A25" s="1">
        <v>3</v>
      </c>
      <c r="B25" s="1">
        <v>4</v>
      </c>
      <c r="C25" s="1">
        <v>3</v>
      </c>
      <c r="D25" s="1">
        <v>4</v>
      </c>
      <c r="F25" t="s">
        <v>0</v>
      </c>
      <c r="G25">
        <f>G22-1</f>
        <v>3</v>
      </c>
    </row>
    <row r="26" spans="1:7" x14ac:dyDescent="0.25">
      <c r="A26" s="1">
        <v>5</v>
      </c>
      <c r="B26" s="1">
        <v>3</v>
      </c>
      <c r="C26" s="1">
        <v>1</v>
      </c>
      <c r="D26" s="1">
        <v>5</v>
      </c>
    </row>
    <row r="27" spans="1:7" x14ac:dyDescent="0.25">
      <c r="A27" s="1">
        <v>3</v>
      </c>
      <c r="B27" s="1">
        <v>3</v>
      </c>
      <c r="C27" s="1">
        <v>2</v>
      </c>
      <c r="D27" s="1">
        <v>3</v>
      </c>
    </row>
    <row r="28" spans="1:7" x14ac:dyDescent="0.25">
      <c r="A28" s="1">
        <v>4</v>
      </c>
      <c r="B28" s="1">
        <v>5</v>
      </c>
      <c r="C28" s="1">
        <v>2</v>
      </c>
      <c r="D28" s="1">
        <v>5</v>
      </c>
      <c r="F28" s="2" t="s">
        <v>21</v>
      </c>
      <c r="G28" s="2"/>
    </row>
    <row r="29" spans="1:7" x14ac:dyDescent="0.25">
      <c r="A29" s="1">
        <v>5</v>
      </c>
      <c r="B29" s="1">
        <v>2</v>
      </c>
      <c r="C29" s="1">
        <v>2</v>
      </c>
      <c r="D29" s="1">
        <v>4</v>
      </c>
      <c r="F29" t="s">
        <v>22</v>
      </c>
    </row>
    <row r="30" spans="1:7" x14ac:dyDescent="0.25">
      <c r="A30" s="1">
        <v>2</v>
      </c>
      <c r="B30" s="1">
        <v>4</v>
      </c>
      <c r="C30" s="1">
        <v>3</v>
      </c>
      <c r="D30" s="1">
        <v>4</v>
      </c>
    </row>
    <row r="31" spans="1:7" x14ac:dyDescent="0.25">
      <c r="A31" s="1">
        <v>1</v>
      </c>
      <c r="B31" s="1">
        <v>4</v>
      </c>
      <c r="C31" s="1">
        <v>4</v>
      </c>
      <c r="D31" s="1">
        <v>4</v>
      </c>
    </row>
    <row r="32" spans="1:7" x14ac:dyDescent="0.25">
      <c r="A32" s="1">
        <v>2</v>
      </c>
      <c r="B32" s="1">
        <v>3</v>
      </c>
      <c r="C32" s="1">
        <v>2</v>
      </c>
      <c r="D32" s="1">
        <v>4</v>
      </c>
    </row>
    <row r="33" spans="1:7" x14ac:dyDescent="0.25">
      <c r="A33" s="1">
        <v>4</v>
      </c>
      <c r="B33" s="1">
        <v>3</v>
      </c>
      <c r="C33" s="1">
        <v>3</v>
      </c>
      <c r="D33" s="1">
        <v>5</v>
      </c>
    </row>
    <row r="34" spans="1:7" x14ac:dyDescent="0.25">
      <c r="A34" s="1">
        <v>5</v>
      </c>
      <c r="B34" s="1">
        <v>3</v>
      </c>
      <c r="C34" s="1">
        <v>3</v>
      </c>
      <c r="D34" s="1">
        <v>5</v>
      </c>
      <c r="F34" t="s">
        <v>1</v>
      </c>
      <c r="G34">
        <f>G17/G25</f>
        <v>15.189964157706099</v>
      </c>
    </row>
    <row r="35" spans="1:7" x14ac:dyDescent="0.25">
      <c r="A35" s="1">
        <v>3</v>
      </c>
      <c r="B35" s="1">
        <v>5</v>
      </c>
      <c r="C35" s="1">
        <v>5</v>
      </c>
      <c r="D35" s="1">
        <v>3</v>
      </c>
    </row>
    <row r="36" spans="1:7" x14ac:dyDescent="0.25">
      <c r="A36" s="1">
        <v>4</v>
      </c>
      <c r="B36" s="1">
        <v>2</v>
      </c>
      <c r="C36" s="1">
        <v>3</v>
      </c>
      <c r="D36" s="1">
        <v>4</v>
      </c>
    </row>
    <row r="37" spans="1:7" x14ac:dyDescent="0.25">
      <c r="A37" s="1">
        <v>5</v>
      </c>
      <c r="B37" s="1">
        <v>4</v>
      </c>
      <c r="C37" s="1">
        <v>3</v>
      </c>
      <c r="D37" s="1">
        <v>3</v>
      </c>
      <c r="F37" s="2" t="s">
        <v>26</v>
      </c>
      <c r="G37" s="2"/>
    </row>
    <row r="38" spans="1:7" x14ac:dyDescent="0.25">
      <c r="A38" s="1">
        <v>3</v>
      </c>
      <c r="B38" s="1">
        <v>5</v>
      </c>
      <c r="C38" s="1">
        <v>2</v>
      </c>
      <c r="D38" s="1">
        <v>3</v>
      </c>
      <c r="F38" t="s">
        <v>23</v>
      </c>
    </row>
    <row r="39" spans="1:7" x14ac:dyDescent="0.25">
      <c r="A39" s="1">
        <v>5</v>
      </c>
      <c r="B39" s="1">
        <v>2</v>
      </c>
      <c r="C39" s="1">
        <v>3</v>
      </c>
      <c r="D39" s="1">
        <v>3</v>
      </c>
      <c r="F39" t="s">
        <v>24</v>
      </c>
    </row>
    <row r="40" spans="1:7" x14ac:dyDescent="0.25">
      <c r="A40" s="1">
        <v>2</v>
      </c>
      <c r="B40" s="1">
        <v>1</v>
      </c>
      <c r="C40" s="1">
        <v>4</v>
      </c>
      <c r="D40" s="1">
        <v>4</v>
      </c>
    </row>
    <row r="41" spans="1:7" x14ac:dyDescent="0.25">
      <c r="A41" s="1">
        <v>4</v>
      </c>
      <c r="B41" s="1">
        <v>2</v>
      </c>
      <c r="C41" s="1">
        <v>1</v>
      </c>
      <c r="D41" s="1">
        <v>5</v>
      </c>
    </row>
    <row r="42" spans="1:7" x14ac:dyDescent="0.25">
      <c r="A42" s="1">
        <v>3</v>
      </c>
      <c r="B42" s="1">
        <v>2</v>
      </c>
      <c r="C42" s="1">
        <v>5</v>
      </c>
      <c r="D42" s="1">
        <v>3</v>
      </c>
    </row>
    <row r="43" spans="1:7" x14ac:dyDescent="0.25">
      <c r="A43" s="1">
        <v>4</v>
      </c>
      <c r="B43" s="1">
        <v>3</v>
      </c>
      <c r="C43" s="1">
        <v>4</v>
      </c>
      <c r="D43" s="1">
        <v>4</v>
      </c>
    </row>
    <row r="44" spans="1:7" x14ac:dyDescent="0.25">
      <c r="A44" s="1">
        <v>3</v>
      </c>
      <c r="B44" s="1">
        <v>3</v>
      </c>
      <c r="C44" s="1">
        <v>5</v>
      </c>
      <c r="D44" s="1">
        <v>5</v>
      </c>
      <c r="F44" t="s">
        <v>3</v>
      </c>
      <c r="G44">
        <f>DEVSQ(A:A)+DEVSQ(B:B)+DEVSQ(C:C)+DEVSQ(D:D)</f>
        <v>428.90322580645159</v>
      </c>
    </row>
    <row r="45" spans="1:7" x14ac:dyDescent="0.25">
      <c r="A45" s="1">
        <v>3</v>
      </c>
      <c r="B45" s="1">
        <v>5</v>
      </c>
      <c r="C45" s="1">
        <v>3</v>
      </c>
      <c r="D45" s="1">
        <v>3</v>
      </c>
    </row>
    <row r="46" spans="1:7" x14ac:dyDescent="0.25">
      <c r="A46" s="1">
        <v>4</v>
      </c>
      <c r="B46" s="1">
        <v>4</v>
      </c>
      <c r="C46" s="1">
        <v>2</v>
      </c>
      <c r="D46" s="1">
        <v>2</v>
      </c>
    </row>
    <row r="47" spans="1:7" x14ac:dyDescent="0.25">
      <c r="A47" s="1">
        <v>1</v>
      </c>
      <c r="B47" s="1">
        <v>4</v>
      </c>
      <c r="C47" s="1">
        <v>4</v>
      </c>
      <c r="D47" s="1">
        <v>4</v>
      </c>
      <c r="F47" s="2" t="s">
        <v>25</v>
      </c>
      <c r="G47" s="2"/>
    </row>
    <row r="48" spans="1:7" x14ac:dyDescent="0.25">
      <c r="A48" s="1">
        <v>3</v>
      </c>
      <c r="B48" s="1">
        <v>4</v>
      </c>
      <c r="C48" s="1">
        <v>2</v>
      </c>
      <c r="D48" s="1">
        <v>5</v>
      </c>
      <c r="F48" t="s">
        <v>27</v>
      </c>
      <c r="G48">
        <f>COUNT(A:A,B:B,C:C,D:D)</f>
        <v>372</v>
      </c>
    </row>
    <row r="49" spans="1:7" x14ac:dyDescent="0.25">
      <c r="A49" s="1">
        <v>2</v>
      </c>
      <c r="B49" s="1">
        <v>3</v>
      </c>
      <c r="C49" s="1">
        <v>4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2</v>
      </c>
      <c r="B50" s="1">
        <v>3</v>
      </c>
      <c r="C50" s="1">
        <v>2</v>
      </c>
      <c r="D50" s="1">
        <v>3</v>
      </c>
    </row>
    <row r="51" spans="1:7" x14ac:dyDescent="0.25">
      <c r="A51" s="1">
        <v>3</v>
      </c>
      <c r="B51" s="1">
        <v>5</v>
      </c>
      <c r="C51" s="1">
        <v>2</v>
      </c>
      <c r="D51" s="1">
        <v>2</v>
      </c>
    </row>
    <row r="52" spans="1:7" x14ac:dyDescent="0.25">
      <c r="A52" s="1">
        <v>2</v>
      </c>
      <c r="B52" s="1">
        <v>4</v>
      </c>
      <c r="C52" s="1">
        <v>2</v>
      </c>
      <c r="D52" s="1">
        <v>5</v>
      </c>
    </row>
    <row r="53" spans="1:7" x14ac:dyDescent="0.25">
      <c r="A53" s="1">
        <v>5</v>
      </c>
      <c r="B53" s="1">
        <v>3</v>
      </c>
      <c r="C53" s="1">
        <v>5</v>
      </c>
      <c r="D53" s="1">
        <v>5</v>
      </c>
    </row>
    <row r="54" spans="1:7" x14ac:dyDescent="0.25">
      <c r="A54" s="1">
        <v>4</v>
      </c>
      <c r="B54" s="1">
        <v>5</v>
      </c>
      <c r="C54" s="1">
        <v>1</v>
      </c>
      <c r="D54" s="1">
        <v>2</v>
      </c>
      <c r="F54" t="s">
        <v>4</v>
      </c>
      <c r="G54">
        <f>G48-G49</f>
        <v>368</v>
      </c>
    </row>
    <row r="55" spans="1:7" x14ac:dyDescent="0.25">
      <c r="A55" s="1">
        <v>5</v>
      </c>
      <c r="B55" s="1">
        <v>2</v>
      </c>
      <c r="C55" s="1">
        <v>3</v>
      </c>
      <c r="D55" s="1">
        <v>5</v>
      </c>
    </row>
    <row r="56" spans="1:7" x14ac:dyDescent="0.25">
      <c r="A56" s="1">
        <v>4</v>
      </c>
      <c r="B56" s="1">
        <v>3</v>
      </c>
      <c r="C56" s="1">
        <v>4</v>
      </c>
      <c r="D56" s="1">
        <v>4</v>
      </c>
    </row>
    <row r="57" spans="1:7" x14ac:dyDescent="0.25">
      <c r="A57" s="1">
        <v>4</v>
      </c>
      <c r="B57" s="1">
        <v>3</v>
      </c>
      <c r="C57" s="1">
        <v>2</v>
      </c>
      <c r="D57" s="1">
        <v>2</v>
      </c>
      <c r="F57" s="2" t="s">
        <v>28</v>
      </c>
      <c r="G57" s="2"/>
    </row>
    <row r="58" spans="1:7" x14ac:dyDescent="0.25">
      <c r="A58" s="1">
        <v>4</v>
      </c>
      <c r="B58" s="1">
        <v>3</v>
      </c>
      <c r="C58" s="1">
        <v>4</v>
      </c>
      <c r="D58" s="1">
        <v>5</v>
      </c>
      <c r="F58" t="s">
        <v>29</v>
      </c>
    </row>
    <row r="59" spans="1:7" x14ac:dyDescent="0.25">
      <c r="A59" s="1">
        <v>2</v>
      </c>
      <c r="B59" s="1">
        <v>2</v>
      </c>
      <c r="C59" s="1">
        <v>2</v>
      </c>
      <c r="D59" s="1">
        <v>4</v>
      </c>
    </row>
    <row r="60" spans="1:7" x14ac:dyDescent="0.25">
      <c r="A60" s="1">
        <v>4</v>
      </c>
      <c r="B60" s="1">
        <v>4</v>
      </c>
      <c r="C60" s="1">
        <v>5</v>
      </c>
      <c r="D60" s="1">
        <v>5</v>
      </c>
    </row>
    <row r="61" spans="1:7" x14ac:dyDescent="0.25">
      <c r="A61" s="1">
        <v>4</v>
      </c>
      <c r="B61" s="1">
        <v>3</v>
      </c>
      <c r="C61" s="1">
        <v>3</v>
      </c>
      <c r="D61" s="1">
        <v>5</v>
      </c>
    </row>
    <row r="62" spans="1:7" x14ac:dyDescent="0.25">
      <c r="A62" s="1">
        <v>3</v>
      </c>
      <c r="B62" s="1">
        <v>3</v>
      </c>
      <c r="C62" s="1">
        <v>3</v>
      </c>
      <c r="D62" s="1">
        <v>3</v>
      </c>
    </row>
    <row r="63" spans="1:7" x14ac:dyDescent="0.25">
      <c r="A63" s="1">
        <v>5</v>
      </c>
      <c r="B63" s="1">
        <v>4</v>
      </c>
      <c r="C63" s="1">
        <v>5</v>
      </c>
      <c r="D63" s="1">
        <v>4</v>
      </c>
    </row>
    <row r="64" spans="1:7" x14ac:dyDescent="0.25">
      <c r="A64" s="1">
        <v>2</v>
      </c>
      <c r="B64" s="1">
        <v>2</v>
      </c>
      <c r="C64" s="1">
        <v>4</v>
      </c>
      <c r="D64" s="1">
        <v>1</v>
      </c>
      <c r="F64" t="s">
        <v>5</v>
      </c>
      <c r="G64">
        <f>G44/G54</f>
        <v>1.1654978962131837</v>
      </c>
    </row>
    <row r="65" spans="1:7" x14ac:dyDescent="0.25">
      <c r="A65" s="1">
        <v>5</v>
      </c>
      <c r="B65" s="1">
        <v>3</v>
      </c>
      <c r="C65" s="1">
        <v>5</v>
      </c>
      <c r="D65" s="1">
        <v>4</v>
      </c>
    </row>
    <row r="66" spans="1:7" x14ac:dyDescent="0.25">
      <c r="A66" s="1">
        <v>1</v>
      </c>
      <c r="B66" s="1">
        <v>3</v>
      </c>
      <c r="C66" s="1">
        <v>3</v>
      </c>
      <c r="D66" s="1">
        <v>5</v>
      </c>
    </row>
    <row r="67" spans="1:7" x14ac:dyDescent="0.25">
      <c r="A67" s="1">
        <v>3</v>
      </c>
      <c r="B67" s="1">
        <v>2</v>
      </c>
      <c r="C67" s="1">
        <v>4</v>
      </c>
      <c r="D67" s="1">
        <v>5</v>
      </c>
      <c r="F67" s="2" t="s">
        <v>30</v>
      </c>
      <c r="G67" s="2"/>
    </row>
    <row r="68" spans="1:7" x14ac:dyDescent="0.25">
      <c r="A68" s="1">
        <v>4</v>
      </c>
      <c r="B68" s="1">
        <v>2</v>
      </c>
      <c r="C68" s="1">
        <v>3</v>
      </c>
      <c r="D68" s="1">
        <v>5</v>
      </c>
      <c r="F68" t="s">
        <v>31</v>
      </c>
    </row>
    <row r="69" spans="1:7" x14ac:dyDescent="0.25">
      <c r="A69" s="1">
        <v>5</v>
      </c>
      <c r="B69" s="1">
        <v>3</v>
      </c>
      <c r="C69" s="1">
        <v>4</v>
      </c>
      <c r="D69" s="1">
        <v>5</v>
      </c>
      <c r="F69" t="s">
        <v>32</v>
      </c>
    </row>
    <row r="70" spans="1:7" x14ac:dyDescent="0.25">
      <c r="A70" s="1">
        <v>2</v>
      </c>
      <c r="B70" s="1">
        <v>2</v>
      </c>
      <c r="C70" s="1">
        <v>4</v>
      </c>
      <c r="D70" s="1">
        <v>5</v>
      </c>
    </row>
    <row r="71" spans="1:7" x14ac:dyDescent="0.25">
      <c r="A71" s="1">
        <v>3</v>
      </c>
      <c r="B71" s="1">
        <v>3</v>
      </c>
      <c r="C71" s="1">
        <v>3</v>
      </c>
      <c r="D71" s="1">
        <v>5</v>
      </c>
    </row>
    <row r="72" spans="1:7" x14ac:dyDescent="0.25">
      <c r="A72" s="1">
        <v>3</v>
      </c>
      <c r="B72" s="1">
        <v>3</v>
      </c>
      <c r="C72" s="1">
        <v>5</v>
      </c>
      <c r="D72" s="1">
        <v>4</v>
      </c>
    </row>
    <row r="73" spans="1:7" x14ac:dyDescent="0.25">
      <c r="A73" s="1">
        <v>3</v>
      </c>
      <c r="B73" s="1">
        <v>3</v>
      </c>
      <c r="C73" s="1">
        <v>2</v>
      </c>
      <c r="D73" s="1">
        <v>3</v>
      </c>
    </row>
    <row r="74" spans="1:7" x14ac:dyDescent="0.25">
      <c r="A74" s="1">
        <v>5</v>
      </c>
      <c r="B74" s="1">
        <v>3</v>
      </c>
      <c r="C74" s="1">
        <v>2</v>
      </c>
      <c r="D74" s="1">
        <v>4</v>
      </c>
      <c r="F74" t="s">
        <v>2</v>
      </c>
      <c r="G74">
        <f>G34/G64</f>
        <v>13.033025805588988</v>
      </c>
    </row>
    <row r="75" spans="1:7" x14ac:dyDescent="0.25">
      <c r="A75" s="1">
        <v>4</v>
      </c>
      <c r="B75" s="1">
        <v>5</v>
      </c>
      <c r="C75" s="1">
        <v>3</v>
      </c>
      <c r="D75" s="1">
        <v>4</v>
      </c>
    </row>
    <row r="76" spans="1:7" x14ac:dyDescent="0.25">
      <c r="A76" s="1">
        <v>5</v>
      </c>
      <c r="B76" s="1">
        <v>2</v>
      </c>
      <c r="C76" s="1">
        <v>3</v>
      </c>
      <c r="D76" s="1">
        <v>5</v>
      </c>
    </row>
    <row r="77" spans="1:7" x14ac:dyDescent="0.25">
      <c r="A77" s="1">
        <v>2</v>
      </c>
      <c r="B77" s="1">
        <v>2</v>
      </c>
      <c r="C77" s="1">
        <v>2</v>
      </c>
      <c r="D77" s="1">
        <v>5</v>
      </c>
      <c r="F77" s="2" t="s">
        <v>35</v>
      </c>
      <c r="G77" s="2"/>
    </row>
    <row r="78" spans="1:7" x14ac:dyDescent="0.25">
      <c r="A78" s="1">
        <v>3</v>
      </c>
      <c r="B78" s="1">
        <v>5</v>
      </c>
      <c r="C78" s="1">
        <v>4</v>
      </c>
      <c r="D78" s="1">
        <v>4</v>
      </c>
    </row>
    <row r="79" spans="1:7" x14ac:dyDescent="0.25">
      <c r="A79" s="1">
        <v>4</v>
      </c>
      <c r="B79" s="1">
        <v>2</v>
      </c>
      <c r="C79" s="1">
        <v>5</v>
      </c>
      <c r="D79" s="1">
        <v>4</v>
      </c>
      <c r="F79" s="4" t="s">
        <v>33</v>
      </c>
      <c r="G79">
        <v>0.05</v>
      </c>
    </row>
    <row r="80" spans="1:7" x14ac:dyDescent="0.25">
      <c r="A80" s="1">
        <v>5</v>
      </c>
      <c r="B80" s="1">
        <v>5</v>
      </c>
      <c r="C80" s="1">
        <v>4</v>
      </c>
      <c r="D80" s="1">
        <v>5</v>
      </c>
      <c r="F80" t="s">
        <v>0</v>
      </c>
      <c r="G80">
        <f xml:space="preserve"> G25</f>
        <v>3</v>
      </c>
    </row>
    <row r="81" spans="1:7" x14ac:dyDescent="0.25">
      <c r="A81" s="1">
        <v>4</v>
      </c>
      <c r="B81" s="1">
        <v>4</v>
      </c>
      <c r="C81" s="1">
        <v>2</v>
      </c>
      <c r="D81" s="1">
        <v>3</v>
      </c>
      <c r="F81" t="s">
        <v>4</v>
      </c>
      <c r="G81">
        <f xml:space="preserve"> G54</f>
        <v>368</v>
      </c>
    </row>
    <row r="82" spans="1:7" x14ac:dyDescent="0.25">
      <c r="A82" s="1">
        <v>4</v>
      </c>
      <c r="B82" s="1">
        <v>3</v>
      </c>
      <c r="C82" s="1">
        <v>5</v>
      </c>
      <c r="D82" s="1">
        <v>3</v>
      </c>
      <c r="F82" t="s">
        <v>34</v>
      </c>
      <c r="G82">
        <f>FINV(G79, G80, G81)</f>
        <v>2.6291647929246422</v>
      </c>
    </row>
    <row r="83" spans="1:7" x14ac:dyDescent="0.25">
      <c r="A83" s="1">
        <v>3</v>
      </c>
      <c r="B83" s="1">
        <v>5</v>
      </c>
      <c r="C83" s="1">
        <v>3</v>
      </c>
      <c r="D83" s="1">
        <v>4</v>
      </c>
      <c r="F83" t="s">
        <v>36</v>
      </c>
      <c r="G83">
        <f>_xlfn.F.DIST.RT(G74, G80, G81)</f>
        <v>4.1573119479939826E-8</v>
      </c>
    </row>
    <row r="84" spans="1:7" x14ac:dyDescent="0.25">
      <c r="A84" s="1">
        <v>3</v>
      </c>
      <c r="B84" s="1">
        <v>2</v>
      </c>
      <c r="C84" s="1">
        <v>1</v>
      </c>
      <c r="D84" s="1">
        <v>5</v>
      </c>
    </row>
    <row r="85" spans="1:7" x14ac:dyDescent="0.25">
      <c r="A85" s="1">
        <v>2</v>
      </c>
      <c r="B85" s="1">
        <v>2</v>
      </c>
      <c r="C85" s="1">
        <v>2</v>
      </c>
      <c r="D85" s="1">
        <v>3</v>
      </c>
      <c r="F85" s="2" t="s">
        <v>6</v>
      </c>
      <c r="G85" s="2"/>
    </row>
    <row r="86" spans="1:7" x14ac:dyDescent="0.25">
      <c r="A86" s="1">
        <v>3</v>
      </c>
      <c r="B86" s="1">
        <v>3</v>
      </c>
      <c r="C86" s="1">
        <v>3</v>
      </c>
      <c r="D86" s="1">
        <v>4</v>
      </c>
    </row>
    <row r="87" spans="1:7" x14ac:dyDescent="0.25">
      <c r="A87" s="1">
        <v>5</v>
      </c>
      <c r="B87" s="1">
        <v>5</v>
      </c>
      <c r="C87" s="1">
        <v>5</v>
      </c>
      <c r="D87" s="1">
        <v>3</v>
      </c>
      <c r="F87" t="s">
        <v>40</v>
      </c>
    </row>
    <row r="88" spans="1:7" x14ac:dyDescent="0.25">
      <c r="A88" s="1">
        <v>3</v>
      </c>
      <c r="B88" s="1">
        <v>4</v>
      </c>
      <c r="C88" s="1">
        <v>2</v>
      </c>
      <c r="D88" s="1">
        <v>3</v>
      </c>
      <c r="F88" t="s">
        <v>41</v>
      </c>
    </row>
    <row r="89" spans="1:7" x14ac:dyDescent="0.25">
      <c r="A89" s="1">
        <v>3</v>
      </c>
      <c r="B89" s="1">
        <v>3</v>
      </c>
      <c r="C89" s="1">
        <v>3</v>
      </c>
      <c r="D89" s="1">
        <v>3</v>
      </c>
    </row>
    <row r="90" spans="1:7" x14ac:dyDescent="0.25">
      <c r="A90" s="1">
        <v>3</v>
      </c>
      <c r="B90" s="1">
        <v>1</v>
      </c>
      <c r="C90" s="1">
        <v>5</v>
      </c>
      <c r="D90" s="1">
        <v>4</v>
      </c>
      <c r="F90" t="str">
        <f>"Si F calculado ("&amp;G74&amp;") &gt; F critico ("&amp;G82&amp;") ---&gt; Se rechaza la hipotesis nula"</f>
        <v>Si F calculado (13.033025805589) &gt; F critico (2.62916479292464) ---&gt; Se rechaza la hipotesis nula</v>
      </c>
    </row>
    <row r="91" spans="1:7" x14ac:dyDescent="0.25">
      <c r="A91" s="1">
        <v>3</v>
      </c>
      <c r="B91" s="1">
        <v>3</v>
      </c>
      <c r="C91" s="1">
        <v>5</v>
      </c>
      <c r="D91" s="1">
        <v>5</v>
      </c>
      <c r="F91" t="str">
        <f>"Si p-valor ("&amp;G83&amp;") &lt; α Nivel Significancia ("&amp;G79&amp;") ---&gt; Se rechaza la hipotesis nula"</f>
        <v>Si p-valor (4.15731194799398E-08) &lt; α Nivel Significancia (0.05) ---&gt; Se rechaza la hipotesis nula</v>
      </c>
    </row>
    <row r="92" spans="1:7" x14ac:dyDescent="0.25">
      <c r="A92" s="1">
        <v>3</v>
      </c>
      <c r="B92" s="1">
        <v>4</v>
      </c>
      <c r="C92" s="1">
        <v>2</v>
      </c>
      <c r="D92" s="1">
        <v>4</v>
      </c>
    </row>
    <row r="93" spans="1:7" x14ac:dyDescent="0.25">
      <c r="A93" s="1">
        <v>3</v>
      </c>
      <c r="B93" s="1">
        <v>3</v>
      </c>
      <c r="C93" s="1">
        <v>3</v>
      </c>
      <c r="D93" s="1">
        <v>4</v>
      </c>
    </row>
    <row r="94" spans="1:7" x14ac:dyDescent="0.25">
      <c r="A94" s="1">
        <v>4</v>
      </c>
      <c r="B94" s="1">
        <v>3</v>
      </c>
      <c r="C94" s="1">
        <v>2</v>
      </c>
      <c r="D94" s="1">
        <v>3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F1" sqref="F1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3</v>
      </c>
      <c r="B2" s="1">
        <v>4</v>
      </c>
      <c r="C2" s="1">
        <v>4</v>
      </c>
      <c r="D2" s="1">
        <v>3</v>
      </c>
      <c r="F2" s="2" t="s">
        <v>13</v>
      </c>
      <c r="G2" s="2"/>
    </row>
    <row r="3" spans="1:7" x14ac:dyDescent="0.25">
      <c r="A3" s="1">
        <v>2</v>
      </c>
      <c r="B3" s="1">
        <v>3</v>
      </c>
      <c r="C3" s="1">
        <v>3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4</v>
      </c>
      <c r="B4" s="1">
        <v>1</v>
      </c>
      <c r="C4" s="1">
        <v>3</v>
      </c>
      <c r="D4" s="1">
        <v>4</v>
      </c>
      <c r="F4" t="s">
        <v>7</v>
      </c>
      <c r="G4">
        <f>AVERAGE(A:A)</f>
        <v>3.3440860215053765</v>
      </c>
    </row>
    <row r="5" spans="1:7" x14ac:dyDescent="0.25">
      <c r="A5" s="1">
        <v>4</v>
      </c>
      <c r="B5" s="1">
        <v>5</v>
      </c>
      <c r="C5" s="1">
        <v>2</v>
      </c>
      <c r="D5" s="1">
        <v>2</v>
      </c>
      <c r="F5" t="s">
        <v>8</v>
      </c>
      <c r="G5">
        <f>AVERAGE(B:B)</f>
        <v>3.3010752688172045</v>
      </c>
    </row>
    <row r="6" spans="1:7" x14ac:dyDescent="0.25">
      <c r="A6" s="1">
        <v>3</v>
      </c>
      <c r="B6" s="1">
        <v>1</v>
      </c>
      <c r="C6" s="1">
        <v>4</v>
      </c>
      <c r="D6" s="1">
        <v>4</v>
      </c>
      <c r="F6" t="s">
        <v>9</v>
      </c>
      <c r="G6">
        <f>AVERAGE(C:C)</f>
        <v>3.5483870967741935</v>
      </c>
    </row>
    <row r="7" spans="1:7" x14ac:dyDescent="0.25">
      <c r="A7" s="1">
        <v>4</v>
      </c>
      <c r="B7" s="1">
        <v>3</v>
      </c>
      <c r="C7" s="1">
        <v>3</v>
      </c>
      <c r="D7" s="1">
        <v>4</v>
      </c>
      <c r="F7" t="s">
        <v>10</v>
      </c>
      <c r="G7">
        <f>AVERAGE(D:D)</f>
        <v>3.946236559139785</v>
      </c>
    </row>
    <row r="8" spans="1:7" x14ac:dyDescent="0.25">
      <c r="A8" s="1">
        <v>5</v>
      </c>
      <c r="B8" s="1">
        <v>5</v>
      </c>
      <c r="C8" s="1">
        <v>3</v>
      </c>
      <c r="D8" s="1">
        <v>5</v>
      </c>
      <c r="F8" t="s">
        <v>15</v>
      </c>
      <c r="G8">
        <f>AVERAGE(G4:G7)</f>
        <v>3.53494623655914</v>
      </c>
    </row>
    <row r="9" spans="1:7" x14ac:dyDescent="0.25">
      <c r="A9" s="1">
        <v>4</v>
      </c>
      <c r="B9" s="1">
        <v>4</v>
      </c>
      <c r="C9" s="1">
        <v>3</v>
      </c>
      <c r="D9" s="1">
        <v>4</v>
      </c>
    </row>
    <row r="10" spans="1:7" x14ac:dyDescent="0.25">
      <c r="A10" s="1">
        <v>5</v>
      </c>
      <c r="B10" s="1">
        <v>3</v>
      </c>
      <c r="C10" s="1">
        <v>3</v>
      </c>
      <c r="D10" s="1">
        <v>3</v>
      </c>
    </row>
    <row r="11" spans="1:7" x14ac:dyDescent="0.25">
      <c r="A11" s="1">
        <v>2</v>
      </c>
      <c r="B11" s="1">
        <v>5</v>
      </c>
      <c r="C11" s="1">
        <v>4</v>
      </c>
      <c r="D11" s="1">
        <v>5</v>
      </c>
      <c r="F11" s="2" t="s">
        <v>12</v>
      </c>
      <c r="G11" s="2"/>
    </row>
    <row r="12" spans="1:7" x14ac:dyDescent="0.25">
      <c r="A12" s="1">
        <v>2</v>
      </c>
      <c r="B12" s="1">
        <v>3</v>
      </c>
      <c r="C12" s="1">
        <v>3</v>
      </c>
      <c r="D12" s="1">
        <v>5</v>
      </c>
      <c r="F12" s="3" t="s">
        <v>17</v>
      </c>
    </row>
    <row r="13" spans="1:7" x14ac:dyDescent="0.25">
      <c r="A13" s="1">
        <v>3</v>
      </c>
      <c r="B13" s="1">
        <v>4</v>
      </c>
      <c r="C13" s="1">
        <v>5</v>
      </c>
      <c r="D13" s="1">
        <v>5</v>
      </c>
      <c r="F13" s="3" t="s">
        <v>18</v>
      </c>
    </row>
    <row r="14" spans="1:7" x14ac:dyDescent="0.25">
      <c r="A14" s="1">
        <v>2</v>
      </c>
      <c r="B14" s="1">
        <v>3</v>
      </c>
      <c r="C14" s="1">
        <v>4</v>
      </c>
      <c r="D14" s="1">
        <v>5</v>
      </c>
    </row>
    <row r="15" spans="1:7" x14ac:dyDescent="0.25">
      <c r="A15" s="1">
        <v>2</v>
      </c>
      <c r="B15" s="1">
        <v>5</v>
      </c>
      <c r="C15" s="1">
        <v>3</v>
      </c>
      <c r="D15" s="1">
        <v>5</v>
      </c>
    </row>
    <row r="16" spans="1:7" x14ac:dyDescent="0.25">
      <c r="A16" s="1">
        <v>4</v>
      </c>
      <c r="B16" s="1">
        <v>2</v>
      </c>
      <c r="C16" s="1">
        <v>3</v>
      </c>
      <c r="D16" s="1">
        <v>4</v>
      </c>
    </row>
    <row r="17" spans="1:7" x14ac:dyDescent="0.25">
      <c r="A17" s="1">
        <v>2</v>
      </c>
      <c r="B17" s="1">
        <v>1</v>
      </c>
      <c r="C17" s="1">
        <v>1</v>
      </c>
      <c r="D17" s="1">
        <v>2</v>
      </c>
      <c r="F17" t="s">
        <v>11</v>
      </c>
      <c r="G17">
        <f>G3*((G4-G8)^2+(G5-G8)^2+(G6-G8)^2+(G7-G8)^2)</f>
        <v>24.223118279569885</v>
      </c>
    </row>
    <row r="18" spans="1:7" x14ac:dyDescent="0.25">
      <c r="A18" s="1">
        <v>3</v>
      </c>
      <c r="B18" s="1">
        <v>1</v>
      </c>
      <c r="C18" s="1">
        <v>3</v>
      </c>
      <c r="D18" s="1">
        <v>4</v>
      </c>
    </row>
    <row r="19" spans="1:7" x14ac:dyDescent="0.25">
      <c r="A19" s="1">
        <v>2</v>
      </c>
      <c r="B19" s="1">
        <v>3</v>
      </c>
      <c r="C19" s="1">
        <v>3</v>
      </c>
      <c r="D19" s="1">
        <v>5</v>
      </c>
    </row>
    <row r="20" spans="1:7" x14ac:dyDescent="0.25">
      <c r="A20" s="1">
        <v>2</v>
      </c>
      <c r="B20" s="1">
        <v>5</v>
      </c>
      <c r="C20" s="1">
        <v>3</v>
      </c>
      <c r="D20" s="1">
        <v>5</v>
      </c>
      <c r="F20" s="2" t="s">
        <v>19</v>
      </c>
      <c r="G20" s="2"/>
    </row>
    <row r="21" spans="1:7" x14ac:dyDescent="0.25">
      <c r="A21" s="1">
        <v>4</v>
      </c>
      <c r="B21" s="1">
        <v>3</v>
      </c>
      <c r="C21" s="1">
        <v>3</v>
      </c>
      <c r="D21" s="1">
        <v>3</v>
      </c>
      <c r="F21" t="s">
        <v>20</v>
      </c>
    </row>
    <row r="22" spans="1:7" x14ac:dyDescent="0.25">
      <c r="A22" s="1">
        <v>5</v>
      </c>
      <c r="B22" s="1">
        <v>5</v>
      </c>
      <c r="C22" s="1">
        <v>5</v>
      </c>
      <c r="D22" s="1">
        <v>5</v>
      </c>
      <c r="F22" t="s">
        <v>16</v>
      </c>
      <c r="G22">
        <v>4</v>
      </c>
    </row>
    <row r="23" spans="1:7" x14ac:dyDescent="0.25">
      <c r="A23" s="1">
        <v>4</v>
      </c>
      <c r="B23" s="1">
        <v>5</v>
      </c>
      <c r="C23" s="1">
        <v>4</v>
      </c>
      <c r="D23" s="1">
        <v>3</v>
      </c>
    </row>
    <row r="24" spans="1:7" x14ac:dyDescent="0.25">
      <c r="A24" s="1">
        <v>4</v>
      </c>
      <c r="B24" s="1">
        <v>4</v>
      </c>
      <c r="C24" s="1">
        <v>4</v>
      </c>
      <c r="D24" s="1">
        <v>4</v>
      </c>
    </row>
    <row r="25" spans="1:7" x14ac:dyDescent="0.25">
      <c r="A25" s="1">
        <v>2</v>
      </c>
      <c r="B25" s="1">
        <v>3</v>
      </c>
      <c r="C25" s="1">
        <v>4</v>
      </c>
      <c r="D25" s="1">
        <v>3</v>
      </c>
      <c r="F25" t="s">
        <v>0</v>
      </c>
      <c r="G25">
        <f>G22-1</f>
        <v>3</v>
      </c>
    </row>
    <row r="26" spans="1:7" x14ac:dyDescent="0.25">
      <c r="A26" s="1">
        <v>2</v>
      </c>
      <c r="B26" s="1">
        <v>2</v>
      </c>
      <c r="C26" s="1">
        <v>5</v>
      </c>
      <c r="D26" s="1">
        <v>5</v>
      </c>
    </row>
    <row r="27" spans="1:7" x14ac:dyDescent="0.25">
      <c r="A27" s="1">
        <v>5</v>
      </c>
      <c r="B27" s="1">
        <v>3</v>
      </c>
      <c r="C27" s="1">
        <v>5</v>
      </c>
      <c r="D27" s="1">
        <v>3</v>
      </c>
    </row>
    <row r="28" spans="1:7" x14ac:dyDescent="0.25">
      <c r="A28" s="1">
        <v>3</v>
      </c>
      <c r="B28" s="1">
        <v>3</v>
      </c>
      <c r="C28" s="1">
        <v>4</v>
      </c>
      <c r="D28" s="1">
        <v>5</v>
      </c>
      <c r="F28" s="2" t="s">
        <v>21</v>
      </c>
      <c r="G28" s="2"/>
    </row>
    <row r="29" spans="1:7" x14ac:dyDescent="0.25">
      <c r="A29" s="1">
        <v>4</v>
      </c>
      <c r="B29" s="1">
        <v>4</v>
      </c>
      <c r="C29" s="1">
        <v>1</v>
      </c>
      <c r="D29" s="1">
        <v>2</v>
      </c>
      <c r="F29" t="s">
        <v>22</v>
      </c>
    </row>
    <row r="30" spans="1:7" x14ac:dyDescent="0.25">
      <c r="A30" s="1">
        <v>4</v>
      </c>
      <c r="B30" s="1">
        <v>1</v>
      </c>
      <c r="C30" s="1">
        <v>4</v>
      </c>
      <c r="D30" s="1">
        <v>4</v>
      </c>
    </row>
    <row r="31" spans="1:7" x14ac:dyDescent="0.25">
      <c r="A31" s="1">
        <v>5</v>
      </c>
      <c r="B31" s="1">
        <v>4</v>
      </c>
      <c r="C31" s="1">
        <v>3</v>
      </c>
      <c r="D31" s="1">
        <v>5</v>
      </c>
    </row>
    <row r="32" spans="1:7" x14ac:dyDescent="0.25">
      <c r="A32" s="1">
        <v>4</v>
      </c>
      <c r="B32" s="1">
        <v>3</v>
      </c>
      <c r="C32" s="1">
        <v>5</v>
      </c>
      <c r="D32" s="1">
        <v>5</v>
      </c>
    </row>
    <row r="33" spans="1:7" x14ac:dyDescent="0.25">
      <c r="A33" s="1">
        <v>1</v>
      </c>
      <c r="B33" s="1">
        <v>5</v>
      </c>
      <c r="C33" s="1">
        <v>3</v>
      </c>
      <c r="D33" s="1">
        <v>5</v>
      </c>
    </row>
    <row r="34" spans="1:7" x14ac:dyDescent="0.25">
      <c r="A34" s="1">
        <v>4</v>
      </c>
      <c r="B34" s="1">
        <v>2</v>
      </c>
      <c r="C34" s="1">
        <v>4</v>
      </c>
      <c r="D34" s="1">
        <v>3</v>
      </c>
      <c r="F34" t="s">
        <v>1</v>
      </c>
      <c r="G34">
        <f>G17/G25</f>
        <v>8.0743727598566277</v>
      </c>
    </row>
    <row r="35" spans="1:7" x14ac:dyDescent="0.25">
      <c r="A35" s="1">
        <v>3</v>
      </c>
      <c r="B35" s="1">
        <v>3</v>
      </c>
      <c r="C35" s="1">
        <v>4</v>
      </c>
      <c r="D35" s="1">
        <v>5</v>
      </c>
    </row>
    <row r="36" spans="1:7" x14ac:dyDescent="0.25">
      <c r="A36" s="1">
        <v>3</v>
      </c>
      <c r="B36" s="1">
        <v>4</v>
      </c>
      <c r="C36" s="1">
        <v>3</v>
      </c>
      <c r="D36" s="1">
        <v>4</v>
      </c>
    </row>
    <row r="37" spans="1:7" x14ac:dyDescent="0.25">
      <c r="A37" s="1">
        <v>4</v>
      </c>
      <c r="B37" s="1">
        <v>5</v>
      </c>
      <c r="C37" s="1">
        <v>5</v>
      </c>
      <c r="D37" s="1">
        <v>5</v>
      </c>
      <c r="F37" s="2" t="s">
        <v>26</v>
      </c>
      <c r="G37" s="2"/>
    </row>
    <row r="38" spans="1:7" x14ac:dyDescent="0.25">
      <c r="A38" s="1">
        <v>1</v>
      </c>
      <c r="B38" s="1">
        <v>3</v>
      </c>
      <c r="C38" s="1">
        <v>5</v>
      </c>
      <c r="D38" s="1">
        <v>4</v>
      </c>
      <c r="F38" t="s">
        <v>23</v>
      </c>
    </row>
    <row r="39" spans="1:7" x14ac:dyDescent="0.25">
      <c r="A39" s="1">
        <v>1</v>
      </c>
      <c r="B39" s="1">
        <v>3</v>
      </c>
      <c r="C39" s="1">
        <v>4</v>
      </c>
      <c r="D39" s="1">
        <v>3</v>
      </c>
      <c r="F39" t="s">
        <v>24</v>
      </c>
    </row>
    <row r="40" spans="1:7" x14ac:dyDescent="0.25">
      <c r="A40" s="1">
        <v>4</v>
      </c>
      <c r="B40" s="1">
        <v>4</v>
      </c>
      <c r="C40" s="1">
        <v>5</v>
      </c>
      <c r="D40" s="1">
        <v>3</v>
      </c>
    </row>
    <row r="41" spans="1:7" x14ac:dyDescent="0.25">
      <c r="A41" s="1">
        <v>3</v>
      </c>
      <c r="B41" s="1">
        <v>1</v>
      </c>
      <c r="C41" s="1">
        <v>5</v>
      </c>
      <c r="D41" s="1">
        <v>3</v>
      </c>
    </row>
    <row r="42" spans="1:7" x14ac:dyDescent="0.25">
      <c r="A42" s="1">
        <v>4</v>
      </c>
      <c r="B42" s="1">
        <v>5</v>
      </c>
      <c r="C42" s="1">
        <v>4</v>
      </c>
      <c r="D42" s="1">
        <v>5</v>
      </c>
    </row>
    <row r="43" spans="1:7" x14ac:dyDescent="0.25">
      <c r="A43" s="1">
        <v>4</v>
      </c>
      <c r="B43" s="1">
        <v>4</v>
      </c>
      <c r="C43" s="1">
        <v>2</v>
      </c>
      <c r="D43" s="1">
        <v>5</v>
      </c>
    </row>
    <row r="44" spans="1:7" x14ac:dyDescent="0.25">
      <c r="A44" s="1">
        <v>5</v>
      </c>
      <c r="B44" s="1">
        <v>1</v>
      </c>
      <c r="C44" s="1">
        <v>3</v>
      </c>
      <c r="D44" s="1">
        <v>3</v>
      </c>
      <c r="F44" t="s">
        <v>3</v>
      </c>
      <c r="G44">
        <f>DEVSQ(A:A)+DEVSQ(B:B)+DEVSQ(C:C)+DEVSQ(D:D)</f>
        <v>480.32258064516117</v>
      </c>
    </row>
    <row r="45" spans="1:7" x14ac:dyDescent="0.25">
      <c r="A45" s="1">
        <v>3</v>
      </c>
      <c r="B45" s="1">
        <v>4</v>
      </c>
      <c r="C45" s="1">
        <v>3</v>
      </c>
      <c r="D45" s="1">
        <v>5</v>
      </c>
    </row>
    <row r="46" spans="1:7" x14ac:dyDescent="0.25">
      <c r="A46" s="1">
        <v>3</v>
      </c>
      <c r="B46" s="1">
        <v>3</v>
      </c>
      <c r="C46" s="1">
        <v>4</v>
      </c>
      <c r="D46" s="1">
        <v>4</v>
      </c>
    </row>
    <row r="47" spans="1:7" x14ac:dyDescent="0.25">
      <c r="A47" s="1">
        <v>5</v>
      </c>
      <c r="B47" s="1">
        <v>4</v>
      </c>
      <c r="C47" s="1">
        <v>2</v>
      </c>
      <c r="D47" s="1">
        <v>5</v>
      </c>
      <c r="F47" s="2" t="s">
        <v>25</v>
      </c>
      <c r="G47" s="2"/>
    </row>
    <row r="48" spans="1:7" x14ac:dyDescent="0.25">
      <c r="A48" s="1">
        <v>4</v>
      </c>
      <c r="B48" s="1">
        <v>4</v>
      </c>
      <c r="C48" s="1">
        <v>4</v>
      </c>
      <c r="D48" s="1">
        <v>5</v>
      </c>
      <c r="F48" t="s">
        <v>27</v>
      </c>
      <c r="G48">
        <f>COUNT(A:A,B:B,C:C,D:D)</f>
        <v>372</v>
      </c>
    </row>
    <row r="49" spans="1:7" x14ac:dyDescent="0.25">
      <c r="A49" s="1">
        <v>2</v>
      </c>
      <c r="B49" s="1">
        <v>1</v>
      </c>
      <c r="C49" s="1">
        <v>5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4</v>
      </c>
      <c r="B50" s="1">
        <v>4</v>
      </c>
      <c r="C50" s="1">
        <v>3</v>
      </c>
      <c r="D50" s="1">
        <v>2</v>
      </c>
    </row>
    <row r="51" spans="1:7" x14ac:dyDescent="0.25">
      <c r="A51" s="1">
        <v>5</v>
      </c>
      <c r="B51" s="1">
        <v>2</v>
      </c>
      <c r="C51" s="1">
        <v>5</v>
      </c>
      <c r="D51" s="1">
        <v>5</v>
      </c>
    </row>
    <row r="52" spans="1:7" x14ac:dyDescent="0.25">
      <c r="A52" s="1">
        <v>3</v>
      </c>
      <c r="B52" s="1">
        <v>4</v>
      </c>
      <c r="C52" s="1">
        <v>4</v>
      </c>
      <c r="D52" s="1">
        <v>4</v>
      </c>
    </row>
    <row r="53" spans="1:7" x14ac:dyDescent="0.25">
      <c r="A53" s="1">
        <v>1</v>
      </c>
      <c r="B53" s="1">
        <v>4</v>
      </c>
      <c r="C53" s="1">
        <v>3</v>
      </c>
      <c r="D53" s="1">
        <v>5</v>
      </c>
    </row>
    <row r="54" spans="1:7" x14ac:dyDescent="0.25">
      <c r="A54" s="1">
        <v>4</v>
      </c>
      <c r="B54" s="1">
        <v>5</v>
      </c>
      <c r="C54" s="1">
        <v>2</v>
      </c>
      <c r="D54" s="1">
        <v>4</v>
      </c>
      <c r="F54" t="s">
        <v>4</v>
      </c>
      <c r="G54">
        <f>G48-G49</f>
        <v>368</v>
      </c>
    </row>
    <row r="55" spans="1:7" x14ac:dyDescent="0.25">
      <c r="A55" s="1">
        <v>3</v>
      </c>
      <c r="B55" s="1">
        <v>3</v>
      </c>
      <c r="C55" s="1">
        <v>3</v>
      </c>
      <c r="D55" s="1">
        <v>5</v>
      </c>
    </row>
    <row r="56" spans="1:7" x14ac:dyDescent="0.25">
      <c r="A56" s="1">
        <v>3</v>
      </c>
      <c r="B56" s="1">
        <v>4</v>
      </c>
      <c r="C56" s="1">
        <v>3</v>
      </c>
      <c r="D56" s="1">
        <v>2</v>
      </c>
    </row>
    <row r="57" spans="1:7" x14ac:dyDescent="0.25">
      <c r="A57" s="1">
        <v>4</v>
      </c>
      <c r="B57" s="1">
        <v>2</v>
      </c>
      <c r="C57" s="1">
        <v>1</v>
      </c>
      <c r="D57" s="1">
        <v>2</v>
      </c>
      <c r="F57" s="2" t="s">
        <v>28</v>
      </c>
      <c r="G57" s="2"/>
    </row>
    <row r="58" spans="1:7" x14ac:dyDescent="0.25">
      <c r="A58" s="1">
        <v>3</v>
      </c>
      <c r="B58" s="1">
        <v>3</v>
      </c>
      <c r="C58" s="1">
        <v>5</v>
      </c>
      <c r="D58" s="1">
        <v>5</v>
      </c>
      <c r="F58" t="s">
        <v>29</v>
      </c>
    </row>
    <row r="59" spans="1:7" x14ac:dyDescent="0.25">
      <c r="A59" s="1">
        <v>4</v>
      </c>
      <c r="B59" s="1">
        <v>1</v>
      </c>
      <c r="C59" s="1">
        <v>4</v>
      </c>
      <c r="D59" s="1">
        <v>2</v>
      </c>
    </row>
    <row r="60" spans="1:7" x14ac:dyDescent="0.25">
      <c r="A60" s="1">
        <v>3</v>
      </c>
      <c r="B60" s="1">
        <v>5</v>
      </c>
      <c r="C60" s="1">
        <v>4</v>
      </c>
      <c r="D60" s="1">
        <v>1</v>
      </c>
    </row>
    <row r="61" spans="1:7" x14ac:dyDescent="0.25">
      <c r="A61" s="1">
        <v>3</v>
      </c>
      <c r="B61" s="1">
        <v>2</v>
      </c>
      <c r="C61" s="1">
        <v>4</v>
      </c>
      <c r="D61" s="1">
        <v>3</v>
      </c>
    </row>
    <row r="62" spans="1:7" x14ac:dyDescent="0.25">
      <c r="A62" s="1">
        <v>3</v>
      </c>
      <c r="B62" s="1">
        <v>2</v>
      </c>
      <c r="C62" s="1">
        <v>4</v>
      </c>
      <c r="D62" s="1">
        <v>3</v>
      </c>
    </row>
    <row r="63" spans="1:7" x14ac:dyDescent="0.25">
      <c r="A63" s="1">
        <v>5</v>
      </c>
      <c r="B63" s="1">
        <v>2</v>
      </c>
      <c r="C63" s="1">
        <v>2</v>
      </c>
      <c r="D63" s="1">
        <v>5</v>
      </c>
    </row>
    <row r="64" spans="1:7" x14ac:dyDescent="0.25">
      <c r="A64" s="1">
        <v>2</v>
      </c>
      <c r="B64" s="1">
        <v>2</v>
      </c>
      <c r="C64" s="1">
        <v>3</v>
      </c>
      <c r="D64" s="1">
        <v>4</v>
      </c>
      <c r="F64" t="s">
        <v>5</v>
      </c>
      <c r="G64">
        <f>G44/G54</f>
        <v>1.3052244039270684</v>
      </c>
    </row>
    <row r="65" spans="1:7" x14ac:dyDescent="0.25">
      <c r="A65" s="1">
        <v>4</v>
      </c>
      <c r="B65" s="1">
        <v>2</v>
      </c>
      <c r="C65" s="1">
        <v>3</v>
      </c>
      <c r="D65" s="1">
        <v>5</v>
      </c>
    </row>
    <row r="66" spans="1:7" x14ac:dyDescent="0.25">
      <c r="A66" s="1">
        <v>4</v>
      </c>
      <c r="B66" s="1">
        <v>3</v>
      </c>
      <c r="C66" s="1">
        <v>4</v>
      </c>
      <c r="D66" s="1">
        <v>5</v>
      </c>
    </row>
    <row r="67" spans="1:7" x14ac:dyDescent="0.25">
      <c r="A67" s="1">
        <v>5</v>
      </c>
      <c r="B67" s="1">
        <v>5</v>
      </c>
      <c r="C67" s="1">
        <v>2</v>
      </c>
      <c r="D67" s="1">
        <v>1</v>
      </c>
      <c r="F67" s="2" t="s">
        <v>30</v>
      </c>
      <c r="G67" s="2"/>
    </row>
    <row r="68" spans="1:7" x14ac:dyDescent="0.25">
      <c r="A68" s="1">
        <v>3</v>
      </c>
      <c r="B68" s="1">
        <v>5</v>
      </c>
      <c r="C68" s="1">
        <v>1</v>
      </c>
      <c r="D68" s="1">
        <v>5</v>
      </c>
      <c r="F68" t="s">
        <v>31</v>
      </c>
    </row>
    <row r="69" spans="1:7" x14ac:dyDescent="0.25">
      <c r="A69" s="1">
        <v>3</v>
      </c>
      <c r="B69" s="1">
        <v>1</v>
      </c>
      <c r="C69" s="1">
        <v>2</v>
      </c>
      <c r="D69" s="1">
        <v>3</v>
      </c>
      <c r="F69" t="s">
        <v>32</v>
      </c>
    </row>
    <row r="70" spans="1:7" x14ac:dyDescent="0.25">
      <c r="A70" s="1">
        <v>5</v>
      </c>
      <c r="B70" s="1">
        <v>3</v>
      </c>
      <c r="C70" s="1">
        <v>5</v>
      </c>
      <c r="D70" s="1">
        <v>3</v>
      </c>
    </row>
    <row r="71" spans="1:7" x14ac:dyDescent="0.25">
      <c r="A71" s="1">
        <v>3</v>
      </c>
      <c r="B71" s="1">
        <v>2</v>
      </c>
      <c r="C71" s="1">
        <v>3</v>
      </c>
      <c r="D71" s="1">
        <v>3</v>
      </c>
    </row>
    <row r="72" spans="1:7" x14ac:dyDescent="0.25">
      <c r="A72" s="1">
        <v>4</v>
      </c>
      <c r="B72" s="1">
        <v>3</v>
      </c>
      <c r="C72" s="1">
        <v>5</v>
      </c>
      <c r="D72" s="1">
        <v>1</v>
      </c>
    </row>
    <row r="73" spans="1:7" x14ac:dyDescent="0.25">
      <c r="A73" s="1">
        <v>3</v>
      </c>
      <c r="B73" s="1">
        <v>5</v>
      </c>
      <c r="C73" s="1">
        <v>4</v>
      </c>
      <c r="D73" s="1">
        <v>5</v>
      </c>
    </row>
    <row r="74" spans="1:7" x14ac:dyDescent="0.25">
      <c r="A74" s="1">
        <v>4</v>
      </c>
      <c r="B74" s="1">
        <v>5</v>
      </c>
      <c r="C74" s="1">
        <v>5</v>
      </c>
      <c r="D74" s="1">
        <v>5</v>
      </c>
      <c r="F74" t="s">
        <v>2</v>
      </c>
      <c r="G74">
        <f>G34/G64</f>
        <v>6.1861950600701432</v>
      </c>
    </row>
    <row r="75" spans="1:7" x14ac:dyDescent="0.25">
      <c r="A75" s="1">
        <v>3</v>
      </c>
      <c r="B75" s="1">
        <v>3</v>
      </c>
      <c r="C75" s="1">
        <v>3</v>
      </c>
      <c r="D75" s="1">
        <v>4</v>
      </c>
    </row>
    <row r="76" spans="1:7" x14ac:dyDescent="0.25">
      <c r="A76" s="1">
        <v>4</v>
      </c>
      <c r="B76" s="1">
        <v>4</v>
      </c>
      <c r="C76" s="1">
        <v>3</v>
      </c>
      <c r="D76" s="1">
        <v>5</v>
      </c>
    </row>
    <row r="77" spans="1:7" x14ac:dyDescent="0.25">
      <c r="A77" s="1">
        <v>1</v>
      </c>
      <c r="B77" s="1">
        <v>4</v>
      </c>
      <c r="C77" s="1">
        <v>5</v>
      </c>
      <c r="D77" s="1">
        <v>5</v>
      </c>
      <c r="F77" s="2" t="s">
        <v>35</v>
      </c>
      <c r="G77" s="2"/>
    </row>
    <row r="78" spans="1:7" x14ac:dyDescent="0.25">
      <c r="A78" s="1">
        <v>5</v>
      </c>
      <c r="B78" s="1">
        <v>3</v>
      </c>
      <c r="C78" s="1">
        <v>4</v>
      </c>
      <c r="D78" s="1">
        <v>5</v>
      </c>
    </row>
    <row r="79" spans="1:7" x14ac:dyDescent="0.25">
      <c r="A79" s="1">
        <v>4</v>
      </c>
      <c r="B79" s="1">
        <v>5</v>
      </c>
      <c r="C79" s="1">
        <v>4</v>
      </c>
      <c r="D79" s="1">
        <v>3</v>
      </c>
      <c r="F79" s="4" t="s">
        <v>33</v>
      </c>
      <c r="G79">
        <v>0.05</v>
      </c>
    </row>
    <row r="80" spans="1:7" x14ac:dyDescent="0.25">
      <c r="A80" s="1">
        <v>5</v>
      </c>
      <c r="B80" s="1">
        <v>3</v>
      </c>
      <c r="C80" s="1">
        <v>4</v>
      </c>
      <c r="D80" s="1">
        <v>4</v>
      </c>
      <c r="F80" t="s">
        <v>0</v>
      </c>
      <c r="G80">
        <f xml:space="preserve"> G25</f>
        <v>3</v>
      </c>
    </row>
    <row r="81" spans="1:7" x14ac:dyDescent="0.25">
      <c r="A81" s="1">
        <v>2</v>
      </c>
      <c r="B81" s="1">
        <v>4</v>
      </c>
      <c r="C81" s="1">
        <v>5</v>
      </c>
      <c r="D81" s="1">
        <v>5</v>
      </c>
      <c r="F81" t="s">
        <v>4</v>
      </c>
      <c r="G81">
        <f xml:space="preserve"> G54</f>
        <v>368</v>
      </c>
    </row>
    <row r="82" spans="1:7" x14ac:dyDescent="0.25">
      <c r="A82" s="1">
        <v>2</v>
      </c>
      <c r="B82" s="1">
        <v>2</v>
      </c>
      <c r="C82" s="1">
        <v>4</v>
      </c>
      <c r="D82" s="1">
        <v>4</v>
      </c>
      <c r="F82" t="s">
        <v>34</v>
      </c>
      <c r="G82">
        <f>FINV(G79, G80, G81)</f>
        <v>2.6291647929246422</v>
      </c>
    </row>
    <row r="83" spans="1:7" x14ac:dyDescent="0.25">
      <c r="A83" s="1">
        <v>4</v>
      </c>
      <c r="B83" s="1">
        <v>4</v>
      </c>
      <c r="C83" s="1">
        <v>3</v>
      </c>
      <c r="D83" s="1">
        <v>5</v>
      </c>
      <c r="F83" t="s">
        <v>36</v>
      </c>
      <c r="G83">
        <f>_xlfn.F.DIST.RT(G74, G80, G81)</f>
        <v>4.1346211792649883E-4</v>
      </c>
    </row>
    <row r="84" spans="1:7" x14ac:dyDescent="0.25">
      <c r="A84" s="1">
        <v>3</v>
      </c>
      <c r="B84" s="1">
        <v>3</v>
      </c>
      <c r="C84" s="1">
        <v>5</v>
      </c>
      <c r="D84" s="1">
        <v>5</v>
      </c>
    </row>
    <row r="85" spans="1:7" x14ac:dyDescent="0.25">
      <c r="A85" s="1">
        <v>2</v>
      </c>
      <c r="B85" s="1">
        <v>5</v>
      </c>
      <c r="C85" s="1">
        <v>5</v>
      </c>
      <c r="D85" s="1">
        <v>3</v>
      </c>
      <c r="F85" s="2" t="s">
        <v>6</v>
      </c>
      <c r="G85" s="2"/>
    </row>
    <row r="86" spans="1:7" x14ac:dyDescent="0.25">
      <c r="A86" s="1">
        <v>3</v>
      </c>
      <c r="B86" s="1">
        <v>5</v>
      </c>
      <c r="C86" s="1">
        <v>4</v>
      </c>
      <c r="D86" s="1">
        <v>4</v>
      </c>
    </row>
    <row r="87" spans="1:7" x14ac:dyDescent="0.25">
      <c r="A87" s="1">
        <v>3</v>
      </c>
      <c r="B87" s="1">
        <v>4</v>
      </c>
      <c r="C87" s="1">
        <v>2</v>
      </c>
      <c r="D87" s="1">
        <v>3</v>
      </c>
      <c r="F87" t="s">
        <v>40</v>
      </c>
    </row>
    <row r="88" spans="1:7" x14ac:dyDescent="0.25">
      <c r="A88" s="1">
        <v>4</v>
      </c>
      <c r="B88" s="1">
        <v>3</v>
      </c>
      <c r="C88" s="1">
        <v>3</v>
      </c>
      <c r="D88" s="1">
        <v>5</v>
      </c>
      <c r="F88" t="s">
        <v>41</v>
      </c>
    </row>
    <row r="89" spans="1:7" x14ac:dyDescent="0.25">
      <c r="A89" s="1">
        <v>5</v>
      </c>
      <c r="B89" s="1">
        <v>3</v>
      </c>
      <c r="C89" s="1">
        <v>3</v>
      </c>
      <c r="D89" s="1">
        <v>3</v>
      </c>
    </row>
    <row r="90" spans="1:7" x14ac:dyDescent="0.25">
      <c r="A90" s="1">
        <v>2</v>
      </c>
      <c r="B90" s="1">
        <v>4</v>
      </c>
      <c r="C90" s="1">
        <v>4</v>
      </c>
      <c r="D90" s="1">
        <v>4</v>
      </c>
      <c r="F90" t="str">
        <f>"Si F calculado ("&amp;G74&amp;") &gt; F critico ("&amp;G82&amp;") ---&gt; Se rechaza la hipotesis nula"</f>
        <v>Si F calculado (6.18619506007014) &gt; F critico (2.62916479292464) ---&gt; Se rechaza la hipotesis nula</v>
      </c>
    </row>
    <row r="91" spans="1:7" x14ac:dyDescent="0.25">
      <c r="A91" s="1">
        <v>2</v>
      </c>
      <c r="B91" s="1">
        <v>3</v>
      </c>
      <c r="C91" s="1">
        <v>3</v>
      </c>
      <c r="D91" s="1">
        <v>4</v>
      </c>
      <c r="F91" t="str">
        <f>"Si p-valor ("&amp;G83&amp;") &lt; α Nivel Significancia ("&amp;G79&amp;") ---&gt; Se rechaza la hipotesis nula"</f>
        <v>Si p-valor (0.000413462117926499) &lt; α Nivel Significancia (0.05) ---&gt; Se rechaza la hipotesis nula</v>
      </c>
    </row>
    <row r="92" spans="1:7" x14ac:dyDescent="0.25">
      <c r="A92" s="1">
        <v>3</v>
      </c>
      <c r="B92" s="1">
        <v>2</v>
      </c>
      <c r="C92" s="1">
        <v>5</v>
      </c>
      <c r="D92" s="1">
        <v>4</v>
      </c>
    </row>
    <row r="93" spans="1:7" x14ac:dyDescent="0.25">
      <c r="A93" s="1">
        <v>4</v>
      </c>
      <c r="B93" s="1">
        <v>2</v>
      </c>
      <c r="C93" s="1">
        <v>3</v>
      </c>
      <c r="D93" s="1">
        <v>3</v>
      </c>
    </row>
    <row r="94" spans="1:7" x14ac:dyDescent="0.25">
      <c r="A94" s="1">
        <v>4</v>
      </c>
      <c r="B94" s="1">
        <v>5</v>
      </c>
      <c r="C94" s="1">
        <v>2</v>
      </c>
      <c r="D94" s="1">
        <v>4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E1" sqref="E1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5</v>
      </c>
      <c r="B2" s="1">
        <v>3</v>
      </c>
      <c r="C2" s="1">
        <v>5</v>
      </c>
      <c r="D2" s="1">
        <v>5</v>
      </c>
      <c r="F2" s="2" t="s">
        <v>13</v>
      </c>
      <c r="G2" s="2"/>
    </row>
    <row r="3" spans="1:7" x14ac:dyDescent="0.25">
      <c r="A3" s="1">
        <v>5</v>
      </c>
      <c r="B3" s="1">
        <v>3</v>
      </c>
      <c r="C3" s="1">
        <v>3</v>
      </c>
      <c r="D3" s="1">
        <v>5</v>
      </c>
      <c r="F3" t="s">
        <v>14</v>
      </c>
      <c r="G3">
        <f>COUNT(A:A)</f>
        <v>93</v>
      </c>
    </row>
    <row r="4" spans="1:7" x14ac:dyDescent="0.25">
      <c r="A4" s="1">
        <v>2</v>
      </c>
      <c r="B4" s="1">
        <v>3</v>
      </c>
      <c r="C4" s="1">
        <v>5</v>
      </c>
      <c r="D4" s="1">
        <v>4</v>
      </c>
      <c r="F4" t="s">
        <v>7</v>
      </c>
      <c r="G4">
        <f>AVERAGE(A:A)</f>
        <v>3.236559139784946</v>
      </c>
    </row>
    <row r="5" spans="1:7" x14ac:dyDescent="0.25">
      <c r="A5" s="1">
        <v>3</v>
      </c>
      <c r="B5" s="1">
        <v>3</v>
      </c>
      <c r="C5" s="1">
        <v>5</v>
      </c>
      <c r="D5" s="1">
        <v>2</v>
      </c>
      <c r="F5" t="s">
        <v>8</v>
      </c>
      <c r="G5">
        <f>AVERAGE(B:B)</f>
        <v>3.3655913978494625</v>
      </c>
    </row>
    <row r="6" spans="1:7" x14ac:dyDescent="0.25">
      <c r="A6" s="1">
        <v>5</v>
      </c>
      <c r="B6" s="1">
        <v>5</v>
      </c>
      <c r="C6" s="1">
        <v>4</v>
      </c>
      <c r="D6" s="1">
        <v>2</v>
      </c>
      <c r="F6" t="s">
        <v>9</v>
      </c>
      <c r="G6">
        <f>AVERAGE(C:C)</f>
        <v>3.5268817204301075</v>
      </c>
    </row>
    <row r="7" spans="1:7" x14ac:dyDescent="0.25">
      <c r="A7" s="1">
        <v>5</v>
      </c>
      <c r="B7" s="1">
        <v>4</v>
      </c>
      <c r="C7" s="1">
        <v>4</v>
      </c>
      <c r="D7" s="1">
        <v>5</v>
      </c>
      <c r="F7" t="s">
        <v>10</v>
      </c>
      <c r="G7">
        <f>AVERAGE(D:D)</f>
        <v>3.870967741935484</v>
      </c>
    </row>
    <row r="8" spans="1:7" x14ac:dyDescent="0.25">
      <c r="A8" s="1">
        <v>3</v>
      </c>
      <c r="B8" s="1">
        <v>3</v>
      </c>
      <c r="C8" s="1">
        <v>3</v>
      </c>
      <c r="D8" s="1">
        <v>4</v>
      </c>
      <c r="F8" t="s">
        <v>15</v>
      </c>
      <c r="G8">
        <f>AVERAGE(G4:G7)</f>
        <v>3.5</v>
      </c>
    </row>
    <row r="9" spans="1:7" x14ac:dyDescent="0.25">
      <c r="A9" s="1">
        <v>5</v>
      </c>
      <c r="B9" s="1">
        <v>5</v>
      </c>
      <c r="C9" s="1">
        <v>3</v>
      </c>
      <c r="D9" s="1">
        <v>5</v>
      </c>
    </row>
    <row r="10" spans="1:7" x14ac:dyDescent="0.25">
      <c r="A10" s="1">
        <v>5</v>
      </c>
      <c r="B10" s="1">
        <v>4</v>
      </c>
      <c r="C10" s="1">
        <v>5</v>
      </c>
      <c r="D10" s="1">
        <v>1</v>
      </c>
    </row>
    <row r="11" spans="1:7" x14ac:dyDescent="0.25">
      <c r="A11" s="1">
        <v>3</v>
      </c>
      <c r="B11" s="1">
        <v>5</v>
      </c>
      <c r="C11" s="1">
        <v>5</v>
      </c>
      <c r="D11" s="1">
        <v>1</v>
      </c>
      <c r="F11" s="2" t="s">
        <v>12</v>
      </c>
      <c r="G11" s="2"/>
    </row>
    <row r="12" spans="1:7" x14ac:dyDescent="0.25">
      <c r="A12" s="1">
        <v>3</v>
      </c>
      <c r="B12" s="1">
        <v>5</v>
      </c>
      <c r="C12" s="1">
        <v>3</v>
      </c>
      <c r="D12" s="1">
        <v>4</v>
      </c>
      <c r="F12" s="3" t="s">
        <v>17</v>
      </c>
    </row>
    <row r="13" spans="1:7" x14ac:dyDescent="0.25">
      <c r="A13" s="1">
        <v>3</v>
      </c>
      <c r="B13" s="1">
        <v>4</v>
      </c>
      <c r="C13" s="1">
        <v>4</v>
      </c>
      <c r="D13" s="1">
        <v>3</v>
      </c>
      <c r="F13" s="3" t="s">
        <v>18</v>
      </c>
    </row>
    <row r="14" spans="1:7" x14ac:dyDescent="0.25">
      <c r="A14" s="1">
        <v>4</v>
      </c>
      <c r="B14" s="1">
        <v>5</v>
      </c>
      <c r="C14" s="1">
        <v>3</v>
      </c>
      <c r="D14" s="1">
        <v>4</v>
      </c>
    </row>
    <row r="15" spans="1:7" x14ac:dyDescent="0.25">
      <c r="A15" s="1">
        <v>3</v>
      </c>
      <c r="B15" s="1">
        <v>3</v>
      </c>
      <c r="C15" s="1">
        <v>3</v>
      </c>
      <c r="D15" s="1">
        <v>4</v>
      </c>
    </row>
    <row r="16" spans="1:7" x14ac:dyDescent="0.25">
      <c r="A16" s="1">
        <v>4</v>
      </c>
      <c r="B16" s="1">
        <v>3</v>
      </c>
      <c r="C16" s="1">
        <v>2</v>
      </c>
      <c r="D16" s="1">
        <v>5</v>
      </c>
    </row>
    <row r="17" spans="1:7" x14ac:dyDescent="0.25">
      <c r="A17" s="1">
        <v>4</v>
      </c>
      <c r="B17" s="1">
        <v>2</v>
      </c>
      <c r="C17" s="1">
        <v>3</v>
      </c>
      <c r="D17" s="1">
        <v>4</v>
      </c>
      <c r="F17" t="s">
        <v>11</v>
      </c>
      <c r="G17">
        <f>G3*((G4-G8)^2+(G5-G8)^2+(G6-G8)^2+(G7-G8)^2)</f>
        <v>21.000000000000018</v>
      </c>
    </row>
    <row r="18" spans="1:7" x14ac:dyDescent="0.25">
      <c r="A18" s="1">
        <v>3</v>
      </c>
      <c r="B18" s="1">
        <v>4</v>
      </c>
      <c r="C18" s="1">
        <v>4</v>
      </c>
      <c r="D18" s="1">
        <v>4</v>
      </c>
    </row>
    <row r="19" spans="1:7" x14ac:dyDescent="0.25">
      <c r="A19" s="1">
        <v>3</v>
      </c>
      <c r="B19" s="1">
        <v>5</v>
      </c>
      <c r="C19" s="1">
        <v>3</v>
      </c>
      <c r="D19" s="1">
        <v>4</v>
      </c>
    </row>
    <row r="20" spans="1:7" x14ac:dyDescent="0.25">
      <c r="A20" s="1">
        <v>2</v>
      </c>
      <c r="B20" s="1">
        <v>5</v>
      </c>
      <c r="C20" s="1">
        <v>4</v>
      </c>
      <c r="D20" s="1">
        <v>5</v>
      </c>
      <c r="F20" s="2" t="s">
        <v>19</v>
      </c>
      <c r="G20" s="2"/>
    </row>
    <row r="21" spans="1:7" x14ac:dyDescent="0.25">
      <c r="A21" s="1">
        <v>3</v>
      </c>
      <c r="B21" s="1">
        <v>3</v>
      </c>
      <c r="C21" s="1">
        <v>4</v>
      </c>
      <c r="D21" s="1">
        <v>2</v>
      </c>
      <c r="F21" t="s">
        <v>20</v>
      </c>
    </row>
    <row r="22" spans="1:7" x14ac:dyDescent="0.25">
      <c r="A22" s="1">
        <v>3</v>
      </c>
      <c r="B22" s="1">
        <v>3</v>
      </c>
      <c r="C22" s="1">
        <v>2</v>
      </c>
      <c r="D22" s="1">
        <v>5</v>
      </c>
      <c r="F22" t="s">
        <v>16</v>
      </c>
      <c r="G22">
        <v>4</v>
      </c>
    </row>
    <row r="23" spans="1:7" x14ac:dyDescent="0.25">
      <c r="A23" s="1">
        <v>5</v>
      </c>
      <c r="B23" s="1">
        <v>5</v>
      </c>
      <c r="C23" s="1">
        <v>4</v>
      </c>
      <c r="D23" s="1">
        <v>4</v>
      </c>
    </row>
    <row r="24" spans="1:7" x14ac:dyDescent="0.25">
      <c r="A24" s="1">
        <v>4</v>
      </c>
      <c r="B24" s="1">
        <v>2</v>
      </c>
      <c r="C24" s="1">
        <v>2</v>
      </c>
      <c r="D24" s="1">
        <v>4</v>
      </c>
    </row>
    <row r="25" spans="1:7" x14ac:dyDescent="0.25">
      <c r="A25" s="1">
        <v>4</v>
      </c>
      <c r="B25" s="1">
        <v>5</v>
      </c>
      <c r="C25" s="1">
        <v>2</v>
      </c>
      <c r="D25" s="1">
        <v>4</v>
      </c>
      <c r="F25" t="s">
        <v>0</v>
      </c>
      <c r="G25">
        <f>G22-1</f>
        <v>3</v>
      </c>
    </row>
    <row r="26" spans="1:7" x14ac:dyDescent="0.25">
      <c r="A26" s="1">
        <v>4</v>
      </c>
      <c r="B26" s="1">
        <v>3</v>
      </c>
      <c r="C26" s="1">
        <v>2</v>
      </c>
      <c r="D26" s="1">
        <v>4</v>
      </c>
    </row>
    <row r="27" spans="1:7" x14ac:dyDescent="0.25">
      <c r="A27" s="1">
        <v>1</v>
      </c>
      <c r="B27" s="1">
        <v>3</v>
      </c>
      <c r="C27" s="1">
        <v>1</v>
      </c>
      <c r="D27" s="1">
        <v>5</v>
      </c>
    </row>
    <row r="28" spans="1:7" x14ac:dyDescent="0.25">
      <c r="A28" s="1">
        <v>4</v>
      </c>
      <c r="B28" s="1">
        <v>2</v>
      </c>
      <c r="C28" s="1">
        <v>4</v>
      </c>
      <c r="D28" s="1">
        <v>5</v>
      </c>
      <c r="F28" s="2" t="s">
        <v>21</v>
      </c>
      <c r="G28" s="2"/>
    </row>
    <row r="29" spans="1:7" x14ac:dyDescent="0.25">
      <c r="A29" s="1">
        <v>2</v>
      </c>
      <c r="B29" s="1">
        <v>3</v>
      </c>
      <c r="C29" s="1">
        <v>4</v>
      </c>
      <c r="D29" s="1">
        <v>4</v>
      </c>
      <c r="F29" t="s">
        <v>22</v>
      </c>
    </row>
    <row r="30" spans="1:7" x14ac:dyDescent="0.25">
      <c r="A30" s="1">
        <v>3</v>
      </c>
      <c r="B30" s="1">
        <v>2</v>
      </c>
      <c r="C30" s="1">
        <v>3</v>
      </c>
      <c r="D30" s="1">
        <v>4</v>
      </c>
    </row>
    <row r="31" spans="1:7" x14ac:dyDescent="0.25">
      <c r="A31" s="1">
        <v>2</v>
      </c>
      <c r="B31" s="1">
        <v>4</v>
      </c>
      <c r="C31" s="1">
        <v>4</v>
      </c>
      <c r="D31" s="1">
        <v>5</v>
      </c>
    </row>
    <row r="32" spans="1:7" x14ac:dyDescent="0.25">
      <c r="A32" s="1">
        <v>3</v>
      </c>
      <c r="B32" s="1">
        <v>2</v>
      </c>
      <c r="C32" s="1">
        <v>3</v>
      </c>
      <c r="D32" s="1">
        <v>4</v>
      </c>
    </row>
    <row r="33" spans="1:7" x14ac:dyDescent="0.25">
      <c r="A33" s="1">
        <v>3</v>
      </c>
      <c r="B33" s="1">
        <v>5</v>
      </c>
      <c r="C33" s="1">
        <v>3</v>
      </c>
      <c r="D33" s="1">
        <v>4</v>
      </c>
    </row>
    <row r="34" spans="1:7" x14ac:dyDescent="0.25">
      <c r="A34" s="1">
        <v>3</v>
      </c>
      <c r="B34" s="1">
        <v>2</v>
      </c>
      <c r="C34" s="1">
        <v>3</v>
      </c>
      <c r="D34" s="1">
        <v>4</v>
      </c>
      <c r="F34" t="s">
        <v>1</v>
      </c>
      <c r="G34">
        <f>G17/G25</f>
        <v>7.0000000000000062</v>
      </c>
    </row>
    <row r="35" spans="1:7" x14ac:dyDescent="0.25">
      <c r="A35" s="1">
        <v>4</v>
      </c>
      <c r="B35" s="1">
        <v>3</v>
      </c>
      <c r="C35" s="1">
        <v>4</v>
      </c>
      <c r="D35" s="1">
        <v>3</v>
      </c>
    </row>
    <row r="36" spans="1:7" x14ac:dyDescent="0.25">
      <c r="A36" s="1">
        <v>3</v>
      </c>
      <c r="B36" s="1">
        <v>2</v>
      </c>
      <c r="C36" s="1">
        <v>5</v>
      </c>
      <c r="D36" s="1">
        <v>5</v>
      </c>
    </row>
    <row r="37" spans="1:7" x14ac:dyDescent="0.25">
      <c r="A37" s="1">
        <v>4</v>
      </c>
      <c r="B37" s="1">
        <v>3</v>
      </c>
      <c r="C37" s="1">
        <v>4</v>
      </c>
      <c r="D37" s="1">
        <v>5</v>
      </c>
      <c r="F37" s="2" t="s">
        <v>26</v>
      </c>
      <c r="G37" s="2"/>
    </row>
    <row r="38" spans="1:7" x14ac:dyDescent="0.25">
      <c r="A38" s="1">
        <v>5</v>
      </c>
      <c r="B38" s="1">
        <v>3</v>
      </c>
      <c r="C38" s="1">
        <v>5</v>
      </c>
      <c r="D38" s="1">
        <v>3</v>
      </c>
      <c r="F38" t="s">
        <v>23</v>
      </c>
    </row>
    <row r="39" spans="1:7" x14ac:dyDescent="0.25">
      <c r="A39" s="1">
        <v>3</v>
      </c>
      <c r="B39" s="1">
        <v>3</v>
      </c>
      <c r="C39" s="1">
        <v>2</v>
      </c>
      <c r="D39" s="1">
        <v>4</v>
      </c>
      <c r="F39" t="s">
        <v>24</v>
      </c>
    </row>
    <row r="40" spans="1:7" x14ac:dyDescent="0.25">
      <c r="A40" s="1">
        <v>5</v>
      </c>
      <c r="B40" s="1">
        <v>3</v>
      </c>
      <c r="C40" s="1">
        <v>4</v>
      </c>
      <c r="D40" s="1">
        <v>4</v>
      </c>
    </row>
    <row r="41" spans="1:7" x14ac:dyDescent="0.25">
      <c r="A41" s="1">
        <v>1</v>
      </c>
      <c r="B41" s="1">
        <v>5</v>
      </c>
      <c r="C41" s="1">
        <v>5</v>
      </c>
      <c r="D41" s="1">
        <v>3</v>
      </c>
    </row>
    <row r="42" spans="1:7" x14ac:dyDescent="0.25">
      <c r="A42" s="1">
        <v>1</v>
      </c>
      <c r="B42" s="1">
        <v>5</v>
      </c>
      <c r="C42" s="1">
        <v>5</v>
      </c>
      <c r="D42" s="1">
        <v>3</v>
      </c>
    </row>
    <row r="43" spans="1:7" x14ac:dyDescent="0.25">
      <c r="A43" s="1">
        <v>2</v>
      </c>
      <c r="B43" s="1">
        <v>4</v>
      </c>
      <c r="C43" s="1">
        <v>3</v>
      </c>
      <c r="D43" s="1">
        <v>2</v>
      </c>
    </row>
    <row r="44" spans="1:7" x14ac:dyDescent="0.25">
      <c r="A44" s="1">
        <v>4</v>
      </c>
      <c r="B44" s="1">
        <v>5</v>
      </c>
      <c r="C44" s="1">
        <v>3</v>
      </c>
      <c r="D44" s="1">
        <v>4</v>
      </c>
      <c r="F44" t="s">
        <v>3</v>
      </c>
      <c r="G44">
        <f>DEVSQ(A:A)+DEVSQ(B:B)+DEVSQ(C:C)+DEVSQ(D:D)</f>
        <v>496.00000000000023</v>
      </c>
    </row>
    <row r="45" spans="1:7" x14ac:dyDescent="0.25">
      <c r="A45" s="1">
        <v>5</v>
      </c>
      <c r="B45" s="1">
        <v>2</v>
      </c>
      <c r="C45" s="1">
        <v>4</v>
      </c>
      <c r="D45" s="1">
        <v>4</v>
      </c>
    </row>
    <row r="46" spans="1:7" x14ac:dyDescent="0.25">
      <c r="A46" s="1">
        <v>1</v>
      </c>
      <c r="B46" s="1">
        <v>4</v>
      </c>
      <c r="C46" s="1">
        <v>5</v>
      </c>
      <c r="D46" s="1">
        <v>4</v>
      </c>
    </row>
    <row r="47" spans="1:7" x14ac:dyDescent="0.25">
      <c r="A47" s="1">
        <v>4</v>
      </c>
      <c r="B47" s="1">
        <v>1</v>
      </c>
      <c r="C47" s="1">
        <v>4</v>
      </c>
      <c r="D47" s="1">
        <v>5</v>
      </c>
      <c r="F47" s="2" t="s">
        <v>25</v>
      </c>
      <c r="G47" s="2"/>
    </row>
    <row r="48" spans="1:7" x14ac:dyDescent="0.25">
      <c r="A48" s="1">
        <v>1</v>
      </c>
      <c r="B48" s="1">
        <v>4</v>
      </c>
      <c r="C48" s="1">
        <v>4</v>
      </c>
      <c r="D48" s="1">
        <v>4</v>
      </c>
      <c r="F48" t="s">
        <v>27</v>
      </c>
      <c r="G48">
        <f>COUNT(A:A,B:B,C:C,D:D)</f>
        <v>372</v>
      </c>
    </row>
    <row r="49" spans="1:7" x14ac:dyDescent="0.25">
      <c r="A49" s="1">
        <v>1</v>
      </c>
      <c r="B49" s="1">
        <v>5</v>
      </c>
      <c r="C49" s="1">
        <v>3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2</v>
      </c>
      <c r="B50" s="1">
        <v>2</v>
      </c>
      <c r="C50" s="1">
        <v>3</v>
      </c>
      <c r="D50" s="1">
        <v>2</v>
      </c>
    </row>
    <row r="51" spans="1:7" x14ac:dyDescent="0.25">
      <c r="A51" s="1">
        <v>4</v>
      </c>
      <c r="B51" s="1">
        <v>3</v>
      </c>
      <c r="C51" s="1">
        <v>4</v>
      </c>
      <c r="D51" s="1">
        <v>4</v>
      </c>
    </row>
    <row r="52" spans="1:7" x14ac:dyDescent="0.25">
      <c r="A52" s="1">
        <v>4</v>
      </c>
      <c r="B52" s="1">
        <v>3</v>
      </c>
      <c r="C52" s="1">
        <v>4</v>
      </c>
      <c r="D52" s="1">
        <v>4</v>
      </c>
    </row>
    <row r="53" spans="1:7" x14ac:dyDescent="0.25">
      <c r="A53" s="1">
        <v>2</v>
      </c>
      <c r="B53" s="1">
        <v>3</v>
      </c>
      <c r="C53" s="1">
        <v>1</v>
      </c>
      <c r="D53" s="1">
        <v>5</v>
      </c>
    </row>
    <row r="54" spans="1:7" x14ac:dyDescent="0.25">
      <c r="A54" s="1">
        <v>4</v>
      </c>
      <c r="B54" s="1">
        <v>3</v>
      </c>
      <c r="C54" s="1">
        <v>4</v>
      </c>
      <c r="D54" s="1">
        <v>5</v>
      </c>
      <c r="F54" t="s">
        <v>4</v>
      </c>
      <c r="G54">
        <f>G48-G49</f>
        <v>368</v>
      </c>
    </row>
    <row r="55" spans="1:7" x14ac:dyDescent="0.25">
      <c r="A55" s="1">
        <v>5</v>
      </c>
      <c r="B55" s="1">
        <v>4</v>
      </c>
      <c r="C55" s="1">
        <v>3</v>
      </c>
      <c r="D55" s="1">
        <v>5</v>
      </c>
    </row>
    <row r="56" spans="1:7" x14ac:dyDescent="0.25">
      <c r="A56" s="1">
        <v>3</v>
      </c>
      <c r="B56" s="1">
        <v>1</v>
      </c>
      <c r="C56" s="1">
        <v>5</v>
      </c>
      <c r="D56" s="1">
        <v>4</v>
      </c>
    </row>
    <row r="57" spans="1:7" x14ac:dyDescent="0.25">
      <c r="A57" s="1">
        <v>1</v>
      </c>
      <c r="B57" s="1">
        <v>1</v>
      </c>
      <c r="C57" s="1">
        <v>3</v>
      </c>
      <c r="D57" s="1">
        <v>5</v>
      </c>
      <c r="F57" s="2" t="s">
        <v>28</v>
      </c>
      <c r="G57" s="2"/>
    </row>
    <row r="58" spans="1:7" x14ac:dyDescent="0.25">
      <c r="A58" s="1">
        <v>3</v>
      </c>
      <c r="B58" s="1">
        <v>3</v>
      </c>
      <c r="C58" s="1">
        <v>5</v>
      </c>
      <c r="D58" s="1">
        <v>4</v>
      </c>
      <c r="F58" t="s">
        <v>29</v>
      </c>
    </row>
    <row r="59" spans="1:7" x14ac:dyDescent="0.25">
      <c r="A59" s="1">
        <v>3</v>
      </c>
      <c r="B59" s="1">
        <v>4</v>
      </c>
      <c r="C59" s="1">
        <v>3</v>
      </c>
      <c r="D59" s="1">
        <v>3</v>
      </c>
    </row>
    <row r="60" spans="1:7" x14ac:dyDescent="0.25">
      <c r="A60" s="1">
        <v>5</v>
      </c>
      <c r="B60" s="1">
        <v>3</v>
      </c>
      <c r="C60" s="1">
        <v>1</v>
      </c>
      <c r="D60" s="1">
        <v>3</v>
      </c>
    </row>
    <row r="61" spans="1:7" x14ac:dyDescent="0.25">
      <c r="A61" s="1">
        <v>3</v>
      </c>
      <c r="B61" s="1">
        <v>5</v>
      </c>
      <c r="C61" s="1">
        <v>4</v>
      </c>
      <c r="D61" s="1">
        <v>4</v>
      </c>
    </row>
    <row r="62" spans="1:7" x14ac:dyDescent="0.25">
      <c r="A62" s="1">
        <v>1</v>
      </c>
      <c r="B62" s="1">
        <v>5</v>
      </c>
      <c r="C62" s="1">
        <v>5</v>
      </c>
      <c r="D62" s="1">
        <v>5</v>
      </c>
    </row>
    <row r="63" spans="1:7" x14ac:dyDescent="0.25">
      <c r="A63" s="1">
        <v>5</v>
      </c>
      <c r="B63" s="1">
        <v>4</v>
      </c>
      <c r="C63" s="1">
        <v>5</v>
      </c>
      <c r="D63" s="1">
        <v>3</v>
      </c>
    </row>
    <row r="64" spans="1:7" x14ac:dyDescent="0.25">
      <c r="A64" s="1">
        <v>3</v>
      </c>
      <c r="B64" s="1">
        <v>3</v>
      </c>
      <c r="C64" s="1">
        <v>4</v>
      </c>
      <c r="D64" s="1">
        <v>3</v>
      </c>
      <c r="F64" t="s">
        <v>5</v>
      </c>
      <c r="G64">
        <f>G44/G54</f>
        <v>1.3478260869565224</v>
      </c>
    </row>
    <row r="65" spans="1:7" x14ac:dyDescent="0.25">
      <c r="A65" s="1">
        <v>2</v>
      </c>
      <c r="B65" s="1">
        <v>2</v>
      </c>
      <c r="C65" s="1">
        <v>5</v>
      </c>
      <c r="D65" s="1">
        <v>5</v>
      </c>
    </row>
    <row r="66" spans="1:7" x14ac:dyDescent="0.25">
      <c r="A66" s="1">
        <v>3</v>
      </c>
      <c r="B66" s="1">
        <v>3</v>
      </c>
      <c r="C66" s="1">
        <v>5</v>
      </c>
      <c r="D66" s="1">
        <v>3</v>
      </c>
    </row>
    <row r="67" spans="1:7" x14ac:dyDescent="0.25">
      <c r="A67" s="1">
        <v>3</v>
      </c>
      <c r="B67" s="1">
        <v>3</v>
      </c>
      <c r="C67" s="1">
        <v>3</v>
      </c>
      <c r="D67" s="1">
        <v>5</v>
      </c>
      <c r="F67" s="2" t="s">
        <v>30</v>
      </c>
      <c r="G67" s="2"/>
    </row>
    <row r="68" spans="1:7" x14ac:dyDescent="0.25">
      <c r="A68" s="1">
        <v>3</v>
      </c>
      <c r="B68" s="1">
        <v>4</v>
      </c>
      <c r="C68" s="1">
        <v>4</v>
      </c>
      <c r="D68" s="1">
        <v>3</v>
      </c>
      <c r="F68" t="s">
        <v>31</v>
      </c>
    </row>
    <row r="69" spans="1:7" x14ac:dyDescent="0.25">
      <c r="A69" s="1">
        <v>4</v>
      </c>
      <c r="B69" s="1">
        <v>4</v>
      </c>
      <c r="C69" s="1">
        <v>4</v>
      </c>
      <c r="D69" s="1">
        <v>1</v>
      </c>
      <c r="F69" t="s">
        <v>32</v>
      </c>
    </row>
    <row r="70" spans="1:7" x14ac:dyDescent="0.25">
      <c r="A70" s="1">
        <v>4</v>
      </c>
      <c r="B70" s="1">
        <v>4</v>
      </c>
      <c r="C70" s="1">
        <v>2</v>
      </c>
      <c r="D70" s="1">
        <v>5</v>
      </c>
    </row>
    <row r="71" spans="1:7" x14ac:dyDescent="0.25">
      <c r="A71" s="1">
        <v>2</v>
      </c>
      <c r="B71" s="1">
        <v>1</v>
      </c>
      <c r="C71" s="1">
        <v>5</v>
      </c>
      <c r="D71" s="1">
        <v>3</v>
      </c>
    </row>
    <row r="72" spans="1:7" x14ac:dyDescent="0.25">
      <c r="A72" s="1">
        <v>2</v>
      </c>
      <c r="B72" s="1">
        <v>5</v>
      </c>
      <c r="C72" s="1">
        <v>1</v>
      </c>
      <c r="D72" s="1">
        <v>4</v>
      </c>
    </row>
    <row r="73" spans="1:7" x14ac:dyDescent="0.25">
      <c r="A73" s="1">
        <v>2</v>
      </c>
      <c r="B73" s="1">
        <v>2</v>
      </c>
      <c r="C73" s="1">
        <v>4</v>
      </c>
      <c r="D73" s="1">
        <v>1</v>
      </c>
    </row>
    <row r="74" spans="1:7" x14ac:dyDescent="0.25">
      <c r="A74" s="1">
        <v>2</v>
      </c>
      <c r="B74" s="1">
        <v>3</v>
      </c>
      <c r="C74" s="1">
        <v>2</v>
      </c>
      <c r="D74" s="1">
        <v>4</v>
      </c>
      <c r="F74" t="s">
        <v>2</v>
      </c>
      <c r="G74">
        <f>G34/G64</f>
        <v>5.1935483870967767</v>
      </c>
    </row>
    <row r="75" spans="1:7" x14ac:dyDescent="0.25">
      <c r="A75" s="1">
        <v>3</v>
      </c>
      <c r="B75" s="1">
        <v>4</v>
      </c>
      <c r="C75" s="1">
        <v>3</v>
      </c>
      <c r="D75" s="1">
        <v>3</v>
      </c>
    </row>
    <row r="76" spans="1:7" x14ac:dyDescent="0.25">
      <c r="A76" s="1">
        <v>3</v>
      </c>
      <c r="B76" s="1">
        <v>3</v>
      </c>
      <c r="C76" s="1">
        <v>2</v>
      </c>
      <c r="D76" s="1">
        <v>5</v>
      </c>
    </row>
    <row r="77" spans="1:7" x14ac:dyDescent="0.25">
      <c r="A77" s="1">
        <v>2</v>
      </c>
      <c r="B77" s="1">
        <v>3</v>
      </c>
      <c r="C77" s="1">
        <v>1</v>
      </c>
      <c r="D77" s="1">
        <v>5</v>
      </c>
      <c r="F77" s="2" t="s">
        <v>35</v>
      </c>
      <c r="G77" s="2"/>
    </row>
    <row r="78" spans="1:7" x14ac:dyDescent="0.25">
      <c r="A78" s="1">
        <v>3</v>
      </c>
      <c r="B78" s="1">
        <v>2</v>
      </c>
      <c r="C78" s="1">
        <v>4</v>
      </c>
      <c r="D78" s="1">
        <v>5</v>
      </c>
    </row>
    <row r="79" spans="1:7" x14ac:dyDescent="0.25">
      <c r="A79" s="1">
        <v>3</v>
      </c>
      <c r="B79" s="1">
        <v>2</v>
      </c>
      <c r="C79" s="1">
        <v>1</v>
      </c>
      <c r="D79" s="1">
        <v>1</v>
      </c>
      <c r="F79" s="4" t="s">
        <v>33</v>
      </c>
      <c r="G79">
        <v>0.05</v>
      </c>
    </row>
    <row r="80" spans="1:7" x14ac:dyDescent="0.25">
      <c r="A80" s="1">
        <v>2</v>
      </c>
      <c r="B80" s="1">
        <v>4</v>
      </c>
      <c r="C80" s="1">
        <v>4</v>
      </c>
      <c r="D80" s="1">
        <v>3</v>
      </c>
      <c r="F80" t="s">
        <v>0</v>
      </c>
      <c r="G80">
        <f xml:space="preserve"> G25</f>
        <v>3</v>
      </c>
    </row>
    <row r="81" spans="1:7" x14ac:dyDescent="0.25">
      <c r="A81" s="1">
        <v>2</v>
      </c>
      <c r="B81" s="1">
        <v>4</v>
      </c>
      <c r="C81" s="1">
        <v>4</v>
      </c>
      <c r="D81" s="1">
        <v>3</v>
      </c>
      <c r="F81" t="s">
        <v>4</v>
      </c>
      <c r="G81">
        <f xml:space="preserve"> G54</f>
        <v>368</v>
      </c>
    </row>
    <row r="82" spans="1:7" x14ac:dyDescent="0.25">
      <c r="A82" s="1">
        <v>4</v>
      </c>
      <c r="B82" s="1">
        <v>3</v>
      </c>
      <c r="C82" s="1">
        <v>4</v>
      </c>
      <c r="D82" s="1">
        <v>2</v>
      </c>
      <c r="F82" t="s">
        <v>34</v>
      </c>
      <c r="G82">
        <f>FINV(G79, G80, G81)</f>
        <v>2.6291647929246422</v>
      </c>
    </row>
    <row r="83" spans="1:7" x14ac:dyDescent="0.25">
      <c r="A83" s="1">
        <v>4</v>
      </c>
      <c r="B83" s="1">
        <v>2</v>
      </c>
      <c r="C83" s="1">
        <v>3</v>
      </c>
      <c r="D83" s="1">
        <v>5</v>
      </c>
      <c r="F83" t="s">
        <v>36</v>
      </c>
      <c r="G83">
        <f>_xlfn.F.DIST.RT(G74, G80, G81)</f>
        <v>1.5919933500680515E-3</v>
      </c>
    </row>
    <row r="84" spans="1:7" x14ac:dyDescent="0.25">
      <c r="A84" s="1">
        <v>5</v>
      </c>
      <c r="B84" s="1">
        <v>4</v>
      </c>
      <c r="C84" s="1">
        <v>5</v>
      </c>
      <c r="D84" s="1">
        <v>5</v>
      </c>
    </row>
    <row r="85" spans="1:7" x14ac:dyDescent="0.25">
      <c r="A85" s="1">
        <v>3</v>
      </c>
      <c r="B85" s="1">
        <v>3</v>
      </c>
      <c r="C85" s="1">
        <v>3</v>
      </c>
      <c r="D85" s="1">
        <v>5</v>
      </c>
      <c r="F85" s="2" t="s">
        <v>6</v>
      </c>
      <c r="G85" s="2"/>
    </row>
    <row r="86" spans="1:7" x14ac:dyDescent="0.25">
      <c r="A86" s="1">
        <v>5</v>
      </c>
      <c r="B86" s="1">
        <v>3</v>
      </c>
      <c r="C86" s="1">
        <v>3</v>
      </c>
      <c r="D86" s="1">
        <v>5</v>
      </c>
    </row>
    <row r="87" spans="1:7" x14ac:dyDescent="0.25">
      <c r="A87" s="1">
        <v>3</v>
      </c>
      <c r="B87" s="1">
        <v>3</v>
      </c>
      <c r="C87" s="1">
        <v>3</v>
      </c>
      <c r="D87" s="1">
        <v>5</v>
      </c>
      <c r="F87" t="s">
        <v>40</v>
      </c>
    </row>
    <row r="88" spans="1:7" x14ac:dyDescent="0.25">
      <c r="A88" s="1">
        <v>3</v>
      </c>
      <c r="B88" s="1">
        <v>5</v>
      </c>
      <c r="C88" s="1">
        <v>2</v>
      </c>
      <c r="D88" s="1">
        <v>4</v>
      </c>
      <c r="F88" t="s">
        <v>41</v>
      </c>
    </row>
    <row r="89" spans="1:7" x14ac:dyDescent="0.25">
      <c r="A89" s="1">
        <v>4</v>
      </c>
      <c r="B89" s="1">
        <v>3</v>
      </c>
      <c r="C89" s="1">
        <v>4</v>
      </c>
      <c r="D89" s="1">
        <v>5</v>
      </c>
    </row>
    <row r="90" spans="1:7" x14ac:dyDescent="0.25">
      <c r="A90" s="1">
        <v>3</v>
      </c>
      <c r="B90" s="1">
        <v>2</v>
      </c>
      <c r="C90" s="1">
        <v>4</v>
      </c>
      <c r="D90" s="1">
        <v>5</v>
      </c>
      <c r="F90" t="str">
        <f>"Si F calculado ("&amp;G74&amp;") &gt; F critico ("&amp;G82&amp;") ---&gt; Se rechaza la hipotesis nula"</f>
        <v>Si F calculado (5.19354838709678) &gt; F critico (2.62916479292464) ---&gt; Se rechaza la hipotesis nula</v>
      </c>
    </row>
    <row r="91" spans="1:7" x14ac:dyDescent="0.25">
      <c r="A91" s="1">
        <v>5</v>
      </c>
      <c r="B91" s="1">
        <v>5</v>
      </c>
      <c r="C91" s="1">
        <v>4</v>
      </c>
      <c r="D91" s="1">
        <v>5</v>
      </c>
      <c r="F91" t="str">
        <f>"Si p-valor ("&amp;G83&amp;") &lt; α Nivel Significancia ("&amp;G79&amp;") ---&gt; Se rechaza la hipotesis nula"</f>
        <v>Si p-valor (0.00159199335006805) &lt; α Nivel Significancia (0.05) ---&gt; Se rechaza la hipotesis nula</v>
      </c>
    </row>
    <row r="92" spans="1:7" x14ac:dyDescent="0.25">
      <c r="A92" s="1">
        <v>5</v>
      </c>
      <c r="B92" s="1">
        <v>4</v>
      </c>
      <c r="C92" s="1">
        <v>4</v>
      </c>
      <c r="D92" s="1">
        <v>5</v>
      </c>
    </row>
    <row r="93" spans="1:7" x14ac:dyDescent="0.25">
      <c r="A93" s="1">
        <v>2</v>
      </c>
      <c r="B93" s="1">
        <v>1</v>
      </c>
      <c r="C93" s="1">
        <v>5</v>
      </c>
      <c r="D93" s="1">
        <v>1</v>
      </c>
    </row>
    <row r="94" spans="1:7" x14ac:dyDescent="0.25">
      <c r="A94" s="1">
        <v>4</v>
      </c>
      <c r="B94" s="1">
        <v>5</v>
      </c>
      <c r="C94" s="1">
        <v>4</v>
      </c>
      <c r="D94" s="1">
        <v>3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H6" sqref="H6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5</v>
      </c>
      <c r="B2" s="1">
        <v>3</v>
      </c>
      <c r="C2" s="1">
        <v>5</v>
      </c>
      <c r="D2" s="1">
        <v>5</v>
      </c>
      <c r="F2" s="2" t="s">
        <v>13</v>
      </c>
      <c r="G2" s="2"/>
    </row>
    <row r="3" spans="1:7" x14ac:dyDescent="0.25">
      <c r="A3" s="1">
        <v>5</v>
      </c>
      <c r="B3" s="1">
        <v>4</v>
      </c>
      <c r="C3" s="1">
        <v>4</v>
      </c>
      <c r="D3" s="1">
        <v>5</v>
      </c>
      <c r="F3" t="s">
        <v>14</v>
      </c>
      <c r="G3">
        <f>COUNT(A:A)</f>
        <v>93</v>
      </c>
    </row>
    <row r="4" spans="1:7" x14ac:dyDescent="0.25">
      <c r="A4" s="1">
        <v>3</v>
      </c>
      <c r="B4" s="1">
        <v>3</v>
      </c>
      <c r="C4" s="1">
        <v>3</v>
      </c>
      <c r="D4" s="1">
        <v>5</v>
      </c>
      <c r="F4" t="s">
        <v>7</v>
      </c>
      <c r="G4">
        <f>AVERAGE(A:A)</f>
        <v>3.4193548387096775</v>
      </c>
    </row>
    <row r="5" spans="1:7" x14ac:dyDescent="0.25">
      <c r="A5" s="1">
        <v>3</v>
      </c>
      <c r="B5" s="1">
        <v>5</v>
      </c>
      <c r="C5" s="1">
        <v>3</v>
      </c>
      <c r="D5" s="1">
        <v>5</v>
      </c>
      <c r="F5" t="s">
        <v>8</v>
      </c>
      <c r="G5">
        <f>AVERAGE(B:B)</f>
        <v>3.3118279569892475</v>
      </c>
    </row>
    <row r="6" spans="1:7" x14ac:dyDescent="0.25">
      <c r="A6" s="1">
        <v>3</v>
      </c>
      <c r="B6" s="1">
        <v>4</v>
      </c>
      <c r="C6" s="1">
        <v>4</v>
      </c>
      <c r="D6" s="1">
        <v>5</v>
      </c>
      <c r="F6" t="s">
        <v>9</v>
      </c>
      <c r="G6">
        <f>AVERAGE(C:C)</f>
        <v>3.150537634408602</v>
      </c>
    </row>
    <row r="7" spans="1:7" x14ac:dyDescent="0.25">
      <c r="A7" s="1">
        <v>3</v>
      </c>
      <c r="B7" s="1">
        <v>1</v>
      </c>
      <c r="C7" s="1">
        <v>1</v>
      </c>
      <c r="D7" s="1">
        <v>4</v>
      </c>
      <c r="F7" t="s">
        <v>10</v>
      </c>
      <c r="G7">
        <f>AVERAGE(D:D)</f>
        <v>4.21505376344086</v>
      </c>
    </row>
    <row r="8" spans="1:7" x14ac:dyDescent="0.25">
      <c r="A8" s="1">
        <v>1</v>
      </c>
      <c r="B8" s="1">
        <v>4</v>
      </c>
      <c r="C8" s="1">
        <v>2</v>
      </c>
      <c r="D8" s="1">
        <v>5</v>
      </c>
      <c r="F8" t="s">
        <v>15</v>
      </c>
      <c r="G8">
        <f>AVERAGE(G4:G7)</f>
        <v>3.524193548387097</v>
      </c>
    </row>
    <row r="9" spans="1:7" x14ac:dyDescent="0.25">
      <c r="A9" s="1">
        <v>3</v>
      </c>
      <c r="B9" s="1">
        <v>3</v>
      </c>
      <c r="C9" s="1">
        <v>3</v>
      </c>
      <c r="D9" s="1">
        <v>5</v>
      </c>
    </row>
    <row r="10" spans="1:7" x14ac:dyDescent="0.25">
      <c r="A10" s="1">
        <v>4</v>
      </c>
      <c r="B10" s="1">
        <v>4</v>
      </c>
      <c r="C10" s="1">
        <v>3</v>
      </c>
      <c r="D10" s="1">
        <v>3</v>
      </c>
    </row>
    <row r="11" spans="1:7" x14ac:dyDescent="0.25">
      <c r="A11" s="1">
        <v>2</v>
      </c>
      <c r="B11" s="1">
        <v>2</v>
      </c>
      <c r="C11" s="1">
        <v>3</v>
      </c>
      <c r="D11" s="1">
        <v>5</v>
      </c>
      <c r="F11" s="2" t="s">
        <v>12</v>
      </c>
      <c r="G11" s="2"/>
    </row>
    <row r="12" spans="1:7" x14ac:dyDescent="0.25">
      <c r="A12" s="1">
        <v>4</v>
      </c>
      <c r="B12" s="1">
        <v>5</v>
      </c>
      <c r="C12" s="1">
        <v>4</v>
      </c>
      <c r="D12" s="1">
        <v>5</v>
      </c>
      <c r="F12" s="3" t="s">
        <v>17</v>
      </c>
    </row>
    <row r="13" spans="1:7" x14ac:dyDescent="0.25">
      <c r="A13" s="1">
        <v>4</v>
      </c>
      <c r="B13" s="1">
        <v>1</v>
      </c>
      <c r="C13" s="1">
        <v>4</v>
      </c>
      <c r="D13" s="1">
        <v>3</v>
      </c>
      <c r="F13" s="3" t="s">
        <v>18</v>
      </c>
    </row>
    <row r="14" spans="1:7" x14ac:dyDescent="0.25">
      <c r="A14" s="1">
        <v>5</v>
      </c>
      <c r="B14" s="1">
        <v>4</v>
      </c>
      <c r="C14" s="1">
        <v>5</v>
      </c>
      <c r="D14" s="1">
        <v>5</v>
      </c>
    </row>
    <row r="15" spans="1:7" x14ac:dyDescent="0.25">
      <c r="A15" s="1">
        <v>5</v>
      </c>
      <c r="B15" s="1">
        <v>4</v>
      </c>
      <c r="C15" s="1">
        <v>3</v>
      </c>
      <c r="D15" s="1">
        <v>5</v>
      </c>
    </row>
    <row r="16" spans="1:7" x14ac:dyDescent="0.25">
      <c r="A16" s="1">
        <v>1</v>
      </c>
      <c r="B16" s="1">
        <v>5</v>
      </c>
      <c r="C16" s="1">
        <v>3</v>
      </c>
      <c r="D16" s="1">
        <v>4</v>
      </c>
    </row>
    <row r="17" spans="1:7" x14ac:dyDescent="0.25">
      <c r="A17" s="1">
        <v>2</v>
      </c>
      <c r="B17" s="1">
        <v>5</v>
      </c>
      <c r="C17" s="1">
        <v>4</v>
      </c>
      <c r="D17" s="1">
        <v>5</v>
      </c>
      <c r="F17" t="s">
        <v>11</v>
      </c>
      <c r="G17">
        <f>G3*((G4-G8)^2+(G5-G8)^2+(G6-G8)^2+(G7-G8)^2)</f>
        <v>62.588709677419331</v>
      </c>
    </row>
    <row r="18" spans="1:7" x14ac:dyDescent="0.25">
      <c r="A18" s="1">
        <v>3</v>
      </c>
      <c r="B18" s="1">
        <v>3</v>
      </c>
      <c r="C18" s="1">
        <v>1</v>
      </c>
      <c r="D18" s="1">
        <v>4</v>
      </c>
    </row>
    <row r="19" spans="1:7" x14ac:dyDescent="0.25">
      <c r="A19" s="1">
        <v>4</v>
      </c>
      <c r="B19" s="1">
        <v>4</v>
      </c>
      <c r="C19" s="1">
        <v>2</v>
      </c>
      <c r="D19" s="1">
        <v>3</v>
      </c>
    </row>
    <row r="20" spans="1:7" x14ac:dyDescent="0.25">
      <c r="A20" s="1">
        <v>4</v>
      </c>
      <c r="B20" s="1">
        <v>2</v>
      </c>
      <c r="C20" s="1">
        <v>3</v>
      </c>
      <c r="D20" s="1">
        <v>5</v>
      </c>
      <c r="F20" s="2" t="s">
        <v>19</v>
      </c>
      <c r="G20" s="2"/>
    </row>
    <row r="21" spans="1:7" x14ac:dyDescent="0.25">
      <c r="A21" s="1">
        <v>5</v>
      </c>
      <c r="B21" s="1">
        <v>4</v>
      </c>
      <c r="C21" s="1">
        <v>3</v>
      </c>
      <c r="D21" s="1">
        <v>4</v>
      </c>
      <c r="F21" t="s">
        <v>20</v>
      </c>
    </row>
    <row r="22" spans="1:7" x14ac:dyDescent="0.25">
      <c r="A22" s="1">
        <v>4</v>
      </c>
      <c r="B22" s="1">
        <v>4</v>
      </c>
      <c r="C22" s="1">
        <v>2</v>
      </c>
      <c r="D22" s="1">
        <v>4</v>
      </c>
      <c r="F22" t="s">
        <v>16</v>
      </c>
      <c r="G22">
        <v>4</v>
      </c>
    </row>
    <row r="23" spans="1:7" x14ac:dyDescent="0.25">
      <c r="A23" s="1">
        <v>3</v>
      </c>
      <c r="B23" s="1">
        <v>3</v>
      </c>
      <c r="C23" s="1">
        <v>5</v>
      </c>
      <c r="D23" s="1">
        <v>5</v>
      </c>
    </row>
    <row r="24" spans="1:7" x14ac:dyDescent="0.25">
      <c r="A24" s="1">
        <v>3</v>
      </c>
      <c r="B24" s="1">
        <v>3</v>
      </c>
      <c r="C24" s="1">
        <v>2</v>
      </c>
      <c r="D24" s="1">
        <v>4</v>
      </c>
    </row>
    <row r="25" spans="1:7" x14ac:dyDescent="0.25">
      <c r="A25" s="1">
        <v>3</v>
      </c>
      <c r="B25" s="1">
        <v>5</v>
      </c>
      <c r="C25" s="1">
        <v>5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4</v>
      </c>
      <c r="B26" s="1">
        <v>5</v>
      </c>
      <c r="C26" s="1">
        <v>2</v>
      </c>
      <c r="D26" s="1">
        <v>4</v>
      </c>
    </row>
    <row r="27" spans="1:7" x14ac:dyDescent="0.25">
      <c r="A27" s="1">
        <v>1</v>
      </c>
      <c r="B27" s="1">
        <v>5</v>
      </c>
      <c r="C27" s="1">
        <v>4</v>
      </c>
      <c r="D27" s="1">
        <v>5</v>
      </c>
    </row>
    <row r="28" spans="1:7" x14ac:dyDescent="0.25">
      <c r="A28" s="1">
        <v>3</v>
      </c>
      <c r="B28" s="1">
        <v>3</v>
      </c>
      <c r="C28" s="1">
        <v>2</v>
      </c>
      <c r="D28" s="1">
        <v>4</v>
      </c>
      <c r="F28" s="2" t="s">
        <v>21</v>
      </c>
      <c r="G28" s="2"/>
    </row>
    <row r="29" spans="1:7" x14ac:dyDescent="0.25">
      <c r="A29" s="1">
        <v>3</v>
      </c>
      <c r="B29" s="1">
        <v>3</v>
      </c>
      <c r="C29" s="1">
        <v>1</v>
      </c>
      <c r="D29" s="1">
        <v>5</v>
      </c>
      <c r="F29" t="s">
        <v>22</v>
      </c>
    </row>
    <row r="30" spans="1:7" x14ac:dyDescent="0.25">
      <c r="A30" s="1">
        <v>3</v>
      </c>
      <c r="B30" s="1">
        <v>3</v>
      </c>
      <c r="C30" s="1">
        <v>5</v>
      </c>
      <c r="D30" s="1">
        <v>3</v>
      </c>
    </row>
    <row r="31" spans="1:7" x14ac:dyDescent="0.25">
      <c r="A31" s="1">
        <v>4</v>
      </c>
      <c r="B31" s="1">
        <v>2</v>
      </c>
      <c r="C31" s="1">
        <v>4</v>
      </c>
      <c r="D31" s="1">
        <v>5</v>
      </c>
    </row>
    <row r="32" spans="1:7" x14ac:dyDescent="0.25">
      <c r="A32" s="1">
        <v>4</v>
      </c>
      <c r="B32" s="1">
        <v>2</v>
      </c>
      <c r="C32" s="1">
        <v>1</v>
      </c>
      <c r="D32" s="1">
        <v>5</v>
      </c>
    </row>
    <row r="33" spans="1:7" x14ac:dyDescent="0.25">
      <c r="A33" s="1">
        <v>4</v>
      </c>
      <c r="B33" s="1">
        <v>3</v>
      </c>
      <c r="C33" s="1">
        <v>3</v>
      </c>
      <c r="D33" s="1">
        <v>4</v>
      </c>
    </row>
    <row r="34" spans="1:7" x14ac:dyDescent="0.25">
      <c r="A34" s="1">
        <v>3</v>
      </c>
      <c r="B34" s="1">
        <v>2</v>
      </c>
      <c r="C34" s="1">
        <v>2</v>
      </c>
      <c r="D34" s="1">
        <v>4</v>
      </c>
      <c r="F34" t="s">
        <v>1</v>
      </c>
      <c r="G34">
        <f>G17/G25</f>
        <v>20.862903225806445</v>
      </c>
    </row>
    <row r="35" spans="1:7" x14ac:dyDescent="0.25">
      <c r="A35" s="1">
        <v>5</v>
      </c>
      <c r="B35" s="1">
        <v>4</v>
      </c>
      <c r="C35" s="1">
        <v>3</v>
      </c>
      <c r="D35" s="1">
        <v>4</v>
      </c>
    </row>
    <row r="36" spans="1:7" x14ac:dyDescent="0.25">
      <c r="A36" s="1">
        <v>5</v>
      </c>
      <c r="B36" s="1">
        <v>5</v>
      </c>
      <c r="C36" s="1">
        <v>4</v>
      </c>
      <c r="D36" s="1">
        <v>4</v>
      </c>
    </row>
    <row r="37" spans="1:7" x14ac:dyDescent="0.25">
      <c r="A37" s="1">
        <v>5</v>
      </c>
      <c r="B37" s="1">
        <v>4</v>
      </c>
      <c r="C37" s="1">
        <v>4</v>
      </c>
      <c r="D37" s="1">
        <v>3</v>
      </c>
      <c r="F37" s="2" t="s">
        <v>26</v>
      </c>
      <c r="G37" s="2"/>
    </row>
    <row r="38" spans="1:7" x14ac:dyDescent="0.25">
      <c r="A38" s="1">
        <v>5</v>
      </c>
      <c r="B38" s="1">
        <v>5</v>
      </c>
      <c r="C38" s="1">
        <v>4</v>
      </c>
      <c r="D38" s="1">
        <v>3</v>
      </c>
      <c r="F38" t="s">
        <v>23</v>
      </c>
    </row>
    <row r="39" spans="1:7" x14ac:dyDescent="0.25">
      <c r="A39" s="1">
        <v>2</v>
      </c>
      <c r="B39" s="1">
        <v>3</v>
      </c>
      <c r="C39" s="1">
        <v>3</v>
      </c>
      <c r="D39" s="1">
        <v>5</v>
      </c>
      <c r="F39" t="s">
        <v>24</v>
      </c>
    </row>
    <row r="40" spans="1:7" x14ac:dyDescent="0.25">
      <c r="A40" s="1">
        <v>3</v>
      </c>
      <c r="B40" s="1">
        <v>1</v>
      </c>
      <c r="C40" s="1">
        <v>4</v>
      </c>
      <c r="D40" s="1">
        <v>4</v>
      </c>
    </row>
    <row r="41" spans="1:7" x14ac:dyDescent="0.25">
      <c r="A41" s="1">
        <v>3</v>
      </c>
      <c r="B41" s="1">
        <v>5</v>
      </c>
      <c r="C41" s="1">
        <v>3</v>
      </c>
      <c r="D41" s="1">
        <v>3</v>
      </c>
    </row>
    <row r="42" spans="1:7" x14ac:dyDescent="0.25">
      <c r="A42" s="1">
        <v>5</v>
      </c>
      <c r="B42" s="1">
        <v>5</v>
      </c>
      <c r="C42" s="1">
        <v>3</v>
      </c>
      <c r="D42" s="1">
        <v>2</v>
      </c>
    </row>
    <row r="43" spans="1:7" x14ac:dyDescent="0.25">
      <c r="A43" s="1">
        <v>3</v>
      </c>
      <c r="B43" s="1">
        <v>4</v>
      </c>
      <c r="C43" s="1">
        <v>3</v>
      </c>
      <c r="D43" s="1">
        <v>3</v>
      </c>
    </row>
    <row r="44" spans="1:7" x14ac:dyDescent="0.25">
      <c r="A44" s="1">
        <v>3</v>
      </c>
      <c r="B44" s="1">
        <v>2</v>
      </c>
      <c r="C44" s="1">
        <v>2</v>
      </c>
      <c r="D44" s="1">
        <v>5</v>
      </c>
      <c r="F44" t="s">
        <v>3</v>
      </c>
      <c r="G44">
        <f>DEVSQ(A:A)+DEVSQ(B:B)+DEVSQ(C:C)+DEVSQ(D:D)</f>
        <v>474.19354838709666</v>
      </c>
    </row>
    <row r="45" spans="1:7" x14ac:dyDescent="0.25">
      <c r="A45" s="1">
        <v>4</v>
      </c>
      <c r="B45" s="1">
        <v>4</v>
      </c>
      <c r="C45" s="1">
        <v>1</v>
      </c>
      <c r="D45" s="1">
        <v>5</v>
      </c>
    </row>
    <row r="46" spans="1:7" x14ac:dyDescent="0.25">
      <c r="A46" s="1">
        <v>4</v>
      </c>
      <c r="B46" s="1">
        <v>3</v>
      </c>
      <c r="C46" s="1">
        <v>4</v>
      </c>
      <c r="D46" s="1">
        <v>4</v>
      </c>
    </row>
    <row r="47" spans="1:7" x14ac:dyDescent="0.25">
      <c r="A47" s="1">
        <v>4</v>
      </c>
      <c r="B47" s="1">
        <v>5</v>
      </c>
      <c r="C47" s="1">
        <v>2</v>
      </c>
      <c r="D47" s="1">
        <v>3</v>
      </c>
      <c r="F47" s="2" t="s">
        <v>25</v>
      </c>
      <c r="G47" s="2"/>
    </row>
    <row r="48" spans="1:7" x14ac:dyDescent="0.25">
      <c r="A48" s="1">
        <v>3</v>
      </c>
      <c r="B48" s="1">
        <v>5</v>
      </c>
      <c r="C48" s="1">
        <v>3</v>
      </c>
      <c r="D48" s="1">
        <v>4</v>
      </c>
      <c r="F48" t="s">
        <v>27</v>
      </c>
      <c r="G48">
        <f>COUNT(A:A,B:B,C:C,D:D)</f>
        <v>372</v>
      </c>
    </row>
    <row r="49" spans="1:7" x14ac:dyDescent="0.25">
      <c r="A49" s="1">
        <v>3</v>
      </c>
      <c r="B49" s="1">
        <v>1</v>
      </c>
      <c r="C49" s="1">
        <v>3</v>
      </c>
      <c r="D49" s="1">
        <v>4</v>
      </c>
      <c r="F49" t="s">
        <v>16</v>
      </c>
      <c r="G49">
        <f>G22</f>
        <v>4</v>
      </c>
    </row>
    <row r="50" spans="1:7" x14ac:dyDescent="0.25">
      <c r="A50" s="1">
        <v>5</v>
      </c>
      <c r="B50" s="1">
        <v>1</v>
      </c>
      <c r="C50" s="1">
        <v>1</v>
      </c>
      <c r="D50" s="1">
        <v>3</v>
      </c>
    </row>
    <row r="51" spans="1:7" x14ac:dyDescent="0.25">
      <c r="A51" s="1">
        <v>4</v>
      </c>
      <c r="B51" s="1">
        <v>5</v>
      </c>
      <c r="C51" s="1">
        <v>4</v>
      </c>
      <c r="D51" s="1">
        <v>5</v>
      </c>
    </row>
    <row r="52" spans="1:7" x14ac:dyDescent="0.25">
      <c r="A52" s="1">
        <v>3</v>
      </c>
      <c r="B52" s="1">
        <v>1</v>
      </c>
      <c r="C52" s="1">
        <v>5</v>
      </c>
      <c r="D52" s="1">
        <v>3</v>
      </c>
    </row>
    <row r="53" spans="1:7" x14ac:dyDescent="0.25">
      <c r="A53" s="1">
        <v>3</v>
      </c>
      <c r="B53" s="1">
        <v>3</v>
      </c>
      <c r="C53" s="1">
        <v>2</v>
      </c>
      <c r="D53" s="1">
        <v>5</v>
      </c>
    </row>
    <row r="54" spans="1:7" x14ac:dyDescent="0.25">
      <c r="A54" s="1">
        <v>2</v>
      </c>
      <c r="B54" s="1">
        <v>2</v>
      </c>
      <c r="C54" s="1">
        <v>4</v>
      </c>
      <c r="D54" s="1">
        <v>5</v>
      </c>
      <c r="F54" t="s">
        <v>4</v>
      </c>
      <c r="G54">
        <f>G48-G49</f>
        <v>368</v>
      </c>
    </row>
    <row r="55" spans="1:7" x14ac:dyDescent="0.25">
      <c r="A55" s="1">
        <v>3</v>
      </c>
      <c r="B55" s="1">
        <v>4</v>
      </c>
      <c r="C55" s="1">
        <v>2</v>
      </c>
      <c r="D55" s="1">
        <v>4</v>
      </c>
    </row>
    <row r="56" spans="1:7" x14ac:dyDescent="0.25">
      <c r="A56" s="1">
        <v>4</v>
      </c>
      <c r="B56" s="1">
        <v>3</v>
      </c>
      <c r="C56" s="1">
        <v>2</v>
      </c>
      <c r="D56" s="1">
        <v>3</v>
      </c>
    </row>
    <row r="57" spans="1:7" x14ac:dyDescent="0.25">
      <c r="A57" s="1">
        <v>5</v>
      </c>
      <c r="B57" s="1">
        <v>3</v>
      </c>
      <c r="C57" s="1">
        <v>5</v>
      </c>
      <c r="D57" s="1">
        <v>5</v>
      </c>
      <c r="F57" s="2" t="s">
        <v>28</v>
      </c>
      <c r="G57" s="2"/>
    </row>
    <row r="58" spans="1:7" x14ac:dyDescent="0.25">
      <c r="A58" s="1">
        <v>3</v>
      </c>
      <c r="B58" s="1">
        <v>3</v>
      </c>
      <c r="C58" s="1">
        <v>2</v>
      </c>
      <c r="D58" s="1">
        <v>5</v>
      </c>
      <c r="F58" t="s">
        <v>29</v>
      </c>
    </row>
    <row r="59" spans="1:7" x14ac:dyDescent="0.25">
      <c r="A59" s="1">
        <v>5</v>
      </c>
      <c r="B59" s="1">
        <v>5</v>
      </c>
      <c r="C59" s="1">
        <v>4</v>
      </c>
      <c r="D59" s="1">
        <v>2</v>
      </c>
    </row>
    <row r="60" spans="1:7" x14ac:dyDescent="0.25">
      <c r="A60" s="1">
        <v>3</v>
      </c>
      <c r="B60" s="1">
        <v>5</v>
      </c>
      <c r="C60" s="1">
        <v>3</v>
      </c>
      <c r="D60" s="1">
        <v>5</v>
      </c>
    </row>
    <row r="61" spans="1:7" x14ac:dyDescent="0.25">
      <c r="A61" s="1">
        <v>1</v>
      </c>
      <c r="B61" s="1">
        <v>4</v>
      </c>
      <c r="C61" s="1">
        <v>3</v>
      </c>
      <c r="D61" s="1">
        <v>4</v>
      </c>
    </row>
    <row r="62" spans="1:7" x14ac:dyDescent="0.25">
      <c r="A62" s="1">
        <v>3</v>
      </c>
      <c r="B62" s="1">
        <v>3</v>
      </c>
      <c r="C62" s="1">
        <v>1</v>
      </c>
      <c r="D62" s="1">
        <v>4</v>
      </c>
    </row>
    <row r="63" spans="1:7" x14ac:dyDescent="0.25">
      <c r="A63" s="1">
        <v>4</v>
      </c>
      <c r="B63" s="1">
        <v>4</v>
      </c>
      <c r="C63" s="1">
        <v>5</v>
      </c>
      <c r="D63" s="1">
        <v>4</v>
      </c>
    </row>
    <row r="64" spans="1:7" x14ac:dyDescent="0.25">
      <c r="A64" s="1">
        <v>3</v>
      </c>
      <c r="B64" s="1">
        <v>3</v>
      </c>
      <c r="C64" s="1">
        <v>3</v>
      </c>
      <c r="D64" s="1">
        <v>4</v>
      </c>
      <c r="F64" t="s">
        <v>5</v>
      </c>
      <c r="G64">
        <f>G44/G54</f>
        <v>1.2885694249649366</v>
      </c>
    </row>
    <row r="65" spans="1:7" x14ac:dyDescent="0.25">
      <c r="A65" s="1">
        <v>3</v>
      </c>
      <c r="B65" s="1">
        <v>1</v>
      </c>
      <c r="C65" s="1">
        <v>3</v>
      </c>
      <c r="D65" s="1">
        <v>5</v>
      </c>
    </row>
    <row r="66" spans="1:7" x14ac:dyDescent="0.25">
      <c r="A66" s="1">
        <v>3</v>
      </c>
      <c r="B66" s="1">
        <v>5</v>
      </c>
      <c r="C66" s="1">
        <v>3</v>
      </c>
      <c r="D66" s="1">
        <v>4</v>
      </c>
    </row>
    <row r="67" spans="1:7" x14ac:dyDescent="0.25">
      <c r="A67" s="1">
        <v>1</v>
      </c>
      <c r="B67" s="1">
        <v>3</v>
      </c>
      <c r="C67" s="1">
        <v>3</v>
      </c>
      <c r="D67" s="1">
        <v>5</v>
      </c>
      <c r="F67" s="2" t="s">
        <v>30</v>
      </c>
      <c r="G67" s="2"/>
    </row>
    <row r="68" spans="1:7" x14ac:dyDescent="0.25">
      <c r="A68" s="1">
        <v>4</v>
      </c>
      <c r="B68" s="1">
        <v>4</v>
      </c>
      <c r="C68" s="1">
        <v>5</v>
      </c>
      <c r="D68" s="1">
        <v>4</v>
      </c>
      <c r="F68" t="s">
        <v>31</v>
      </c>
    </row>
    <row r="69" spans="1:7" x14ac:dyDescent="0.25">
      <c r="A69" s="1">
        <v>1</v>
      </c>
      <c r="B69" s="1">
        <v>2</v>
      </c>
      <c r="C69" s="1">
        <v>4</v>
      </c>
      <c r="D69" s="1">
        <v>5</v>
      </c>
      <c r="F69" t="s">
        <v>32</v>
      </c>
    </row>
    <row r="70" spans="1:7" x14ac:dyDescent="0.25">
      <c r="A70" s="1">
        <v>2</v>
      </c>
      <c r="B70" s="1">
        <v>5</v>
      </c>
      <c r="C70" s="1">
        <v>4</v>
      </c>
      <c r="D70" s="1">
        <v>4</v>
      </c>
    </row>
    <row r="71" spans="1:7" x14ac:dyDescent="0.25">
      <c r="A71" s="1">
        <v>4</v>
      </c>
      <c r="B71" s="1">
        <v>3</v>
      </c>
      <c r="C71" s="1">
        <v>2</v>
      </c>
      <c r="D71" s="1">
        <v>5</v>
      </c>
    </row>
    <row r="72" spans="1:7" x14ac:dyDescent="0.25">
      <c r="A72" s="1">
        <v>5</v>
      </c>
      <c r="B72" s="1">
        <v>2</v>
      </c>
      <c r="C72" s="1">
        <v>4</v>
      </c>
      <c r="D72" s="1">
        <v>5</v>
      </c>
    </row>
    <row r="73" spans="1:7" x14ac:dyDescent="0.25">
      <c r="A73" s="1">
        <v>5</v>
      </c>
      <c r="B73" s="1">
        <v>1</v>
      </c>
      <c r="C73" s="1">
        <v>4</v>
      </c>
      <c r="D73" s="1">
        <v>5</v>
      </c>
    </row>
    <row r="74" spans="1:7" x14ac:dyDescent="0.25">
      <c r="A74" s="1">
        <v>5</v>
      </c>
      <c r="B74" s="1">
        <v>3</v>
      </c>
      <c r="C74" s="1">
        <v>1</v>
      </c>
      <c r="D74" s="1">
        <v>5</v>
      </c>
      <c r="F74" t="s">
        <v>2</v>
      </c>
      <c r="G74">
        <f>G34/G64</f>
        <v>16.190748299319726</v>
      </c>
    </row>
    <row r="75" spans="1:7" x14ac:dyDescent="0.25">
      <c r="A75" s="1">
        <v>5</v>
      </c>
      <c r="B75" s="1">
        <v>3</v>
      </c>
      <c r="C75" s="1">
        <v>5</v>
      </c>
      <c r="D75" s="1">
        <v>3</v>
      </c>
    </row>
    <row r="76" spans="1:7" x14ac:dyDescent="0.25">
      <c r="A76" s="1">
        <v>3</v>
      </c>
      <c r="B76" s="1">
        <v>3</v>
      </c>
      <c r="C76" s="1">
        <v>1</v>
      </c>
      <c r="D76" s="1">
        <v>5</v>
      </c>
    </row>
    <row r="77" spans="1:7" x14ac:dyDescent="0.25">
      <c r="A77" s="1">
        <v>5</v>
      </c>
      <c r="B77" s="1">
        <v>2</v>
      </c>
      <c r="C77" s="1">
        <v>3</v>
      </c>
      <c r="D77" s="1">
        <v>2</v>
      </c>
      <c r="F77" s="2" t="s">
        <v>35</v>
      </c>
      <c r="G77" s="2"/>
    </row>
    <row r="78" spans="1:7" x14ac:dyDescent="0.25">
      <c r="A78" s="1">
        <v>4</v>
      </c>
      <c r="B78" s="1">
        <v>3</v>
      </c>
      <c r="C78" s="1">
        <v>2</v>
      </c>
      <c r="D78" s="1">
        <v>2</v>
      </c>
    </row>
    <row r="79" spans="1:7" x14ac:dyDescent="0.25">
      <c r="A79" s="1">
        <v>2</v>
      </c>
      <c r="B79" s="1">
        <v>5</v>
      </c>
      <c r="C79" s="1">
        <v>4</v>
      </c>
      <c r="D79" s="1">
        <v>4</v>
      </c>
      <c r="F79" s="4" t="s">
        <v>33</v>
      </c>
      <c r="G79">
        <v>0.05</v>
      </c>
    </row>
    <row r="80" spans="1:7" x14ac:dyDescent="0.25">
      <c r="A80" s="1">
        <v>5</v>
      </c>
      <c r="B80" s="1">
        <v>2</v>
      </c>
      <c r="C80" s="1">
        <v>5</v>
      </c>
      <c r="D80" s="1">
        <v>5</v>
      </c>
      <c r="F80" t="s">
        <v>0</v>
      </c>
      <c r="G80">
        <f xml:space="preserve"> G25</f>
        <v>3</v>
      </c>
    </row>
    <row r="81" spans="1:7" x14ac:dyDescent="0.25">
      <c r="A81" s="1">
        <v>2</v>
      </c>
      <c r="B81" s="1">
        <v>3</v>
      </c>
      <c r="C81" s="1">
        <v>3</v>
      </c>
      <c r="D81" s="1">
        <v>5</v>
      </c>
      <c r="F81" t="s">
        <v>4</v>
      </c>
      <c r="G81">
        <f xml:space="preserve"> G54</f>
        <v>368</v>
      </c>
    </row>
    <row r="82" spans="1:7" x14ac:dyDescent="0.25">
      <c r="A82" s="1">
        <v>4</v>
      </c>
      <c r="B82" s="1">
        <v>3</v>
      </c>
      <c r="C82" s="1">
        <v>2</v>
      </c>
      <c r="D82" s="1">
        <v>3</v>
      </c>
      <c r="F82" t="s">
        <v>34</v>
      </c>
      <c r="G82">
        <f>FINV(G79, G80, G81)</f>
        <v>2.6291647929246422</v>
      </c>
    </row>
    <row r="83" spans="1:7" x14ac:dyDescent="0.25">
      <c r="A83" s="1">
        <v>5</v>
      </c>
      <c r="B83" s="1">
        <v>4</v>
      </c>
      <c r="C83" s="1">
        <v>3</v>
      </c>
      <c r="D83" s="1">
        <v>5</v>
      </c>
      <c r="F83" t="s">
        <v>36</v>
      </c>
      <c r="G83">
        <f>_xlfn.F.DIST.RT(G74, G80, G81)</f>
        <v>6.6177378598034705E-10</v>
      </c>
    </row>
    <row r="84" spans="1:7" x14ac:dyDescent="0.25">
      <c r="A84" s="1">
        <v>3</v>
      </c>
      <c r="B84" s="1">
        <v>3</v>
      </c>
      <c r="C84" s="1">
        <v>5</v>
      </c>
      <c r="D84" s="1">
        <v>5</v>
      </c>
    </row>
    <row r="85" spans="1:7" x14ac:dyDescent="0.25">
      <c r="A85" s="1">
        <v>3</v>
      </c>
      <c r="B85" s="1">
        <v>4</v>
      </c>
      <c r="C85" s="1">
        <v>3</v>
      </c>
      <c r="D85" s="1">
        <v>4</v>
      </c>
      <c r="F85" s="2" t="s">
        <v>6</v>
      </c>
      <c r="G85" s="2"/>
    </row>
    <row r="86" spans="1:7" x14ac:dyDescent="0.25">
      <c r="A86" s="1">
        <v>2</v>
      </c>
      <c r="B86" s="1">
        <v>3</v>
      </c>
      <c r="C86" s="1">
        <v>3</v>
      </c>
      <c r="D86" s="1">
        <v>3</v>
      </c>
    </row>
    <row r="87" spans="1:7" x14ac:dyDescent="0.25">
      <c r="A87" s="1">
        <v>3</v>
      </c>
      <c r="B87" s="1">
        <v>5</v>
      </c>
      <c r="C87" s="1">
        <v>3</v>
      </c>
      <c r="D87" s="1">
        <v>3</v>
      </c>
      <c r="F87" t="s">
        <v>40</v>
      </c>
    </row>
    <row r="88" spans="1:7" x14ac:dyDescent="0.25">
      <c r="A88" s="1">
        <v>2</v>
      </c>
      <c r="B88" s="1">
        <v>3</v>
      </c>
      <c r="C88" s="1">
        <v>3</v>
      </c>
      <c r="D88" s="1">
        <v>5</v>
      </c>
      <c r="F88" t="s">
        <v>41</v>
      </c>
    </row>
    <row r="89" spans="1:7" x14ac:dyDescent="0.25">
      <c r="A89" s="1">
        <v>4</v>
      </c>
      <c r="B89" s="1">
        <v>1</v>
      </c>
      <c r="C89" s="1">
        <v>2</v>
      </c>
      <c r="D89" s="1">
        <v>4</v>
      </c>
    </row>
    <row r="90" spans="1:7" x14ac:dyDescent="0.25">
      <c r="A90" s="1">
        <v>4</v>
      </c>
      <c r="B90" s="1">
        <v>5</v>
      </c>
      <c r="C90" s="1">
        <v>3</v>
      </c>
      <c r="D90" s="1">
        <v>5</v>
      </c>
      <c r="F90" t="str">
        <f>"Si F calculado ("&amp;G74&amp;") &gt; F critico ("&amp;G82&amp;") ---&gt; Se rechaza la hipotesis nula"</f>
        <v>Si F calculado (16.1907482993197) &gt; F critico (2.62916479292464) ---&gt; Se rechaza la hipotesis nula</v>
      </c>
    </row>
    <row r="91" spans="1:7" x14ac:dyDescent="0.25">
      <c r="A91" s="1">
        <v>3</v>
      </c>
      <c r="B91" s="1">
        <v>1</v>
      </c>
      <c r="C91" s="1">
        <v>5</v>
      </c>
      <c r="D91" s="1">
        <v>5</v>
      </c>
      <c r="F91" t="str">
        <f>"Si p-valor ("&amp;G83&amp;") &lt; α Nivel Significancia ("&amp;G79&amp;") ---&gt; Se rechaza la hipotesis nula"</f>
        <v>Si p-valor (6.61773785980347E-10) &lt; α Nivel Significancia (0.05) ---&gt; Se rechaza la hipotesis nula</v>
      </c>
    </row>
    <row r="92" spans="1:7" x14ac:dyDescent="0.25">
      <c r="A92" s="1">
        <v>2</v>
      </c>
      <c r="B92" s="1">
        <v>4</v>
      </c>
      <c r="C92" s="1">
        <v>3</v>
      </c>
      <c r="D92" s="1">
        <v>3</v>
      </c>
    </row>
    <row r="93" spans="1:7" x14ac:dyDescent="0.25">
      <c r="A93" s="1">
        <v>1</v>
      </c>
      <c r="B93" s="1">
        <v>2</v>
      </c>
      <c r="C93" s="1">
        <v>5</v>
      </c>
      <c r="D93" s="1">
        <v>5</v>
      </c>
    </row>
    <row r="94" spans="1:7" x14ac:dyDescent="0.25">
      <c r="A94" s="1">
        <v>4</v>
      </c>
      <c r="B94" s="1">
        <v>2</v>
      </c>
      <c r="C94" s="1">
        <v>4</v>
      </c>
      <c r="D94" s="1">
        <v>5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J14" sqref="J14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4</v>
      </c>
      <c r="B2" s="1">
        <v>3</v>
      </c>
      <c r="C2" s="1">
        <v>1</v>
      </c>
      <c r="D2" s="1">
        <v>5</v>
      </c>
      <c r="F2" s="2" t="s">
        <v>13</v>
      </c>
      <c r="G2" s="2"/>
    </row>
    <row r="3" spans="1:7" x14ac:dyDescent="0.25">
      <c r="A3" s="1">
        <v>2</v>
      </c>
      <c r="B3" s="1">
        <v>2</v>
      </c>
      <c r="C3" s="1">
        <v>5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2</v>
      </c>
      <c r="B4" s="1">
        <v>3</v>
      </c>
      <c r="C4" s="1">
        <v>1</v>
      </c>
      <c r="D4" s="1">
        <v>5</v>
      </c>
      <c r="F4" t="s">
        <v>7</v>
      </c>
      <c r="G4">
        <f>AVERAGE(A:A)</f>
        <v>3.182795698924731</v>
      </c>
    </row>
    <row r="5" spans="1:7" x14ac:dyDescent="0.25">
      <c r="A5" s="1">
        <v>5</v>
      </c>
      <c r="B5" s="1">
        <v>3</v>
      </c>
      <c r="C5" s="1">
        <v>3</v>
      </c>
      <c r="D5" s="1">
        <v>5</v>
      </c>
      <c r="F5" t="s">
        <v>8</v>
      </c>
      <c r="G5">
        <f>AVERAGE(B:B)</f>
        <v>3.3978494623655915</v>
      </c>
    </row>
    <row r="6" spans="1:7" x14ac:dyDescent="0.25">
      <c r="A6" s="1">
        <v>2</v>
      </c>
      <c r="B6" s="1">
        <v>4</v>
      </c>
      <c r="C6" s="1">
        <v>4</v>
      </c>
      <c r="D6" s="1">
        <v>4</v>
      </c>
      <c r="F6" t="s">
        <v>9</v>
      </c>
      <c r="G6">
        <f>AVERAGE(C:C)</f>
        <v>3.3655913978494625</v>
      </c>
    </row>
    <row r="7" spans="1:7" x14ac:dyDescent="0.25">
      <c r="A7" s="1">
        <v>3</v>
      </c>
      <c r="B7" s="1">
        <v>2</v>
      </c>
      <c r="C7" s="1">
        <v>5</v>
      </c>
      <c r="D7" s="1">
        <v>2</v>
      </c>
      <c r="F7" t="s">
        <v>10</v>
      </c>
      <c r="G7">
        <f>AVERAGE(D:D)</f>
        <v>3.989247311827957</v>
      </c>
    </row>
    <row r="8" spans="1:7" x14ac:dyDescent="0.25">
      <c r="A8" s="1">
        <v>2</v>
      </c>
      <c r="B8" s="1">
        <v>5</v>
      </c>
      <c r="C8" s="1">
        <v>3</v>
      </c>
      <c r="D8" s="1">
        <v>5</v>
      </c>
      <c r="F8" t="s">
        <v>15</v>
      </c>
      <c r="G8">
        <f>AVERAGE(G4:G7)</f>
        <v>3.4838709677419351</v>
      </c>
    </row>
    <row r="9" spans="1:7" x14ac:dyDescent="0.25">
      <c r="A9" s="1">
        <v>4</v>
      </c>
      <c r="B9" s="1">
        <v>3</v>
      </c>
      <c r="C9" s="1">
        <v>2</v>
      </c>
      <c r="D9" s="1">
        <v>5</v>
      </c>
    </row>
    <row r="10" spans="1:7" x14ac:dyDescent="0.25">
      <c r="A10" s="1">
        <v>2</v>
      </c>
      <c r="B10" s="1">
        <v>5</v>
      </c>
      <c r="C10" s="1">
        <v>3</v>
      </c>
      <c r="D10" s="1">
        <v>5</v>
      </c>
    </row>
    <row r="11" spans="1:7" x14ac:dyDescent="0.25">
      <c r="A11" s="1">
        <v>4</v>
      </c>
      <c r="B11" s="1">
        <v>4</v>
      </c>
      <c r="C11" s="1">
        <v>5</v>
      </c>
      <c r="D11" s="1">
        <v>5</v>
      </c>
      <c r="F11" s="2" t="s">
        <v>12</v>
      </c>
      <c r="G11" s="2"/>
    </row>
    <row r="12" spans="1:7" x14ac:dyDescent="0.25">
      <c r="A12" s="1">
        <v>5</v>
      </c>
      <c r="B12" s="1">
        <v>4</v>
      </c>
      <c r="C12" s="1">
        <v>5</v>
      </c>
      <c r="D12" s="1">
        <v>2</v>
      </c>
      <c r="F12" s="3" t="s">
        <v>17</v>
      </c>
    </row>
    <row r="13" spans="1:7" x14ac:dyDescent="0.25">
      <c r="A13" s="1">
        <v>2</v>
      </c>
      <c r="B13" s="1">
        <v>4</v>
      </c>
      <c r="C13" s="1">
        <v>4</v>
      </c>
      <c r="D13" s="1">
        <v>4</v>
      </c>
      <c r="F13" s="3" t="s">
        <v>18</v>
      </c>
    </row>
    <row r="14" spans="1:7" x14ac:dyDescent="0.25">
      <c r="A14" s="1">
        <v>5</v>
      </c>
      <c r="B14" s="1">
        <v>3</v>
      </c>
      <c r="C14" s="1">
        <v>4</v>
      </c>
      <c r="D14" s="1">
        <v>4</v>
      </c>
    </row>
    <row r="15" spans="1:7" x14ac:dyDescent="0.25">
      <c r="A15" s="1">
        <v>4</v>
      </c>
      <c r="B15" s="1">
        <v>4</v>
      </c>
      <c r="C15" s="1">
        <v>4</v>
      </c>
      <c r="D15" s="1">
        <v>3</v>
      </c>
    </row>
    <row r="16" spans="1:7" x14ac:dyDescent="0.25">
      <c r="A16" s="1">
        <v>1</v>
      </c>
      <c r="B16" s="1">
        <v>4</v>
      </c>
      <c r="C16" s="1">
        <v>4</v>
      </c>
      <c r="D16" s="1">
        <v>5</v>
      </c>
    </row>
    <row r="17" spans="1:7" x14ac:dyDescent="0.25">
      <c r="A17" s="1">
        <v>1</v>
      </c>
      <c r="B17" s="1">
        <v>4</v>
      </c>
      <c r="C17" s="1">
        <v>2</v>
      </c>
      <c r="D17" s="1">
        <v>4</v>
      </c>
      <c r="F17" t="s">
        <v>11</v>
      </c>
      <c r="G17">
        <f>G3*((G4-G8)^2+(G5-G8)^2+(G6-G8)^2+(G7-G8)^2)</f>
        <v>34.172043010752695</v>
      </c>
    </row>
    <row r="18" spans="1:7" x14ac:dyDescent="0.25">
      <c r="A18" s="1">
        <v>3</v>
      </c>
      <c r="B18" s="1">
        <v>4</v>
      </c>
      <c r="C18" s="1">
        <v>1</v>
      </c>
      <c r="D18" s="1">
        <v>4</v>
      </c>
    </row>
    <row r="19" spans="1:7" x14ac:dyDescent="0.25">
      <c r="A19" s="1">
        <v>3</v>
      </c>
      <c r="B19" s="1">
        <v>4</v>
      </c>
      <c r="C19" s="1">
        <v>4</v>
      </c>
      <c r="D19" s="1">
        <v>4</v>
      </c>
    </row>
    <row r="20" spans="1:7" x14ac:dyDescent="0.25">
      <c r="A20" s="1">
        <v>3</v>
      </c>
      <c r="B20" s="1">
        <v>5</v>
      </c>
      <c r="C20" s="1">
        <v>2</v>
      </c>
      <c r="D20" s="1">
        <v>1</v>
      </c>
      <c r="F20" s="2" t="s">
        <v>19</v>
      </c>
      <c r="G20" s="2"/>
    </row>
    <row r="21" spans="1:7" x14ac:dyDescent="0.25">
      <c r="A21" s="1">
        <v>4</v>
      </c>
      <c r="B21" s="1">
        <v>3</v>
      </c>
      <c r="C21" s="1">
        <v>4</v>
      </c>
      <c r="D21" s="1">
        <v>3</v>
      </c>
      <c r="F21" t="s">
        <v>20</v>
      </c>
    </row>
    <row r="22" spans="1:7" x14ac:dyDescent="0.25">
      <c r="A22" s="1">
        <v>4</v>
      </c>
      <c r="B22" s="1">
        <v>3</v>
      </c>
      <c r="C22" s="1">
        <v>3</v>
      </c>
      <c r="D22" s="1">
        <v>4</v>
      </c>
      <c r="F22" t="s">
        <v>16</v>
      </c>
      <c r="G22">
        <v>4</v>
      </c>
    </row>
    <row r="23" spans="1:7" x14ac:dyDescent="0.25">
      <c r="A23" s="1">
        <v>3</v>
      </c>
      <c r="B23" s="1">
        <v>3</v>
      </c>
      <c r="C23" s="1">
        <v>4</v>
      </c>
      <c r="D23" s="1">
        <v>3</v>
      </c>
    </row>
    <row r="24" spans="1:7" x14ac:dyDescent="0.25">
      <c r="A24" s="1">
        <v>2</v>
      </c>
      <c r="B24" s="1">
        <v>4</v>
      </c>
      <c r="C24" s="1">
        <v>3</v>
      </c>
      <c r="D24" s="1">
        <v>5</v>
      </c>
    </row>
    <row r="25" spans="1:7" x14ac:dyDescent="0.25">
      <c r="A25" s="1">
        <v>2</v>
      </c>
      <c r="B25" s="1">
        <v>4</v>
      </c>
      <c r="C25" s="1">
        <v>1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2</v>
      </c>
      <c r="B26" s="1">
        <v>2</v>
      </c>
      <c r="C26" s="1">
        <v>3</v>
      </c>
      <c r="D26" s="1">
        <v>5</v>
      </c>
    </row>
    <row r="27" spans="1:7" x14ac:dyDescent="0.25">
      <c r="A27" s="1">
        <v>5</v>
      </c>
      <c r="B27" s="1">
        <v>3</v>
      </c>
      <c r="C27" s="1">
        <v>4</v>
      </c>
      <c r="D27" s="1">
        <v>5</v>
      </c>
    </row>
    <row r="28" spans="1:7" x14ac:dyDescent="0.25">
      <c r="A28" s="1">
        <v>3</v>
      </c>
      <c r="B28" s="1">
        <v>3</v>
      </c>
      <c r="C28" s="1">
        <v>3</v>
      </c>
      <c r="D28" s="1">
        <v>4</v>
      </c>
      <c r="F28" s="2" t="s">
        <v>21</v>
      </c>
      <c r="G28" s="2"/>
    </row>
    <row r="29" spans="1:7" x14ac:dyDescent="0.25">
      <c r="A29" s="1">
        <v>5</v>
      </c>
      <c r="B29" s="1">
        <v>5</v>
      </c>
      <c r="C29" s="1">
        <v>5</v>
      </c>
      <c r="D29" s="1">
        <v>4</v>
      </c>
      <c r="F29" t="s">
        <v>22</v>
      </c>
    </row>
    <row r="30" spans="1:7" x14ac:dyDescent="0.25">
      <c r="A30" s="1">
        <v>3</v>
      </c>
      <c r="B30" s="1">
        <v>4</v>
      </c>
      <c r="C30" s="1">
        <v>2</v>
      </c>
      <c r="D30" s="1">
        <v>2</v>
      </c>
    </row>
    <row r="31" spans="1:7" x14ac:dyDescent="0.25">
      <c r="A31" s="1">
        <v>4</v>
      </c>
      <c r="B31" s="1">
        <v>4</v>
      </c>
      <c r="C31" s="1">
        <v>3</v>
      </c>
      <c r="D31" s="1">
        <v>4</v>
      </c>
    </row>
    <row r="32" spans="1:7" x14ac:dyDescent="0.25">
      <c r="A32" s="1">
        <v>2</v>
      </c>
      <c r="B32" s="1">
        <v>4</v>
      </c>
      <c r="C32" s="1">
        <v>3</v>
      </c>
      <c r="D32" s="1">
        <v>4</v>
      </c>
    </row>
    <row r="33" spans="1:7" x14ac:dyDescent="0.25">
      <c r="A33" s="1">
        <v>4</v>
      </c>
      <c r="B33" s="1">
        <v>3</v>
      </c>
      <c r="C33" s="1">
        <v>3</v>
      </c>
      <c r="D33" s="1">
        <v>5</v>
      </c>
    </row>
    <row r="34" spans="1:7" x14ac:dyDescent="0.25">
      <c r="A34" s="1">
        <v>5</v>
      </c>
      <c r="B34" s="1">
        <v>3</v>
      </c>
      <c r="C34" s="1">
        <v>3</v>
      </c>
      <c r="D34" s="1">
        <v>5</v>
      </c>
      <c r="F34" t="s">
        <v>1</v>
      </c>
      <c r="G34">
        <f>G17/G25</f>
        <v>11.390681003584232</v>
      </c>
    </row>
    <row r="35" spans="1:7" x14ac:dyDescent="0.25">
      <c r="A35" s="1">
        <v>5</v>
      </c>
      <c r="B35" s="1">
        <v>3</v>
      </c>
      <c r="C35" s="1">
        <v>5</v>
      </c>
      <c r="D35" s="1">
        <v>4</v>
      </c>
    </row>
    <row r="36" spans="1:7" x14ac:dyDescent="0.25">
      <c r="A36" s="1">
        <v>2</v>
      </c>
      <c r="B36" s="1">
        <v>3</v>
      </c>
      <c r="C36" s="1">
        <v>3</v>
      </c>
      <c r="D36" s="1">
        <v>4</v>
      </c>
    </row>
    <row r="37" spans="1:7" x14ac:dyDescent="0.25">
      <c r="A37" s="1">
        <v>3</v>
      </c>
      <c r="B37" s="1">
        <v>2</v>
      </c>
      <c r="C37" s="1">
        <v>4</v>
      </c>
      <c r="D37" s="1">
        <v>3</v>
      </c>
      <c r="F37" s="2" t="s">
        <v>26</v>
      </c>
      <c r="G37" s="2"/>
    </row>
    <row r="38" spans="1:7" x14ac:dyDescent="0.25">
      <c r="A38" s="1">
        <v>5</v>
      </c>
      <c r="B38" s="1">
        <v>3</v>
      </c>
      <c r="C38" s="1">
        <v>3</v>
      </c>
      <c r="D38" s="1">
        <v>5</v>
      </c>
      <c r="F38" t="s">
        <v>23</v>
      </c>
    </row>
    <row r="39" spans="1:7" x14ac:dyDescent="0.25">
      <c r="A39" s="1">
        <v>5</v>
      </c>
      <c r="B39" s="1">
        <v>1</v>
      </c>
      <c r="C39" s="1">
        <v>2</v>
      </c>
      <c r="D39" s="1">
        <v>5</v>
      </c>
      <c r="F39" t="s">
        <v>24</v>
      </c>
    </row>
    <row r="40" spans="1:7" x14ac:dyDescent="0.25">
      <c r="A40" s="1">
        <v>3</v>
      </c>
      <c r="B40" s="1">
        <v>5</v>
      </c>
      <c r="C40" s="1">
        <v>2</v>
      </c>
      <c r="D40" s="1">
        <v>4</v>
      </c>
    </row>
    <row r="41" spans="1:7" x14ac:dyDescent="0.25">
      <c r="A41" s="1">
        <v>5</v>
      </c>
      <c r="B41" s="1">
        <v>4</v>
      </c>
      <c r="C41" s="1">
        <v>3</v>
      </c>
      <c r="D41" s="1">
        <v>5</v>
      </c>
    </row>
    <row r="42" spans="1:7" x14ac:dyDescent="0.25">
      <c r="A42" s="1">
        <v>2</v>
      </c>
      <c r="B42" s="1">
        <v>5</v>
      </c>
      <c r="C42" s="1">
        <v>3</v>
      </c>
      <c r="D42" s="1">
        <v>5</v>
      </c>
    </row>
    <row r="43" spans="1:7" x14ac:dyDescent="0.25">
      <c r="A43" s="1">
        <v>3</v>
      </c>
      <c r="B43" s="1">
        <v>3</v>
      </c>
      <c r="C43" s="1">
        <v>5</v>
      </c>
      <c r="D43" s="1">
        <v>3</v>
      </c>
    </row>
    <row r="44" spans="1:7" x14ac:dyDescent="0.25">
      <c r="A44" s="1">
        <v>5</v>
      </c>
      <c r="B44" s="1">
        <v>2</v>
      </c>
      <c r="C44" s="1">
        <v>2</v>
      </c>
      <c r="D44" s="1">
        <v>5</v>
      </c>
      <c r="F44" t="s">
        <v>3</v>
      </c>
      <c r="G44">
        <f>DEVSQ(A:A)+DEVSQ(B:B)+DEVSQ(C:C)+DEVSQ(D:D)</f>
        <v>498.731182795699</v>
      </c>
    </row>
    <row r="45" spans="1:7" x14ac:dyDescent="0.25">
      <c r="A45" s="1">
        <v>5</v>
      </c>
      <c r="B45" s="1">
        <v>4</v>
      </c>
      <c r="C45" s="1">
        <v>4</v>
      </c>
      <c r="D45" s="1">
        <v>4</v>
      </c>
    </row>
    <row r="46" spans="1:7" x14ac:dyDescent="0.25">
      <c r="A46" s="1">
        <v>1</v>
      </c>
      <c r="B46" s="1">
        <v>2</v>
      </c>
      <c r="C46" s="1">
        <v>3</v>
      </c>
      <c r="D46" s="1">
        <v>5</v>
      </c>
    </row>
    <row r="47" spans="1:7" x14ac:dyDescent="0.25">
      <c r="A47" s="1">
        <v>4</v>
      </c>
      <c r="B47" s="1">
        <v>5</v>
      </c>
      <c r="C47" s="1">
        <v>4</v>
      </c>
      <c r="D47" s="1">
        <v>5</v>
      </c>
      <c r="F47" s="2" t="s">
        <v>25</v>
      </c>
      <c r="G47" s="2"/>
    </row>
    <row r="48" spans="1:7" x14ac:dyDescent="0.25">
      <c r="A48" s="1">
        <v>4</v>
      </c>
      <c r="B48" s="1">
        <v>2</v>
      </c>
      <c r="C48" s="1">
        <v>5</v>
      </c>
      <c r="D48" s="1">
        <v>4</v>
      </c>
      <c r="F48" t="s">
        <v>27</v>
      </c>
      <c r="G48">
        <f>COUNT(A:A,B:B,C:C,D:D)</f>
        <v>372</v>
      </c>
    </row>
    <row r="49" spans="1:7" x14ac:dyDescent="0.25">
      <c r="A49" s="1">
        <v>2</v>
      </c>
      <c r="B49" s="1">
        <v>4</v>
      </c>
      <c r="C49" s="1">
        <v>3</v>
      </c>
      <c r="D49" s="1">
        <v>3</v>
      </c>
      <c r="F49" t="s">
        <v>16</v>
      </c>
      <c r="G49">
        <f>G22</f>
        <v>4</v>
      </c>
    </row>
    <row r="50" spans="1:7" x14ac:dyDescent="0.25">
      <c r="A50" s="1">
        <v>1</v>
      </c>
      <c r="B50" s="1">
        <v>5</v>
      </c>
      <c r="C50" s="1">
        <v>5</v>
      </c>
      <c r="D50" s="1">
        <v>4</v>
      </c>
    </row>
    <row r="51" spans="1:7" x14ac:dyDescent="0.25">
      <c r="A51" s="1">
        <v>1</v>
      </c>
      <c r="B51" s="1">
        <v>3</v>
      </c>
      <c r="C51" s="1">
        <v>3</v>
      </c>
      <c r="D51" s="1">
        <v>3</v>
      </c>
    </row>
    <row r="52" spans="1:7" x14ac:dyDescent="0.25">
      <c r="A52" s="1">
        <v>2</v>
      </c>
      <c r="B52" s="1">
        <v>4</v>
      </c>
      <c r="C52" s="1">
        <v>4</v>
      </c>
      <c r="D52" s="1">
        <v>5</v>
      </c>
    </row>
    <row r="53" spans="1:7" x14ac:dyDescent="0.25">
      <c r="A53" s="1">
        <v>4</v>
      </c>
      <c r="B53" s="1">
        <v>4</v>
      </c>
      <c r="C53" s="1">
        <v>5</v>
      </c>
      <c r="D53" s="1">
        <v>3</v>
      </c>
    </row>
    <row r="54" spans="1:7" x14ac:dyDescent="0.25">
      <c r="A54" s="1">
        <v>5</v>
      </c>
      <c r="B54" s="1">
        <v>4</v>
      </c>
      <c r="C54" s="1">
        <v>3</v>
      </c>
      <c r="D54" s="1">
        <v>5</v>
      </c>
      <c r="F54" t="s">
        <v>4</v>
      </c>
      <c r="G54">
        <f>G48-G49</f>
        <v>368</v>
      </c>
    </row>
    <row r="55" spans="1:7" x14ac:dyDescent="0.25">
      <c r="A55" s="1">
        <v>2</v>
      </c>
      <c r="B55" s="1">
        <v>2</v>
      </c>
      <c r="C55" s="1">
        <v>5</v>
      </c>
      <c r="D55" s="1">
        <v>4</v>
      </c>
    </row>
    <row r="56" spans="1:7" x14ac:dyDescent="0.25">
      <c r="A56" s="1">
        <v>3</v>
      </c>
      <c r="B56" s="1">
        <v>3</v>
      </c>
      <c r="C56" s="1">
        <v>4</v>
      </c>
      <c r="D56" s="1">
        <v>4</v>
      </c>
    </row>
    <row r="57" spans="1:7" x14ac:dyDescent="0.25">
      <c r="A57" s="1">
        <v>4</v>
      </c>
      <c r="B57" s="1">
        <v>4</v>
      </c>
      <c r="C57" s="1">
        <v>3</v>
      </c>
      <c r="D57" s="1">
        <v>2</v>
      </c>
      <c r="F57" s="2" t="s">
        <v>28</v>
      </c>
      <c r="G57" s="2"/>
    </row>
    <row r="58" spans="1:7" x14ac:dyDescent="0.25">
      <c r="A58" s="1">
        <v>2</v>
      </c>
      <c r="B58" s="1">
        <v>3</v>
      </c>
      <c r="C58" s="1">
        <v>5</v>
      </c>
      <c r="D58" s="1">
        <v>4</v>
      </c>
      <c r="F58" t="s">
        <v>29</v>
      </c>
    </row>
    <row r="59" spans="1:7" x14ac:dyDescent="0.25">
      <c r="A59" s="1">
        <v>5</v>
      </c>
      <c r="B59" s="1">
        <v>3</v>
      </c>
      <c r="C59" s="1">
        <v>2</v>
      </c>
      <c r="D59" s="1">
        <v>5</v>
      </c>
    </row>
    <row r="60" spans="1:7" x14ac:dyDescent="0.25">
      <c r="A60" s="1">
        <v>3</v>
      </c>
      <c r="B60" s="1">
        <v>4</v>
      </c>
      <c r="C60" s="1">
        <v>5</v>
      </c>
      <c r="D60" s="1">
        <v>5</v>
      </c>
    </row>
    <row r="61" spans="1:7" x14ac:dyDescent="0.25">
      <c r="A61" s="1">
        <v>5</v>
      </c>
      <c r="B61" s="1">
        <v>4</v>
      </c>
      <c r="C61" s="1">
        <v>4</v>
      </c>
      <c r="D61" s="1">
        <v>3</v>
      </c>
    </row>
    <row r="62" spans="1:7" x14ac:dyDescent="0.25">
      <c r="A62" s="1">
        <v>3</v>
      </c>
      <c r="B62" s="1">
        <v>5</v>
      </c>
      <c r="C62" s="1">
        <v>3</v>
      </c>
      <c r="D62" s="1">
        <v>4</v>
      </c>
    </row>
    <row r="63" spans="1:7" x14ac:dyDescent="0.25">
      <c r="A63" s="1">
        <v>5</v>
      </c>
      <c r="B63" s="1">
        <v>4</v>
      </c>
      <c r="C63" s="1">
        <v>4</v>
      </c>
      <c r="D63" s="1">
        <v>3</v>
      </c>
    </row>
    <row r="64" spans="1:7" x14ac:dyDescent="0.25">
      <c r="A64" s="1">
        <v>5</v>
      </c>
      <c r="B64" s="1">
        <v>3</v>
      </c>
      <c r="C64" s="1">
        <v>5</v>
      </c>
      <c r="D64" s="1">
        <v>5</v>
      </c>
      <c r="F64" t="s">
        <v>5</v>
      </c>
      <c r="G64">
        <f>G44/G54</f>
        <v>1.3552477793361386</v>
      </c>
    </row>
    <row r="65" spans="1:7" x14ac:dyDescent="0.25">
      <c r="A65" s="1">
        <v>5</v>
      </c>
      <c r="B65" s="1">
        <v>4</v>
      </c>
      <c r="C65" s="1">
        <v>4</v>
      </c>
      <c r="D65" s="1">
        <v>5</v>
      </c>
    </row>
    <row r="66" spans="1:7" x14ac:dyDescent="0.25">
      <c r="A66" s="1">
        <v>3</v>
      </c>
      <c r="B66" s="1">
        <v>3</v>
      </c>
      <c r="C66" s="1">
        <v>4</v>
      </c>
      <c r="D66" s="1">
        <v>5</v>
      </c>
    </row>
    <row r="67" spans="1:7" x14ac:dyDescent="0.25">
      <c r="A67" s="1">
        <v>2</v>
      </c>
      <c r="B67" s="1">
        <v>3</v>
      </c>
      <c r="C67" s="1">
        <v>2</v>
      </c>
      <c r="D67" s="1">
        <v>2</v>
      </c>
      <c r="F67" s="2" t="s">
        <v>30</v>
      </c>
      <c r="G67" s="2"/>
    </row>
    <row r="68" spans="1:7" x14ac:dyDescent="0.25">
      <c r="A68" s="1">
        <v>3</v>
      </c>
      <c r="B68" s="1">
        <v>5</v>
      </c>
      <c r="C68" s="1">
        <v>4</v>
      </c>
      <c r="D68" s="1">
        <v>4</v>
      </c>
      <c r="F68" t="s">
        <v>31</v>
      </c>
    </row>
    <row r="69" spans="1:7" x14ac:dyDescent="0.25">
      <c r="A69" s="1">
        <v>1</v>
      </c>
      <c r="B69" s="1">
        <v>3</v>
      </c>
      <c r="C69" s="1">
        <v>2</v>
      </c>
      <c r="D69" s="1">
        <v>2</v>
      </c>
      <c r="F69" t="s">
        <v>32</v>
      </c>
    </row>
    <row r="70" spans="1:7" x14ac:dyDescent="0.25">
      <c r="A70" s="1">
        <v>4</v>
      </c>
      <c r="B70" s="1">
        <v>4</v>
      </c>
      <c r="C70" s="1">
        <v>2</v>
      </c>
      <c r="D70" s="1">
        <v>5</v>
      </c>
    </row>
    <row r="71" spans="1:7" x14ac:dyDescent="0.25">
      <c r="A71" s="1">
        <v>4</v>
      </c>
      <c r="B71" s="1">
        <v>1</v>
      </c>
      <c r="C71" s="1">
        <v>4</v>
      </c>
      <c r="D71" s="1">
        <v>4</v>
      </c>
    </row>
    <row r="72" spans="1:7" x14ac:dyDescent="0.25">
      <c r="A72" s="1">
        <v>2</v>
      </c>
      <c r="B72" s="1">
        <v>3</v>
      </c>
      <c r="C72" s="1">
        <v>1</v>
      </c>
      <c r="D72" s="1">
        <v>4</v>
      </c>
    </row>
    <row r="73" spans="1:7" x14ac:dyDescent="0.25">
      <c r="A73" s="1">
        <v>4</v>
      </c>
      <c r="B73" s="1">
        <v>2</v>
      </c>
      <c r="C73" s="1">
        <v>4</v>
      </c>
      <c r="D73" s="1">
        <v>5</v>
      </c>
    </row>
    <row r="74" spans="1:7" x14ac:dyDescent="0.25">
      <c r="A74" s="1">
        <v>1</v>
      </c>
      <c r="B74" s="1">
        <v>3</v>
      </c>
      <c r="C74" s="1">
        <v>1</v>
      </c>
      <c r="D74" s="1">
        <v>3</v>
      </c>
      <c r="F74" t="s">
        <v>2</v>
      </c>
      <c r="G74">
        <f>G34/G64</f>
        <v>8.4048697052017314</v>
      </c>
    </row>
    <row r="75" spans="1:7" x14ac:dyDescent="0.25">
      <c r="A75" s="1">
        <v>5</v>
      </c>
      <c r="B75" s="1">
        <v>5</v>
      </c>
      <c r="C75" s="1">
        <v>5</v>
      </c>
      <c r="D75" s="1">
        <v>2</v>
      </c>
    </row>
    <row r="76" spans="1:7" x14ac:dyDescent="0.25">
      <c r="A76" s="1">
        <v>1</v>
      </c>
      <c r="B76" s="1">
        <v>3</v>
      </c>
      <c r="C76" s="1">
        <v>3</v>
      </c>
      <c r="D76" s="1">
        <v>3</v>
      </c>
    </row>
    <row r="77" spans="1:7" x14ac:dyDescent="0.25">
      <c r="A77" s="1">
        <v>5</v>
      </c>
      <c r="B77" s="1">
        <v>1</v>
      </c>
      <c r="C77" s="1">
        <v>3</v>
      </c>
      <c r="D77" s="1">
        <v>3</v>
      </c>
      <c r="F77" s="2" t="s">
        <v>35</v>
      </c>
      <c r="G77" s="2"/>
    </row>
    <row r="78" spans="1:7" x14ac:dyDescent="0.25">
      <c r="A78" s="1">
        <v>2</v>
      </c>
      <c r="B78" s="1">
        <v>3</v>
      </c>
      <c r="C78" s="1">
        <v>4</v>
      </c>
      <c r="D78" s="1">
        <v>5</v>
      </c>
    </row>
    <row r="79" spans="1:7" x14ac:dyDescent="0.25">
      <c r="A79" s="1">
        <v>3</v>
      </c>
      <c r="B79" s="1">
        <v>2</v>
      </c>
      <c r="C79" s="1">
        <v>3</v>
      </c>
      <c r="D79" s="1">
        <v>5</v>
      </c>
      <c r="F79" s="4" t="s">
        <v>33</v>
      </c>
      <c r="G79">
        <v>0.05</v>
      </c>
    </row>
    <row r="80" spans="1:7" x14ac:dyDescent="0.25">
      <c r="A80" s="1">
        <v>1</v>
      </c>
      <c r="B80" s="1">
        <v>2</v>
      </c>
      <c r="C80" s="1">
        <v>3</v>
      </c>
      <c r="D80" s="1">
        <v>2</v>
      </c>
      <c r="F80" t="s">
        <v>0</v>
      </c>
      <c r="G80">
        <f xml:space="preserve"> G25</f>
        <v>3</v>
      </c>
    </row>
    <row r="81" spans="1:7" x14ac:dyDescent="0.25">
      <c r="A81" s="1">
        <v>5</v>
      </c>
      <c r="B81" s="1">
        <v>4</v>
      </c>
      <c r="C81" s="1">
        <v>5</v>
      </c>
      <c r="D81" s="1">
        <v>5</v>
      </c>
      <c r="F81" t="s">
        <v>4</v>
      </c>
      <c r="G81">
        <f xml:space="preserve"> G54</f>
        <v>368</v>
      </c>
    </row>
    <row r="82" spans="1:7" x14ac:dyDescent="0.25">
      <c r="A82" s="1">
        <v>3</v>
      </c>
      <c r="B82" s="1">
        <v>4</v>
      </c>
      <c r="C82" s="1">
        <v>5</v>
      </c>
      <c r="D82" s="1">
        <v>3</v>
      </c>
      <c r="F82" t="s">
        <v>34</v>
      </c>
      <c r="G82">
        <f>FINV(G79, G80, G81)</f>
        <v>2.6291647929246422</v>
      </c>
    </row>
    <row r="83" spans="1:7" x14ac:dyDescent="0.25">
      <c r="A83" s="1">
        <v>1</v>
      </c>
      <c r="B83" s="1">
        <v>3</v>
      </c>
      <c r="C83" s="1">
        <v>3</v>
      </c>
      <c r="D83" s="1">
        <v>3</v>
      </c>
      <c r="F83" t="s">
        <v>36</v>
      </c>
      <c r="G83">
        <f>_xlfn.F.DIST.RT(G74, G80, G81)</f>
        <v>2.0399586721241499E-5</v>
      </c>
    </row>
    <row r="84" spans="1:7" x14ac:dyDescent="0.25">
      <c r="A84" s="1">
        <v>3</v>
      </c>
      <c r="B84" s="1">
        <v>4</v>
      </c>
      <c r="C84" s="1">
        <v>3</v>
      </c>
      <c r="D84" s="1">
        <v>4</v>
      </c>
    </row>
    <row r="85" spans="1:7" x14ac:dyDescent="0.25">
      <c r="A85" s="1">
        <v>3</v>
      </c>
      <c r="B85" s="1">
        <v>2</v>
      </c>
      <c r="C85" s="1">
        <v>1</v>
      </c>
      <c r="D85" s="1">
        <v>1</v>
      </c>
      <c r="F85" s="2" t="s">
        <v>6</v>
      </c>
      <c r="G85" s="2"/>
    </row>
    <row r="86" spans="1:7" x14ac:dyDescent="0.25">
      <c r="A86" s="1">
        <v>3</v>
      </c>
      <c r="B86" s="1">
        <v>2</v>
      </c>
      <c r="C86" s="1">
        <v>3</v>
      </c>
      <c r="D86" s="1">
        <v>5</v>
      </c>
    </row>
    <row r="87" spans="1:7" x14ac:dyDescent="0.25">
      <c r="A87" s="1">
        <v>3</v>
      </c>
      <c r="B87" s="1">
        <v>4</v>
      </c>
      <c r="C87" s="1">
        <v>1</v>
      </c>
      <c r="D87" s="1">
        <v>5</v>
      </c>
      <c r="F87" t="s">
        <v>40</v>
      </c>
    </row>
    <row r="88" spans="1:7" x14ac:dyDescent="0.25">
      <c r="A88" s="1">
        <v>3</v>
      </c>
      <c r="B88" s="1">
        <v>4</v>
      </c>
      <c r="C88" s="1">
        <v>3</v>
      </c>
      <c r="D88" s="1">
        <v>5</v>
      </c>
      <c r="F88" t="s">
        <v>41</v>
      </c>
    </row>
    <row r="89" spans="1:7" x14ac:dyDescent="0.25">
      <c r="A89" s="1">
        <v>3</v>
      </c>
      <c r="B89" s="1">
        <v>3</v>
      </c>
      <c r="C89" s="1">
        <v>4</v>
      </c>
      <c r="D89" s="1">
        <v>4</v>
      </c>
    </row>
    <row r="90" spans="1:7" x14ac:dyDescent="0.25">
      <c r="A90" s="1">
        <v>2</v>
      </c>
      <c r="B90" s="1">
        <v>4</v>
      </c>
      <c r="C90" s="1">
        <v>5</v>
      </c>
      <c r="D90" s="1">
        <v>5</v>
      </c>
      <c r="F90" t="str">
        <f>"Si F calculado ("&amp;G74&amp;") &gt; F critico ("&amp;G82&amp;") ---&gt; Se rechaza la hipotesis nula"</f>
        <v>Si F calculado (8.40486970520173) &gt; F critico (2.62916479292464) ---&gt; Se rechaza la hipotesis nula</v>
      </c>
    </row>
    <row r="91" spans="1:7" x14ac:dyDescent="0.25">
      <c r="A91" s="1">
        <v>5</v>
      </c>
      <c r="B91" s="1">
        <v>2</v>
      </c>
      <c r="C91" s="1">
        <v>2</v>
      </c>
      <c r="D91" s="1">
        <v>5</v>
      </c>
      <c r="F91" t="str">
        <f>"Si p-valor ("&amp;G83&amp;") &lt; α Nivel Significancia ("&amp;G79&amp;") ---&gt; Se rechaza la hipotesis nula"</f>
        <v>Si p-valor (2.03995867212415E-05) &lt; α Nivel Significancia (0.05) ---&gt; Se rechaza la hipotesis nula</v>
      </c>
    </row>
    <row r="92" spans="1:7" x14ac:dyDescent="0.25">
      <c r="A92" s="1">
        <v>4</v>
      </c>
      <c r="B92" s="1">
        <v>4</v>
      </c>
      <c r="C92" s="1">
        <v>3</v>
      </c>
      <c r="D92" s="1">
        <v>3</v>
      </c>
    </row>
    <row r="93" spans="1:7" x14ac:dyDescent="0.25">
      <c r="A93" s="1">
        <v>1</v>
      </c>
      <c r="B93" s="1">
        <v>3</v>
      </c>
      <c r="C93" s="1">
        <v>5</v>
      </c>
      <c r="D93" s="1">
        <v>2</v>
      </c>
    </row>
    <row r="94" spans="1:7" x14ac:dyDescent="0.25">
      <c r="A94" s="1">
        <v>2</v>
      </c>
      <c r="B94" s="1">
        <v>5</v>
      </c>
      <c r="C94" s="1">
        <v>4</v>
      </c>
      <c r="D94" s="1">
        <v>5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I7" sqref="I7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4</v>
      </c>
      <c r="B2" s="1">
        <v>2</v>
      </c>
      <c r="C2" s="1">
        <v>4</v>
      </c>
      <c r="D2" s="1">
        <v>4</v>
      </c>
      <c r="F2" s="2" t="s">
        <v>13</v>
      </c>
      <c r="G2" s="2"/>
    </row>
    <row r="3" spans="1:7" x14ac:dyDescent="0.25">
      <c r="A3" s="1">
        <v>3</v>
      </c>
      <c r="B3" s="1">
        <v>4</v>
      </c>
      <c r="C3" s="1">
        <v>4</v>
      </c>
      <c r="D3" s="1">
        <v>5</v>
      </c>
      <c r="F3" t="s">
        <v>14</v>
      </c>
      <c r="G3">
        <f>COUNT(A:A)</f>
        <v>93</v>
      </c>
    </row>
    <row r="4" spans="1:7" x14ac:dyDescent="0.25">
      <c r="A4" s="1">
        <v>5</v>
      </c>
      <c r="B4" s="1">
        <v>5</v>
      </c>
      <c r="C4" s="1">
        <v>5</v>
      </c>
      <c r="D4" s="1">
        <v>2</v>
      </c>
      <c r="F4" t="s">
        <v>7</v>
      </c>
      <c r="G4">
        <f>AVERAGE(A:A)</f>
        <v>3.150537634408602</v>
      </c>
    </row>
    <row r="5" spans="1:7" x14ac:dyDescent="0.25">
      <c r="A5" s="1">
        <v>1</v>
      </c>
      <c r="B5" s="1">
        <v>5</v>
      </c>
      <c r="C5" s="1">
        <v>3</v>
      </c>
      <c r="D5" s="1">
        <v>4</v>
      </c>
      <c r="F5" t="s">
        <v>8</v>
      </c>
      <c r="G5">
        <f>AVERAGE(B:B)</f>
        <v>3.3225806451612905</v>
      </c>
    </row>
    <row r="6" spans="1:7" x14ac:dyDescent="0.25">
      <c r="A6" s="1">
        <v>1</v>
      </c>
      <c r="B6" s="1">
        <v>3</v>
      </c>
      <c r="C6" s="1">
        <v>4</v>
      </c>
      <c r="D6" s="1">
        <v>4</v>
      </c>
      <c r="F6" t="s">
        <v>9</v>
      </c>
      <c r="G6">
        <f>AVERAGE(C:C)</f>
        <v>3.5483870967741935</v>
      </c>
    </row>
    <row r="7" spans="1:7" x14ac:dyDescent="0.25">
      <c r="A7" s="1">
        <v>3</v>
      </c>
      <c r="B7" s="1">
        <v>3</v>
      </c>
      <c r="C7" s="1">
        <v>2</v>
      </c>
      <c r="D7" s="1">
        <v>5</v>
      </c>
      <c r="F7" t="s">
        <v>10</v>
      </c>
      <c r="G7">
        <f>AVERAGE(D:D)</f>
        <v>4.161290322580645</v>
      </c>
    </row>
    <row r="8" spans="1:7" x14ac:dyDescent="0.25">
      <c r="A8" s="1">
        <v>3</v>
      </c>
      <c r="B8" s="1">
        <v>3</v>
      </c>
      <c r="C8" s="1">
        <v>2</v>
      </c>
      <c r="D8" s="1">
        <v>4</v>
      </c>
      <c r="F8" t="s">
        <v>15</v>
      </c>
      <c r="G8">
        <f>AVERAGE(G4:G7)</f>
        <v>3.545698924731183</v>
      </c>
    </row>
    <row r="9" spans="1:7" x14ac:dyDescent="0.25">
      <c r="A9" s="1">
        <v>4</v>
      </c>
      <c r="B9" s="1">
        <v>4</v>
      </c>
      <c r="C9" s="1">
        <v>4</v>
      </c>
      <c r="D9" s="1">
        <v>4</v>
      </c>
    </row>
    <row r="10" spans="1:7" x14ac:dyDescent="0.25">
      <c r="A10" s="1">
        <v>2</v>
      </c>
      <c r="B10" s="1">
        <v>4</v>
      </c>
      <c r="C10" s="1">
        <v>3</v>
      </c>
      <c r="D10" s="1">
        <v>4</v>
      </c>
    </row>
    <row r="11" spans="1:7" x14ac:dyDescent="0.25">
      <c r="A11" s="1">
        <v>3</v>
      </c>
      <c r="B11" s="1">
        <v>3</v>
      </c>
      <c r="C11" s="1">
        <v>4</v>
      </c>
      <c r="D11" s="1">
        <v>4</v>
      </c>
      <c r="F11" s="2" t="s">
        <v>12</v>
      </c>
      <c r="G11" s="2"/>
    </row>
    <row r="12" spans="1:7" x14ac:dyDescent="0.25">
      <c r="A12" s="1">
        <v>5</v>
      </c>
      <c r="B12" s="1">
        <v>3</v>
      </c>
      <c r="C12" s="1">
        <v>2</v>
      </c>
      <c r="D12" s="1">
        <v>4</v>
      </c>
      <c r="F12" s="3" t="s">
        <v>17</v>
      </c>
    </row>
    <row r="13" spans="1:7" x14ac:dyDescent="0.25">
      <c r="A13" s="1">
        <v>2</v>
      </c>
      <c r="B13" s="1">
        <v>1</v>
      </c>
      <c r="C13" s="1">
        <v>4</v>
      </c>
      <c r="D13" s="1">
        <v>3</v>
      </c>
      <c r="F13" s="3" t="s">
        <v>18</v>
      </c>
    </row>
    <row r="14" spans="1:7" x14ac:dyDescent="0.25">
      <c r="A14" s="1">
        <v>2</v>
      </c>
      <c r="B14" s="1">
        <v>5</v>
      </c>
      <c r="C14" s="1">
        <v>3</v>
      </c>
      <c r="D14" s="1">
        <v>3</v>
      </c>
    </row>
    <row r="15" spans="1:7" x14ac:dyDescent="0.25">
      <c r="A15" s="1">
        <v>1</v>
      </c>
      <c r="B15" s="1">
        <v>3</v>
      </c>
      <c r="C15" s="1">
        <v>3</v>
      </c>
      <c r="D15" s="1">
        <v>4</v>
      </c>
    </row>
    <row r="16" spans="1:7" x14ac:dyDescent="0.25">
      <c r="A16" s="1">
        <v>3</v>
      </c>
      <c r="B16" s="1">
        <v>4</v>
      </c>
      <c r="C16" s="1">
        <v>4</v>
      </c>
      <c r="D16" s="1">
        <v>5</v>
      </c>
    </row>
    <row r="17" spans="1:7" x14ac:dyDescent="0.25">
      <c r="A17" s="1">
        <v>3</v>
      </c>
      <c r="B17" s="1">
        <v>4</v>
      </c>
      <c r="C17" s="1">
        <v>5</v>
      </c>
      <c r="D17" s="1">
        <v>5</v>
      </c>
      <c r="F17" t="s">
        <v>11</v>
      </c>
      <c r="G17">
        <f>G3*((G4-G8)^2+(G5-G8)^2+(G6-G8)^2+(G7-G8)^2)</f>
        <v>54.395161290322562</v>
      </c>
    </row>
    <row r="18" spans="1:7" x14ac:dyDescent="0.25">
      <c r="A18" s="1">
        <v>4</v>
      </c>
      <c r="B18" s="1">
        <v>3</v>
      </c>
      <c r="C18" s="1">
        <v>3</v>
      </c>
      <c r="D18" s="1">
        <v>5</v>
      </c>
    </row>
    <row r="19" spans="1:7" x14ac:dyDescent="0.25">
      <c r="A19" s="1">
        <v>1</v>
      </c>
      <c r="B19" s="1">
        <v>3</v>
      </c>
      <c r="C19" s="1">
        <v>3</v>
      </c>
      <c r="D19" s="1">
        <v>4</v>
      </c>
    </row>
    <row r="20" spans="1:7" x14ac:dyDescent="0.25">
      <c r="A20" s="1">
        <v>2</v>
      </c>
      <c r="B20" s="1">
        <v>1</v>
      </c>
      <c r="C20" s="1">
        <v>4</v>
      </c>
      <c r="D20" s="1">
        <v>5</v>
      </c>
      <c r="F20" s="2" t="s">
        <v>19</v>
      </c>
      <c r="G20" s="2"/>
    </row>
    <row r="21" spans="1:7" x14ac:dyDescent="0.25">
      <c r="A21" s="1">
        <v>5</v>
      </c>
      <c r="B21" s="1">
        <v>5</v>
      </c>
      <c r="C21" s="1">
        <v>3</v>
      </c>
      <c r="D21" s="1">
        <v>5</v>
      </c>
      <c r="F21" t="s">
        <v>20</v>
      </c>
    </row>
    <row r="22" spans="1:7" x14ac:dyDescent="0.25">
      <c r="A22" s="1">
        <v>5</v>
      </c>
      <c r="B22" s="1">
        <v>5</v>
      </c>
      <c r="C22" s="1">
        <v>4</v>
      </c>
      <c r="D22" s="1">
        <v>3</v>
      </c>
      <c r="F22" t="s">
        <v>16</v>
      </c>
      <c r="G22">
        <v>4</v>
      </c>
    </row>
    <row r="23" spans="1:7" x14ac:dyDescent="0.25">
      <c r="A23" s="1">
        <v>4</v>
      </c>
      <c r="B23" s="1">
        <v>3</v>
      </c>
      <c r="C23" s="1">
        <v>3</v>
      </c>
      <c r="D23" s="1">
        <v>3</v>
      </c>
    </row>
    <row r="24" spans="1:7" x14ac:dyDescent="0.25">
      <c r="A24" s="1">
        <v>2</v>
      </c>
      <c r="B24" s="1">
        <v>3</v>
      </c>
      <c r="C24" s="1">
        <v>5</v>
      </c>
      <c r="D24" s="1">
        <v>3</v>
      </c>
    </row>
    <row r="25" spans="1:7" x14ac:dyDescent="0.25">
      <c r="A25" s="1">
        <v>1</v>
      </c>
      <c r="B25" s="1">
        <v>4</v>
      </c>
      <c r="C25" s="1">
        <v>2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5</v>
      </c>
      <c r="B26" s="1">
        <v>5</v>
      </c>
      <c r="C26" s="1">
        <v>4</v>
      </c>
      <c r="D26" s="1">
        <v>4</v>
      </c>
    </row>
    <row r="27" spans="1:7" x14ac:dyDescent="0.25">
      <c r="A27" s="1">
        <v>3</v>
      </c>
      <c r="B27" s="1">
        <v>5</v>
      </c>
      <c r="C27" s="1">
        <v>4</v>
      </c>
      <c r="D27" s="1">
        <v>5</v>
      </c>
    </row>
    <row r="28" spans="1:7" x14ac:dyDescent="0.25">
      <c r="A28" s="1">
        <v>4</v>
      </c>
      <c r="B28" s="1">
        <v>2</v>
      </c>
      <c r="C28" s="1">
        <v>5</v>
      </c>
      <c r="D28" s="1">
        <v>5</v>
      </c>
      <c r="F28" s="2" t="s">
        <v>21</v>
      </c>
      <c r="G28" s="2"/>
    </row>
    <row r="29" spans="1:7" x14ac:dyDescent="0.25">
      <c r="A29" s="1">
        <v>1</v>
      </c>
      <c r="B29" s="1">
        <v>4</v>
      </c>
      <c r="C29" s="1">
        <v>5</v>
      </c>
      <c r="D29" s="1">
        <v>5</v>
      </c>
      <c r="F29" t="s">
        <v>22</v>
      </c>
    </row>
    <row r="30" spans="1:7" x14ac:dyDescent="0.25">
      <c r="A30" s="1">
        <v>2</v>
      </c>
      <c r="B30" s="1">
        <v>4</v>
      </c>
      <c r="C30" s="1">
        <v>3</v>
      </c>
      <c r="D30" s="1">
        <v>5</v>
      </c>
    </row>
    <row r="31" spans="1:7" x14ac:dyDescent="0.25">
      <c r="A31" s="1">
        <v>2</v>
      </c>
      <c r="B31" s="1">
        <v>4</v>
      </c>
      <c r="C31" s="1">
        <v>4</v>
      </c>
      <c r="D31" s="1">
        <v>5</v>
      </c>
    </row>
    <row r="32" spans="1:7" x14ac:dyDescent="0.25">
      <c r="A32" s="1">
        <v>4</v>
      </c>
      <c r="B32" s="1">
        <v>4</v>
      </c>
      <c r="C32" s="1">
        <v>2</v>
      </c>
      <c r="D32" s="1">
        <v>3</v>
      </c>
    </row>
    <row r="33" spans="1:7" x14ac:dyDescent="0.25">
      <c r="A33" s="1">
        <v>4</v>
      </c>
      <c r="B33" s="1">
        <v>5</v>
      </c>
      <c r="C33" s="1">
        <v>5</v>
      </c>
      <c r="D33" s="1">
        <v>5</v>
      </c>
    </row>
    <row r="34" spans="1:7" x14ac:dyDescent="0.25">
      <c r="A34" s="1">
        <v>4</v>
      </c>
      <c r="B34" s="1">
        <v>3</v>
      </c>
      <c r="C34" s="1">
        <v>4</v>
      </c>
      <c r="D34" s="1">
        <v>4</v>
      </c>
      <c r="F34" t="s">
        <v>1</v>
      </c>
      <c r="G34">
        <f>G17/G25</f>
        <v>18.131720430107521</v>
      </c>
    </row>
    <row r="35" spans="1:7" x14ac:dyDescent="0.25">
      <c r="A35" s="1">
        <v>5</v>
      </c>
      <c r="B35" s="1">
        <v>5</v>
      </c>
      <c r="C35" s="1">
        <v>4</v>
      </c>
      <c r="D35" s="1">
        <v>4</v>
      </c>
    </row>
    <row r="36" spans="1:7" x14ac:dyDescent="0.25">
      <c r="A36" s="1">
        <v>2</v>
      </c>
      <c r="B36" s="1">
        <v>2</v>
      </c>
      <c r="C36" s="1">
        <v>5</v>
      </c>
      <c r="D36" s="1">
        <v>5</v>
      </c>
    </row>
    <row r="37" spans="1:7" x14ac:dyDescent="0.25">
      <c r="A37" s="1">
        <v>2</v>
      </c>
      <c r="B37" s="1">
        <v>4</v>
      </c>
      <c r="C37" s="1">
        <v>5</v>
      </c>
      <c r="D37" s="1">
        <v>4</v>
      </c>
      <c r="F37" s="2" t="s">
        <v>26</v>
      </c>
      <c r="G37" s="2"/>
    </row>
    <row r="38" spans="1:7" x14ac:dyDescent="0.25">
      <c r="A38" s="1">
        <v>1</v>
      </c>
      <c r="B38" s="1">
        <v>3</v>
      </c>
      <c r="C38" s="1">
        <v>4</v>
      </c>
      <c r="D38" s="1">
        <v>5</v>
      </c>
      <c r="F38" t="s">
        <v>23</v>
      </c>
    </row>
    <row r="39" spans="1:7" x14ac:dyDescent="0.25">
      <c r="A39" s="1">
        <v>1</v>
      </c>
      <c r="B39" s="1">
        <v>2</v>
      </c>
      <c r="C39" s="1">
        <v>3</v>
      </c>
      <c r="D39" s="1">
        <v>4</v>
      </c>
      <c r="F39" t="s">
        <v>24</v>
      </c>
    </row>
    <row r="40" spans="1:7" x14ac:dyDescent="0.25">
      <c r="A40" s="1">
        <v>3</v>
      </c>
      <c r="B40" s="1">
        <v>3</v>
      </c>
      <c r="C40" s="1">
        <v>4</v>
      </c>
      <c r="D40" s="1">
        <v>4</v>
      </c>
    </row>
    <row r="41" spans="1:7" x14ac:dyDescent="0.25">
      <c r="A41" s="1">
        <v>3</v>
      </c>
      <c r="B41" s="1">
        <v>3</v>
      </c>
      <c r="C41" s="1">
        <v>3</v>
      </c>
      <c r="D41" s="1">
        <v>5</v>
      </c>
    </row>
    <row r="42" spans="1:7" x14ac:dyDescent="0.25">
      <c r="A42" s="1">
        <v>1</v>
      </c>
      <c r="B42" s="1">
        <v>4</v>
      </c>
      <c r="C42" s="1">
        <v>3</v>
      </c>
      <c r="D42" s="1">
        <v>5</v>
      </c>
    </row>
    <row r="43" spans="1:7" x14ac:dyDescent="0.25">
      <c r="A43" s="1">
        <v>2</v>
      </c>
      <c r="B43" s="1">
        <v>4</v>
      </c>
      <c r="C43" s="1">
        <v>5</v>
      </c>
      <c r="D43" s="1">
        <v>4</v>
      </c>
    </row>
    <row r="44" spans="1:7" x14ac:dyDescent="0.25">
      <c r="A44" s="1">
        <v>4</v>
      </c>
      <c r="B44" s="1">
        <v>3</v>
      </c>
      <c r="C44" s="1">
        <v>4</v>
      </c>
      <c r="D44" s="1">
        <v>3</v>
      </c>
      <c r="F44" t="s">
        <v>3</v>
      </c>
      <c r="G44">
        <f>DEVSQ(A:A)+DEVSQ(B:B)+DEVSQ(C:C)+DEVSQ(D:D)</f>
        <v>459.82795698924713</v>
      </c>
    </row>
    <row r="45" spans="1:7" x14ac:dyDescent="0.25">
      <c r="A45" s="1">
        <v>4</v>
      </c>
      <c r="B45" s="1">
        <v>1</v>
      </c>
      <c r="C45" s="1">
        <v>1</v>
      </c>
      <c r="D45" s="1">
        <v>5</v>
      </c>
    </row>
    <row r="46" spans="1:7" x14ac:dyDescent="0.25">
      <c r="A46" s="1">
        <v>5</v>
      </c>
      <c r="B46" s="1">
        <v>3</v>
      </c>
      <c r="C46" s="1">
        <v>3</v>
      </c>
      <c r="D46" s="1">
        <v>4</v>
      </c>
    </row>
    <row r="47" spans="1:7" x14ac:dyDescent="0.25">
      <c r="A47" s="1">
        <v>1</v>
      </c>
      <c r="B47" s="1">
        <v>3</v>
      </c>
      <c r="C47" s="1">
        <v>3</v>
      </c>
      <c r="D47" s="1">
        <v>4</v>
      </c>
      <c r="F47" s="2" t="s">
        <v>25</v>
      </c>
      <c r="G47" s="2"/>
    </row>
    <row r="48" spans="1:7" x14ac:dyDescent="0.25">
      <c r="A48" s="1">
        <v>3</v>
      </c>
      <c r="B48" s="1">
        <v>3</v>
      </c>
      <c r="C48" s="1">
        <v>4</v>
      </c>
      <c r="D48" s="1">
        <v>3</v>
      </c>
      <c r="F48" t="s">
        <v>27</v>
      </c>
      <c r="G48">
        <f>COUNT(A:A,B:B,C:C,D:D)</f>
        <v>372</v>
      </c>
    </row>
    <row r="49" spans="1:7" x14ac:dyDescent="0.25">
      <c r="A49" s="1">
        <v>4</v>
      </c>
      <c r="B49" s="1">
        <v>3</v>
      </c>
      <c r="C49" s="1">
        <v>3</v>
      </c>
      <c r="D49" s="1">
        <v>3</v>
      </c>
      <c r="F49" t="s">
        <v>16</v>
      </c>
      <c r="G49">
        <f>G22</f>
        <v>4</v>
      </c>
    </row>
    <row r="50" spans="1:7" x14ac:dyDescent="0.25">
      <c r="A50" s="1">
        <v>3</v>
      </c>
      <c r="B50" s="1">
        <v>5</v>
      </c>
      <c r="C50" s="1">
        <v>3</v>
      </c>
      <c r="D50" s="1">
        <v>4</v>
      </c>
    </row>
    <row r="51" spans="1:7" x14ac:dyDescent="0.25">
      <c r="A51" s="1">
        <v>3</v>
      </c>
      <c r="B51" s="1">
        <v>3</v>
      </c>
      <c r="C51" s="1">
        <v>3</v>
      </c>
      <c r="D51" s="1">
        <v>4</v>
      </c>
    </row>
    <row r="52" spans="1:7" x14ac:dyDescent="0.25">
      <c r="A52" s="1">
        <v>4</v>
      </c>
      <c r="B52" s="1">
        <v>1</v>
      </c>
      <c r="C52" s="1">
        <v>1</v>
      </c>
      <c r="D52" s="1">
        <v>3</v>
      </c>
    </row>
    <row r="53" spans="1:7" x14ac:dyDescent="0.25">
      <c r="A53" s="1">
        <v>5</v>
      </c>
      <c r="B53" s="1">
        <v>5</v>
      </c>
      <c r="C53" s="1">
        <v>5</v>
      </c>
      <c r="D53" s="1">
        <v>5</v>
      </c>
    </row>
    <row r="54" spans="1:7" x14ac:dyDescent="0.25">
      <c r="A54" s="1">
        <v>3</v>
      </c>
      <c r="B54" s="1">
        <v>3</v>
      </c>
      <c r="C54" s="1">
        <v>5</v>
      </c>
      <c r="D54" s="1">
        <v>5</v>
      </c>
      <c r="F54" t="s">
        <v>4</v>
      </c>
      <c r="G54">
        <f>G48-G49</f>
        <v>368</v>
      </c>
    </row>
    <row r="55" spans="1:7" x14ac:dyDescent="0.25">
      <c r="A55" s="1">
        <v>3</v>
      </c>
      <c r="B55" s="1">
        <v>4</v>
      </c>
      <c r="C55" s="1">
        <v>3</v>
      </c>
      <c r="D55" s="1">
        <v>5</v>
      </c>
    </row>
    <row r="56" spans="1:7" x14ac:dyDescent="0.25">
      <c r="A56" s="1">
        <v>3</v>
      </c>
      <c r="B56" s="1">
        <v>3</v>
      </c>
      <c r="C56" s="1">
        <v>2</v>
      </c>
      <c r="D56" s="1">
        <v>3</v>
      </c>
    </row>
    <row r="57" spans="1:7" x14ac:dyDescent="0.25">
      <c r="A57" s="1">
        <v>3</v>
      </c>
      <c r="B57" s="1">
        <v>5</v>
      </c>
      <c r="C57" s="1">
        <v>5</v>
      </c>
      <c r="D57" s="1">
        <v>3</v>
      </c>
      <c r="F57" s="2" t="s">
        <v>28</v>
      </c>
      <c r="G57" s="2"/>
    </row>
    <row r="58" spans="1:7" x14ac:dyDescent="0.25">
      <c r="A58" s="1">
        <v>2</v>
      </c>
      <c r="B58" s="1">
        <v>4</v>
      </c>
      <c r="C58" s="1">
        <v>4</v>
      </c>
      <c r="D58" s="1">
        <v>5</v>
      </c>
      <c r="F58" t="s">
        <v>29</v>
      </c>
    </row>
    <row r="59" spans="1:7" x14ac:dyDescent="0.25">
      <c r="A59" s="1">
        <v>3</v>
      </c>
      <c r="B59" s="1">
        <v>3</v>
      </c>
      <c r="C59" s="1">
        <v>5</v>
      </c>
      <c r="D59" s="1">
        <v>4</v>
      </c>
    </row>
    <row r="60" spans="1:7" x14ac:dyDescent="0.25">
      <c r="A60" s="1">
        <v>3</v>
      </c>
      <c r="B60" s="1">
        <v>4</v>
      </c>
      <c r="C60" s="1">
        <v>4</v>
      </c>
      <c r="D60" s="1">
        <v>4</v>
      </c>
    </row>
    <row r="61" spans="1:7" x14ac:dyDescent="0.25">
      <c r="A61" s="1">
        <v>2</v>
      </c>
      <c r="B61" s="1">
        <v>3</v>
      </c>
      <c r="C61" s="1">
        <v>3</v>
      </c>
      <c r="D61" s="1">
        <v>5</v>
      </c>
    </row>
    <row r="62" spans="1:7" x14ac:dyDescent="0.25">
      <c r="A62" s="1">
        <v>4</v>
      </c>
      <c r="B62" s="1">
        <v>2</v>
      </c>
      <c r="C62" s="1">
        <v>3</v>
      </c>
      <c r="D62" s="1">
        <v>2</v>
      </c>
    </row>
    <row r="63" spans="1:7" x14ac:dyDescent="0.25">
      <c r="A63" s="1">
        <v>5</v>
      </c>
      <c r="B63" s="1">
        <v>1</v>
      </c>
      <c r="C63" s="1">
        <v>4</v>
      </c>
      <c r="D63" s="1">
        <v>5</v>
      </c>
    </row>
    <row r="64" spans="1:7" x14ac:dyDescent="0.25">
      <c r="A64" s="1">
        <v>5</v>
      </c>
      <c r="B64" s="1">
        <v>4</v>
      </c>
      <c r="C64" s="1">
        <v>4</v>
      </c>
      <c r="D64" s="1">
        <v>5</v>
      </c>
      <c r="F64" t="s">
        <v>5</v>
      </c>
      <c r="G64">
        <f>G44/G54</f>
        <v>1.2495324918186064</v>
      </c>
    </row>
    <row r="65" spans="1:7" x14ac:dyDescent="0.25">
      <c r="A65" s="1">
        <v>3</v>
      </c>
      <c r="B65" s="1">
        <v>4</v>
      </c>
      <c r="C65" s="1">
        <v>5</v>
      </c>
      <c r="D65" s="1">
        <v>4</v>
      </c>
    </row>
    <row r="66" spans="1:7" x14ac:dyDescent="0.25">
      <c r="A66" s="1">
        <v>3</v>
      </c>
      <c r="B66" s="1">
        <v>5</v>
      </c>
      <c r="C66" s="1">
        <v>4</v>
      </c>
      <c r="D66" s="1">
        <v>4</v>
      </c>
    </row>
    <row r="67" spans="1:7" x14ac:dyDescent="0.25">
      <c r="A67" s="1">
        <v>3</v>
      </c>
      <c r="B67" s="1">
        <v>1</v>
      </c>
      <c r="C67" s="1">
        <v>3</v>
      </c>
      <c r="D67" s="1">
        <v>5</v>
      </c>
      <c r="F67" s="2" t="s">
        <v>30</v>
      </c>
      <c r="G67" s="2"/>
    </row>
    <row r="68" spans="1:7" x14ac:dyDescent="0.25">
      <c r="A68" s="1">
        <v>4</v>
      </c>
      <c r="B68" s="1">
        <v>1</v>
      </c>
      <c r="C68" s="1">
        <v>1</v>
      </c>
      <c r="D68" s="1">
        <v>4</v>
      </c>
      <c r="F68" t="s">
        <v>31</v>
      </c>
    </row>
    <row r="69" spans="1:7" x14ac:dyDescent="0.25">
      <c r="A69" s="1">
        <v>5</v>
      </c>
      <c r="B69" s="1">
        <v>3</v>
      </c>
      <c r="C69" s="1">
        <v>2</v>
      </c>
      <c r="D69" s="1">
        <v>4</v>
      </c>
      <c r="F69" t="s">
        <v>32</v>
      </c>
    </row>
    <row r="70" spans="1:7" x14ac:dyDescent="0.25">
      <c r="A70" s="1">
        <v>5</v>
      </c>
      <c r="B70" s="1">
        <v>2</v>
      </c>
      <c r="C70" s="1">
        <v>5</v>
      </c>
      <c r="D70" s="1">
        <v>5</v>
      </c>
    </row>
    <row r="71" spans="1:7" x14ac:dyDescent="0.25">
      <c r="A71" s="1">
        <v>4</v>
      </c>
      <c r="B71" s="1">
        <v>3</v>
      </c>
      <c r="C71" s="1">
        <v>2</v>
      </c>
      <c r="D71" s="1">
        <v>5</v>
      </c>
    </row>
    <row r="72" spans="1:7" x14ac:dyDescent="0.25">
      <c r="A72" s="1">
        <v>3</v>
      </c>
      <c r="B72" s="1">
        <v>3</v>
      </c>
      <c r="C72" s="1">
        <v>3</v>
      </c>
      <c r="D72" s="1">
        <v>4</v>
      </c>
    </row>
    <row r="73" spans="1:7" x14ac:dyDescent="0.25">
      <c r="A73" s="1">
        <v>4</v>
      </c>
      <c r="B73" s="1">
        <v>5</v>
      </c>
      <c r="C73" s="1">
        <v>3</v>
      </c>
      <c r="D73" s="1">
        <v>5</v>
      </c>
    </row>
    <row r="74" spans="1:7" x14ac:dyDescent="0.25">
      <c r="A74" s="1">
        <v>4</v>
      </c>
      <c r="B74" s="1">
        <v>3</v>
      </c>
      <c r="C74" s="1">
        <v>4</v>
      </c>
      <c r="D74" s="1">
        <v>3</v>
      </c>
      <c r="F74" t="s">
        <v>2</v>
      </c>
      <c r="G74">
        <f>G34/G64</f>
        <v>14.510803479562249</v>
      </c>
    </row>
    <row r="75" spans="1:7" x14ac:dyDescent="0.25">
      <c r="A75" s="1">
        <v>2</v>
      </c>
      <c r="B75" s="1">
        <v>5</v>
      </c>
      <c r="C75" s="1">
        <v>4</v>
      </c>
      <c r="D75" s="1">
        <v>3</v>
      </c>
    </row>
    <row r="76" spans="1:7" x14ac:dyDescent="0.25">
      <c r="A76" s="1">
        <v>4</v>
      </c>
      <c r="B76" s="1">
        <v>2</v>
      </c>
      <c r="C76" s="1">
        <v>4</v>
      </c>
      <c r="D76" s="1">
        <v>2</v>
      </c>
    </row>
    <row r="77" spans="1:7" x14ac:dyDescent="0.25">
      <c r="A77" s="1">
        <v>3</v>
      </c>
      <c r="B77" s="1">
        <v>3</v>
      </c>
      <c r="C77" s="1">
        <v>5</v>
      </c>
      <c r="D77" s="1">
        <v>5</v>
      </c>
      <c r="F77" s="2" t="s">
        <v>35</v>
      </c>
      <c r="G77" s="2"/>
    </row>
    <row r="78" spans="1:7" x14ac:dyDescent="0.25">
      <c r="A78" s="1">
        <v>3</v>
      </c>
      <c r="B78" s="1">
        <v>3</v>
      </c>
      <c r="C78" s="1">
        <v>4</v>
      </c>
      <c r="D78" s="1">
        <v>2</v>
      </c>
    </row>
    <row r="79" spans="1:7" x14ac:dyDescent="0.25">
      <c r="A79" s="1">
        <v>4</v>
      </c>
      <c r="B79" s="1">
        <v>5</v>
      </c>
      <c r="C79" s="1">
        <v>4</v>
      </c>
      <c r="D79" s="1">
        <v>4</v>
      </c>
      <c r="F79" s="4" t="s">
        <v>33</v>
      </c>
      <c r="G79">
        <v>0.05</v>
      </c>
    </row>
    <row r="80" spans="1:7" x14ac:dyDescent="0.25">
      <c r="A80" s="1">
        <v>3</v>
      </c>
      <c r="B80" s="1">
        <v>4</v>
      </c>
      <c r="C80" s="1">
        <v>4</v>
      </c>
      <c r="D80" s="1">
        <v>5</v>
      </c>
      <c r="F80" t="s">
        <v>0</v>
      </c>
      <c r="G80">
        <f xml:space="preserve"> G25</f>
        <v>3</v>
      </c>
    </row>
    <row r="81" spans="1:7" x14ac:dyDescent="0.25">
      <c r="A81" s="1">
        <v>2</v>
      </c>
      <c r="B81" s="1">
        <v>4</v>
      </c>
      <c r="C81" s="1">
        <v>3</v>
      </c>
      <c r="D81" s="1">
        <v>5</v>
      </c>
      <c r="F81" t="s">
        <v>4</v>
      </c>
      <c r="G81">
        <f xml:space="preserve"> G54</f>
        <v>368</v>
      </c>
    </row>
    <row r="82" spans="1:7" x14ac:dyDescent="0.25">
      <c r="A82" s="1">
        <v>1</v>
      </c>
      <c r="B82" s="1">
        <v>4</v>
      </c>
      <c r="C82" s="1">
        <v>4</v>
      </c>
      <c r="D82" s="1">
        <v>5</v>
      </c>
      <c r="F82" t="s">
        <v>34</v>
      </c>
      <c r="G82">
        <f>FINV(G79, G80, G81)</f>
        <v>2.6291647929246422</v>
      </c>
    </row>
    <row r="83" spans="1:7" x14ac:dyDescent="0.25">
      <c r="A83" s="1">
        <v>5</v>
      </c>
      <c r="B83" s="1">
        <v>5</v>
      </c>
      <c r="C83" s="1">
        <v>5</v>
      </c>
      <c r="D83" s="1">
        <v>4</v>
      </c>
      <c r="F83" t="s">
        <v>36</v>
      </c>
      <c r="G83">
        <f>_xlfn.F.DIST.RT(G74, G80, G81)</f>
        <v>5.9321227107129973E-9</v>
      </c>
    </row>
    <row r="84" spans="1:7" x14ac:dyDescent="0.25">
      <c r="A84" s="1">
        <v>2</v>
      </c>
      <c r="B84" s="1">
        <v>1</v>
      </c>
      <c r="C84" s="1">
        <v>1</v>
      </c>
      <c r="D84" s="1">
        <v>4</v>
      </c>
    </row>
    <row r="85" spans="1:7" x14ac:dyDescent="0.25">
      <c r="A85" s="1">
        <v>3</v>
      </c>
      <c r="B85" s="1">
        <v>3</v>
      </c>
      <c r="C85" s="1">
        <v>2</v>
      </c>
      <c r="D85" s="1">
        <v>5</v>
      </c>
      <c r="F85" s="2" t="s">
        <v>6</v>
      </c>
      <c r="G85" s="2"/>
    </row>
    <row r="86" spans="1:7" x14ac:dyDescent="0.25">
      <c r="A86" s="1">
        <v>4</v>
      </c>
      <c r="B86" s="1">
        <v>4</v>
      </c>
      <c r="C86" s="1">
        <v>3</v>
      </c>
      <c r="D86" s="1">
        <v>4</v>
      </c>
    </row>
    <row r="87" spans="1:7" x14ac:dyDescent="0.25">
      <c r="A87" s="1">
        <v>4</v>
      </c>
      <c r="B87" s="1">
        <v>4</v>
      </c>
      <c r="C87" s="1">
        <v>1</v>
      </c>
      <c r="D87" s="1">
        <v>5</v>
      </c>
      <c r="F87" t="s">
        <v>40</v>
      </c>
    </row>
    <row r="88" spans="1:7" x14ac:dyDescent="0.25">
      <c r="A88" s="1">
        <v>1</v>
      </c>
      <c r="B88" s="1">
        <v>4</v>
      </c>
      <c r="C88" s="1">
        <v>3</v>
      </c>
      <c r="D88" s="1">
        <v>4</v>
      </c>
      <c r="F88" t="s">
        <v>41</v>
      </c>
    </row>
    <row r="89" spans="1:7" x14ac:dyDescent="0.25">
      <c r="A89" s="1">
        <v>3</v>
      </c>
      <c r="B89" s="1">
        <v>3</v>
      </c>
      <c r="C89" s="1">
        <v>1</v>
      </c>
      <c r="D89" s="1">
        <v>5</v>
      </c>
    </row>
    <row r="90" spans="1:7" x14ac:dyDescent="0.25">
      <c r="A90" s="1">
        <v>4</v>
      </c>
      <c r="B90" s="1">
        <v>3</v>
      </c>
      <c r="C90" s="1">
        <v>5</v>
      </c>
      <c r="D90" s="1">
        <v>3</v>
      </c>
      <c r="F90" t="str">
        <f>"Si F calculado ("&amp;G74&amp;") &gt; F critico ("&amp;G82&amp;") ---&gt; Se rechaza la hipotesis nula"</f>
        <v>Si F calculado (14.5108034795622) &gt; F critico (2.62916479292464) ---&gt; Se rechaza la hipotesis nula</v>
      </c>
    </row>
    <row r="91" spans="1:7" x14ac:dyDescent="0.25">
      <c r="A91" s="1">
        <v>3</v>
      </c>
      <c r="B91" s="1">
        <v>1</v>
      </c>
      <c r="C91" s="1">
        <v>4</v>
      </c>
      <c r="D91" s="1">
        <v>3</v>
      </c>
      <c r="F91" t="str">
        <f>"Si p-valor ("&amp;G83&amp;") &lt; α Nivel Significancia ("&amp;G79&amp;") ---&gt; Se rechaza la hipotesis nula"</f>
        <v>Si p-valor (5.932122710713E-09) &lt; α Nivel Significancia (0.05) ---&gt; Se rechaza la hipotesis nula</v>
      </c>
    </row>
    <row r="92" spans="1:7" x14ac:dyDescent="0.25">
      <c r="A92" s="1">
        <v>4</v>
      </c>
      <c r="B92" s="1">
        <v>3</v>
      </c>
      <c r="C92" s="1">
        <v>4</v>
      </c>
      <c r="D92" s="1">
        <v>4</v>
      </c>
    </row>
    <row r="93" spans="1:7" x14ac:dyDescent="0.25">
      <c r="A93" s="1">
        <v>5</v>
      </c>
      <c r="B93" s="1">
        <v>1</v>
      </c>
      <c r="C93" s="1">
        <v>5</v>
      </c>
      <c r="D93" s="1">
        <v>5</v>
      </c>
    </row>
    <row r="94" spans="1:7" x14ac:dyDescent="0.25">
      <c r="A94" s="1">
        <v>5</v>
      </c>
      <c r="B94" s="1">
        <v>2</v>
      </c>
      <c r="C94" s="1">
        <v>5</v>
      </c>
      <c r="D94" s="1">
        <v>5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55" zoomScale="70" zoomScaleNormal="70" workbookViewId="0">
      <selection activeCell="I11" sqref="I11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4</v>
      </c>
      <c r="B2" s="1">
        <v>2</v>
      </c>
      <c r="C2" s="1">
        <v>3</v>
      </c>
      <c r="D2" s="1">
        <v>4</v>
      </c>
      <c r="F2" s="2" t="s">
        <v>13</v>
      </c>
      <c r="G2" s="2"/>
    </row>
    <row r="3" spans="1:7" x14ac:dyDescent="0.25">
      <c r="A3" s="1">
        <v>2</v>
      </c>
      <c r="B3" s="1">
        <v>2</v>
      </c>
      <c r="C3" s="1">
        <v>4</v>
      </c>
      <c r="D3" s="1">
        <v>3</v>
      </c>
      <c r="F3" t="s">
        <v>14</v>
      </c>
      <c r="G3">
        <f>COUNT(A:A)</f>
        <v>93</v>
      </c>
    </row>
    <row r="4" spans="1:7" x14ac:dyDescent="0.25">
      <c r="A4" s="1">
        <v>3</v>
      </c>
      <c r="B4" s="1">
        <v>2</v>
      </c>
      <c r="C4" s="1">
        <v>3</v>
      </c>
      <c r="D4" s="1">
        <v>5</v>
      </c>
      <c r="F4" t="s">
        <v>7</v>
      </c>
      <c r="G4">
        <f>AVERAGE(A:A)</f>
        <v>3.5483870967741935</v>
      </c>
    </row>
    <row r="5" spans="1:7" x14ac:dyDescent="0.25">
      <c r="A5" s="1">
        <v>3</v>
      </c>
      <c r="B5" s="1">
        <v>2</v>
      </c>
      <c r="C5" s="1">
        <v>4</v>
      </c>
      <c r="D5" s="1">
        <v>5</v>
      </c>
      <c r="F5" t="s">
        <v>8</v>
      </c>
      <c r="G5">
        <f>AVERAGE(B:B)</f>
        <v>3.4193548387096775</v>
      </c>
    </row>
    <row r="6" spans="1:7" x14ac:dyDescent="0.25">
      <c r="A6" s="1">
        <v>4</v>
      </c>
      <c r="B6" s="1">
        <v>4</v>
      </c>
      <c r="C6" s="1">
        <v>4</v>
      </c>
      <c r="D6" s="1">
        <v>3</v>
      </c>
      <c r="F6" t="s">
        <v>9</v>
      </c>
      <c r="G6">
        <f>AVERAGE(C:C)</f>
        <v>3.2688172043010755</v>
      </c>
    </row>
    <row r="7" spans="1:7" x14ac:dyDescent="0.25">
      <c r="A7" s="1">
        <v>4</v>
      </c>
      <c r="B7" s="1">
        <v>5</v>
      </c>
      <c r="C7" s="1">
        <v>1</v>
      </c>
      <c r="D7" s="1">
        <v>3</v>
      </c>
      <c r="F7" t="s">
        <v>10</v>
      </c>
      <c r="G7">
        <f>AVERAGE(D:D)</f>
        <v>4.139784946236559</v>
      </c>
    </row>
    <row r="8" spans="1:7" x14ac:dyDescent="0.25">
      <c r="A8" s="1">
        <v>5</v>
      </c>
      <c r="B8" s="1">
        <v>4</v>
      </c>
      <c r="C8" s="1">
        <v>4</v>
      </c>
      <c r="D8" s="1">
        <v>5</v>
      </c>
      <c r="F8" t="s">
        <v>15</v>
      </c>
      <c r="G8">
        <f>AVERAGE(G4:G7)</f>
        <v>3.594086021505376</v>
      </c>
    </row>
    <row r="9" spans="1:7" x14ac:dyDescent="0.25">
      <c r="A9" s="1">
        <v>5</v>
      </c>
      <c r="B9" s="1">
        <v>4</v>
      </c>
      <c r="C9" s="1">
        <v>4</v>
      </c>
      <c r="D9" s="1">
        <v>4</v>
      </c>
    </row>
    <row r="10" spans="1:7" x14ac:dyDescent="0.25">
      <c r="A10" s="1">
        <v>4</v>
      </c>
      <c r="B10" s="1">
        <v>3</v>
      </c>
      <c r="C10" s="1">
        <v>2</v>
      </c>
      <c r="D10" s="1">
        <v>5</v>
      </c>
    </row>
    <row r="11" spans="1:7" x14ac:dyDescent="0.25">
      <c r="A11" s="1">
        <v>4</v>
      </c>
      <c r="B11" s="1">
        <v>4</v>
      </c>
      <c r="C11" s="1">
        <v>3</v>
      </c>
      <c r="D11" s="1">
        <v>3</v>
      </c>
      <c r="F11" s="2" t="s">
        <v>12</v>
      </c>
      <c r="G11" s="2"/>
    </row>
    <row r="12" spans="1:7" x14ac:dyDescent="0.25">
      <c r="A12" s="1">
        <v>5</v>
      </c>
      <c r="B12" s="1">
        <v>1</v>
      </c>
      <c r="C12" s="1">
        <v>5</v>
      </c>
      <c r="D12" s="1">
        <v>5</v>
      </c>
      <c r="F12" s="3" t="s">
        <v>17</v>
      </c>
    </row>
    <row r="13" spans="1:7" x14ac:dyDescent="0.25">
      <c r="A13" s="1">
        <v>5</v>
      </c>
      <c r="B13" s="1">
        <v>3</v>
      </c>
      <c r="C13" s="1">
        <v>5</v>
      </c>
      <c r="D13" s="1">
        <v>3</v>
      </c>
      <c r="F13" s="3" t="s">
        <v>18</v>
      </c>
    </row>
    <row r="14" spans="1:7" x14ac:dyDescent="0.25">
      <c r="A14" s="1">
        <v>3</v>
      </c>
      <c r="B14" s="1">
        <v>2</v>
      </c>
      <c r="C14" s="1">
        <v>5</v>
      </c>
      <c r="D14" s="1">
        <v>4</v>
      </c>
    </row>
    <row r="15" spans="1:7" x14ac:dyDescent="0.25">
      <c r="A15" s="1">
        <v>4</v>
      </c>
      <c r="B15" s="1">
        <v>5</v>
      </c>
      <c r="C15" s="1">
        <v>3</v>
      </c>
      <c r="D15" s="1">
        <v>4</v>
      </c>
    </row>
    <row r="16" spans="1:7" x14ac:dyDescent="0.25">
      <c r="A16" s="1">
        <v>4</v>
      </c>
      <c r="B16" s="1">
        <v>2</v>
      </c>
      <c r="C16" s="1">
        <v>4</v>
      </c>
      <c r="D16" s="1">
        <v>5</v>
      </c>
    </row>
    <row r="17" spans="1:7" x14ac:dyDescent="0.25">
      <c r="A17" s="1">
        <v>3</v>
      </c>
      <c r="B17" s="1">
        <v>2</v>
      </c>
      <c r="C17" s="1">
        <v>5</v>
      </c>
      <c r="D17" s="1">
        <v>4</v>
      </c>
      <c r="F17" t="s">
        <v>11</v>
      </c>
      <c r="G17">
        <f>G3*((G4-G8)^2+(G5-G8)^2+(G6-G8)^2+(G7-G8)^2)</f>
        <v>40.567204301075236</v>
      </c>
    </row>
    <row r="18" spans="1:7" x14ac:dyDescent="0.25">
      <c r="A18" s="1">
        <v>3</v>
      </c>
      <c r="B18" s="1">
        <v>3</v>
      </c>
      <c r="C18" s="1">
        <v>1</v>
      </c>
      <c r="D18" s="1">
        <v>5</v>
      </c>
    </row>
    <row r="19" spans="1:7" x14ac:dyDescent="0.25">
      <c r="A19" s="1">
        <v>5</v>
      </c>
      <c r="B19" s="1">
        <v>3</v>
      </c>
      <c r="C19" s="1">
        <v>3</v>
      </c>
      <c r="D19" s="1">
        <v>5</v>
      </c>
    </row>
    <row r="20" spans="1:7" x14ac:dyDescent="0.25">
      <c r="A20" s="1">
        <v>2</v>
      </c>
      <c r="B20" s="1">
        <v>3</v>
      </c>
      <c r="C20" s="1">
        <v>4</v>
      </c>
      <c r="D20" s="1">
        <v>4</v>
      </c>
      <c r="F20" s="2" t="s">
        <v>19</v>
      </c>
      <c r="G20" s="2"/>
    </row>
    <row r="21" spans="1:7" x14ac:dyDescent="0.25">
      <c r="A21" s="1">
        <v>3</v>
      </c>
      <c r="B21" s="1">
        <v>4</v>
      </c>
      <c r="C21" s="1">
        <v>3</v>
      </c>
      <c r="D21" s="1">
        <v>2</v>
      </c>
      <c r="F21" t="s">
        <v>20</v>
      </c>
    </row>
    <row r="22" spans="1:7" x14ac:dyDescent="0.25">
      <c r="A22" s="1">
        <v>5</v>
      </c>
      <c r="B22" s="1">
        <v>3</v>
      </c>
      <c r="C22" s="1">
        <v>3</v>
      </c>
      <c r="D22" s="1">
        <v>4</v>
      </c>
      <c r="F22" t="s">
        <v>16</v>
      </c>
      <c r="G22">
        <v>4</v>
      </c>
    </row>
    <row r="23" spans="1:7" x14ac:dyDescent="0.25">
      <c r="A23" s="1">
        <v>2</v>
      </c>
      <c r="B23" s="1">
        <v>4</v>
      </c>
      <c r="C23" s="1">
        <v>5</v>
      </c>
      <c r="D23" s="1">
        <v>4</v>
      </c>
    </row>
    <row r="24" spans="1:7" x14ac:dyDescent="0.25">
      <c r="A24" s="1">
        <v>2</v>
      </c>
      <c r="B24" s="1">
        <v>5</v>
      </c>
      <c r="C24" s="1">
        <v>4</v>
      </c>
      <c r="D24" s="1">
        <v>5</v>
      </c>
    </row>
    <row r="25" spans="1:7" x14ac:dyDescent="0.25">
      <c r="A25" s="1">
        <v>5</v>
      </c>
      <c r="B25" s="1">
        <v>4</v>
      </c>
      <c r="C25" s="1">
        <v>2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4</v>
      </c>
      <c r="B26" s="1">
        <v>5</v>
      </c>
      <c r="C26" s="1">
        <v>4</v>
      </c>
      <c r="D26" s="1">
        <v>5</v>
      </c>
    </row>
    <row r="27" spans="1:7" x14ac:dyDescent="0.25">
      <c r="A27" s="1">
        <v>2</v>
      </c>
      <c r="B27" s="1">
        <v>5</v>
      </c>
      <c r="C27" s="1">
        <v>3</v>
      </c>
      <c r="D27" s="1">
        <v>4</v>
      </c>
    </row>
    <row r="28" spans="1:7" x14ac:dyDescent="0.25">
      <c r="A28" s="1">
        <v>3</v>
      </c>
      <c r="B28" s="1">
        <v>5</v>
      </c>
      <c r="C28" s="1">
        <v>4</v>
      </c>
      <c r="D28" s="1">
        <v>2</v>
      </c>
      <c r="F28" s="2" t="s">
        <v>21</v>
      </c>
      <c r="G28" s="2"/>
    </row>
    <row r="29" spans="1:7" x14ac:dyDescent="0.25">
      <c r="A29" s="1">
        <v>4</v>
      </c>
      <c r="B29" s="1">
        <v>1</v>
      </c>
      <c r="C29" s="1">
        <v>5</v>
      </c>
      <c r="D29" s="1">
        <v>4</v>
      </c>
      <c r="F29" t="s">
        <v>22</v>
      </c>
    </row>
    <row r="30" spans="1:7" x14ac:dyDescent="0.25">
      <c r="A30" s="1">
        <v>4</v>
      </c>
      <c r="B30" s="1">
        <v>3</v>
      </c>
      <c r="C30" s="1">
        <v>5</v>
      </c>
      <c r="D30" s="1">
        <v>5</v>
      </c>
    </row>
    <row r="31" spans="1:7" x14ac:dyDescent="0.25">
      <c r="A31" s="1">
        <v>4</v>
      </c>
      <c r="B31" s="1">
        <v>1</v>
      </c>
      <c r="C31" s="1">
        <v>4</v>
      </c>
      <c r="D31" s="1">
        <v>5</v>
      </c>
    </row>
    <row r="32" spans="1:7" x14ac:dyDescent="0.25">
      <c r="A32" s="1">
        <v>3</v>
      </c>
      <c r="B32" s="1">
        <v>4</v>
      </c>
      <c r="C32" s="1">
        <v>4</v>
      </c>
      <c r="D32" s="1">
        <v>4</v>
      </c>
    </row>
    <row r="33" spans="1:7" x14ac:dyDescent="0.25">
      <c r="A33" s="1">
        <v>3</v>
      </c>
      <c r="B33" s="1">
        <v>4</v>
      </c>
      <c r="C33" s="1">
        <v>5</v>
      </c>
      <c r="D33" s="1">
        <v>5</v>
      </c>
    </row>
    <row r="34" spans="1:7" x14ac:dyDescent="0.25">
      <c r="A34" s="1">
        <v>4</v>
      </c>
      <c r="B34" s="1">
        <v>3</v>
      </c>
      <c r="C34" s="1">
        <v>2</v>
      </c>
      <c r="D34" s="1">
        <v>3</v>
      </c>
      <c r="F34" t="s">
        <v>1</v>
      </c>
      <c r="G34">
        <f>G17/G25</f>
        <v>13.522401433691746</v>
      </c>
    </row>
    <row r="35" spans="1:7" x14ac:dyDescent="0.25">
      <c r="A35" s="1">
        <v>3</v>
      </c>
      <c r="B35" s="1">
        <v>4</v>
      </c>
      <c r="C35" s="1">
        <v>1</v>
      </c>
      <c r="D35" s="1">
        <v>3</v>
      </c>
    </row>
    <row r="36" spans="1:7" x14ac:dyDescent="0.25">
      <c r="A36" s="1">
        <v>3</v>
      </c>
      <c r="B36" s="1">
        <v>5</v>
      </c>
      <c r="C36" s="1">
        <v>2</v>
      </c>
      <c r="D36" s="1">
        <v>4</v>
      </c>
    </row>
    <row r="37" spans="1:7" x14ac:dyDescent="0.25">
      <c r="A37" s="1">
        <v>5</v>
      </c>
      <c r="B37" s="1">
        <v>3</v>
      </c>
      <c r="C37" s="1">
        <v>2</v>
      </c>
      <c r="D37" s="1">
        <v>5</v>
      </c>
      <c r="F37" s="2" t="s">
        <v>26</v>
      </c>
      <c r="G37" s="2"/>
    </row>
    <row r="38" spans="1:7" x14ac:dyDescent="0.25">
      <c r="A38" s="1">
        <v>4</v>
      </c>
      <c r="B38" s="1">
        <v>4</v>
      </c>
      <c r="C38" s="1">
        <v>4</v>
      </c>
      <c r="D38" s="1">
        <v>5</v>
      </c>
      <c r="F38" t="s">
        <v>23</v>
      </c>
    </row>
    <row r="39" spans="1:7" x14ac:dyDescent="0.25">
      <c r="A39" s="1">
        <v>3</v>
      </c>
      <c r="B39" s="1">
        <v>3</v>
      </c>
      <c r="C39" s="1">
        <v>1</v>
      </c>
      <c r="D39" s="1">
        <v>5</v>
      </c>
      <c r="F39" t="s">
        <v>24</v>
      </c>
    </row>
    <row r="40" spans="1:7" x14ac:dyDescent="0.25">
      <c r="A40" s="1">
        <v>2</v>
      </c>
      <c r="B40" s="1">
        <v>3</v>
      </c>
      <c r="C40" s="1">
        <v>4</v>
      </c>
      <c r="D40" s="1">
        <v>5</v>
      </c>
    </row>
    <row r="41" spans="1:7" x14ac:dyDescent="0.25">
      <c r="A41" s="1">
        <v>3</v>
      </c>
      <c r="B41" s="1">
        <v>5</v>
      </c>
      <c r="C41" s="1">
        <v>1</v>
      </c>
      <c r="D41" s="1">
        <v>5</v>
      </c>
    </row>
    <row r="42" spans="1:7" x14ac:dyDescent="0.25">
      <c r="A42" s="1">
        <v>3</v>
      </c>
      <c r="B42" s="1">
        <v>5</v>
      </c>
      <c r="C42" s="1">
        <v>1</v>
      </c>
      <c r="D42" s="1">
        <v>4</v>
      </c>
    </row>
    <row r="43" spans="1:7" x14ac:dyDescent="0.25">
      <c r="A43" s="1">
        <v>5</v>
      </c>
      <c r="B43" s="1">
        <v>2</v>
      </c>
      <c r="C43" s="1">
        <v>3</v>
      </c>
      <c r="D43" s="1">
        <v>4</v>
      </c>
    </row>
    <row r="44" spans="1:7" x14ac:dyDescent="0.25">
      <c r="A44" s="1">
        <v>4</v>
      </c>
      <c r="B44" s="1">
        <v>4</v>
      </c>
      <c r="C44" s="1">
        <v>1</v>
      </c>
      <c r="D44" s="1">
        <v>5</v>
      </c>
      <c r="F44" t="s">
        <v>3</v>
      </c>
      <c r="G44">
        <f>DEVSQ(A:A)+DEVSQ(B:B)+DEVSQ(C:C)+DEVSQ(D:D)</f>
        <v>473.13978494623626</v>
      </c>
    </row>
    <row r="45" spans="1:7" x14ac:dyDescent="0.25">
      <c r="A45" s="1">
        <v>3</v>
      </c>
      <c r="B45" s="1">
        <v>5</v>
      </c>
      <c r="C45" s="1">
        <v>3</v>
      </c>
      <c r="D45" s="1">
        <v>5</v>
      </c>
    </row>
    <row r="46" spans="1:7" x14ac:dyDescent="0.25">
      <c r="A46" s="1">
        <v>4</v>
      </c>
      <c r="B46" s="1">
        <v>1</v>
      </c>
      <c r="C46" s="1">
        <v>4</v>
      </c>
      <c r="D46" s="1">
        <v>5</v>
      </c>
    </row>
    <row r="47" spans="1:7" x14ac:dyDescent="0.25">
      <c r="A47" s="1">
        <v>4</v>
      </c>
      <c r="B47" s="1">
        <v>5</v>
      </c>
      <c r="C47" s="1">
        <v>4</v>
      </c>
      <c r="D47" s="1">
        <v>5</v>
      </c>
      <c r="F47" s="2" t="s">
        <v>25</v>
      </c>
      <c r="G47" s="2"/>
    </row>
    <row r="48" spans="1:7" x14ac:dyDescent="0.25">
      <c r="A48" s="1">
        <v>4</v>
      </c>
      <c r="B48" s="1">
        <v>3</v>
      </c>
      <c r="C48" s="1">
        <v>3</v>
      </c>
      <c r="D48" s="1">
        <v>3</v>
      </c>
      <c r="F48" t="s">
        <v>27</v>
      </c>
      <c r="G48">
        <f>COUNT(A:A,B:B,C:C,D:D)</f>
        <v>372</v>
      </c>
    </row>
    <row r="49" spans="1:7" x14ac:dyDescent="0.25">
      <c r="A49" s="1">
        <v>5</v>
      </c>
      <c r="B49" s="1">
        <v>1</v>
      </c>
      <c r="C49" s="1">
        <v>5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4</v>
      </c>
      <c r="B50" s="1">
        <v>4</v>
      </c>
      <c r="C50" s="1">
        <v>3</v>
      </c>
      <c r="D50" s="1">
        <v>5</v>
      </c>
    </row>
    <row r="51" spans="1:7" x14ac:dyDescent="0.25">
      <c r="A51" s="1">
        <v>4</v>
      </c>
      <c r="B51" s="1">
        <v>5</v>
      </c>
      <c r="C51" s="1">
        <v>1</v>
      </c>
      <c r="D51" s="1">
        <v>5</v>
      </c>
    </row>
    <row r="52" spans="1:7" x14ac:dyDescent="0.25">
      <c r="A52" s="1">
        <v>4</v>
      </c>
      <c r="B52" s="1">
        <v>5</v>
      </c>
      <c r="C52" s="1">
        <v>4</v>
      </c>
      <c r="D52" s="1">
        <v>3</v>
      </c>
    </row>
    <row r="53" spans="1:7" x14ac:dyDescent="0.25">
      <c r="A53" s="1">
        <v>5</v>
      </c>
      <c r="B53" s="1">
        <v>4</v>
      </c>
      <c r="C53" s="1">
        <v>2</v>
      </c>
      <c r="D53" s="1">
        <v>4</v>
      </c>
    </row>
    <row r="54" spans="1:7" x14ac:dyDescent="0.25">
      <c r="A54" s="1">
        <v>2</v>
      </c>
      <c r="B54" s="1">
        <v>5</v>
      </c>
      <c r="C54" s="1">
        <v>2</v>
      </c>
      <c r="D54" s="1">
        <v>5</v>
      </c>
      <c r="F54" t="s">
        <v>4</v>
      </c>
      <c r="G54">
        <f>G48-G49</f>
        <v>368</v>
      </c>
    </row>
    <row r="55" spans="1:7" x14ac:dyDescent="0.25">
      <c r="A55" s="1">
        <v>3</v>
      </c>
      <c r="B55" s="1">
        <v>3</v>
      </c>
      <c r="C55" s="1">
        <v>1</v>
      </c>
      <c r="D55" s="1">
        <v>4</v>
      </c>
    </row>
    <row r="56" spans="1:7" x14ac:dyDescent="0.25">
      <c r="A56" s="1">
        <v>3</v>
      </c>
      <c r="B56" s="1">
        <v>5</v>
      </c>
      <c r="C56" s="1">
        <v>1</v>
      </c>
      <c r="D56" s="1">
        <v>4</v>
      </c>
    </row>
    <row r="57" spans="1:7" x14ac:dyDescent="0.25">
      <c r="A57" s="1">
        <v>2</v>
      </c>
      <c r="B57" s="1">
        <v>3</v>
      </c>
      <c r="C57" s="1">
        <v>3</v>
      </c>
      <c r="D57" s="1">
        <v>2</v>
      </c>
      <c r="F57" s="2" t="s">
        <v>28</v>
      </c>
      <c r="G57" s="2"/>
    </row>
    <row r="58" spans="1:7" x14ac:dyDescent="0.25">
      <c r="A58" s="1">
        <v>3</v>
      </c>
      <c r="B58" s="1">
        <v>1</v>
      </c>
      <c r="C58" s="1">
        <v>1</v>
      </c>
      <c r="D58" s="1">
        <v>5</v>
      </c>
      <c r="F58" t="s">
        <v>29</v>
      </c>
    </row>
    <row r="59" spans="1:7" x14ac:dyDescent="0.25">
      <c r="A59" s="1">
        <v>5</v>
      </c>
      <c r="B59" s="1">
        <v>2</v>
      </c>
      <c r="C59" s="1">
        <v>3</v>
      </c>
      <c r="D59" s="1">
        <v>3</v>
      </c>
    </row>
    <row r="60" spans="1:7" x14ac:dyDescent="0.25">
      <c r="A60" s="1">
        <v>3</v>
      </c>
      <c r="B60" s="1">
        <v>3</v>
      </c>
      <c r="C60" s="1">
        <v>5</v>
      </c>
      <c r="D60" s="1">
        <v>3</v>
      </c>
    </row>
    <row r="61" spans="1:7" x14ac:dyDescent="0.25">
      <c r="A61" s="1">
        <v>3</v>
      </c>
      <c r="B61" s="1">
        <v>4</v>
      </c>
      <c r="C61" s="1">
        <v>3</v>
      </c>
      <c r="D61" s="1">
        <v>3</v>
      </c>
    </row>
    <row r="62" spans="1:7" x14ac:dyDescent="0.25">
      <c r="A62" s="1">
        <v>3</v>
      </c>
      <c r="B62" s="1">
        <v>3</v>
      </c>
      <c r="C62" s="1">
        <v>3</v>
      </c>
      <c r="D62" s="1">
        <v>4</v>
      </c>
    </row>
    <row r="63" spans="1:7" x14ac:dyDescent="0.25">
      <c r="A63" s="1">
        <v>4</v>
      </c>
      <c r="B63" s="1">
        <v>3</v>
      </c>
      <c r="C63" s="1">
        <v>4</v>
      </c>
      <c r="D63" s="1">
        <v>4</v>
      </c>
    </row>
    <row r="64" spans="1:7" x14ac:dyDescent="0.25">
      <c r="A64" s="1">
        <v>5</v>
      </c>
      <c r="B64" s="1">
        <v>4</v>
      </c>
      <c r="C64" s="1">
        <v>3</v>
      </c>
      <c r="D64" s="1">
        <v>5</v>
      </c>
      <c r="F64" t="s">
        <v>5</v>
      </c>
      <c r="G64">
        <f>G44/G54</f>
        <v>1.2857059373539028</v>
      </c>
    </row>
    <row r="65" spans="1:7" x14ac:dyDescent="0.25">
      <c r="A65" s="1">
        <v>4</v>
      </c>
      <c r="B65" s="1">
        <v>5</v>
      </c>
      <c r="C65" s="1">
        <v>3</v>
      </c>
      <c r="D65" s="1">
        <v>4</v>
      </c>
    </row>
    <row r="66" spans="1:7" x14ac:dyDescent="0.25">
      <c r="A66" s="1">
        <v>4</v>
      </c>
      <c r="B66" s="1">
        <v>2</v>
      </c>
      <c r="C66" s="1">
        <v>5</v>
      </c>
      <c r="D66" s="1">
        <v>4</v>
      </c>
    </row>
    <row r="67" spans="1:7" x14ac:dyDescent="0.25">
      <c r="A67" s="1">
        <v>3</v>
      </c>
      <c r="B67" s="1">
        <v>4</v>
      </c>
      <c r="C67" s="1">
        <v>3</v>
      </c>
      <c r="D67" s="1">
        <v>4</v>
      </c>
      <c r="F67" s="2" t="s">
        <v>30</v>
      </c>
      <c r="G67" s="2"/>
    </row>
    <row r="68" spans="1:7" x14ac:dyDescent="0.25">
      <c r="A68" s="1">
        <v>3</v>
      </c>
      <c r="B68" s="1">
        <v>4</v>
      </c>
      <c r="C68" s="1">
        <v>3</v>
      </c>
      <c r="D68" s="1">
        <v>5</v>
      </c>
      <c r="F68" t="s">
        <v>31</v>
      </c>
    </row>
    <row r="69" spans="1:7" x14ac:dyDescent="0.25">
      <c r="A69" s="1">
        <v>4</v>
      </c>
      <c r="B69" s="1">
        <v>4</v>
      </c>
      <c r="C69" s="1">
        <v>3</v>
      </c>
      <c r="D69" s="1">
        <v>4</v>
      </c>
      <c r="F69" t="s">
        <v>32</v>
      </c>
    </row>
    <row r="70" spans="1:7" x14ac:dyDescent="0.25">
      <c r="A70" s="1">
        <v>1</v>
      </c>
      <c r="B70" s="1">
        <v>4</v>
      </c>
      <c r="C70" s="1">
        <v>5</v>
      </c>
      <c r="D70" s="1">
        <v>3</v>
      </c>
    </row>
    <row r="71" spans="1:7" x14ac:dyDescent="0.25">
      <c r="A71" s="1">
        <v>3</v>
      </c>
      <c r="B71" s="1">
        <v>2</v>
      </c>
      <c r="C71" s="1">
        <v>5</v>
      </c>
      <c r="D71" s="1">
        <v>5</v>
      </c>
    </row>
    <row r="72" spans="1:7" x14ac:dyDescent="0.25">
      <c r="A72" s="1">
        <v>4</v>
      </c>
      <c r="B72" s="1">
        <v>3</v>
      </c>
      <c r="C72" s="1">
        <v>4</v>
      </c>
      <c r="D72" s="1">
        <v>3</v>
      </c>
    </row>
    <row r="73" spans="1:7" x14ac:dyDescent="0.25">
      <c r="A73" s="1">
        <v>5</v>
      </c>
      <c r="B73" s="1">
        <v>2</v>
      </c>
      <c r="C73" s="1">
        <v>1</v>
      </c>
      <c r="D73" s="1">
        <v>4</v>
      </c>
    </row>
    <row r="74" spans="1:7" x14ac:dyDescent="0.25">
      <c r="A74" s="1">
        <v>5</v>
      </c>
      <c r="B74" s="1">
        <v>5</v>
      </c>
      <c r="C74" s="1">
        <v>4</v>
      </c>
      <c r="D74" s="1">
        <v>3</v>
      </c>
      <c r="F74" t="s">
        <v>2</v>
      </c>
      <c r="G74">
        <f>G34/G64</f>
        <v>10.51749162916837</v>
      </c>
    </row>
    <row r="75" spans="1:7" x14ac:dyDescent="0.25">
      <c r="A75" s="1">
        <v>4</v>
      </c>
      <c r="B75" s="1">
        <v>4</v>
      </c>
      <c r="C75" s="1">
        <v>3</v>
      </c>
      <c r="D75" s="1">
        <v>5</v>
      </c>
    </row>
    <row r="76" spans="1:7" x14ac:dyDescent="0.25">
      <c r="A76" s="1">
        <v>5</v>
      </c>
      <c r="B76" s="1">
        <v>3</v>
      </c>
      <c r="C76" s="1">
        <v>4</v>
      </c>
      <c r="D76" s="1">
        <v>5</v>
      </c>
    </row>
    <row r="77" spans="1:7" x14ac:dyDescent="0.25">
      <c r="A77" s="1">
        <v>4</v>
      </c>
      <c r="B77" s="1">
        <v>5</v>
      </c>
      <c r="C77" s="1">
        <v>4</v>
      </c>
      <c r="D77" s="1">
        <v>3</v>
      </c>
      <c r="F77" s="2" t="s">
        <v>35</v>
      </c>
      <c r="G77" s="2"/>
    </row>
    <row r="78" spans="1:7" x14ac:dyDescent="0.25">
      <c r="A78" s="1">
        <v>4</v>
      </c>
      <c r="B78" s="1">
        <v>4</v>
      </c>
      <c r="C78" s="1">
        <v>2</v>
      </c>
      <c r="D78" s="1">
        <v>5</v>
      </c>
    </row>
    <row r="79" spans="1:7" x14ac:dyDescent="0.25">
      <c r="A79" s="1">
        <v>4</v>
      </c>
      <c r="B79" s="1">
        <v>3</v>
      </c>
      <c r="C79" s="1">
        <v>3</v>
      </c>
      <c r="D79" s="1">
        <v>3</v>
      </c>
      <c r="F79" s="4" t="s">
        <v>33</v>
      </c>
      <c r="G79">
        <v>0.05</v>
      </c>
    </row>
    <row r="80" spans="1:7" x14ac:dyDescent="0.25">
      <c r="A80" s="1">
        <v>2</v>
      </c>
      <c r="B80" s="1">
        <v>5</v>
      </c>
      <c r="C80" s="1">
        <v>5</v>
      </c>
      <c r="D80" s="1">
        <v>4</v>
      </c>
      <c r="F80" t="s">
        <v>0</v>
      </c>
      <c r="G80">
        <f xml:space="preserve"> G25</f>
        <v>3</v>
      </c>
    </row>
    <row r="81" spans="1:7" x14ac:dyDescent="0.25">
      <c r="A81" s="1">
        <v>5</v>
      </c>
      <c r="B81" s="1">
        <v>3</v>
      </c>
      <c r="C81" s="1">
        <v>4</v>
      </c>
      <c r="D81" s="1">
        <v>4</v>
      </c>
      <c r="F81" t="s">
        <v>4</v>
      </c>
      <c r="G81">
        <f xml:space="preserve"> G54</f>
        <v>368</v>
      </c>
    </row>
    <row r="82" spans="1:7" x14ac:dyDescent="0.25">
      <c r="A82" s="1">
        <v>3</v>
      </c>
      <c r="B82" s="1">
        <v>4</v>
      </c>
      <c r="C82" s="1">
        <v>5</v>
      </c>
      <c r="D82" s="1">
        <v>5</v>
      </c>
      <c r="F82" t="s">
        <v>34</v>
      </c>
      <c r="G82">
        <f>FINV(G79, G80, G81)</f>
        <v>2.6291647929246422</v>
      </c>
    </row>
    <row r="83" spans="1:7" x14ac:dyDescent="0.25">
      <c r="A83" s="1">
        <v>4</v>
      </c>
      <c r="B83" s="1">
        <v>5</v>
      </c>
      <c r="C83" s="1">
        <v>3</v>
      </c>
      <c r="D83" s="1">
        <v>4</v>
      </c>
      <c r="F83" t="s">
        <v>36</v>
      </c>
      <c r="G83">
        <f>_xlfn.F.DIST.RT(G74, G80, G81)</f>
        <v>1.1857365966706541E-6</v>
      </c>
    </row>
    <row r="84" spans="1:7" x14ac:dyDescent="0.25">
      <c r="A84" s="1">
        <v>1</v>
      </c>
      <c r="B84" s="1">
        <v>4</v>
      </c>
      <c r="C84" s="1">
        <v>3</v>
      </c>
      <c r="D84" s="1">
        <v>5</v>
      </c>
    </row>
    <row r="85" spans="1:7" x14ac:dyDescent="0.25">
      <c r="A85" s="1">
        <v>5</v>
      </c>
      <c r="B85" s="1">
        <v>1</v>
      </c>
      <c r="C85" s="1">
        <v>5</v>
      </c>
      <c r="D85" s="1">
        <v>5</v>
      </c>
      <c r="F85" s="2" t="s">
        <v>6</v>
      </c>
      <c r="G85" s="2"/>
    </row>
    <row r="86" spans="1:7" x14ac:dyDescent="0.25">
      <c r="A86" s="1">
        <v>4</v>
      </c>
      <c r="B86" s="1">
        <v>2</v>
      </c>
      <c r="C86" s="1">
        <v>4</v>
      </c>
      <c r="D86" s="1">
        <v>5</v>
      </c>
    </row>
    <row r="87" spans="1:7" x14ac:dyDescent="0.25">
      <c r="A87" s="1">
        <v>1</v>
      </c>
      <c r="B87" s="1">
        <v>1</v>
      </c>
      <c r="C87" s="1">
        <v>4</v>
      </c>
      <c r="D87" s="1">
        <v>5</v>
      </c>
      <c r="F87" t="s">
        <v>40</v>
      </c>
    </row>
    <row r="88" spans="1:7" x14ac:dyDescent="0.25">
      <c r="A88" s="1">
        <v>2</v>
      </c>
      <c r="B88" s="1">
        <v>3</v>
      </c>
      <c r="C88" s="1">
        <v>1</v>
      </c>
      <c r="D88" s="1">
        <v>2</v>
      </c>
      <c r="F88" t="s">
        <v>41</v>
      </c>
    </row>
    <row r="89" spans="1:7" x14ac:dyDescent="0.25">
      <c r="A89" s="1">
        <v>2</v>
      </c>
      <c r="B89" s="1">
        <v>5</v>
      </c>
      <c r="C89" s="1">
        <v>1</v>
      </c>
      <c r="D89" s="1">
        <v>2</v>
      </c>
    </row>
    <row r="90" spans="1:7" x14ac:dyDescent="0.25">
      <c r="A90" s="1">
        <v>4</v>
      </c>
      <c r="B90" s="1">
        <v>3</v>
      </c>
      <c r="C90" s="1">
        <v>5</v>
      </c>
      <c r="D90" s="1">
        <v>5</v>
      </c>
      <c r="F90" t="str">
        <f>"Si F calculado ("&amp;G74&amp;") &gt; F critico ("&amp;G82&amp;") ---&gt; Se rechaza la hipotesis nula"</f>
        <v>Si F calculado (10.5174916291684) &gt; F critico (2.62916479292464) ---&gt; Se rechaza la hipotesis nula</v>
      </c>
    </row>
    <row r="91" spans="1:7" x14ac:dyDescent="0.25">
      <c r="A91" s="1">
        <v>4</v>
      </c>
      <c r="B91" s="1">
        <v>4</v>
      </c>
      <c r="C91" s="1">
        <v>3</v>
      </c>
      <c r="D91" s="1">
        <v>4</v>
      </c>
      <c r="F91" t="str">
        <f>"Si p-valor ("&amp;G83&amp;") &lt; α Nivel Significancia ("&amp;G79&amp;") ---&gt; Se rechaza la hipotesis nula"</f>
        <v>Si p-valor (1.18573659667065E-06) &lt; α Nivel Significancia (0.05) ---&gt; Se rechaza la hipotesis nula</v>
      </c>
    </row>
    <row r="92" spans="1:7" x14ac:dyDescent="0.25">
      <c r="A92" s="1">
        <v>3</v>
      </c>
      <c r="B92" s="1">
        <v>2</v>
      </c>
      <c r="C92" s="1">
        <v>4</v>
      </c>
      <c r="D92" s="1">
        <v>5</v>
      </c>
    </row>
    <row r="93" spans="1:7" x14ac:dyDescent="0.25">
      <c r="A93" s="1">
        <v>2</v>
      </c>
      <c r="B93" s="1">
        <v>5</v>
      </c>
      <c r="C93" s="1">
        <v>4</v>
      </c>
      <c r="D93" s="1">
        <v>4</v>
      </c>
    </row>
    <row r="94" spans="1:7" x14ac:dyDescent="0.25">
      <c r="A94" s="1">
        <v>3</v>
      </c>
      <c r="B94" s="1">
        <v>3</v>
      </c>
      <c r="C94" s="1">
        <v>3</v>
      </c>
      <c r="D94" s="1">
        <v>3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I9" sqref="I9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4</v>
      </c>
      <c r="B2" s="1">
        <v>4</v>
      </c>
      <c r="C2" s="1">
        <v>4</v>
      </c>
      <c r="D2" s="1">
        <v>5</v>
      </c>
      <c r="F2" s="2" t="s">
        <v>13</v>
      </c>
      <c r="G2" s="2"/>
    </row>
    <row r="3" spans="1:7" x14ac:dyDescent="0.25">
      <c r="A3" s="1">
        <v>3</v>
      </c>
      <c r="B3" s="1">
        <v>3</v>
      </c>
      <c r="C3" s="1">
        <v>3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4</v>
      </c>
      <c r="B4" s="1">
        <v>2</v>
      </c>
      <c r="C4" s="1">
        <v>4</v>
      </c>
      <c r="D4" s="1">
        <v>4</v>
      </c>
      <c r="F4" t="s">
        <v>7</v>
      </c>
      <c r="G4">
        <f>AVERAGE(A:A)</f>
        <v>3.4301075268817205</v>
      </c>
    </row>
    <row r="5" spans="1:7" x14ac:dyDescent="0.25">
      <c r="A5" s="1">
        <v>5</v>
      </c>
      <c r="B5" s="1">
        <v>2</v>
      </c>
      <c r="C5" s="1">
        <v>3</v>
      </c>
      <c r="D5" s="1">
        <v>4</v>
      </c>
      <c r="F5" t="s">
        <v>8</v>
      </c>
      <c r="G5">
        <f>AVERAGE(B:B)</f>
        <v>3.2795698924731185</v>
      </c>
    </row>
    <row r="6" spans="1:7" x14ac:dyDescent="0.25">
      <c r="A6" s="1">
        <v>3</v>
      </c>
      <c r="B6" s="1">
        <v>1</v>
      </c>
      <c r="C6" s="1">
        <v>4</v>
      </c>
      <c r="D6" s="1">
        <v>5</v>
      </c>
      <c r="F6" t="s">
        <v>9</v>
      </c>
      <c r="G6">
        <f>AVERAGE(C:C)</f>
        <v>3.3978494623655915</v>
      </c>
    </row>
    <row r="7" spans="1:7" x14ac:dyDescent="0.25">
      <c r="A7" s="1">
        <v>4</v>
      </c>
      <c r="B7" s="1">
        <v>2</v>
      </c>
      <c r="C7" s="1">
        <v>5</v>
      </c>
      <c r="D7" s="1">
        <v>2</v>
      </c>
      <c r="F7" t="s">
        <v>10</v>
      </c>
      <c r="G7">
        <f>AVERAGE(D:D)</f>
        <v>4.247311827956989</v>
      </c>
    </row>
    <row r="8" spans="1:7" x14ac:dyDescent="0.25">
      <c r="A8" s="1">
        <v>3</v>
      </c>
      <c r="B8" s="1">
        <v>4</v>
      </c>
      <c r="C8" s="1">
        <v>1</v>
      </c>
      <c r="D8" s="1">
        <v>5</v>
      </c>
      <c r="F8" t="s">
        <v>15</v>
      </c>
      <c r="G8">
        <f>AVERAGE(G4:G7)</f>
        <v>3.588709677419355</v>
      </c>
    </row>
    <row r="9" spans="1:7" x14ac:dyDescent="0.25">
      <c r="A9" s="1">
        <v>5</v>
      </c>
      <c r="B9" s="1">
        <v>3</v>
      </c>
      <c r="C9" s="1">
        <v>5</v>
      </c>
      <c r="D9" s="1">
        <v>4</v>
      </c>
    </row>
    <row r="10" spans="1:7" x14ac:dyDescent="0.25">
      <c r="A10" s="1">
        <v>3</v>
      </c>
      <c r="B10" s="1">
        <v>4</v>
      </c>
      <c r="C10" s="1">
        <v>3</v>
      </c>
      <c r="D10" s="1">
        <v>5</v>
      </c>
    </row>
    <row r="11" spans="1:7" x14ac:dyDescent="0.25">
      <c r="A11" s="1">
        <v>3</v>
      </c>
      <c r="B11" s="1">
        <v>4</v>
      </c>
      <c r="C11" s="1">
        <v>4</v>
      </c>
      <c r="D11" s="1">
        <v>5</v>
      </c>
      <c r="F11" s="2" t="s">
        <v>12</v>
      </c>
      <c r="G11" s="2"/>
    </row>
    <row r="12" spans="1:7" x14ac:dyDescent="0.25">
      <c r="A12" s="1">
        <v>5</v>
      </c>
      <c r="B12" s="1">
        <v>2</v>
      </c>
      <c r="C12" s="1">
        <v>5</v>
      </c>
      <c r="D12" s="1">
        <v>4</v>
      </c>
      <c r="F12" s="3" t="s">
        <v>17</v>
      </c>
    </row>
    <row r="13" spans="1:7" x14ac:dyDescent="0.25">
      <c r="A13" s="1">
        <v>4</v>
      </c>
      <c r="B13" s="1">
        <v>5</v>
      </c>
      <c r="C13" s="1">
        <v>5</v>
      </c>
      <c r="D13" s="1">
        <v>5</v>
      </c>
      <c r="F13" s="3" t="s">
        <v>18</v>
      </c>
    </row>
    <row r="14" spans="1:7" x14ac:dyDescent="0.25">
      <c r="A14" s="1">
        <v>5</v>
      </c>
      <c r="B14" s="1">
        <v>2</v>
      </c>
      <c r="C14" s="1">
        <v>5</v>
      </c>
      <c r="D14" s="1">
        <v>5</v>
      </c>
    </row>
    <row r="15" spans="1:7" x14ac:dyDescent="0.25">
      <c r="A15" s="1">
        <v>5</v>
      </c>
      <c r="B15" s="1">
        <v>3</v>
      </c>
      <c r="C15" s="1">
        <v>2</v>
      </c>
      <c r="D15" s="1">
        <v>5</v>
      </c>
    </row>
    <row r="16" spans="1:7" x14ac:dyDescent="0.25">
      <c r="A16" s="1">
        <v>1</v>
      </c>
      <c r="B16" s="1">
        <v>3</v>
      </c>
      <c r="C16" s="1">
        <v>4</v>
      </c>
      <c r="D16" s="1">
        <v>5</v>
      </c>
    </row>
    <row r="17" spans="1:7" x14ac:dyDescent="0.25">
      <c r="A17" s="1">
        <v>4</v>
      </c>
      <c r="B17" s="1">
        <v>3</v>
      </c>
      <c r="C17" s="1">
        <v>1</v>
      </c>
      <c r="D17" s="1">
        <v>3</v>
      </c>
      <c r="F17" t="s">
        <v>11</v>
      </c>
      <c r="G17">
        <f>G3*((G4-G8)^2+(G5-G8)^2+(G6-G8)^2+(G7-G8)^2)</f>
        <v>54.954301075268766</v>
      </c>
    </row>
    <row r="18" spans="1:7" x14ac:dyDescent="0.25">
      <c r="A18" s="1">
        <v>2</v>
      </c>
      <c r="B18" s="1">
        <v>2</v>
      </c>
      <c r="C18" s="1">
        <v>3</v>
      </c>
      <c r="D18" s="1">
        <v>3</v>
      </c>
    </row>
    <row r="19" spans="1:7" x14ac:dyDescent="0.25">
      <c r="A19" s="1">
        <v>4</v>
      </c>
      <c r="B19" s="1">
        <v>3</v>
      </c>
      <c r="C19" s="1">
        <v>4</v>
      </c>
      <c r="D19" s="1">
        <v>5</v>
      </c>
    </row>
    <row r="20" spans="1:7" x14ac:dyDescent="0.25">
      <c r="A20" s="1">
        <v>3</v>
      </c>
      <c r="B20" s="1">
        <v>3</v>
      </c>
      <c r="C20" s="1">
        <v>3</v>
      </c>
      <c r="D20" s="1">
        <v>5</v>
      </c>
      <c r="F20" s="2" t="s">
        <v>19</v>
      </c>
      <c r="G20" s="2"/>
    </row>
    <row r="21" spans="1:7" x14ac:dyDescent="0.25">
      <c r="A21" s="1">
        <v>3</v>
      </c>
      <c r="B21" s="1">
        <v>5</v>
      </c>
      <c r="C21" s="1">
        <v>3</v>
      </c>
      <c r="D21" s="1">
        <v>5</v>
      </c>
      <c r="F21" t="s">
        <v>20</v>
      </c>
    </row>
    <row r="22" spans="1:7" x14ac:dyDescent="0.25">
      <c r="A22" s="1">
        <v>3</v>
      </c>
      <c r="B22" s="1">
        <v>3</v>
      </c>
      <c r="C22" s="1">
        <v>3</v>
      </c>
      <c r="D22" s="1">
        <v>5</v>
      </c>
      <c r="F22" t="s">
        <v>16</v>
      </c>
      <c r="G22">
        <v>4</v>
      </c>
    </row>
    <row r="23" spans="1:7" x14ac:dyDescent="0.25">
      <c r="A23" s="1">
        <v>3</v>
      </c>
      <c r="B23" s="1">
        <v>5</v>
      </c>
      <c r="C23" s="1">
        <v>4</v>
      </c>
      <c r="D23" s="1">
        <v>4</v>
      </c>
    </row>
    <row r="24" spans="1:7" x14ac:dyDescent="0.25">
      <c r="A24" s="1">
        <v>4</v>
      </c>
      <c r="B24" s="1">
        <v>3</v>
      </c>
      <c r="C24" s="1">
        <v>4</v>
      </c>
      <c r="D24" s="1">
        <v>4</v>
      </c>
    </row>
    <row r="25" spans="1:7" x14ac:dyDescent="0.25">
      <c r="A25" s="1">
        <v>4</v>
      </c>
      <c r="B25" s="1">
        <v>3</v>
      </c>
      <c r="C25" s="1">
        <v>2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2</v>
      </c>
      <c r="B26" s="1">
        <v>3</v>
      </c>
      <c r="C26" s="1">
        <v>1</v>
      </c>
      <c r="D26" s="1">
        <v>5</v>
      </c>
    </row>
    <row r="27" spans="1:7" x14ac:dyDescent="0.25">
      <c r="A27" s="1">
        <v>2</v>
      </c>
      <c r="B27" s="1">
        <v>5</v>
      </c>
      <c r="C27" s="1">
        <v>2</v>
      </c>
      <c r="D27" s="1">
        <v>5</v>
      </c>
    </row>
    <row r="28" spans="1:7" x14ac:dyDescent="0.25">
      <c r="A28" s="1">
        <v>1</v>
      </c>
      <c r="B28" s="1">
        <v>5</v>
      </c>
      <c r="C28" s="1">
        <v>4</v>
      </c>
      <c r="D28" s="1">
        <v>3</v>
      </c>
      <c r="F28" s="2" t="s">
        <v>21</v>
      </c>
      <c r="G28" s="2"/>
    </row>
    <row r="29" spans="1:7" x14ac:dyDescent="0.25">
      <c r="A29" s="1">
        <v>5</v>
      </c>
      <c r="B29" s="1">
        <v>3</v>
      </c>
      <c r="C29" s="1">
        <v>3</v>
      </c>
      <c r="D29" s="1">
        <v>1</v>
      </c>
      <c r="F29" t="s">
        <v>22</v>
      </c>
    </row>
    <row r="30" spans="1:7" x14ac:dyDescent="0.25">
      <c r="A30" s="1">
        <v>3</v>
      </c>
      <c r="B30" s="1">
        <v>5</v>
      </c>
      <c r="C30" s="1">
        <v>4</v>
      </c>
      <c r="D30" s="1">
        <v>5</v>
      </c>
    </row>
    <row r="31" spans="1:7" x14ac:dyDescent="0.25">
      <c r="A31" s="1">
        <v>2</v>
      </c>
      <c r="B31" s="1">
        <v>5</v>
      </c>
      <c r="C31" s="1">
        <v>3</v>
      </c>
      <c r="D31" s="1">
        <v>5</v>
      </c>
    </row>
    <row r="32" spans="1:7" x14ac:dyDescent="0.25">
      <c r="A32" s="1">
        <v>5</v>
      </c>
      <c r="B32" s="1">
        <v>5</v>
      </c>
      <c r="C32" s="1">
        <v>4</v>
      </c>
      <c r="D32" s="1">
        <v>3</v>
      </c>
    </row>
    <row r="33" spans="1:7" x14ac:dyDescent="0.25">
      <c r="A33" s="1">
        <v>5</v>
      </c>
      <c r="B33" s="1">
        <v>1</v>
      </c>
      <c r="C33" s="1">
        <v>3</v>
      </c>
      <c r="D33" s="1">
        <v>2</v>
      </c>
    </row>
    <row r="34" spans="1:7" x14ac:dyDescent="0.25">
      <c r="A34" s="1">
        <v>3</v>
      </c>
      <c r="B34" s="1">
        <v>3</v>
      </c>
      <c r="C34" s="1">
        <v>5</v>
      </c>
      <c r="D34" s="1">
        <v>5</v>
      </c>
      <c r="F34" t="s">
        <v>1</v>
      </c>
      <c r="G34">
        <f>G17/G25</f>
        <v>18.318100358422921</v>
      </c>
    </row>
    <row r="35" spans="1:7" x14ac:dyDescent="0.25">
      <c r="A35" s="1">
        <v>3</v>
      </c>
      <c r="B35" s="1">
        <v>4</v>
      </c>
      <c r="C35" s="1">
        <v>4</v>
      </c>
      <c r="D35" s="1">
        <v>5</v>
      </c>
    </row>
    <row r="36" spans="1:7" x14ac:dyDescent="0.25">
      <c r="A36" s="1">
        <v>2</v>
      </c>
      <c r="B36" s="1">
        <v>4</v>
      </c>
      <c r="C36" s="1">
        <v>2</v>
      </c>
      <c r="D36" s="1">
        <v>5</v>
      </c>
    </row>
    <row r="37" spans="1:7" x14ac:dyDescent="0.25">
      <c r="A37" s="1">
        <v>5</v>
      </c>
      <c r="B37" s="1">
        <v>4</v>
      </c>
      <c r="C37" s="1">
        <v>4</v>
      </c>
      <c r="D37" s="1">
        <v>4</v>
      </c>
      <c r="F37" s="2" t="s">
        <v>26</v>
      </c>
      <c r="G37" s="2"/>
    </row>
    <row r="38" spans="1:7" x14ac:dyDescent="0.25">
      <c r="A38" s="1">
        <v>3</v>
      </c>
      <c r="B38" s="1">
        <v>3</v>
      </c>
      <c r="C38" s="1">
        <v>5</v>
      </c>
      <c r="D38" s="1">
        <v>5</v>
      </c>
      <c r="F38" t="s">
        <v>23</v>
      </c>
    </row>
    <row r="39" spans="1:7" x14ac:dyDescent="0.25">
      <c r="A39" s="1">
        <v>4</v>
      </c>
      <c r="B39" s="1">
        <v>3</v>
      </c>
      <c r="C39" s="1">
        <v>5</v>
      </c>
      <c r="D39" s="1">
        <v>5</v>
      </c>
      <c r="F39" t="s">
        <v>24</v>
      </c>
    </row>
    <row r="40" spans="1:7" x14ac:dyDescent="0.25">
      <c r="A40" s="1">
        <v>5</v>
      </c>
      <c r="B40" s="1">
        <v>4</v>
      </c>
      <c r="C40" s="1">
        <v>1</v>
      </c>
      <c r="D40" s="1">
        <v>4</v>
      </c>
    </row>
    <row r="41" spans="1:7" x14ac:dyDescent="0.25">
      <c r="A41" s="1">
        <v>5</v>
      </c>
      <c r="B41" s="1">
        <v>4</v>
      </c>
      <c r="C41" s="1">
        <v>3</v>
      </c>
      <c r="D41" s="1">
        <v>5</v>
      </c>
    </row>
    <row r="42" spans="1:7" x14ac:dyDescent="0.25">
      <c r="A42" s="1">
        <v>2</v>
      </c>
      <c r="B42" s="1">
        <v>5</v>
      </c>
      <c r="C42" s="1">
        <v>4</v>
      </c>
      <c r="D42" s="1">
        <v>3</v>
      </c>
    </row>
    <row r="43" spans="1:7" x14ac:dyDescent="0.25">
      <c r="A43" s="1">
        <v>3</v>
      </c>
      <c r="B43" s="1">
        <v>3</v>
      </c>
      <c r="C43" s="1">
        <v>2</v>
      </c>
      <c r="D43" s="1">
        <v>5</v>
      </c>
    </row>
    <row r="44" spans="1:7" x14ac:dyDescent="0.25">
      <c r="A44" s="1">
        <v>3</v>
      </c>
      <c r="B44" s="1">
        <v>3</v>
      </c>
      <c r="C44" s="1">
        <v>2</v>
      </c>
      <c r="D44" s="1">
        <v>5</v>
      </c>
      <c r="F44" t="s">
        <v>3</v>
      </c>
      <c r="G44">
        <f>DEVSQ(A:A)+DEVSQ(B:B)+DEVSQ(C:C)+DEVSQ(D:D)</f>
        <v>441.11827956989237</v>
      </c>
    </row>
    <row r="45" spans="1:7" x14ac:dyDescent="0.25">
      <c r="A45" s="1">
        <v>4</v>
      </c>
      <c r="B45" s="1">
        <v>4</v>
      </c>
      <c r="C45" s="1">
        <v>4</v>
      </c>
      <c r="D45" s="1">
        <v>4</v>
      </c>
    </row>
    <row r="46" spans="1:7" x14ac:dyDescent="0.25">
      <c r="A46" s="1">
        <v>2</v>
      </c>
      <c r="B46" s="1">
        <v>5</v>
      </c>
      <c r="C46" s="1">
        <v>3</v>
      </c>
      <c r="D46" s="1">
        <v>5</v>
      </c>
    </row>
    <row r="47" spans="1:7" x14ac:dyDescent="0.25">
      <c r="A47" s="1">
        <v>4</v>
      </c>
      <c r="B47" s="1">
        <v>5</v>
      </c>
      <c r="C47" s="1">
        <v>3</v>
      </c>
      <c r="D47" s="1">
        <v>1</v>
      </c>
      <c r="F47" s="2" t="s">
        <v>25</v>
      </c>
      <c r="G47" s="2"/>
    </row>
    <row r="48" spans="1:7" x14ac:dyDescent="0.25">
      <c r="A48" s="1">
        <v>2</v>
      </c>
      <c r="B48" s="1">
        <v>1</v>
      </c>
      <c r="C48" s="1">
        <v>3</v>
      </c>
      <c r="D48" s="1">
        <v>4</v>
      </c>
      <c r="F48" t="s">
        <v>27</v>
      </c>
      <c r="G48">
        <f>COUNT(A:A,B:B,C:C,D:D)</f>
        <v>372</v>
      </c>
    </row>
    <row r="49" spans="1:7" x14ac:dyDescent="0.25">
      <c r="A49" s="1">
        <v>4</v>
      </c>
      <c r="B49" s="1">
        <v>4</v>
      </c>
      <c r="C49" s="1">
        <v>5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4</v>
      </c>
      <c r="B50" s="1">
        <v>3</v>
      </c>
      <c r="C50" s="1">
        <v>2</v>
      </c>
      <c r="D50" s="1">
        <v>4</v>
      </c>
    </row>
    <row r="51" spans="1:7" x14ac:dyDescent="0.25">
      <c r="A51" s="1">
        <v>3</v>
      </c>
      <c r="B51" s="1">
        <v>3</v>
      </c>
      <c r="C51" s="1">
        <v>3</v>
      </c>
      <c r="D51" s="1">
        <v>5</v>
      </c>
    </row>
    <row r="52" spans="1:7" x14ac:dyDescent="0.25">
      <c r="A52" s="1">
        <v>4</v>
      </c>
      <c r="B52" s="1">
        <v>4</v>
      </c>
      <c r="C52" s="1">
        <v>4</v>
      </c>
      <c r="D52" s="1">
        <v>2</v>
      </c>
    </row>
    <row r="53" spans="1:7" x14ac:dyDescent="0.25">
      <c r="A53" s="1">
        <v>3</v>
      </c>
      <c r="B53" s="1">
        <v>4</v>
      </c>
      <c r="C53" s="1">
        <v>4</v>
      </c>
      <c r="D53" s="1">
        <v>5</v>
      </c>
    </row>
    <row r="54" spans="1:7" x14ac:dyDescent="0.25">
      <c r="A54" s="1">
        <v>3</v>
      </c>
      <c r="B54" s="1">
        <v>5</v>
      </c>
      <c r="C54" s="1">
        <v>5</v>
      </c>
      <c r="D54" s="1">
        <v>4</v>
      </c>
      <c r="F54" t="s">
        <v>4</v>
      </c>
      <c r="G54">
        <f>G48-G49</f>
        <v>368</v>
      </c>
    </row>
    <row r="55" spans="1:7" x14ac:dyDescent="0.25">
      <c r="A55" s="1">
        <v>4</v>
      </c>
      <c r="B55" s="1">
        <v>3</v>
      </c>
      <c r="C55" s="1">
        <v>5</v>
      </c>
      <c r="D55" s="1">
        <v>5</v>
      </c>
    </row>
    <row r="56" spans="1:7" x14ac:dyDescent="0.25">
      <c r="A56" s="1">
        <v>2</v>
      </c>
      <c r="B56" s="1">
        <v>3</v>
      </c>
      <c r="C56" s="1">
        <v>3</v>
      </c>
      <c r="D56" s="1">
        <v>4</v>
      </c>
    </row>
    <row r="57" spans="1:7" x14ac:dyDescent="0.25">
      <c r="A57" s="1">
        <v>4</v>
      </c>
      <c r="B57" s="1">
        <v>3</v>
      </c>
      <c r="C57" s="1">
        <v>5</v>
      </c>
      <c r="D57" s="1">
        <v>3</v>
      </c>
      <c r="F57" s="2" t="s">
        <v>28</v>
      </c>
      <c r="G57" s="2"/>
    </row>
    <row r="58" spans="1:7" x14ac:dyDescent="0.25">
      <c r="A58" s="1">
        <v>3</v>
      </c>
      <c r="B58" s="1">
        <v>3</v>
      </c>
      <c r="C58" s="1">
        <v>4</v>
      </c>
      <c r="D58" s="1">
        <v>3</v>
      </c>
      <c r="F58" t="s">
        <v>29</v>
      </c>
    </row>
    <row r="59" spans="1:7" x14ac:dyDescent="0.25">
      <c r="A59" s="1">
        <v>2</v>
      </c>
      <c r="B59" s="1">
        <v>5</v>
      </c>
      <c r="C59" s="1">
        <v>3</v>
      </c>
      <c r="D59" s="1">
        <v>5</v>
      </c>
    </row>
    <row r="60" spans="1:7" x14ac:dyDescent="0.25">
      <c r="A60" s="1">
        <v>3</v>
      </c>
      <c r="B60" s="1">
        <v>1</v>
      </c>
      <c r="C60" s="1">
        <v>5</v>
      </c>
      <c r="D60" s="1">
        <v>5</v>
      </c>
    </row>
    <row r="61" spans="1:7" x14ac:dyDescent="0.25">
      <c r="A61" s="1">
        <v>5</v>
      </c>
      <c r="B61" s="1">
        <v>2</v>
      </c>
      <c r="C61" s="1">
        <v>1</v>
      </c>
      <c r="D61" s="1">
        <v>3</v>
      </c>
    </row>
    <row r="62" spans="1:7" x14ac:dyDescent="0.25">
      <c r="A62" s="1">
        <v>1</v>
      </c>
      <c r="B62" s="1">
        <v>4</v>
      </c>
      <c r="C62" s="1">
        <v>4</v>
      </c>
      <c r="D62" s="1">
        <v>2</v>
      </c>
    </row>
    <row r="63" spans="1:7" x14ac:dyDescent="0.25">
      <c r="A63" s="1">
        <v>3</v>
      </c>
      <c r="B63" s="1">
        <v>1</v>
      </c>
      <c r="C63" s="1">
        <v>4</v>
      </c>
      <c r="D63" s="1">
        <v>5</v>
      </c>
    </row>
    <row r="64" spans="1:7" x14ac:dyDescent="0.25">
      <c r="A64" s="1">
        <v>4</v>
      </c>
      <c r="B64" s="1">
        <v>3</v>
      </c>
      <c r="C64" s="1">
        <v>4</v>
      </c>
      <c r="D64" s="1">
        <v>4</v>
      </c>
      <c r="F64" t="s">
        <v>5</v>
      </c>
      <c r="G64">
        <f>G44/G54</f>
        <v>1.1986909770920988</v>
      </c>
    </row>
    <row r="65" spans="1:7" x14ac:dyDescent="0.25">
      <c r="A65" s="1">
        <v>5</v>
      </c>
      <c r="B65" s="1">
        <v>3</v>
      </c>
      <c r="C65" s="1">
        <v>4</v>
      </c>
      <c r="D65" s="1">
        <v>5</v>
      </c>
    </row>
    <row r="66" spans="1:7" x14ac:dyDescent="0.25">
      <c r="A66" s="1">
        <v>3</v>
      </c>
      <c r="B66" s="1">
        <v>3</v>
      </c>
      <c r="C66" s="1">
        <v>5</v>
      </c>
      <c r="D66" s="1">
        <v>3</v>
      </c>
    </row>
    <row r="67" spans="1:7" x14ac:dyDescent="0.25">
      <c r="A67" s="1">
        <v>3</v>
      </c>
      <c r="B67" s="1">
        <v>2</v>
      </c>
      <c r="C67" s="1">
        <v>3</v>
      </c>
      <c r="D67" s="1">
        <v>5</v>
      </c>
      <c r="F67" s="2" t="s">
        <v>30</v>
      </c>
      <c r="G67" s="2"/>
    </row>
    <row r="68" spans="1:7" x14ac:dyDescent="0.25">
      <c r="A68" s="1">
        <v>3</v>
      </c>
      <c r="B68" s="1">
        <v>3</v>
      </c>
      <c r="C68" s="1">
        <v>1</v>
      </c>
      <c r="D68" s="1">
        <v>5</v>
      </c>
      <c r="F68" t="s">
        <v>31</v>
      </c>
    </row>
    <row r="69" spans="1:7" x14ac:dyDescent="0.25">
      <c r="A69" s="1">
        <v>2</v>
      </c>
      <c r="B69" s="1">
        <v>5</v>
      </c>
      <c r="C69" s="1">
        <v>4</v>
      </c>
      <c r="D69" s="1">
        <v>3</v>
      </c>
      <c r="F69" t="s">
        <v>32</v>
      </c>
    </row>
    <row r="70" spans="1:7" x14ac:dyDescent="0.25">
      <c r="A70" s="1">
        <v>3</v>
      </c>
      <c r="B70" s="1">
        <v>4</v>
      </c>
      <c r="C70" s="1">
        <v>3</v>
      </c>
      <c r="D70" s="1">
        <v>5</v>
      </c>
    </row>
    <row r="71" spans="1:7" x14ac:dyDescent="0.25">
      <c r="A71" s="1">
        <v>5</v>
      </c>
      <c r="B71" s="1">
        <v>2</v>
      </c>
      <c r="C71" s="1">
        <v>3</v>
      </c>
      <c r="D71" s="1">
        <v>4</v>
      </c>
    </row>
    <row r="72" spans="1:7" x14ac:dyDescent="0.25">
      <c r="A72" s="1">
        <v>4</v>
      </c>
      <c r="B72" s="1">
        <v>4</v>
      </c>
      <c r="C72" s="1">
        <v>2</v>
      </c>
      <c r="D72" s="1">
        <v>4</v>
      </c>
    </row>
    <row r="73" spans="1:7" x14ac:dyDescent="0.25">
      <c r="A73" s="1">
        <v>4</v>
      </c>
      <c r="B73" s="1">
        <v>4</v>
      </c>
      <c r="C73" s="1">
        <v>4</v>
      </c>
      <c r="D73" s="1">
        <v>5</v>
      </c>
    </row>
    <row r="74" spans="1:7" x14ac:dyDescent="0.25">
      <c r="A74" s="1">
        <v>3</v>
      </c>
      <c r="B74" s="1">
        <v>4</v>
      </c>
      <c r="C74" s="1">
        <v>4</v>
      </c>
      <c r="D74" s="1">
        <v>5</v>
      </c>
      <c r="F74" t="s">
        <v>2</v>
      </c>
      <c r="G74">
        <f>G34/G64</f>
        <v>15.281753770150795</v>
      </c>
    </row>
    <row r="75" spans="1:7" x14ac:dyDescent="0.25">
      <c r="A75" s="1">
        <v>5</v>
      </c>
      <c r="B75" s="1">
        <v>4</v>
      </c>
      <c r="C75" s="1">
        <v>4</v>
      </c>
      <c r="D75" s="1">
        <v>4</v>
      </c>
    </row>
    <row r="76" spans="1:7" x14ac:dyDescent="0.25">
      <c r="A76" s="1">
        <v>3</v>
      </c>
      <c r="B76" s="1">
        <v>3</v>
      </c>
      <c r="C76" s="1">
        <v>3</v>
      </c>
      <c r="D76" s="1">
        <v>5</v>
      </c>
    </row>
    <row r="77" spans="1:7" x14ac:dyDescent="0.25">
      <c r="A77" s="1">
        <v>3</v>
      </c>
      <c r="B77" s="1">
        <v>1</v>
      </c>
      <c r="C77" s="1">
        <v>2</v>
      </c>
      <c r="D77" s="1">
        <v>4</v>
      </c>
      <c r="F77" s="2" t="s">
        <v>35</v>
      </c>
      <c r="G77" s="2"/>
    </row>
    <row r="78" spans="1:7" x14ac:dyDescent="0.25">
      <c r="A78" s="1">
        <v>2</v>
      </c>
      <c r="B78" s="1">
        <v>4</v>
      </c>
      <c r="C78" s="1">
        <v>5</v>
      </c>
      <c r="D78" s="1">
        <v>3</v>
      </c>
    </row>
    <row r="79" spans="1:7" x14ac:dyDescent="0.25">
      <c r="A79" s="1">
        <v>4</v>
      </c>
      <c r="B79" s="1">
        <v>5</v>
      </c>
      <c r="C79" s="1">
        <v>4</v>
      </c>
      <c r="D79" s="1">
        <v>3</v>
      </c>
      <c r="F79" s="4" t="s">
        <v>33</v>
      </c>
      <c r="G79">
        <v>0.05</v>
      </c>
    </row>
    <row r="80" spans="1:7" x14ac:dyDescent="0.25">
      <c r="A80" s="1">
        <v>2</v>
      </c>
      <c r="B80" s="1">
        <v>4</v>
      </c>
      <c r="C80" s="1">
        <v>2</v>
      </c>
      <c r="D80" s="1">
        <v>5</v>
      </c>
      <c r="F80" t="s">
        <v>0</v>
      </c>
      <c r="G80">
        <f xml:space="preserve"> G25</f>
        <v>3</v>
      </c>
    </row>
    <row r="81" spans="1:7" x14ac:dyDescent="0.25">
      <c r="A81" s="1">
        <v>5</v>
      </c>
      <c r="B81" s="1">
        <v>2</v>
      </c>
      <c r="C81" s="1">
        <v>2</v>
      </c>
      <c r="D81" s="1">
        <v>5</v>
      </c>
      <c r="F81" t="s">
        <v>4</v>
      </c>
      <c r="G81">
        <f xml:space="preserve"> G54</f>
        <v>368</v>
      </c>
    </row>
    <row r="82" spans="1:7" x14ac:dyDescent="0.25">
      <c r="A82" s="1">
        <v>2</v>
      </c>
      <c r="B82" s="1">
        <v>3</v>
      </c>
      <c r="C82" s="1">
        <v>1</v>
      </c>
      <c r="D82" s="1">
        <v>5</v>
      </c>
      <c r="F82" t="s">
        <v>34</v>
      </c>
      <c r="G82">
        <f>FINV(G79, G80, G81)</f>
        <v>2.6291647929246422</v>
      </c>
    </row>
    <row r="83" spans="1:7" x14ac:dyDescent="0.25">
      <c r="A83" s="1">
        <v>5</v>
      </c>
      <c r="B83" s="1">
        <v>4</v>
      </c>
      <c r="C83" s="1">
        <v>3</v>
      </c>
      <c r="D83" s="1">
        <v>5</v>
      </c>
      <c r="F83" t="s">
        <v>36</v>
      </c>
      <c r="G83">
        <f>_xlfn.F.DIST.RT(G74, G80, G81)</f>
        <v>2.1623126059832064E-9</v>
      </c>
    </row>
    <row r="84" spans="1:7" x14ac:dyDescent="0.25">
      <c r="A84" s="1">
        <v>4</v>
      </c>
      <c r="B84" s="1">
        <v>2</v>
      </c>
      <c r="C84" s="1">
        <v>4</v>
      </c>
      <c r="D84" s="1">
        <v>5</v>
      </c>
    </row>
    <row r="85" spans="1:7" x14ac:dyDescent="0.25">
      <c r="A85" s="1">
        <v>3</v>
      </c>
      <c r="B85" s="1">
        <v>2</v>
      </c>
      <c r="C85" s="1">
        <v>3</v>
      </c>
      <c r="D85" s="1">
        <v>4</v>
      </c>
      <c r="F85" s="2" t="s">
        <v>6</v>
      </c>
      <c r="G85" s="2"/>
    </row>
    <row r="86" spans="1:7" x14ac:dyDescent="0.25">
      <c r="A86" s="1">
        <v>5</v>
      </c>
      <c r="B86" s="1">
        <v>2</v>
      </c>
      <c r="C86" s="1">
        <v>3</v>
      </c>
      <c r="D86" s="1">
        <v>5</v>
      </c>
    </row>
    <row r="87" spans="1:7" x14ac:dyDescent="0.25">
      <c r="A87" s="1">
        <v>4</v>
      </c>
      <c r="B87" s="1">
        <v>2</v>
      </c>
      <c r="C87" s="1">
        <v>5</v>
      </c>
      <c r="D87" s="1">
        <v>5</v>
      </c>
      <c r="F87" t="s">
        <v>40</v>
      </c>
    </row>
    <row r="88" spans="1:7" x14ac:dyDescent="0.25">
      <c r="A88" s="1">
        <v>3</v>
      </c>
      <c r="B88" s="1">
        <v>4</v>
      </c>
      <c r="C88" s="1">
        <v>3</v>
      </c>
      <c r="D88" s="1">
        <v>5</v>
      </c>
      <c r="F88" t="s">
        <v>41</v>
      </c>
    </row>
    <row r="89" spans="1:7" x14ac:dyDescent="0.25">
      <c r="A89" s="1">
        <v>3</v>
      </c>
      <c r="B89" s="1">
        <v>3</v>
      </c>
      <c r="C89" s="1">
        <v>3</v>
      </c>
      <c r="D89" s="1">
        <v>4</v>
      </c>
    </row>
    <row r="90" spans="1:7" x14ac:dyDescent="0.25">
      <c r="A90" s="1">
        <v>3</v>
      </c>
      <c r="B90" s="1">
        <v>3</v>
      </c>
      <c r="C90" s="1">
        <v>5</v>
      </c>
      <c r="D90" s="1">
        <v>5</v>
      </c>
      <c r="F90" t="str">
        <f>"Si F calculado ("&amp;G74&amp;") &gt; F critico ("&amp;G82&amp;") ---&gt; Se rechaza la hipotesis nula"</f>
        <v>Si F calculado (15.2817537701508) &gt; F critico (2.62916479292464) ---&gt; Se rechaza la hipotesis nula</v>
      </c>
    </row>
    <row r="91" spans="1:7" x14ac:dyDescent="0.25">
      <c r="A91" s="1">
        <v>3</v>
      </c>
      <c r="B91" s="1">
        <v>2</v>
      </c>
      <c r="C91" s="1">
        <v>3</v>
      </c>
      <c r="D91" s="1">
        <v>4</v>
      </c>
      <c r="F91" t="str">
        <f>"Si p-valor ("&amp;G83&amp;") &lt; α Nivel Significancia ("&amp;G79&amp;") ---&gt; Se rechaza la hipotesis nula"</f>
        <v>Si p-valor (2.16231260598321E-09) &lt; α Nivel Significancia (0.05) ---&gt; Se rechaza la hipotesis nula</v>
      </c>
    </row>
    <row r="92" spans="1:7" x14ac:dyDescent="0.25">
      <c r="A92" s="1">
        <v>3</v>
      </c>
      <c r="B92" s="1">
        <v>3</v>
      </c>
      <c r="C92" s="1">
        <v>3</v>
      </c>
      <c r="D92" s="1">
        <v>5</v>
      </c>
    </row>
    <row r="93" spans="1:7" x14ac:dyDescent="0.25">
      <c r="A93" s="1">
        <v>4</v>
      </c>
      <c r="B93" s="1">
        <v>3</v>
      </c>
      <c r="C93" s="1">
        <v>1</v>
      </c>
      <c r="D93" s="1">
        <v>3</v>
      </c>
    </row>
    <row r="94" spans="1:7" x14ac:dyDescent="0.25">
      <c r="A94" s="1">
        <v>4</v>
      </c>
      <c r="B94" s="1">
        <v>3</v>
      </c>
      <c r="C94" s="1">
        <v>5</v>
      </c>
      <c r="D94" s="1">
        <v>3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J11" sqref="J11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1</v>
      </c>
      <c r="B2" s="1">
        <v>4</v>
      </c>
      <c r="C2" s="1">
        <v>5</v>
      </c>
      <c r="D2" s="1">
        <v>3</v>
      </c>
      <c r="F2" s="2" t="s">
        <v>13</v>
      </c>
      <c r="G2" s="2"/>
    </row>
    <row r="3" spans="1:7" x14ac:dyDescent="0.25">
      <c r="A3" s="1">
        <v>5</v>
      </c>
      <c r="B3" s="1">
        <v>5</v>
      </c>
      <c r="C3" s="1">
        <v>3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3</v>
      </c>
      <c r="B4" s="1">
        <v>3</v>
      </c>
      <c r="C4" s="1">
        <v>3</v>
      </c>
      <c r="D4" s="1">
        <v>3</v>
      </c>
      <c r="F4" t="s">
        <v>7</v>
      </c>
      <c r="G4">
        <f>AVERAGE(A:A)</f>
        <v>3.4301075268817205</v>
      </c>
    </row>
    <row r="5" spans="1:7" x14ac:dyDescent="0.25">
      <c r="A5" s="1">
        <v>3</v>
      </c>
      <c r="B5" s="1">
        <v>2</v>
      </c>
      <c r="C5" s="1">
        <v>4</v>
      </c>
      <c r="D5" s="1">
        <v>5</v>
      </c>
      <c r="F5" t="s">
        <v>8</v>
      </c>
      <c r="G5">
        <f>AVERAGE(B:B)</f>
        <v>3.2903225806451615</v>
      </c>
    </row>
    <row r="6" spans="1:7" x14ac:dyDescent="0.25">
      <c r="A6" s="1">
        <v>3</v>
      </c>
      <c r="B6" s="1">
        <v>4</v>
      </c>
      <c r="C6" s="1">
        <v>1</v>
      </c>
      <c r="D6" s="1">
        <v>5</v>
      </c>
      <c r="F6" t="s">
        <v>9</v>
      </c>
      <c r="G6">
        <f>AVERAGE(C:C)</f>
        <v>3.225806451612903</v>
      </c>
    </row>
    <row r="7" spans="1:7" x14ac:dyDescent="0.25">
      <c r="A7" s="1">
        <v>5</v>
      </c>
      <c r="B7" s="1">
        <v>3</v>
      </c>
      <c r="C7" s="1">
        <v>2</v>
      </c>
      <c r="D7" s="1">
        <v>3</v>
      </c>
      <c r="F7" t="s">
        <v>10</v>
      </c>
      <c r="G7">
        <f>AVERAGE(D:D)</f>
        <v>3.978494623655914</v>
      </c>
    </row>
    <row r="8" spans="1:7" x14ac:dyDescent="0.25">
      <c r="A8" s="1">
        <v>2</v>
      </c>
      <c r="B8" s="1">
        <v>2</v>
      </c>
      <c r="C8" s="1">
        <v>3</v>
      </c>
      <c r="D8" s="1">
        <v>5</v>
      </c>
      <c r="F8" t="s">
        <v>15</v>
      </c>
      <c r="G8">
        <f>AVERAGE(G4:G7)</f>
        <v>3.4811827956989245</v>
      </c>
    </row>
    <row r="9" spans="1:7" x14ac:dyDescent="0.25">
      <c r="A9" s="1">
        <v>2</v>
      </c>
      <c r="B9" s="1">
        <v>3</v>
      </c>
      <c r="C9" s="1">
        <v>3</v>
      </c>
      <c r="D9" s="1">
        <v>4</v>
      </c>
    </row>
    <row r="10" spans="1:7" x14ac:dyDescent="0.25">
      <c r="A10" s="1">
        <v>3</v>
      </c>
      <c r="B10" s="1">
        <v>3</v>
      </c>
      <c r="C10" s="1">
        <v>3</v>
      </c>
      <c r="D10" s="1">
        <v>5</v>
      </c>
    </row>
    <row r="11" spans="1:7" x14ac:dyDescent="0.25">
      <c r="A11" s="1">
        <v>3</v>
      </c>
      <c r="B11" s="1">
        <v>3</v>
      </c>
      <c r="C11" s="1">
        <v>1</v>
      </c>
      <c r="D11" s="1">
        <v>5</v>
      </c>
      <c r="F11" s="2" t="s">
        <v>12</v>
      </c>
      <c r="G11" s="2"/>
    </row>
    <row r="12" spans="1:7" x14ac:dyDescent="0.25">
      <c r="A12" s="1">
        <v>2</v>
      </c>
      <c r="B12" s="1">
        <v>3</v>
      </c>
      <c r="C12" s="1">
        <v>3</v>
      </c>
      <c r="D12" s="1">
        <v>1</v>
      </c>
      <c r="F12" s="3" t="s">
        <v>17</v>
      </c>
    </row>
    <row r="13" spans="1:7" x14ac:dyDescent="0.25">
      <c r="A13" s="1">
        <v>3</v>
      </c>
      <c r="B13" s="1">
        <v>4</v>
      </c>
      <c r="C13" s="1">
        <v>3</v>
      </c>
      <c r="D13" s="1">
        <v>5</v>
      </c>
      <c r="F13" s="3" t="s">
        <v>18</v>
      </c>
    </row>
    <row r="14" spans="1:7" x14ac:dyDescent="0.25">
      <c r="A14" s="1">
        <v>5</v>
      </c>
      <c r="B14" s="1">
        <v>3</v>
      </c>
      <c r="C14" s="1">
        <v>2</v>
      </c>
      <c r="D14" s="1">
        <v>1</v>
      </c>
    </row>
    <row r="15" spans="1:7" x14ac:dyDescent="0.25">
      <c r="A15" s="1">
        <v>3</v>
      </c>
      <c r="B15" s="1">
        <v>3</v>
      </c>
      <c r="C15" s="1">
        <v>4</v>
      </c>
      <c r="D15" s="1">
        <v>1</v>
      </c>
    </row>
    <row r="16" spans="1:7" x14ac:dyDescent="0.25">
      <c r="A16" s="1">
        <v>3</v>
      </c>
      <c r="B16" s="1">
        <v>2</v>
      </c>
      <c r="C16" s="1">
        <v>2</v>
      </c>
      <c r="D16" s="1">
        <v>3</v>
      </c>
    </row>
    <row r="17" spans="1:7" x14ac:dyDescent="0.25">
      <c r="A17" s="1">
        <v>4</v>
      </c>
      <c r="B17" s="1">
        <v>3</v>
      </c>
      <c r="C17" s="1">
        <v>4</v>
      </c>
      <c r="D17" s="1">
        <v>4</v>
      </c>
      <c r="F17" t="s">
        <v>11</v>
      </c>
      <c r="G17">
        <f>G3*((G4-G8)^2+(G5-G8)^2+(G6-G8)^2+(G7-G8)^2)</f>
        <v>32.696236559139791</v>
      </c>
    </row>
    <row r="18" spans="1:7" x14ac:dyDescent="0.25">
      <c r="A18" s="1">
        <v>3</v>
      </c>
      <c r="B18" s="1">
        <v>3</v>
      </c>
      <c r="C18" s="1">
        <v>4</v>
      </c>
      <c r="D18" s="1">
        <v>4</v>
      </c>
    </row>
    <row r="19" spans="1:7" x14ac:dyDescent="0.25">
      <c r="A19" s="1">
        <v>1</v>
      </c>
      <c r="B19" s="1">
        <v>4</v>
      </c>
      <c r="C19" s="1">
        <v>4</v>
      </c>
      <c r="D19" s="1">
        <v>3</v>
      </c>
    </row>
    <row r="20" spans="1:7" x14ac:dyDescent="0.25">
      <c r="A20" s="1">
        <v>2</v>
      </c>
      <c r="B20" s="1">
        <v>3</v>
      </c>
      <c r="C20" s="1">
        <v>1</v>
      </c>
      <c r="D20" s="1">
        <v>5</v>
      </c>
      <c r="F20" s="2" t="s">
        <v>19</v>
      </c>
      <c r="G20" s="2"/>
    </row>
    <row r="21" spans="1:7" x14ac:dyDescent="0.25">
      <c r="A21" s="1">
        <v>4</v>
      </c>
      <c r="B21" s="1">
        <v>5</v>
      </c>
      <c r="C21" s="1">
        <v>2</v>
      </c>
      <c r="D21" s="1">
        <v>4</v>
      </c>
      <c r="F21" t="s">
        <v>20</v>
      </c>
    </row>
    <row r="22" spans="1:7" x14ac:dyDescent="0.25">
      <c r="A22" s="1">
        <v>5</v>
      </c>
      <c r="B22" s="1">
        <v>4</v>
      </c>
      <c r="C22" s="1">
        <v>3</v>
      </c>
      <c r="D22" s="1">
        <v>4</v>
      </c>
      <c r="F22" t="s">
        <v>16</v>
      </c>
      <c r="G22">
        <v>4</v>
      </c>
    </row>
    <row r="23" spans="1:7" x14ac:dyDescent="0.25">
      <c r="A23" s="1">
        <v>1</v>
      </c>
      <c r="B23" s="1">
        <v>3</v>
      </c>
      <c r="C23" s="1">
        <v>3</v>
      </c>
      <c r="D23" s="1">
        <v>5</v>
      </c>
    </row>
    <row r="24" spans="1:7" x14ac:dyDescent="0.25">
      <c r="A24" s="1">
        <v>2</v>
      </c>
      <c r="B24" s="1">
        <v>1</v>
      </c>
      <c r="C24" s="1">
        <v>3</v>
      </c>
      <c r="D24" s="1">
        <v>4</v>
      </c>
    </row>
    <row r="25" spans="1:7" x14ac:dyDescent="0.25">
      <c r="A25" s="1">
        <v>5</v>
      </c>
      <c r="B25" s="1">
        <v>5</v>
      </c>
      <c r="C25" s="1">
        <v>1</v>
      </c>
      <c r="D25" s="1">
        <v>5</v>
      </c>
      <c r="F25" t="s">
        <v>0</v>
      </c>
      <c r="G25">
        <f>G22-1</f>
        <v>3</v>
      </c>
    </row>
    <row r="26" spans="1:7" x14ac:dyDescent="0.25">
      <c r="A26" s="1">
        <v>2</v>
      </c>
      <c r="B26" s="1">
        <v>4</v>
      </c>
      <c r="C26" s="1">
        <v>3</v>
      </c>
      <c r="D26" s="1">
        <v>4</v>
      </c>
    </row>
    <row r="27" spans="1:7" x14ac:dyDescent="0.25">
      <c r="A27" s="1">
        <v>2</v>
      </c>
      <c r="B27" s="1">
        <v>2</v>
      </c>
      <c r="C27" s="1">
        <v>4</v>
      </c>
      <c r="D27" s="1">
        <v>3</v>
      </c>
    </row>
    <row r="28" spans="1:7" x14ac:dyDescent="0.25">
      <c r="A28" s="1">
        <v>3</v>
      </c>
      <c r="B28" s="1">
        <v>4</v>
      </c>
      <c r="C28" s="1">
        <v>5</v>
      </c>
      <c r="D28" s="1">
        <v>5</v>
      </c>
      <c r="F28" s="2" t="s">
        <v>21</v>
      </c>
      <c r="G28" s="2"/>
    </row>
    <row r="29" spans="1:7" x14ac:dyDescent="0.25">
      <c r="A29" s="1">
        <v>3</v>
      </c>
      <c r="B29" s="1">
        <v>3</v>
      </c>
      <c r="C29" s="1">
        <v>2</v>
      </c>
      <c r="D29" s="1">
        <v>2</v>
      </c>
      <c r="F29" t="s">
        <v>22</v>
      </c>
    </row>
    <row r="30" spans="1:7" x14ac:dyDescent="0.25">
      <c r="A30" s="1">
        <v>4</v>
      </c>
      <c r="B30" s="1">
        <v>3</v>
      </c>
      <c r="C30" s="1">
        <v>3</v>
      </c>
      <c r="D30" s="1">
        <v>4</v>
      </c>
    </row>
    <row r="31" spans="1:7" x14ac:dyDescent="0.25">
      <c r="A31" s="1">
        <v>5</v>
      </c>
      <c r="B31" s="1">
        <v>3</v>
      </c>
      <c r="C31" s="1">
        <v>4</v>
      </c>
      <c r="D31" s="1">
        <v>3</v>
      </c>
    </row>
    <row r="32" spans="1:7" x14ac:dyDescent="0.25">
      <c r="A32" s="1">
        <v>4</v>
      </c>
      <c r="B32" s="1">
        <v>4</v>
      </c>
      <c r="C32" s="1">
        <v>5</v>
      </c>
      <c r="D32" s="1">
        <v>4</v>
      </c>
    </row>
    <row r="33" spans="1:7" x14ac:dyDescent="0.25">
      <c r="A33" s="1">
        <v>2</v>
      </c>
      <c r="B33" s="1">
        <v>4</v>
      </c>
      <c r="C33" s="1">
        <v>2</v>
      </c>
      <c r="D33" s="1">
        <v>3</v>
      </c>
    </row>
    <row r="34" spans="1:7" x14ac:dyDescent="0.25">
      <c r="A34" s="1">
        <v>5</v>
      </c>
      <c r="B34" s="1">
        <v>2</v>
      </c>
      <c r="C34" s="1">
        <v>5</v>
      </c>
      <c r="D34" s="1">
        <v>5</v>
      </c>
      <c r="F34" t="s">
        <v>1</v>
      </c>
      <c r="G34">
        <f>G17/G25</f>
        <v>10.898745519713264</v>
      </c>
    </row>
    <row r="35" spans="1:7" x14ac:dyDescent="0.25">
      <c r="A35" s="1">
        <v>4</v>
      </c>
      <c r="B35" s="1">
        <v>3</v>
      </c>
      <c r="C35" s="1">
        <v>3</v>
      </c>
      <c r="D35" s="1">
        <v>3</v>
      </c>
    </row>
    <row r="36" spans="1:7" x14ac:dyDescent="0.25">
      <c r="A36" s="1">
        <v>4</v>
      </c>
      <c r="B36" s="1">
        <v>5</v>
      </c>
      <c r="C36" s="1">
        <v>1</v>
      </c>
      <c r="D36" s="1">
        <v>5</v>
      </c>
    </row>
    <row r="37" spans="1:7" x14ac:dyDescent="0.25">
      <c r="A37" s="1">
        <v>3</v>
      </c>
      <c r="B37" s="1">
        <v>3</v>
      </c>
      <c r="C37" s="1">
        <v>4</v>
      </c>
      <c r="D37" s="1">
        <v>3</v>
      </c>
      <c r="F37" s="2" t="s">
        <v>26</v>
      </c>
      <c r="G37" s="2"/>
    </row>
    <row r="38" spans="1:7" x14ac:dyDescent="0.25">
      <c r="A38" s="1">
        <v>2</v>
      </c>
      <c r="B38" s="1">
        <v>5</v>
      </c>
      <c r="C38" s="1">
        <v>4</v>
      </c>
      <c r="D38" s="1">
        <v>1</v>
      </c>
      <c r="F38" t="s">
        <v>23</v>
      </c>
    </row>
    <row r="39" spans="1:7" x14ac:dyDescent="0.25">
      <c r="A39" s="1">
        <v>4</v>
      </c>
      <c r="B39" s="1">
        <v>3</v>
      </c>
      <c r="C39" s="1">
        <v>3</v>
      </c>
      <c r="D39" s="1">
        <v>5</v>
      </c>
      <c r="F39" t="s">
        <v>24</v>
      </c>
    </row>
    <row r="40" spans="1:7" x14ac:dyDescent="0.25">
      <c r="A40" s="1">
        <v>4</v>
      </c>
      <c r="B40" s="1">
        <v>4</v>
      </c>
      <c r="C40" s="1">
        <v>2</v>
      </c>
      <c r="D40" s="1">
        <v>5</v>
      </c>
    </row>
    <row r="41" spans="1:7" x14ac:dyDescent="0.25">
      <c r="A41" s="1">
        <v>3</v>
      </c>
      <c r="B41" s="1">
        <v>1</v>
      </c>
      <c r="C41" s="1">
        <v>3</v>
      </c>
      <c r="D41" s="1">
        <v>3</v>
      </c>
    </row>
    <row r="42" spans="1:7" x14ac:dyDescent="0.25">
      <c r="A42" s="1">
        <v>4</v>
      </c>
      <c r="B42" s="1">
        <v>4</v>
      </c>
      <c r="C42" s="1">
        <v>1</v>
      </c>
      <c r="D42" s="1">
        <v>5</v>
      </c>
    </row>
    <row r="43" spans="1:7" x14ac:dyDescent="0.25">
      <c r="A43" s="1">
        <v>4</v>
      </c>
      <c r="B43" s="1">
        <v>4</v>
      </c>
      <c r="C43" s="1">
        <v>5</v>
      </c>
      <c r="D43" s="1">
        <v>3</v>
      </c>
    </row>
    <row r="44" spans="1:7" x14ac:dyDescent="0.25">
      <c r="A44" s="1">
        <v>4</v>
      </c>
      <c r="B44" s="1">
        <v>5</v>
      </c>
      <c r="C44" s="1">
        <v>3</v>
      </c>
      <c r="D44" s="1">
        <v>5</v>
      </c>
      <c r="F44" t="s">
        <v>3</v>
      </c>
      <c r="G44">
        <f>DEVSQ(A:A)+DEVSQ(B:B)+DEVSQ(C:C)+DEVSQ(D:D)</f>
        <v>446.17204301075265</v>
      </c>
    </row>
    <row r="45" spans="1:7" x14ac:dyDescent="0.25">
      <c r="A45" s="1">
        <v>5</v>
      </c>
      <c r="B45" s="1">
        <v>4</v>
      </c>
      <c r="C45" s="1">
        <v>3</v>
      </c>
      <c r="D45" s="1">
        <v>5</v>
      </c>
    </row>
    <row r="46" spans="1:7" x14ac:dyDescent="0.25">
      <c r="A46" s="1">
        <v>4</v>
      </c>
      <c r="B46" s="1">
        <v>2</v>
      </c>
      <c r="C46" s="1">
        <v>2</v>
      </c>
      <c r="D46" s="1">
        <v>1</v>
      </c>
    </row>
    <row r="47" spans="1:7" x14ac:dyDescent="0.25">
      <c r="A47" s="1">
        <v>3</v>
      </c>
      <c r="B47" s="1">
        <v>1</v>
      </c>
      <c r="C47" s="1">
        <v>4</v>
      </c>
      <c r="D47" s="1">
        <v>4</v>
      </c>
      <c r="F47" s="2" t="s">
        <v>25</v>
      </c>
      <c r="G47" s="2"/>
    </row>
    <row r="48" spans="1:7" x14ac:dyDescent="0.25">
      <c r="A48" s="1">
        <v>4</v>
      </c>
      <c r="B48" s="1">
        <v>4</v>
      </c>
      <c r="C48" s="1">
        <v>2</v>
      </c>
      <c r="D48" s="1">
        <v>3</v>
      </c>
      <c r="F48" t="s">
        <v>27</v>
      </c>
      <c r="G48">
        <f>COUNT(A:A,B:B,C:C,D:D)</f>
        <v>372</v>
      </c>
    </row>
    <row r="49" spans="1:7" x14ac:dyDescent="0.25">
      <c r="A49" s="1">
        <v>2</v>
      </c>
      <c r="B49" s="1">
        <v>3</v>
      </c>
      <c r="C49" s="1">
        <v>3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4</v>
      </c>
      <c r="B50" s="1">
        <v>3</v>
      </c>
      <c r="C50" s="1">
        <v>4</v>
      </c>
      <c r="D50" s="1">
        <v>4</v>
      </c>
    </row>
    <row r="51" spans="1:7" x14ac:dyDescent="0.25">
      <c r="A51" s="1">
        <v>3</v>
      </c>
      <c r="B51" s="1">
        <v>2</v>
      </c>
      <c r="C51" s="1">
        <v>5</v>
      </c>
      <c r="D51" s="1">
        <v>4</v>
      </c>
    </row>
    <row r="52" spans="1:7" x14ac:dyDescent="0.25">
      <c r="A52" s="1">
        <v>3</v>
      </c>
      <c r="B52" s="1">
        <v>3</v>
      </c>
      <c r="C52" s="1">
        <v>2</v>
      </c>
      <c r="D52" s="1">
        <v>4</v>
      </c>
    </row>
    <row r="53" spans="1:7" x14ac:dyDescent="0.25">
      <c r="A53" s="1">
        <v>5</v>
      </c>
      <c r="B53" s="1">
        <v>4</v>
      </c>
      <c r="C53" s="1">
        <v>5</v>
      </c>
      <c r="D53" s="1">
        <v>4</v>
      </c>
    </row>
    <row r="54" spans="1:7" x14ac:dyDescent="0.25">
      <c r="A54" s="1">
        <v>3</v>
      </c>
      <c r="B54" s="1">
        <v>4</v>
      </c>
      <c r="C54" s="1">
        <v>4</v>
      </c>
      <c r="D54" s="1">
        <v>4</v>
      </c>
      <c r="F54" t="s">
        <v>4</v>
      </c>
      <c r="G54">
        <f>G48-G49</f>
        <v>368</v>
      </c>
    </row>
    <row r="55" spans="1:7" x14ac:dyDescent="0.25">
      <c r="A55" s="1">
        <v>4</v>
      </c>
      <c r="B55" s="1">
        <v>3</v>
      </c>
      <c r="C55" s="1">
        <v>4</v>
      </c>
      <c r="D55" s="1">
        <v>4</v>
      </c>
    </row>
    <row r="56" spans="1:7" x14ac:dyDescent="0.25">
      <c r="A56" s="1">
        <v>1</v>
      </c>
      <c r="B56" s="1">
        <v>5</v>
      </c>
      <c r="C56" s="1">
        <v>2</v>
      </c>
      <c r="D56" s="1">
        <v>5</v>
      </c>
    </row>
    <row r="57" spans="1:7" x14ac:dyDescent="0.25">
      <c r="A57" s="1">
        <v>5</v>
      </c>
      <c r="B57" s="1">
        <v>3</v>
      </c>
      <c r="C57" s="1">
        <v>3</v>
      </c>
      <c r="D57" s="1">
        <v>3</v>
      </c>
      <c r="F57" s="2" t="s">
        <v>28</v>
      </c>
      <c r="G57" s="2"/>
    </row>
    <row r="58" spans="1:7" x14ac:dyDescent="0.25">
      <c r="A58" s="1">
        <v>4</v>
      </c>
      <c r="B58" s="1">
        <v>4</v>
      </c>
      <c r="C58" s="1">
        <v>2</v>
      </c>
      <c r="D58" s="1">
        <v>5</v>
      </c>
      <c r="F58" t="s">
        <v>29</v>
      </c>
    </row>
    <row r="59" spans="1:7" x14ac:dyDescent="0.25">
      <c r="A59" s="1">
        <v>5</v>
      </c>
      <c r="B59" s="1">
        <v>2</v>
      </c>
      <c r="C59" s="1">
        <v>4</v>
      </c>
      <c r="D59" s="1">
        <v>4</v>
      </c>
    </row>
    <row r="60" spans="1:7" x14ac:dyDescent="0.25">
      <c r="A60" s="1">
        <v>1</v>
      </c>
      <c r="B60" s="1">
        <v>5</v>
      </c>
      <c r="C60" s="1">
        <v>3</v>
      </c>
      <c r="D60" s="1">
        <v>5</v>
      </c>
    </row>
    <row r="61" spans="1:7" x14ac:dyDescent="0.25">
      <c r="A61" s="1">
        <v>3</v>
      </c>
      <c r="B61" s="1">
        <v>3</v>
      </c>
      <c r="C61" s="1">
        <v>3</v>
      </c>
      <c r="D61" s="1">
        <v>4</v>
      </c>
    </row>
    <row r="62" spans="1:7" x14ac:dyDescent="0.25">
      <c r="A62" s="1">
        <v>3</v>
      </c>
      <c r="B62" s="1">
        <v>3</v>
      </c>
      <c r="C62" s="1">
        <v>2</v>
      </c>
      <c r="D62" s="1">
        <v>3</v>
      </c>
    </row>
    <row r="63" spans="1:7" x14ac:dyDescent="0.25">
      <c r="A63" s="1">
        <v>5</v>
      </c>
      <c r="B63" s="1">
        <v>3</v>
      </c>
      <c r="C63" s="1">
        <v>2</v>
      </c>
      <c r="D63" s="1">
        <v>5</v>
      </c>
    </row>
    <row r="64" spans="1:7" x14ac:dyDescent="0.25">
      <c r="A64" s="1">
        <v>3</v>
      </c>
      <c r="B64" s="1">
        <v>5</v>
      </c>
      <c r="C64" s="1">
        <v>5</v>
      </c>
      <c r="D64" s="1">
        <v>5</v>
      </c>
      <c r="F64" t="s">
        <v>5</v>
      </c>
      <c r="G64">
        <f>G44/G54</f>
        <v>1.2124240299205236</v>
      </c>
    </row>
    <row r="65" spans="1:7" x14ac:dyDescent="0.25">
      <c r="A65" s="1">
        <v>4</v>
      </c>
      <c r="B65" s="1">
        <v>3</v>
      </c>
      <c r="C65" s="1">
        <v>3</v>
      </c>
      <c r="D65" s="1">
        <v>5</v>
      </c>
    </row>
    <row r="66" spans="1:7" x14ac:dyDescent="0.25">
      <c r="A66" s="1">
        <v>2</v>
      </c>
      <c r="B66" s="1">
        <v>3</v>
      </c>
      <c r="C66" s="1">
        <v>5</v>
      </c>
      <c r="D66" s="1">
        <v>4</v>
      </c>
    </row>
    <row r="67" spans="1:7" x14ac:dyDescent="0.25">
      <c r="A67" s="1">
        <v>4</v>
      </c>
      <c r="B67" s="1">
        <v>3</v>
      </c>
      <c r="C67" s="1">
        <v>3</v>
      </c>
      <c r="D67" s="1">
        <v>3</v>
      </c>
      <c r="F67" s="2" t="s">
        <v>30</v>
      </c>
      <c r="G67" s="2"/>
    </row>
    <row r="68" spans="1:7" x14ac:dyDescent="0.25">
      <c r="A68" s="1">
        <v>4</v>
      </c>
      <c r="B68" s="1">
        <v>3</v>
      </c>
      <c r="C68" s="1">
        <v>4</v>
      </c>
      <c r="D68" s="1">
        <v>5</v>
      </c>
      <c r="F68" t="s">
        <v>31</v>
      </c>
    </row>
    <row r="69" spans="1:7" x14ac:dyDescent="0.25">
      <c r="A69" s="1">
        <v>5</v>
      </c>
      <c r="B69" s="1">
        <v>3</v>
      </c>
      <c r="C69" s="1">
        <v>4</v>
      </c>
      <c r="D69" s="1">
        <v>3</v>
      </c>
      <c r="F69" t="s">
        <v>32</v>
      </c>
    </row>
    <row r="70" spans="1:7" x14ac:dyDescent="0.25">
      <c r="A70" s="1">
        <v>3</v>
      </c>
      <c r="B70" s="1">
        <v>2</v>
      </c>
      <c r="C70" s="1">
        <v>4</v>
      </c>
      <c r="D70" s="1">
        <v>5</v>
      </c>
    </row>
    <row r="71" spans="1:7" x14ac:dyDescent="0.25">
      <c r="A71" s="1">
        <v>3</v>
      </c>
      <c r="B71" s="1">
        <v>4</v>
      </c>
      <c r="C71" s="1">
        <v>3</v>
      </c>
      <c r="D71" s="1">
        <v>4</v>
      </c>
    </row>
    <row r="72" spans="1:7" x14ac:dyDescent="0.25">
      <c r="A72" s="1">
        <v>5</v>
      </c>
      <c r="B72" s="1">
        <v>2</v>
      </c>
      <c r="C72" s="1">
        <v>4</v>
      </c>
      <c r="D72" s="1">
        <v>2</v>
      </c>
    </row>
    <row r="73" spans="1:7" x14ac:dyDescent="0.25">
      <c r="A73" s="1">
        <v>3</v>
      </c>
      <c r="B73" s="1">
        <v>3</v>
      </c>
      <c r="C73" s="1">
        <v>3</v>
      </c>
      <c r="D73" s="1">
        <v>5</v>
      </c>
    </row>
    <row r="74" spans="1:7" x14ac:dyDescent="0.25">
      <c r="A74" s="1">
        <v>4</v>
      </c>
      <c r="B74" s="1">
        <v>5</v>
      </c>
      <c r="C74" s="1">
        <v>4</v>
      </c>
      <c r="D74" s="1">
        <v>4</v>
      </c>
      <c r="F74" t="s">
        <v>2</v>
      </c>
      <c r="G74">
        <f>G34/G64</f>
        <v>8.9892193248823151</v>
      </c>
    </row>
    <row r="75" spans="1:7" x14ac:dyDescent="0.25">
      <c r="A75" s="1">
        <v>3</v>
      </c>
      <c r="B75" s="1">
        <v>5</v>
      </c>
      <c r="C75" s="1">
        <v>5</v>
      </c>
      <c r="D75" s="1">
        <v>5</v>
      </c>
    </row>
    <row r="76" spans="1:7" x14ac:dyDescent="0.25">
      <c r="A76" s="1">
        <v>4</v>
      </c>
      <c r="B76" s="1">
        <v>4</v>
      </c>
      <c r="C76" s="1">
        <v>2</v>
      </c>
      <c r="D76" s="1">
        <v>5</v>
      </c>
    </row>
    <row r="77" spans="1:7" x14ac:dyDescent="0.25">
      <c r="A77" s="1">
        <v>4</v>
      </c>
      <c r="B77" s="1">
        <v>2</v>
      </c>
      <c r="C77" s="1">
        <v>4</v>
      </c>
      <c r="D77" s="1">
        <v>5</v>
      </c>
      <c r="F77" s="2" t="s">
        <v>35</v>
      </c>
      <c r="G77" s="2"/>
    </row>
    <row r="78" spans="1:7" x14ac:dyDescent="0.25">
      <c r="A78" s="1">
        <v>3</v>
      </c>
      <c r="B78" s="1">
        <v>3</v>
      </c>
      <c r="C78" s="1">
        <v>4</v>
      </c>
      <c r="D78" s="1">
        <v>5</v>
      </c>
    </row>
    <row r="79" spans="1:7" x14ac:dyDescent="0.25">
      <c r="A79" s="1">
        <v>5</v>
      </c>
      <c r="B79" s="1">
        <v>2</v>
      </c>
      <c r="C79" s="1">
        <v>3</v>
      </c>
      <c r="D79" s="1">
        <v>4</v>
      </c>
      <c r="F79" s="4" t="s">
        <v>33</v>
      </c>
      <c r="G79">
        <v>0.05</v>
      </c>
    </row>
    <row r="80" spans="1:7" x14ac:dyDescent="0.25">
      <c r="A80" s="1">
        <v>4</v>
      </c>
      <c r="B80" s="1">
        <v>3</v>
      </c>
      <c r="C80" s="1">
        <v>4</v>
      </c>
      <c r="D80" s="1">
        <v>4</v>
      </c>
      <c r="F80" t="s">
        <v>0</v>
      </c>
      <c r="G80">
        <f xml:space="preserve"> G25</f>
        <v>3</v>
      </c>
    </row>
    <row r="81" spans="1:7" x14ac:dyDescent="0.25">
      <c r="A81" s="1">
        <v>2</v>
      </c>
      <c r="B81" s="1">
        <v>3</v>
      </c>
      <c r="C81" s="1">
        <v>5</v>
      </c>
      <c r="D81" s="1">
        <v>4</v>
      </c>
      <c r="F81" t="s">
        <v>4</v>
      </c>
      <c r="G81">
        <f xml:space="preserve"> G54</f>
        <v>368</v>
      </c>
    </row>
    <row r="82" spans="1:7" x14ac:dyDescent="0.25">
      <c r="A82" s="1">
        <v>1</v>
      </c>
      <c r="B82" s="1">
        <v>5</v>
      </c>
      <c r="C82" s="1">
        <v>4</v>
      </c>
      <c r="D82" s="1">
        <v>5</v>
      </c>
      <c r="F82" t="s">
        <v>34</v>
      </c>
      <c r="G82">
        <f>FINV(G79, G80, G81)</f>
        <v>2.6291647929246422</v>
      </c>
    </row>
    <row r="83" spans="1:7" x14ac:dyDescent="0.25">
      <c r="A83" s="1">
        <v>4</v>
      </c>
      <c r="B83" s="1">
        <v>4</v>
      </c>
      <c r="C83" s="1">
        <v>1</v>
      </c>
      <c r="D83" s="1">
        <v>5</v>
      </c>
      <c r="F83" t="s">
        <v>36</v>
      </c>
      <c r="G83">
        <f>_xlfn.F.DIST.RT(G74, G80, G81)</f>
        <v>9.2635932273378541E-6</v>
      </c>
    </row>
    <row r="84" spans="1:7" x14ac:dyDescent="0.25">
      <c r="A84" s="1">
        <v>4</v>
      </c>
      <c r="B84" s="1">
        <v>4</v>
      </c>
      <c r="C84" s="1">
        <v>3</v>
      </c>
      <c r="D84" s="1">
        <v>4</v>
      </c>
    </row>
    <row r="85" spans="1:7" x14ac:dyDescent="0.25">
      <c r="A85" s="1">
        <v>3</v>
      </c>
      <c r="B85" s="1">
        <v>5</v>
      </c>
      <c r="C85" s="1">
        <v>3</v>
      </c>
      <c r="D85" s="1">
        <v>2</v>
      </c>
      <c r="F85" s="2" t="s">
        <v>6</v>
      </c>
      <c r="G85" s="2"/>
    </row>
    <row r="86" spans="1:7" x14ac:dyDescent="0.25">
      <c r="A86" s="1">
        <v>4</v>
      </c>
      <c r="B86" s="1">
        <v>4</v>
      </c>
      <c r="C86" s="1">
        <v>3</v>
      </c>
      <c r="D86" s="1">
        <v>5</v>
      </c>
    </row>
    <row r="87" spans="1:7" x14ac:dyDescent="0.25">
      <c r="A87" s="1">
        <v>5</v>
      </c>
      <c r="B87" s="1">
        <v>3</v>
      </c>
      <c r="C87" s="1">
        <v>4</v>
      </c>
      <c r="D87" s="1">
        <v>3</v>
      </c>
      <c r="F87" t="s">
        <v>40</v>
      </c>
    </row>
    <row r="88" spans="1:7" x14ac:dyDescent="0.25">
      <c r="A88" s="1">
        <v>5</v>
      </c>
      <c r="B88" s="1">
        <v>3</v>
      </c>
      <c r="C88" s="1">
        <v>4</v>
      </c>
      <c r="D88" s="1">
        <v>4</v>
      </c>
      <c r="F88" t="s">
        <v>41</v>
      </c>
    </row>
    <row r="89" spans="1:7" x14ac:dyDescent="0.25">
      <c r="A89" s="1">
        <v>3</v>
      </c>
      <c r="B89" s="1">
        <v>1</v>
      </c>
      <c r="C89" s="1">
        <v>3</v>
      </c>
      <c r="D89" s="1">
        <v>4</v>
      </c>
    </row>
    <row r="90" spans="1:7" x14ac:dyDescent="0.25">
      <c r="A90" s="1">
        <v>3</v>
      </c>
      <c r="B90" s="1">
        <v>2</v>
      </c>
      <c r="C90" s="1">
        <v>5</v>
      </c>
      <c r="D90" s="1">
        <v>4</v>
      </c>
      <c r="F90" t="str">
        <f>"Si F calculado ("&amp;G74&amp;") &gt; F critico ("&amp;G82&amp;") ---&gt; Se rechaza la hipotesis nula"</f>
        <v>Si F calculado (8.98921932488232) &gt; F critico (2.62916479292464) ---&gt; Se rechaza la hipotesis nula</v>
      </c>
    </row>
    <row r="91" spans="1:7" x14ac:dyDescent="0.25">
      <c r="A91" s="1">
        <v>5</v>
      </c>
      <c r="B91" s="1">
        <v>3</v>
      </c>
      <c r="C91" s="1">
        <v>4</v>
      </c>
      <c r="D91" s="1">
        <v>5</v>
      </c>
      <c r="F91" t="str">
        <f>"Si p-valor ("&amp;G83&amp;") &lt; α Nivel Significancia ("&amp;G79&amp;") ---&gt; Se rechaza la hipotesis nula"</f>
        <v>Si p-valor (9.26359322733785E-06) &lt; α Nivel Significancia (0.05) ---&gt; Se rechaza la hipotesis nula</v>
      </c>
    </row>
    <row r="92" spans="1:7" x14ac:dyDescent="0.25">
      <c r="A92" s="1">
        <v>4</v>
      </c>
      <c r="B92" s="1">
        <v>4</v>
      </c>
      <c r="C92" s="1">
        <v>4</v>
      </c>
      <c r="D92" s="1">
        <v>5</v>
      </c>
    </row>
    <row r="93" spans="1:7" x14ac:dyDescent="0.25">
      <c r="A93" s="1">
        <v>4</v>
      </c>
      <c r="B93" s="1">
        <v>3</v>
      </c>
      <c r="C93" s="1">
        <v>4</v>
      </c>
      <c r="D93" s="1">
        <v>4</v>
      </c>
    </row>
    <row r="94" spans="1:7" x14ac:dyDescent="0.25">
      <c r="A94" s="1">
        <v>3</v>
      </c>
      <c r="B94" s="1">
        <v>2</v>
      </c>
      <c r="C94" s="1">
        <v>1</v>
      </c>
      <c r="D94" s="1">
        <v>5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zoomScale="70" zoomScaleNormal="70" workbookViewId="0">
      <selection activeCell="J11" sqref="J11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4</v>
      </c>
      <c r="B2" s="1">
        <v>3</v>
      </c>
      <c r="C2" s="1">
        <v>4</v>
      </c>
      <c r="D2" s="1">
        <v>4</v>
      </c>
      <c r="F2" s="2" t="s">
        <v>13</v>
      </c>
      <c r="G2" s="2"/>
    </row>
    <row r="3" spans="1:7" x14ac:dyDescent="0.25">
      <c r="A3" s="1">
        <v>5</v>
      </c>
      <c r="B3" s="1">
        <v>4</v>
      </c>
      <c r="C3" s="1">
        <v>3</v>
      </c>
      <c r="D3" s="1">
        <v>4</v>
      </c>
      <c r="F3" t="s">
        <v>14</v>
      </c>
      <c r="G3">
        <f>COUNT(A:A)</f>
        <v>93</v>
      </c>
    </row>
    <row r="4" spans="1:7" x14ac:dyDescent="0.25">
      <c r="A4" s="1">
        <v>4</v>
      </c>
      <c r="B4" s="1">
        <v>4</v>
      </c>
      <c r="C4" s="1">
        <v>3</v>
      </c>
      <c r="D4" s="1">
        <v>3</v>
      </c>
      <c r="F4" t="s">
        <v>7</v>
      </c>
      <c r="G4">
        <f>AVERAGE(A:A)</f>
        <v>3.4516129032258065</v>
      </c>
    </row>
    <row r="5" spans="1:7" x14ac:dyDescent="0.25">
      <c r="A5" s="1">
        <v>3</v>
      </c>
      <c r="B5" s="1">
        <v>4</v>
      </c>
      <c r="C5" s="1">
        <v>4</v>
      </c>
      <c r="D5" s="1">
        <v>3</v>
      </c>
      <c r="F5" t="s">
        <v>8</v>
      </c>
      <c r="G5">
        <f>AVERAGE(B:B)</f>
        <v>3.3978494623655915</v>
      </c>
    </row>
    <row r="6" spans="1:7" x14ac:dyDescent="0.25">
      <c r="A6" s="1">
        <v>2</v>
      </c>
      <c r="B6" s="1">
        <v>5</v>
      </c>
      <c r="C6" s="1">
        <v>4</v>
      </c>
      <c r="D6" s="1">
        <v>4</v>
      </c>
      <c r="F6" t="s">
        <v>9</v>
      </c>
      <c r="G6">
        <f>AVERAGE(C:C)</f>
        <v>3.3978494623655915</v>
      </c>
    </row>
    <row r="7" spans="1:7" x14ac:dyDescent="0.25">
      <c r="A7" s="1">
        <v>2</v>
      </c>
      <c r="B7" s="1">
        <v>5</v>
      </c>
      <c r="C7" s="1">
        <v>4</v>
      </c>
      <c r="D7" s="1">
        <v>4</v>
      </c>
      <c r="F7" t="s">
        <v>10</v>
      </c>
      <c r="G7">
        <f>AVERAGE(D:D)</f>
        <v>4.204301075268817</v>
      </c>
    </row>
    <row r="8" spans="1:7" x14ac:dyDescent="0.25">
      <c r="A8" s="1">
        <v>4</v>
      </c>
      <c r="B8" s="1">
        <v>2</v>
      </c>
      <c r="C8" s="1">
        <v>4</v>
      </c>
      <c r="D8" s="1">
        <v>2</v>
      </c>
      <c r="F8" t="s">
        <v>15</v>
      </c>
      <c r="G8">
        <f>AVERAGE(G4:G7)</f>
        <v>3.612903225806452</v>
      </c>
    </row>
    <row r="9" spans="1:7" x14ac:dyDescent="0.25">
      <c r="A9" s="1">
        <v>3</v>
      </c>
      <c r="B9" s="1">
        <v>4</v>
      </c>
      <c r="C9" s="1">
        <v>4</v>
      </c>
      <c r="D9" s="1">
        <v>5</v>
      </c>
    </row>
    <row r="10" spans="1:7" x14ac:dyDescent="0.25">
      <c r="A10" s="1">
        <v>4</v>
      </c>
      <c r="B10" s="1">
        <v>3</v>
      </c>
      <c r="C10" s="1">
        <v>3</v>
      </c>
      <c r="D10" s="1">
        <v>5</v>
      </c>
    </row>
    <row r="11" spans="1:7" x14ac:dyDescent="0.25">
      <c r="A11" s="1">
        <v>4</v>
      </c>
      <c r="B11" s="1">
        <v>4</v>
      </c>
      <c r="C11" s="1">
        <v>4</v>
      </c>
      <c r="D11" s="1">
        <v>5</v>
      </c>
      <c r="F11" s="2" t="s">
        <v>12</v>
      </c>
      <c r="G11" s="2"/>
    </row>
    <row r="12" spans="1:7" x14ac:dyDescent="0.25">
      <c r="A12" s="1">
        <v>2</v>
      </c>
      <c r="B12" s="1">
        <v>1</v>
      </c>
      <c r="C12" s="1">
        <v>4</v>
      </c>
      <c r="D12" s="1">
        <v>5</v>
      </c>
      <c r="F12" s="3" t="s">
        <v>17</v>
      </c>
    </row>
    <row r="13" spans="1:7" x14ac:dyDescent="0.25">
      <c r="A13" s="1">
        <v>5</v>
      </c>
      <c r="B13" s="1">
        <v>4</v>
      </c>
      <c r="C13" s="1">
        <v>3</v>
      </c>
      <c r="D13" s="1">
        <v>4</v>
      </c>
      <c r="F13" s="3" t="s">
        <v>18</v>
      </c>
    </row>
    <row r="14" spans="1:7" x14ac:dyDescent="0.25">
      <c r="A14" s="1">
        <v>5</v>
      </c>
      <c r="B14" s="1">
        <v>4</v>
      </c>
      <c r="C14" s="1">
        <v>1</v>
      </c>
      <c r="D14" s="1">
        <v>4</v>
      </c>
    </row>
    <row r="15" spans="1:7" x14ac:dyDescent="0.25">
      <c r="A15" s="1">
        <v>4</v>
      </c>
      <c r="B15" s="1">
        <v>2</v>
      </c>
      <c r="C15" s="1">
        <v>3</v>
      </c>
      <c r="D15" s="1">
        <v>4</v>
      </c>
    </row>
    <row r="16" spans="1:7" x14ac:dyDescent="0.25">
      <c r="A16" s="1">
        <v>5</v>
      </c>
      <c r="B16" s="1">
        <v>2</v>
      </c>
      <c r="C16" s="1">
        <v>5</v>
      </c>
      <c r="D16" s="1">
        <v>5</v>
      </c>
    </row>
    <row r="17" spans="1:7" x14ac:dyDescent="0.25">
      <c r="A17" s="1">
        <v>4</v>
      </c>
      <c r="B17" s="1">
        <v>4</v>
      </c>
      <c r="C17" s="1">
        <v>5</v>
      </c>
      <c r="D17" s="1">
        <v>4</v>
      </c>
      <c r="F17" t="s">
        <v>11</v>
      </c>
      <c r="G17">
        <f>G3*((G4-G8)^2+(G5-G8)^2+(G6-G8)^2+(G7-G8)^2)</f>
        <v>43.548387096774164</v>
      </c>
    </row>
    <row r="18" spans="1:7" x14ac:dyDescent="0.25">
      <c r="A18" s="1">
        <v>3</v>
      </c>
      <c r="B18" s="1">
        <v>2</v>
      </c>
      <c r="C18" s="1">
        <v>1</v>
      </c>
      <c r="D18" s="1">
        <v>5</v>
      </c>
    </row>
    <row r="19" spans="1:7" x14ac:dyDescent="0.25">
      <c r="A19" s="1">
        <v>4</v>
      </c>
      <c r="B19" s="1">
        <v>3</v>
      </c>
      <c r="C19" s="1">
        <v>4</v>
      </c>
      <c r="D19" s="1">
        <v>4</v>
      </c>
    </row>
    <row r="20" spans="1:7" x14ac:dyDescent="0.25">
      <c r="A20" s="1">
        <v>2</v>
      </c>
      <c r="B20" s="1">
        <v>3</v>
      </c>
      <c r="C20" s="1">
        <v>5</v>
      </c>
      <c r="D20" s="1">
        <v>4</v>
      </c>
      <c r="F20" s="2" t="s">
        <v>19</v>
      </c>
      <c r="G20" s="2"/>
    </row>
    <row r="21" spans="1:7" x14ac:dyDescent="0.25">
      <c r="A21" s="1">
        <v>2</v>
      </c>
      <c r="B21" s="1">
        <v>5</v>
      </c>
      <c r="C21" s="1">
        <v>3</v>
      </c>
      <c r="D21" s="1">
        <v>5</v>
      </c>
      <c r="F21" t="s">
        <v>20</v>
      </c>
    </row>
    <row r="22" spans="1:7" x14ac:dyDescent="0.25">
      <c r="A22" s="1">
        <v>4</v>
      </c>
      <c r="B22" s="1">
        <v>5</v>
      </c>
      <c r="C22" s="1">
        <v>3</v>
      </c>
      <c r="D22" s="1">
        <v>5</v>
      </c>
      <c r="F22" t="s">
        <v>16</v>
      </c>
      <c r="G22">
        <v>4</v>
      </c>
    </row>
    <row r="23" spans="1:7" x14ac:dyDescent="0.25">
      <c r="A23" s="1">
        <v>4</v>
      </c>
      <c r="B23" s="1">
        <v>3</v>
      </c>
      <c r="C23" s="1">
        <v>3</v>
      </c>
      <c r="D23" s="1">
        <v>5</v>
      </c>
    </row>
    <row r="24" spans="1:7" x14ac:dyDescent="0.25">
      <c r="A24" s="1">
        <v>4</v>
      </c>
      <c r="B24" s="1">
        <v>3</v>
      </c>
      <c r="C24" s="1">
        <v>4</v>
      </c>
      <c r="D24" s="1">
        <v>3</v>
      </c>
    </row>
    <row r="25" spans="1:7" x14ac:dyDescent="0.25">
      <c r="A25" s="1">
        <v>3</v>
      </c>
      <c r="B25" s="1">
        <v>3</v>
      </c>
      <c r="C25" s="1">
        <v>5</v>
      </c>
      <c r="D25" s="1">
        <v>2</v>
      </c>
      <c r="F25" t="s">
        <v>0</v>
      </c>
      <c r="G25">
        <f>G22-1</f>
        <v>3</v>
      </c>
    </row>
    <row r="26" spans="1:7" x14ac:dyDescent="0.25">
      <c r="A26" s="1">
        <v>4</v>
      </c>
      <c r="B26" s="1">
        <v>3</v>
      </c>
      <c r="C26" s="1">
        <v>1</v>
      </c>
      <c r="D26" s="1">
        <v>4</v>
      </c>
    </row>
    <row r="27" spans="1:7" x14ac:dyDescent="0.25">
      <c r="A27" s="1">
        <v>3</v>
      </c>
      <c r="B27" s="1">
        <v>3</v>
      </c>
      <c r="C27" s="1">
        <v>4</v>
      </c>
      <c r="D27" s="1">
        <v>5</v>
      </c>
    </row>
    <row r="28" spans="1:7" x14ac:dyDescent="0.25">
      <c r="A28" s="1">
        <v>4</v>
      </c>
      <c r="B28" s="1">
        <v>4</v>
      </c>
      <c r="C28" s="1">
        <v>3</v>
      </c>
      <c r="D28" s="1">
        <v>5</v>
      </c>
      <c r="F28" s="2" t="s">
        <v>21</v>
      </c>
      <c r="G28" s="2"/>
    </row>
    <row r="29" spans="1:7" x14ac:dyDescent="0.25">
      <c r="A29" s="1">
        <v>3</v>
      </c>
      <c r="B29" s="1">
        <v>3</v>
      </c>
      <c r="C29" s="1">
        <v>3</v>
      </c>
      <c r="D29" s="1">
        <v>4</v>
      </c>
      <c r="F29" t="s">
        <v>22</v>
      </c>
    </row>
    <row r="30" spans="1:7" x14ac:dyDescent="0.25">
      <c r="A30" s="1">
        <v>3</v>
      </c>
      <c r="B30" s="1">
        <v>5</v>
      </c>
      <c r="C30" s="1">
        <v>3</v>
      </c>
      <c r="D30" s="1">
        <v>3</v>
      </c>
    </row>
    <row r="31" spans="1:7" x14ac:dyDescent="0.25">
      <c r="A31" s="1">
        <v>4</v>
      </c>
      <c r="B31" s="1">
        <v>3</v>
      </c>
      <c r="C31" s="1">
        <v>4</v>
      </c>
      <c r="D31" s="1">
        <v>5</v>
      </c>
    </row>
    <row r="32" spans="1:7" x14ac:dyDescent="0.25">
      <c r="A32" s="1">
        <v>1</v>
      </c>
      <c r="B32" s="1">
        <v>3</v>
      </c>
      <c r="C32" s="1">
        <v>4</v>
      </c>
      <c r="D32" s="1">
        <v>5</v>
      </c>
    </row>
    <row r="33" spans="1:7" x14ac:dyDescent="0.25">
      <c r="A33" s="1">
        <v>3</v>
      </c>
      <c r="B33" s="1">
        <v>1</v>
      </c>
      <c r="C33" s="1">
        <v>3</v>
      </c>
      <c r="D33" s="1">
        <v>4</v>
      </c>
    </row>
    <row r="34" spans="1:7" x14ac:dyDescent="0.25">
      <c r="A34" s="1">
        <v>5</v>
      </c>
      <c r="B34" s="1">
        <v>5</v>
      </c>
      <c r="C34" s="1">
        <v>2</v>
      </c>
      <c r="D34" s="1">
        <v>5</v>
      </c>
      <c r="F34" t="s">
        <v>1</v>
      </c>
      <c r="G34">
        <f>G17/G25</f>
        <v>14.516129032258055</v>
      </c>
    </row>
    <row r="35" spans="1:7" x14ac:dyDescent="0.25">
      <c r="A35" s="1">
        <v>2</v>
      </c>
      <c r="B35" s="1">
        <v>5</v>
      </c>
      <c r="C35" s="1">
        <v>2</v>
      </c>
      <c r="D35" s="1">
        <v>5</v>
      </c>
    </row>
    <row r="36" spans="1:7" x14ac:dyDescent="0.25">
      <c r="A36" s="1">
        <v>3</v>
      </c>
      <c r="B36" s="1">
        <v>4</v>
      </c>
      <c r="C36" s="1">
        <v>5</v>
      </c>
      <c r="D36" s="1">
        <v>5</v>
      </c>
    </row>
    <row r="37" spans="1:7" x14ac:dyDescent="0.25">
      <c r="A37" s="1">
        <v>2</v>
      </c>
      <c r="B37" s="1">
        <v>4</v>
      </c>
      <c r="C37" s="1">
        <v>5</v>
      </c>
      <c r="D37" s="1">
        <v>4</v>
      </c>
      <c r="F37" s="2" t="s">
        <v>26</v>
      </c>
      <c r="G37" s="2"/>
    </row>
    <row r="38" spans="1:7" x14ac:dyDescent="0.25">
      <c r="A38" s="1">
        <v>2</v>
      </c>
      <c r="B38" s="1">
        <v>4</v>
      </c>
      <c r="C38" s="1">
        <v>2</v>
      </c>
      <c r="D38" s="1">
        <v>3</v>
      </c>
      <c r="F38" t="s">
        <v>23</v>
      </c>
    </row>
    <row r="39" spans="1:7" x14ac:dyDescent="0.25">
      <c r="A39" s="1">
        <v>4</v>
      </c>
      <c r="B39" s="1">
        <v>2</v>
      </c>
      <c r="C39" s="1">
        <v>3</v>
      </c>
      <c r="D39" s="1">
        <v>2</v>
      </c>
      <c r="F39" t="s">
        <v>24</v>
      </c>
    </row>
    <row r="40" spans="1:7" x14ac:dyDescent="0.25">
      <c r="A40" s="1">
        <v>5</v>
      </c>
      <c r="B40" s="1">
        <v>4</v>
      </c>
      <c r="C40" s="1">
        <v>2</v>
      </c>
      <c r="D40" s="1">
        <v>4</v>
      </c>
    </row>
    <row r="41" spans="1:7" x14ac:dyDescent="0.25">
      <c r="A41" s="1">
        <v>4</v>
      </c>
      <c r="B41" s="1">
        <v>4</v>
      </c>
      <c r="C41" s="1">
        <v>4</v>
      </c>
      <c r="D41" s="1">
        <v>4</v>
      </c>
    </row>
    <row r="42" spans="1:7" x14ac:dyDescent="0.25">
      <c r="A42" s="1">
        <v>3</v>
      </c>
      <c r="B42" s="1">
        <v>3</v>
      </c>
      <c r="C42" s="1">
        <v>3</v>
      </c>
      <c r="D42" s="1">
        <v>5</v>
      </c>
    </row>
    <row r="43" spans="1:7" x14ac:dyDescent="0.25">
      <c r="A43" s="1">
        <v>3</v>
      </c>
      <c r="B43" s="1">
        <v>3</v>
      </c>
      <c r="C43" s="1">
        <v>3</v>
      </c>
      <c r="D43" s="1">
        <v>4</v>
      </c>
    </row>
    <row r="44" spans="1:7" x14ac:dyDescent="0.25">
      <c r="A44" s="1">
        <v>4</v>
      </c>
      <c r="B44" s="1">
        <v>3</v>
      </c>
      <c r="C44" s="1">
        <v>3</v>
      </c>
      <c r="D44" s="1">
        <v>5</v>
      </c>
      <c r="F44" t="s">
        <v>3</v>
      </c>
      <c r="G44">
        <f>DEVSQ(A:A)+DEVSQ(B:B)+DEVSQ(C:C)+DEVSQ(D:D)</f>
        <v>406.70967741935488</v>
      </c>
    </row>
    <row r="45" spans="1:7" x14ac:dyDescent="0.25">
      <c r="A45" s="1">
        <v>5</v>
      </c>
      <c r="B45" s="1">
        <v>5</v>
      </c>
      <c r="C45" s="1">
        <v>4</v>
      </c>
      <c r="D45" s="1">
        <v>4</v>
      </c>
    </row>
    <row r="46" spans="1:7" x14ac:dyDescent="0.25">
      <c r="A46" s="1">
        <v>2</v>
      </c>
      <c r="B46" s="1">
        <v>3</v>
      </c>
      <c r="C46" s="1">
        <v>5</v>
      </c>
      <c r="D46" s="1">
        <v>5</v>
      </c>
    </row>
    <row r="47" spans="1:7" x14ac:dyDescent="0.25">
      <c r="A47" s="1">
        <v>1</v>
      </c>
      <c r="B47" s="1">
        <v>5</v>
      </c>
      <c r="C47" s="1">
        <v>3</v>
      </c>
      <c r="D47" s="1">
        <v>5</v>
      </c>
      <c r="F47" s="2" t="s">
        <v>25</v>
      </c>
      <c r="G47" s="2"/>
    </row>
    <row r="48" spans="1:7" x14ac:dyDescent="0.25">
      <c r="A48" s="1">
        <v>3</v>
      </c>
      <c r="B48" s="1">
        <v>5</v>
      </c>
      <c r="C48" s="1">
        <v>4</v>
      </c>
      <c r="D48" s="1">
        <v>5</v>
      </c>
      <c r="F48" t="s">
        <v>27</v>
      </c>
      <c r="G48">
        <f>COUNT(A:A,B:B,C:C,D:D)</f>
        <v>372</v>
      </c>
    </row>
    <row r="49" spans="1:7" x14ac:dyDescent="0.25">
      <c r="A49" s="1">
        <v>4</v>
      </c>
      <c r="B49" s="1">
        <v>2</v>
      </c>
      <c r="C49" s="1">
        <v>4</v>
      </c>
      <c r="D49" s="1">
        <v>5</v>
      </c>
      <c r="F49" t="s">
        <v>16</v>
      </c>
      <c r="G49">
        <f>G22</f>
        <v>4</v>
      </c>
    </row>
    <row r="50" spans="1:7" x14ac:dyDescent="0.25">
      <c r="A50" s="1">
        <v>4</v>
      </c>
      <c r="B50" s="1">
        <v>5</v>
      </c>
      <c r="C50" s="1">
        <v>1</v>
      </c>
      <c r="D50" s="1">
        <v>5</v>
      </c>
    </row>
    <row r="51" spans="1:7" x14ac:dyDescent="0.25">
      <c r="A51" s="1">
        <v>5</v>
      </c>
      <c r="B51" s="1">
        <v>3</v>
      </c>
      <c r="C51" s="1">
        <v>4</v>
      </c>
      <c r="D51" s="1">
        <v>5</v>
      </c>
    </row>
    <row r="52" spans="1:7" x14ac:dyDescent="0.25">
      <c r="A52" s="1">
        <v>2</v>
      </c>
      <c r="B52" s="1">
        <v>4</v>
      </c>
      <c r="C52" s="1">
        <v>2</v>
      </c>
      <c r="D52" s="1">
        <v>2</v>
      </c>
    </row>
    <row r="53" spans="1:7" x14ac:dyDescent="0.25">
      <c r="A53" s="1">
        <v>5</v>
      </c>
      <c r="B53" s="1">
        <v>4</v>
      </c>
      <c r="C53" s="1">
        <v>4</v>
      </c>
      <c r="D53" s="1">
        <v>5</v>
      </c>
    </row>
    <row r="54" spans="1:7" x14ac:dyDescent="0.25">
      <c r="A54" s="1">
        <v>3</v>
      </c>
      <c r="B54" s="1">
        <v>2</v>
      </c>
      <c r="C54" s="1">
        <v>3</v>
      </c>
      <c r="D54" s="1">
        <v>4</v>
      </c>
      <c r="F54" t="s">
        <v>4</v>
      </c>
      <c r="G54">
        <f>G48-G49</f>
        <v>368</v>
      </c>
    </row>
    <row r="55" spans="1:7" x14ac:dyDescent="0.25">
      <c r="A55" s="1">
        <v>4</v>
      </c>
      <c r="B55" s="1">
        <v>5</v>
      </c>
      <c r="C55" s="1">
        <v>1</v>
      </c>
      <c r="D55" s="1">
        <v>3</v>
      </c>
    </row>
    <row r="56" spans="1:7" x14ac:dyDescent="0.25">
      <c r="A56" s="1">
        <v>3</v>
      </c>
      <c r="B56" s="1">
        <v>3</v>
      </c>
      <c r="C56" s="1">
        <v>5</v>
      </c>
      <c r="D56" s="1">
        <v>1</v>
      </c>
    </row>
    <row r="57" spans="1:7" x14ac:dyDescent="0.25">
      <c r="A57" s="1">
        <v>3</v>
      </c>
      <c r="B57" s="1">
        <v>1</v>
      </c>
      <c r="C57" s="1">
        <v>5</v>
      </c>
      <c r="D57" s="1">
        <v>4</v>
      </c>
      <c r="F57" s="2" t="s">
        <v>28</v>
      </c>
      <c r="G57" s="2"/>
    </row>
    <row r="58" spans="1:7" x14ac:dyDescent="0.25">
      <c r="A58" s="1">
        <v>2</v>
      </c>
      <c r="B58" s="1">
        <v>3</v>
      </c>
      <c r="C58" s="1">
        <v>4</v>
      </c>
      <c r="D58" s="1">
        <v>3</v>
      </c>
      <c r="F58" t="s">
        <v>29</v>
      </c>
    </row>
    <row r="59" spans="1:7" x14ac:dyDescent="0.25">
      <c r="A59" s="1">
        <v>4</v>
      </c>
      <c r="B59" s="1">
        <v>1</v>
      </c>
      <c r="C59" s="1">
        <v>5</v>
      </c>
      <c r="D59" s="1">
        <v>5</v>
      </c>
    </row>
    <row r="60" spans="1:7" x14ac:dyDescent="0.25">
      <c r="A60" s="1">
        <v>5</v>
      </c>
      <c r="B60" s="1">
        <v>5</v>
      </c>
      <c r="C60" s="1">
        <v>3</v>
      </c>
      <c r="D60" s="1">
        <v>5</v>
      </c>
    </row>
    <row r="61" spans="1:7" x14ac:dyDescent="0.25">
      <c r="A61" s="1">
        <v>5</v>
      </c>
      <c r="B61" s="1">
        <v>4</v>
      </c>
      <c r="C61" s="1">
        <v>2</v>
      </c>
      <c r="D61" s="1">
        <v>5</v>
      </c>
    </row>
    <row r="62" spans="1:7" x14ac:dyDescent="0.25">
      <c r="A62" s="1">
        <v>2</v>
      </c>
      <c r="B62" s="1">
        <v>4</v>
      </c>
      <c r="C62" s="1">
        <v>4</v>
      </c>
      <c r="D62" s="1">
        <v>4</v>
      </c>
    </row>
    <row r="63" spans="1:7" x14ac:dyDescent="0.25">
      <c r="A63" s="1">
        <v>2</v>
      </c>
      <c r="B63" s="1">
        <v>3</v>
      </c>
      <c r="C63" s="1">
        <v>4</v>
      </c>
      <c r="D63" s="1">
        <v>4</v>
      </c>
    </row>
    <row r="64" spans="1:7" x14ac:dyDescent="0.25">
      <c r="A64" s="1">
        <v>3</v>
      </c>
      <c r="B64" s="1">
        <v>1</v>
      </c>
      <c r="C64" s="1">
        <v>4</v>
      </c>
      <c r="D64" s="1">
        <v>5</v>
      </c>
      <c r="F64" t="s">
        <v>5</v>
      </c>
      <c r="G64">
        <f>G44/G54</f>
        <v>1.1051893408134643</v>
      </c>
    </row>
    <row r="65" spans="1:7" x14ac:dyDescent="0.25">
      <c r="A65" s="1">
        <v>3</v>
      </c>
      <c r="B65" s="1">
        <v>4</v>
      </c>
      <c r="C65" s="1">
        <v>3</v>
      </c>
      <c r="D65" s="1">
        <v>5</v>
      </c>
    </row>
    <row r="66" spans="1:7" x14ac:dyDescent="0.25">
      <c r="A66" s="1">
        <v>3</v>
      </c>
      <c r="B66" s="1">
        <v>3</v>
      </c>
      <c r="C66" s="1">
        <v>5</v>
      </c>
      <c r="D66" s="1">
        <v>4</v>
      </c>
    </row>
    <row r="67" spans="1:7" x14ac:dyDescent="0.25">
      <c r="A67" s="1">
        <v>4</v>
      </c>
      <c r="B67" s="1">
        <v>4</v>
      </c>
      <c r="C67" s="1">
        <v>3</v>
      </c>
      <c r="D67" s="1">
        <v>5</v>
      </c>
      <c r="F67" s="2" t="s">
        <v>30</v>
      </c>
      <c r="G67" s="2"/>
    </row>
    <row r="68" spans="1:7" x14ac:dyDescent="0.25">
      <c r="A68" s="1">
        <v>2</v>
      </c>
      <c r="B68" s="1">
        <v>3</v>
      </c>
      <c r="C68" s="1">
        <v>3</v>
      </c>
      <c r="D68" s="1">
        <v>4</v>
      </c>
      <c r="F68" t="s">
        <v>31</v>
      </c>
    </row>
    <row r="69" spans="1:7" x14ac:dyDescent="0.25">
      <c r="A69" s="1">
        <v>4</v>
      </c>
      <c r="B69" s="1">
        <v>3</v>
      </c>
      <c r="C69" s="1">
        <v>3</v>
      </c>
      <c r="D69" s="1">
        <v>4</v>
      </c>
      <c r="F69" t="s">
        <v>32</v>
      </c>
    </row>
    <row r="70" spans="1:7" x14ac:dyDescent="0.25">
      <c r="A70" s="1">
        <v>4</v>
      </c>
      <c r="B70" s="1">
        <v>1</v>
      </c>
      <c r="C70" s="1">
        <v>4</v>
      </c>
      <c r="D70" s="1">
        <v>4</v>
      </c>
    </row>
    <row r="71" spans="1:7" x14ac:dyDescent="0.25">
      <c r="A71" s="1">
        <v>3</v>
      </c>
      <c r="B71" s="1">
        <v>3</v>
      </c>
      <c r="C71" s="1">
        <v>3</v>
      </c>
      <c r="D71" s="1">
        <v>3</v>
      </c>
    </row>
    <row r="72" spans="1:7" x14ac:dyDescent="0.25">
      <c r="A72" s="1">
        <v>5</v>
      </c>
      <c r="B72" s="1">
        <v>4</v>
      </c>
      <c r="C72" s="1">
        <v>5</v>
      </c>
      <c r="D72" s="1">
        <v>3</v>
      </c>
    </row>
    <row r="73" spans="1:7" x14ac:dyDescent="0.25">
      <c r="A73" s="1">
        <v>4</v>
      </c>
      <c r="B73" s="1">
        <v>5</v>
      </c>
      <c r="C73" s="1">
        <v>4</v>
      </c>
      <c r="D73" s="1">
        <v>4</v>
      </c>
    </row>
    <row r="74" spans="1:7" x14ac:dyDescent="0.25">
      <c r="A74" s="1">
        <v>3</v>
      </c>
      <c r="B74" s="1">
        <v>5</v>
      </c>
      <c r="C74" s="1">
        <v>2</v>
      </c>
      <c r="D74" s="1">
        <v>4</v>
      </c>
      <c r="F74" t="s">
        <v>2</v>
      </c>
      <c r="G74">
        <f>G34/G64</f>
        <v>13.134517766497453</v>
      </c>
    </row>
    <row r="75" spans="1:7" x14ac:dyDescent="0.25">
      <c r="A75" s="1">
        <v>5</v>
      </c>
      <c r="B75" s="1">
        <v>4</v>
      </c>
      <c r="C75" s="1">
        <v>3</v>
      </c>
      <c r="D75" s="1">
        <v>4</v>
      </c>
    </row>
    <row r="76" spans="1:7" x14ac:dyDescent="0.25">
      <c r="A76" s="1">
        <v>3</v>
      </c>
      <c r="B76" s="1">
        <v>4</v>
      </c>
      <c r="C76" s="1">
        <v>5</v>
      </c>
      <c r="D76" s="1">
        <v>5</v>
      </c>
    </row>
    <row r="77" spans="1:7" x14ac:dyDescent="0.25">
      <c r="A77" s="1">
        <v>4</v>
      </c>
      <c r="B77" s="1">
        <v>2</v>
      </c>
      <c r="C77" s="1">
        <v>4</v>
      </c>
      <c r="D77" s="1">
        <v>5</v>
      </c>
      <c r="F77" s="2" t="s">
        <v>35</v>
      </c>
      <c r="G77" s="2"/>
    </row>
    <row r="78" spans="1:7" x14ac:dyDescent="0.25">
      <c r="A78" s="1">
        <v>4</v>
      </c>
      <c r="B78" s="1">
        <v>3</v>
      </c>
      <c r="C78" s="1">
        <v>4</v>
      </c>
      <c r="D78" s="1">
        <v>5</v>
      </c>
    </row>
    <row r="79" spans="1:7" x14ac:dyDescent="0.25">
      <c r="A79" s="1">
        <v>4</v>
      </c>
      <c r="B79" s="1">
        <v>3</v>
      </c>
      <c r="C79" s="1">
        <v>4</v>
      </c>
      <c r="D79" s="1">
        <v>5</v>
      </c>
      <c r="F79" s="4" t="s">
        <v>33</v>
      </c>
      <c r="G79">
        <v>0.05</v>
      </c>
    </row>
    <row r="80" spans="1:7" x14ac:dyDescent="0.25">
      <c r="A80" s="1">
        <v>4</v>
      </c>
      <c r="B80" s="1">
        <v>5</v>
      </c>
      <c r="C80" s="1">
        <v>4</v>
      </c>
      <c r="D80" s="1">
        <v>4</v>
      </c>
      <c r="F80" t="s">
        <v>0</v>
      </c>
      <c r="G80">
        <f xml:space="preserve"> G25</f>
        <v>3</v>
      </c>
    </row>
    <row r="81" spans="1:7" x14ac:dyDescent="0.25">
      <c r="A81" s="1">
        <v>3</v>
      </c>
      <c r="B81" s="1">
        <v>2</v>
      </c>
      <c r="C81" s="1">
        <v>5</v>
      </c>
      <c r="D81" s="1">
        <v>3</v>
      </c>
      <c r="F81" t="s">
        <v>4</v>
      </c>
      <c r="G81">
        <f xml:space="preserve"> G54</f>
        <v>368</v>
      </c>
    </row>
    <row r="82" spans="1:7" x14ac:dyDescent="0.25">
      <c r="A82" s="1">
        <v>4</v>
      </c>
      <c r="B82" s="1">
        <v>3</v>
      </c>
      <c r="C82" s="1">
        <v>3</v>
      </c>
      <c r="D82" s="1">
        <v>5</v>
      </c>
      <c r="F82" t="s">
        <v>34</v>
      </c>
      <c r="G82">
        <f>FINV(G79, G80, G81)</f>
        <v>2.6291647929246422</v>
      </c>
    </row>
    <row r="83" spans="1:7" x14ac:dyDescent="0.25">
      <c r="A83" s="1">
        <v>3</v>
      </c>
      <c r="B83" s="1">
        <v>5</v>
      </c>
      <c r="C83" s="1">
        <v>3</v>
      </c>
      <c r="D83" s="1">
        <v>5</v>
      </c>
      <c r="F83" t="s">
        <v>36</v>
      </c>
      <c r="G83">
        <f>_xlfn.F.DIST.RT(G74, G80, G81)</f>
        <v>3.6350587183564484E-8</v>
      </c>
    </row>
    <row r="84" spans="1:7" x14ac:dyDescent="0.25">
      <c r="A84" s="1">
        <v>3</v>
      </c>
      <c r="B84" s="1">
        <v>3</v>
      </c>
      <c r="C84" s="1">
        <v>3</v>
      </c>
      <c r="D84" s="1">
        <v>2</v>
      </c>
    </row>
    <row r="85" spans="1:7" x14ac:dyDescent="0.25">
      <c r="A85" s="1">
        <v>3</v>
      </c>
      <c r="B85" s="1">
        <v>3</v>
      </c>
      <c r="C85" s="1">
        <v>3</v>
      </c>
      <c r="D85" s="1">
        <v>5</v>
      </c>
      <c r="F85" s="2" t="s">
        <v>6</v>
      </c>
      <c r="G85" s="2"/>
    </row>
    <row r="86" spans="1:7" x14ac:dyDescent="0.25">
      <c r="A86" s="1">
        <v>1</v>
      </c>
      <c r="B86" s="1">
        <v>5</v>
      </c>
      <c r="C86" s="1">
        <v>5</v>
      </c>
      <c r="D86" s="1">
        <v>4</v>
      </c>
    </row>
    <row r="87" spans="1:7" x14ac:dyDescent="0.25">
      <c r="A87" s="1">
        <v>3</v>
      </c>
      <c r="B87" s="1">
        <v>3</v>
      </c>
      <c r="C87" s="1">
        <v>1</v>
      </c>
      <c r="D87" s="1">
        <v>4</v>
      </c>
      <c r="F87" t="s">
        <v>40</v>
      </c>
    </row>
    <row r="88" spans="1:7" x14ac:dyDescent="0.25">
      <c r="A88" s="1">
        <v>4</v>
      </c>
      <c r="B88" s="1">
        <v>3</v>
      </c>
      <c r="C88" s="1">
        <v>2</v>
      </c>
      <c r="D88" s="1">
        <v>4</v>
      </c>
      <c r="F88" t="s">
        <v>41</v>
      </c>
    </row>
    <row r="89" spans="1:7" x14ac:dyDescent="0.25">
      <c r="A89" s="1">
        <v>5</v>
      </c>
      <c r="B89" s="1">
        <v>4</v>
      </c>
      <c r="C89" s="1">
        <v>2</v>
      </c>
      <c r="D89" s="1">
        <v>5</v>
      </c>
    </row>
    <row r="90" spans="1:7" x14ac:dyDescent="0.25">
      <c r="A90" s="1">
        <v>4</v>
      </c>
      <c r="B90" s="1">
        <v>1</v>
      </c>
      <c r="C90" s="1">
        <v>2</v>
      </c>
      <c r="D90" s="1">
        <v>5</v>
      </c>
      <c r="F90" t="str">
        <f>"Si F calculado ("&amp;G74&amp;") &gt; F critico ("&amp;G82&amp;") ---&gt; Se rechaza la hipotesis nula"</f>
        <v>Si F calculado (13.1345177664975) &gt; F critico (2.62916479292464) ---&gt; Se rechaza la hipotesis nula</v>
      </c>
    </row>
    <row r="91" spans="1:7" x14ac:dyDescent="0.25">
      <c r="A91" s="1">
        <v>3</v>
      </c>
      <c r="B91" s="1">
        <v>2</v>
      </c>
      <c r="C91" s="1">
        <v>2</v>
      </c>
      <c r="D91" s="1">
        <v>5</v>
      </c>
      <c r="F91" t="str">
        <f>"Si p-valor ("&amp;G83&amp;") &lt; α Nivel Significancia ("&amp;G79&amp;") ---&gt; Se rechaza la hipotesis nula"</f>
        <v>Si p-valor (3.63505871835645E-08) &lt; α Nivel Significancia (0.05) ---&gt; Se rechaza la hipotesis nula</v>
      </c>
    </row>
    <row r="92" spans="1:7" x14ac:dyDescent="0.25">
      <c r="A92" s="1">
        <v>5</v>
      </c>
      <c r="B92" s="1">
        <v>3</v>
      </c>
      <c r="C92" s="1">
        <v>3</v>
      </c>
      <c r="D92" s="1">
        <v>4</v>
      </c>
    </row>
    <row r="93" spans="1:7" x14ac:dyDescent="0.25">
      <c r="A93" s="1">
        <v>3</v>
      </c>
      <c r="B93" s="1">
        <v>3</v>
      </c>
      <c r="C93" s="1">
        <v>4</v>
      </c>
      <c r="D93" s="1">
        <v>4</v>
      </c>
    </row>
    <row r="94" spans="1:7" x14ac:dyDescent="0.25">
      <c r="A94" s="1">
        <v>3</v>
      </c>
      <c r="B94" s="1">
        <v>4</v>
      </c>
      <c r="C94" s="1">
        <v>3</v>
      </c>
      <c r="D94" s="1">
        <v>5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55" zoomScale="70" zoomScaleNormal="70" workbookViewId="0">
      <selection activeCell="M93" sqref="M93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 s="1">
        <v>3</v>
      </c>
      <c r="B2" s="1">
        <v>4</v>
      </c>
      <c r="C2" s="1">
        <v>2</v>
      </c>
      <c r="D2" s="1">
        <v>5</v>
      </c>
      <c r="F2" s="2" t="s">
        <v>13</v>
      </c>
      <c r="G2" s="2"/>
    </row>
    <row r="3" spans="1:7" x14ac:dyDescent="0.25">
      <c r="A3" s="1">
        <v>3</v>
      </c>
      <c r="B3" s="1">
        <v>5</v>
      </c>
      <c r="C3" s="1">
        <v>3</v>
      </c>
      <c r="D3" s="1">
        <v>5</v>
      </c>
      <c r="F3" t="s">
        <v>14</v>
      </c>
      <c r="G3">
        <f>COUNT(A:A)</f>
        <v>93</v>
      </c>
    </row>
    <row r="4" spans="1:7" x14ac:dyDescent="0.25">
      <c r="A4" s="1">
        <v>4</v>
      </c>
      <c r="B4" s="1">
        <v>2</v>
      </c>
      <c r="C4" s="1">
        <v>3</v>
      </c>
      <c r="D4" s="1">
        <v>4</v>
      </c>
      <c r="F4" t="s">
        <v>7</v>
      </c>
      <c r="G4">
        <f>AVERAGE(A:A)</f>
        <v>3.161290322580645</v>
      </c>
    </row>
    <row r="5" spans="1:7" x14ac:dyDescent="0.25">
      <c r="A5" s="1">
        <v>4</v>
      </c>
      <c r="B5" s="1">
        <v>4</v>
      </c>
      <c r="C5" s="1">
        <v>4</v>
      </c>
      <c r="D5" s="1">
        <v>3</v>
      </c>
      <c r="F5" t="s">
        <v>8</v>
      </c>
      <c r="G5">
        <f>AVERAGE(B:B)</f>
        <v>3.236559139784946</v>
      </c>
    </row>
    <row r="6" spans="1:7" x14ac:dyDescent="0.25">
      <c r="A6" s="1">
        <v>2</v>
      </c>
      <c r="B6" s="1">
        <v>4</v>
      </c>
      <c r="C6" s="1">
        <v>4</v>
      </c>
      <c r="D6" s="1">
        <v>3</v>
      </c>
      <c r="F6" t="s">
        <v>9</v>
      </c>
      <c r="G6">
        <f>AVERAGE(C:C)</f>
        <v>3.5591397849462365</v>
      </c>
    </row>
    <row r="7" spans="1:7" x14ac:dyDescent="0.25">
      <c r="A7" s="1">
        <v>2</v>
      </c>
      <c r="B7" s="1">
        <v>5</v>
      </c>
      <c r="C7" s="1">
        <v>2</v>
      </c>
      <c r="D7" s="1">
        <v>4</v>
      </c>
      <c r="F7" t="s">
        <v>10</v>
      </c>
      <c r="G7">
        <f>AVERAGE(D:D)</f>
        <v>4.086021505376344</v>
      </c>
    </row>
    <row r="8" spans="1:7" x14ac:dyDescent="0.25">
      <c r="A8" s="1">
        <v>3</v>
      </c>
      <c r="B8" s="1">
        <v>4</v>
      </c>
      <c r="C8" s="1">
        <v>3</v>
      </c>
      <c r="D8" s="1">
        <v>4</v>
      </c>
      <c r="F8" t="s">
        <v>15</v>
      </c>
      <c r="G8">
        <f>AVERAGE(G4:G7)</f>
        <v>3.510752688172043</v>
      </c>
    </row>
    <row r="9" spans="1:7" x14ac:dyDescent="0.25">
      <c r="A9" s="1">
        <v>4</v>
      </c>
      <c r="B9" s="1">
        <v>3</v>
      </c>
      <c r="C9" s="1">
        <v>3</v>
      </c>
      <c r="D9" s="1">
        <v>5</v>
      </c>
    </row>
    <row r="10" spans="1:7" x14ac:dyDescent="0.25">
      <c r="A10" s="1">
        <v>3</v>
      </c>
      <c r="B10" s="1">
        <v>3</v>
      </c>
      <c r="C10" s="1">
        <v>4</v>
      </c>
      <c r="D10" s="1">
        <v>4</v>
      </c>
    </row>
    <row r="11" spans="1:7" x14ac:dyDescent="0.25">
      <c r="A11" s="1">
        <v>4</v>
      </c>
      <c r="B11" s="1">
        <v>4</v>
      </c>
      <c r="C11" s="1">
        <v>3</v>
      </c>
      <c r="D11" s="1">
        <v>4</v>
      </c>
      <c r="F11" s="2" t="s">
        <v>12</v>
      </c>
      <c r="G11" s="2"/>
    </row>
    <row r="12" spans="1:7" x14ac:dyDescent="0.25">
      <c r="A12" s="1">
        <v>5</v>
      </c>
      <c r="B12" s="1">
        <v>2</v>
      </c>
      <c r="C12" s="1">
        <v>4</v>
      </c>
      <c r="D12" s="1">
        <v>5</v>
      </c>
      <c r="F12" s="3" t="s">
        <v>17</v>
      </c>
    </row>
    <row r="13" spans="1:7" x14ac:dyDescent="0.25">
      <c r="A13" s="1">
        <v>1</v>
      </c>
      <c r="B13" s="1">
        <v>2</v>
      </c>
      <c r="C13" s="1">
        <v>3</v>
      </c>
      <c r="D13" s="1">
        <v>4</v>
      </c>
      <c r="F13" s="3" t="s">
        <v>18</v>
      </c>
    </row>
    <row r="14" spans="1:7" x14ac:dyDescent="0.25">
      <c r="A14" s="1">
        <v>5</v>
      </c>
      <c r="B14" s="1">
        <v>2</v>
      </c>
      <c r="C14" s="1">
        <v>4</v>
      </c>
      <c r="D14" s="1">
        <v>4</v>
      </c>
    </row>
    <row r="15" spans="1:7" x14ac:dyDescent="0.25">
      <c r="A15" s="1">
        <v>1</v>
      </c>
      <c r="B15" s="1">
        <v>4</v>
      </c>
      <c r="C15" s="1">
        <v>4</v>
      </c>
      <c r="D15" s="1">
        <v>5</v>
      </c>
    </row>
    <row r="16" spans="1:7" x14ac:dyDescent="0.25">
      <c r="A16" s="1">
        <v>4</v>
      </c>
      <c r="B16" s="1">
        <v>4</v>
      </c>
      <c r="C16" s="1">
        <v>3</v>
      </c>
      <c r="D16" s="1">
        <v>2</v>
      </c>
    </row>
    <row r="17" spans="1:7" x14ac:dyDescent="0.25">
      <c r="A17" s="1">
        <v>4</v>
      </c>
      <c r="B17" s="1">
        <v>1</v>
      </c>
      <c r="C17" s="1">
        <v>2</v>
      </c>
      <c r="D17" s="1">
        <v>5</v>
      </c>
      <c r="F17" t="s">
        <v>11</v>
      </c>
      <c r="G17">
        <f>G3*((G4-G8)^2+(G5-G8)^2+(G6-G8)^2+(G7-G8)^2)</f>
        <v>49.34408602150539</v>
      </c>
    </row>
    <row r="18" spans="1:7" x14ac:dyDescent="0.25">
      <c r="A18" s="1">
        <v>3</v>
      </c>
      <c r="B18" s="1">
        <v>2</v>
      </c>
      <c r="C18" s="1">
        <v>5</v>
      </c>
      <c r="D18" s="1">
        <v>5</v>
      </c>
    </row>
    <row r="19" spans="1:7" x14ac:dyDescent="0.25">
      <c r="A19" s="1">
        <v>2</v>
      </c>
      <c r="B19" s="1">
        <v>5</v>
      </c>
      <c r="C19" s="1">
        <v>2</v>
      </c>
      <c r="D19" s="1">
        <v>5</v>
      </c>
    </row>
    <row r="20" spans="1:7" x14ac:dyDescent="0.25">
      <c r="A20" s="1">
        <v>3</v>
      </c>
      <c r="B20" s="1">
        <v>5</v>
      </c>
      <c r="C20" s="1">
        <v>4</v>
      </c>
      <c r="D20" s="1">
        <v>3</v>
      </c>
      <c r="F20" s="2" t="s">
        <v>19</v>
      </c>
      <c r="G20" s="2"/>
    </row>
    <row r="21" spans="1:7" x14ac:dyDescent="0.25">
      <c r="A21" s="1">
        <v>2</v>
      </c>
      <c r="B21" s="1">
        <v>4</v>
      </c>
      <c r="C21" s="1">
        <v>4</v>
      </c>
      <c r="D21" s="1">
        <v>4</v>
      </c>
      <c r="F21" t="s">
        <v>20</v>
      </c>
    </row>
    <row r="22" spans="1:7" x14ac:dyDescent="0.25">
      <c r="A22" s="1">
        <v>3</v>
      </c>
      <c r="B22" s="1">
        <v>2</v>
      </c>
      <c r="C22" s="1">
        <v>5</v>
      </c>
      <c r="D22" s="1">
        <v>5</v>
      </c>
      <c r="F22" t="s">
        <v>16</v>
      </c>
      <c r="G22">
        <v>4</v>
      </c>
    </row>
    <row r="23" spans="1:7" x14ac:dyDescent="0.25">
      <c r="A23" s="1">
        <v>3</v>
      </c>
      <c r="B23" s="1">
        <v>3</v>
      </c>
      <c r="C23" s="1">
        <v>4</v>
      </c>
      <c r="D23" s="1">
        <v>4</v>
      </c>
    </row>
    <row r="24" spans="1:7" x14ac:dyDescent="0.25">
      <c r="A24" s="1">
        <v>2</v>
      </c>
      <c r="B24" s="1">
        <v>3</v>
      </c>
      <c r="C24" s="1">
        <v>3</v>
      </c>
      <c r="D24" s="1">
        <v>5</v>
      </c>
    </row>
    <row r="25" spans="1:7" x14ac:dyDescent="0.25">
      <c r="A25" s="1">
        <v>4</v>
      </c>
      <c r="B25" s="1">
        <v>5</v>
      </c>
      <c r="C25" s="1">
        <v>5</v>
      </c>
      <c r="D25" s="1">
        <v>3</v>
      </c>
      <c r="F25" t="s">
        <v>0</v>
      </c>
      <c r="G25">
        <f>G22-1</f>
        <v>3</v>
      </c>
    </row>
    <row r="26" spans="1:7" x14ac:dyDescent="0.25">
      <c r="A26" s="1">
        <v>3</v>
      </c>
      <c r="B26" s="1">
        <v>3</v>
      </c>
      <c r="C26" s="1">
        <v>3</v>
      </c>
      <c r="D26" s="1">
        <v>4</v>
      </c>
    </row>
    <row r="27" spans="1:7" x14ac:dyDescent="0.25">
      <c r="A27" s="1">
        <v>4</v>
      </c>
      <c r="B27" s="1">
        <v>2</v>
      </c>
      <c r="C27" s="1">
        <v>2</v>
      </c>
      <c r="D27" s="1">
        <v>5</v>
      </c>
    </row>
    <row r="28" spans="1:7" x14ac:dyDescent="0.25">
      <c r="A28" s="1">
        <v>1</v>
      </c>
      <c r="B28" s="1">
        <v>4</v>
      </c>
      <c r="C28" s="1">
        <v>5</v>
      </c>
      <c r="D28" s="1">
        <v>2</v>
      </c>
      <c r="F28" s="2" t="s">
        <v>21</v>
      </c>
      <c r="G28" s="2"/>
    </row>
    <row r="29" spans="1:7" x14ac:dyDescent="0.25">
      <c r="A29" s="1">
        <v>1</v>
      </c>
      <c r="B29" s="1">
        <v>2</v>
      </c>
      <c r="C29" s="1">
        <v>3</v>
      </c>
      <c r="D29" s="1">
        <v>5</v>
      </c>
      <c r="F29" t="s">
        <v>22</v>
      </c>
    </row>
    <row r="30" spans="1:7" x14ac:dyDescent="0.25">
      <c r="A30" s="1">
        <v>5</v>
      </c>
      <c r="B30" s="1">
        <v>1</v>
      </c>
      <c r="C30" s="1">
        <v>4</v>
      </c>
      <c r="D30" s="1">
        <v>5</v>
      </c>
    </row>
    <row r="31" spans="1:7" x14ac:dyDescent="0.25">
      <c r="A31" s="1">
        <v>3</v>
      </c>
      <c r="B31" s="1">
        <v>4</v>
      </c>
      <c r="C31" s="1">
        <v>3</v>
      </c>
      <c r="D31" s="1">
        <v>4</v>
      </c>
    </row>
    <row r="32" spans="1:7" x14ac:dyDescent="0.25">
      <c r="A32" s="1">
        <v>1</v>
      </c>
      <c r="B32" s="1">
        <v>3</v>
      </c>
      <c r="C32" s="1">
        <v>4</v>
      </c>
      <c r="D32" s="1">
        <v>1</v>
      </c>
    </row>
    <row r="33" spans="1:7" x14ac:dyDescent="0.25">
      <c r="A33" s="1">
        <v>4</v>
      </c>
      <c r="B33" s="1">
        <v>4</v>
      </c>
      <c r="C33" s="1">
        <v>5</v>
      </c>
      <c r="D33" s="1">
        <v>5</v>
      </c>
    </row>
    <row r="34" spans="1:7" x14ac:dyDescent="0.25">
      <c r="A34" s="1">
        <v>3</v>
      </c>
      <c r="B34" s="1">
        <v>2</v>
      </c>
      <c r="C34" s="1">
        <v>5</v>
      </c>
      <c r="D34" s="1">
        <v>5</v>
      </c>
      <c r="F34" t="s">
        <v>1</v>
      </c>
      <c r="G34">
        <f>G17/G25</f>
        <v>16.448028673835129</v>
      </c>
    </row>
    <row r="35" spans="1:7" x14ac:dyDescent="0.25">
      <c r="A35" s="1">
        <v>1</v>
      </c>
      <c r="B35" s="1">
        <v>3</v>
      </c>
      <c r="C35" s="1">
        <v>5</v>
      </c>
      <c r="D35" s="1">
        <v>5</v>
      </c>
    </row>
    <row r="36" spans="1:7" x14ac:dyDescent="0.25">
      <c r="A36" s="1">
        <v>5</v>
      </c>
      <c r="B36" s="1">
        <v>3</v>
      </c>
      <c r="C36" s="1">
        <v>5</v>
      </c>
      <c r="D36" s="1">
        <v>4</v>
      </c>
    </row>
    <row r="37" spans="1:7" x14ac:dyDescent="0.25">
      <c r="A37" s="1">
        <v>3</v>
      </c>
      <c r="B37" s="1">
        <v>2</v>
      </c>
      <c r="C37" s="1">
        <v>3</v>
      </c>
      <c r="D37" s="1">
        <v>5</v>
      </c>
      <c r="F37" s="2" t="s">
        <v>26</v>
      </c>
      <c r="G37" s="2"/>
    </row>
    <row r="38" spans="1:7" x14ac:dyDescent="0.25">
      <c r="A38" s="1">
        <v>4</v>
      </c>
      <c r="B38" s="1">
        <v>4</v>
      </c>
      <c r="C38" s="1">
        <v>2</v>
      </c>
      <c r="D38" s="1">
        <v>4</v>
      </c>
      <c r="F38" t="s">
        <v>23</v>
      </c>
    </row>
    <row r="39" spans="1:7" x14ac:dyDescent="0.25">
      <c r="A39" s="1">
        <v>1</v>
      </c>
      <c r="B39" s="1">
        <v>1</v>
      </c>
      <c r="C39" s="1">
        <v>2</v>
      </c>
      <c r="D39" s="1">
        <v>1</v>
      </c>
      <c r="F39" t="s">
        <v>24</v>
      </c>
    </row>
    <row r="40" spans="1:7" x14ac:dyDescent="0.25">
      <c r="A40" s="1">
        <v>1</v>
      </c>
      <c r="B40" s="1">
        <v>3</v>
      </c>
      <c r="C40" s="1">
        <v>3</v>
      </c>
      <c r="D40" s="1">
        <v>4</v>
      </c>
    </row>
    <row r="41" spans="1:7" x14ac:dyDescent="0.25">
      <c r="A41" s="1">
        <v>1</v>
      </c>
      <c r="B41" s="1">
        <v>5</v>
      </c>
      <c r="C41" s="1">
        <v>5</v>
      </c>
      <c r="D41" s="1">
        <v>5</v>
      </c>
    </row>
    <row r="42" spans="1:7" x14ac:dyDescent="0.25">
      <c r="A42" s="1">
        <v>4</v>
      </c>
      <c r="B42" s="1">
        <v>3</v>
      </c>
      <c r="C42" s="1">
        <v>4</v>
      </c>
      <c r="D42" s="1">
        <v>5</v>
      </c>
    </row>
    <row r="43" spans="1:7" x14ac:dyDescent="0.25">
      <c r="A43" s="1">
        <v>2</v>
      </c>
      <c r="B43" s="1">
        <v>2</v>
      </c>
      <c r="C43" s="1">
        <v>4</v>
      </c>
      <c r="D43" s="1">
        <v>5</v>
      </c>
    </row>
    <row r="44" spans="1:7" x14ac:dyDescent="0.25">
      <c r="A44" s="1">
        <v>2</v>
      </c>
      <c r="B44" s="1">
        <v>4</v>
      </c>
      <c r="C44" s="1">
        <v>4</v>
      </c>
      <c r="D44" s="1">
        <v>3</v>
      </c>
      <c r="F44" t="s">
        <v>3</v>
      </c>
      <c r="G44">
        <f>DEVSQ(A:A)+DEVSQ(B:B)+DEVSQ(C:C)+DEVSQ(D:D)</f>
        <v>481.61290322580635</v>
      </c>
    </row>
    <row r="45" spans="1:7" x14ac:dyDescent="0.25">
      <c r="A45" s="1">
        <v>4</v>
      </c>
      <c r="B45" s="1">
        <v>2</v>
      </c>
      <c r="C45" s="1">
        <v>3</v>
      </c>
      <c r="D45" s="1">
        <v>5</v>
      </c>
    </row>
    <row r="46" spans="1:7" x14ac:dyDescent="0.25">
      <c r="A46" s="1">
        <v>2</v>
      </c>
      <c r="B46" s="1">
        <v>2</v>
      </c>
      <c r="C46" s="1">
        <v>3</v>
      </c>
      <c r="D46" s="1">
        <v>5</v>
      </c>
    </row>
    <row r="47" spans="1:7" x14ac:dyDescent="0.25">
      <c r="A47" s="1">
        <v>5</v>
      </c>
      <c r="B47" s="1">
        <v>4</v>
      </c>
      <c r="C47" s="1">
        <v>4</v>
      </c>
      <c r="D47" s="1">
        <v>4</v>
      </c>
      <c r="F47" s="2" t="s">
        <v>25</v>
      </c>
      <c r="G47" s="2"/>
    </row>
    <row r="48" spans="1:7" x14ac:dyDescent="0.25">
      <c r="A48" s="1">
        <v>3</v>
      </c>
      <c r="B48" s="1">
        <v>1</v>
      </c>
      <c r="C48" s="1">
        <v>4</v>
      </c>
      <c r="D48" s="1">
        <v>4</v>
      </c>
      <c r="F48" t="s">
        <v>27</v>
      </c>
      <c r="G48">
        <f>COUNT(A:A,B:B,C:C,D:D)</f>
        <v>372</v>
      </c>
    </row>
    <row r="49" spans="1:7" x14ac:dyDescent="0.25">
      <c r="A49" s="1">
        <v>4</v>
      </c>
      <c r="B49" s="1">
        <v>5</v>
      </c>
      <c r="C49" s="1">
        <v>2</v>
      </c>
      <c r="D49" s="1">
        <v>4</v>
      </c>
      <c r="F49" t="s">
        <v>16</v>
      </c>
      <c r="G49">
        <f>G22</f>
        <v>4</v>
      </c>
    </row>
    <row r="50" spans="1:7" x14ac:dyDescent="0.25">
      <c r="A50" s="1">
        <v>5</v>
      </c>
      <c r="B50" s="1">
        <v>4</v>
      </c>
      <c r="C50" s="1">
        <v>3</v>
      </c>
      <c r="D50" s="1">
        <v>5</v>
      </c>
    </row>
    <row r="51" spans="1:7" x14ac:dyDescent="0.25">
      <c r="A51" s="1">
        <v>5</v>
      </c>
      <c r="B51" s="1">
        <v>5</v>
      </c>
      <c r="C51" s="1">
        <v>4</v>
      </c>
      <c r="D51" s="1">
        <v>3</v>
      </c>
    </row>
    <row r="52" spans="1:7" x14ac:dyDescent="0.25">
      <c r="A52" s="1">
        <v>3</v>
      </c>
      <c r="B52" s="1">
        <v>2</v>
      </c>
      <c r="C52" s="1">
        <v>2</v>
      </c>
      <c r="D52" s="1">
        <v>2</v>
      </c>
    </row>
    <row r="53" spans="1:7" x14ac:dyDescent="0.25">
      <c r="A53" s="1">
        <v>4</v>
      </c>
      <c r="B53" s="1">
        <v>3</v>
      </c>
      <c r="C53" s="1">
        <v>1</v>
      </c>
      <c r="D53" s="1">
        <v>4</v>
      </c>
    </row>
    <row r="54" spans="1:7" x14ac:dyDescent="0.25">
      <c r="A54" s="1">
        <v>3</v>
      </c>
      <c r="B54" s="1">
        <v>5</v>
      </c>
      <c r="C54" s="1">
        <v>4</v>
      </c>
      <c r="D54" s="1">
        <v>2</v>
      </c>
      <c r="F54" t="s">
        <v>4</v>
      </c>
      <c r="G54">
        <f>G48-G49</f>
        <v>368</v>
      </c>
    </row>
    <row r="55" spans="1:7" x14ac:dyDescent="0.25">
      <c r="A55" s="1">
        <v>5</v>
      </c>
      <c r="B55" s="1">
        <v>4</v>
      </c>
      <c r="C55" s="1">
        <v>4</v>
      </c>
      <c r="D55" s="1">
        <v>5</v>
      </c>
    </row>
    <row r="56" spans="1:7" x14ac:dyDescent="0.25">
      <c r="A56" s="1">
        <v>4</v>
      </c>
      <c r="B56" s="1">
        <v>3</v>
      </c>
      <c r="C56" s="1">
        <v>3</v>
      </c>
      <c r="D56" s="1">
        <v>4</v>
      </c>
    </row>
    <row r="57" spans="1:7" x14ac:dyDescent="0.25">
      <c r="A57" s="1">
        <v>3</v>
      </c>
      <c r="B57" s="1">
        <v>5</v>
      </c>
      <c r="C57" s="1">
        <v>1</v>
      </c>
      <c r="D57" s="1">
        <v>4</v>
      </c>
      <c r="F57" s="2" t="s">
        <v>28</v>
      </c>
      <c r="G57" s="2"/>
    </row>
    <row r="58" spans="1:7" x14ac:dyDescent="0.25">
      <c r="A58" s="1">
        <v>2</v>
      </c>
      <c r="B58" s="1">
        <v>2</v>
      </c>
      <c r="C58" s="1">
        <v>2</v>
      </c>
      <c r="D58" s="1">
        <v>4</v>
      </c>
      <c r="F58" t="s">
        <v>29</v>
      </c>
    </row>
    <row r="59" spans="1:7" x14ac:dyDescent="0.25">
      <c r="A59" s="1">
        <v>4</v>
      </c>
      <c r="B59" s="1">
        <v>2</v>
      </c>
      <c r="C59" s="1">
        <v>5</v>
      </c>
      <c r="D59" s="1">
        <v>5</v>
      </c>
    </row>
    <row r="60" spans="1:7" x14ac:dyDescent="0.25">
      <c r="A60" s="1">
        <v>3</v>
      </c>
      <c r="B60" s="1">
        <v>3</v>
      </c>
      <c r="C60" s="1">
        <v>4</v>
      </c>
      <c r="D60" s="1">
        <v>5</v>
      </c>
    </row>
    <row r="61" spans="1:7" x14ac:dyDescent="0.25">
      <c r="A61" s="1">
        <v>2</v>
      </c>
      <c r="B61" s="1">
        <v>1</v>
      </c>
      <c r="C61" s="1">
        <v>3</v>
      </c>
      <c r="D61" s="1">
        <v>5</v>
      </c>
    </row>
    <row r="62" spans="1:7" x14ac:dyDescent="0.25">
      <c r="A62" s="1">
        <v>3</v>
      </c>
      <c r="B62" s="1">
        <v>4</v>
      </c>
      <c r="C62" s="1">
        <v>3</v>
      </c>
      <c r="D62" s="1">
        <v>5</v>
      </c>
    </row>
    <row r="63" spans="1:7" x14ac:dyDescent="0.25">
      <c r="A63" s="1">
        <v>4</v>
      </c>
      <c r="B63" s="1">
        <v>1</v>
      </c>
      <c r="C63" s="1">
        <v>5</v>
      </c>
      <c r="D63" s="1">
        <v>5</v>
      </c>
    </row>
    <row r="64" spans="1:7" x14ac:dyDescent="0.25">
      <c r="A64" s="1">
        <v>5</v>
      </c>
      <c r="B64" s="1">
        <v>3</v>
      </c>
      <c r="C64" s="1">
        <v>2</v>
      </c>
      <c r="D64" s="1">
        <v>4</v>
      </c>
      <c r="F64" t="s">
        <v>5</v>
      </c>
      <c r="G64">
        <f>G44/G54</f>
        <v>1.3087307152875172</v>
      </c>
    </row>
    <row r="65" spans="1:7" x14ac:dyDescent="0.25">
      <c r="A65" s="1">
        <v>2</v>
      </c>
      <c r="B65" s="1">
        <v>3</v>
      </c>
      <c r="C65" s="1">
        <v>3</v>
      </c>
      <c r="D65" s="1">
        <v>5</v>
      </c>
    </row>
    <row r="66" spans="1:7" x14ac:dyDescent="0.25">
      <c r="A66" s="1">
        <v>5</v>
      </c>
      <c r="B66" s="1">
        <v>5</v>
      </c>
      <c r="C66" s="1">
        <v>2</v>
      </c>
      <c r="D66" s="1">
        <v>5</v>
      </c>
    </row>
    <row r="67" spans="1:7" x14ac:dyDescent="0.25">
      <c r="A67" s="1">
        <v>2</v>
      </c>
      <c r="B67" s="1">
        <v>2</v>
      </c>
      <c r="C67" s="1">
        <v>2</v>
      </c>
      <c r="D67" s="1">
        <v>4</v>
      </c>
      <c r="F67" s="2" t="s">
        <v>30</v>
      </c>
      <c r="G67" s="2"/>
    </row>
    <row r="68" spans="1:7" x14ac:dyDescent="0.25">
      <c r="A68" s="1">
        <v>3</v>
      </c>
      <c r="B68" s="1">
        <v>4</v>
      </c>
      <c r="C68" s="1">
        <v>3</v>
      </c>
      <c r="D68" s="1">
        <v>4</v>
      </c>
      <c r="F68" t="s">
        <v>31</v>
      </c>
    </row>
    <row r="69" spans="1:7" x14ac:dyDescent="0.25">
      <c r="A69" s="1">
        <v>1</v>
      </c>
      <c r="B69" s="1">
        <v>5</v>
      </c>
      <c r="C69" s="1">
        <v>4</v>
      </c>
      <c r="D69" s="1">
        <v>3</v>
      </c>
      <c r="F69" t="s">
        <v>32</v>
      </c>
    </row>
    <row r="70" spans="1:7" x14ac:dyDescent="0.25">
      <c r="A70" s="1">
        <v>2</v>
      </c>
      <c r="B70" s="1">
        <v>5</v>
      </c>
      <c r="C70" s="1">
        <v>3</v>
      </c>
      <c r="D70" s="1">
        <v>4</v>
      </c>
    </row>
    <row r="71" spans="1:7" x14ac:dyDescent="0.25">
      <c r="A71" s="1">
        <v>1</v>
      </c>
      <c r="B71" s="1">
        <v>3</v>
      </c>
      <c r="C71" s="1">
        <v>5</v>
      </c>
      <c r="D71" s="1">
        <v>5</v>
      </c>
    </row>
    <row r="72" spans="1:7" x14ac:dyDescent="0.25">
      <c r="A72" s="1">
        <v>4</v>
      </c>
      <c r="B72" s="1">
        <v>3</v>
      </c>
      <c r="C72" s="1">
        <v>3</v>
      </c>
      <c r="D72" s="1">
        <v>3</v>
      </c>
    </row>
    <row r="73" spans="1:7" x14ac:dyDescent="0.25">
      <c r="A73" s="1">
        <v>3</v>
      </c>
      <c r="B73" s="1">
        <v>3</v>
      </c>
      <c r="C73" s="1">
        <v>5</v>
      </c>
      <c r="D73" s="1">
        <v>4</v>
      </c>
    </row>
    <row r="74" spans="1:7" x14ac:dyDescent="0.25">
      <c r="A74" s="1">
        <v>4</v>
      </c>
      <c r="B74" s="1">
        <v>2</v>
      </c>
      <c r="C74" s="1">
        <v>3</v>
      </c>
      <c r="D74" s="1">
        <v>5</v>
      </c>
      <c r="F74" t="s">
        <v>2</v>
      </c>
      <c r="G74">
        <f>G34/G64</f>
        <v>12.567924387884206</v>
      </c>
    </row>
    <row r="75" spans="1:7" x14ac:dyDescent="0.25">
      <c r="A75" s="1">
        <v>4</v>
      </c>
      <c r="B75" s="1">
        <v>5</v>
      </c>
      <c r="C75" s="1">
        <v>4</v>
      </c>
      <c r="D75" s="1">
        <v>4</v>
      </c>
    </row>
    <row r="76" spans="1:7" x14ac:dyDescent="0.25">
      <c r="A76" s="1">
        <v>3</v>
      </c>
      <c r="B76" s="1">
        <v>3</v>
      </c>
      <c r="C76" s="1">
        <v>5</v>
      </c>
      <c r="D76" s="1">
        <v>2</v>
      </c>
    </row>
    <row r="77" spans="1:7" x14ac:dyDescent="0.25">
      <c r="A77" s="1">
        <v>2</v>
      </c>
      <c r="B77" s="1">
        <v>5</v>
      </c>
      <c r="C77" s="1">
        <v>5</v>
      </c>
      <c r="D77" s="1">
        <v>5</v>
      </c>
      <c r="F77" s="2" t="s">
        <v>35</v>
      </c>
      <c r="G77" s="2"/>
    </row>
    <row r="78" spans="1:7" x14ac:dyDescent="0.25">
      <c r="A78" s="1">
        <v>1</v>
      </c>
      <c r="B78" s="1">
        <v>2</v>
      </c>
      <c r="C78" s="1">
        <v>5</v>
      </c>
      <c r="D78" s="1">
        <v>5</v>
      </c>
    </row>
    <row r="79" spans="1:7" x14ac:dyDescent="0.25">
      <c r="A79" s="1">
        <v>3</v>
      </c>
      <c r="B79" s="1">
        <v>2</v>
      </c>
      <c r="C79" s="1">
        <v>3</v>
      </c>
      <c r="D79" s="1">
        <v>5</v>
      </c>
      <c r="F79" s="4" t="s">
        <v>33</v>
      </c>
      <c r="G79">
        <v>0.05</v>
      </c>
    </row>
    <row r="80" spans="1:7" x14ac:dyDescent="0.25">
      <c r="A80" s="1">
        <v>4</v>
      </c>
      <c r="B80" s="1">
        <v>3</v>
      </c>
      <c r="C80" s="1">
        <v>3</v>
      </c>
      <c r="D80" s="1">
        <v>5</v>
      </c>
      <c r="F80" t="s">
        <v>0</v>
      </c>
      <c r="G80">
        <f xml:space="preserve"> G25</f>
        <v>3</v>
      </c>
    </row>
    <row r="81" spans="1:7" x14ac:dyDescent="0.25">
      <c r="A81" s="1">
        <v>4</v>
      </c>
      <c r="B81" s="1">
        <v>3</v>
      </c>
      <c r="C81" s="1">
        <v>3</v>
      </c>
      <c r="D81" s="1">
        <v>4</v>
      </c>
      <c r="F81" t="s">
        <v>4</v>
      </c>
      <c r="G81">
        <f xml:space="preserve"> G54</f>
        <v>368</v>
      </c>
    </row>
    <row r="82" spans="1:7" x14ac:dyDescent="0.25">
      <c r="A82" s="1">
        <v>3</v>
      </c>
      <c r="B82" s="1">
        <v>4</v>
      </c>
      <c r="C82" s="1">
        <v>5</v>
      </c>
      <c r="D82" s="1">
        <v>4</v>
      </c>
      <c r="F82" t="s">
        <v>34</v>
      </c>
      <c r="G82">
        <f>FINV(G79, G80, G81)</f>
        <v>2.6291647929246422</v>
      </c>
    </row>
    <row r="83" spans="1:7" x14ac:dyDescent="0.25">
      <c r="A83" s="1">
        <v>4</v>
      </c>
      <c r="B83" s="1">
        <v>3</v>
      </c>
      <c r="C83" s="1">
        <v>5</v>
      </c>
      <c r="D83" s="1">
        <v>5</v>
      </c>
      <c r="F83" t="s">
        <v>36</v>
      </c>
      <c r="G83">
        <f>_xlfn.F.DIST.RT(G74, G80, G81)</f>
        <v>7.6984744716085196E-8</v>
      </c>
    </row>
    <row r="84" spans="1:7" x14ac:dyDescent="0.25">
      <c r="A84" s="1">
        <v>5</v>
      </c>
      <c r="B84" s="1">
        <v>2</v>
      </c>
      <c r="C84" s="1">
        <v>5</v>
      </c>
      <c r="D84" s="1">
        <v>2</v>
      </c>
    </row>
    <row r="85" spans="1:7" x14ac:dyDescent="0.25">
      <c r="A85" s="1">
        <v>4</v>
      </c>
      <c r="B85" s="1">
        <v>4</v>
      </c>
      <c r="C85" s="1">
        <v>5</v>
      </c>
      <c r="D85" s="1">
        <v>3</v>
      </c>
      <c r="F85" s="2" t="s">
        <v>6</v>
      </c>
      <c r="G85" s="2"/>
    </row>
    <row r="86" spans="1:7" x14ac:dyDescent="0.25">
      <c r="A86" s="1">
        <v>4</v>
      </c>
      <c r="B86" s="1">
        <v>4</v>
      </c>
      <c r="C86" s="1">
        <v>2</v>
      </c>
      <c r="D86" s="1">
        <v>4</v>
      </c>
    </row>
    <row r="87" spans="1:7" x14ac:dyDescent="0.25">
      <c r="A87" s="1">
        <v>4</v>
      </c>
      <c r="B87" s="1">
        <v>3</v>
      </c>
      <c r="C87" s="1">
        <v>4</v>
      </c>
      <c r="D87" s="1">
        <v>3</v>
      </c>
      <c r="F87" t="s">
        <v>40</v>
      </c>
    </row>
    <row r="88" spans="1:7" x14ac:dyDescent="0.25">
      <c r="A88" s="1">
        <v>4</v>
      </c>
      <c r="B88" s="1">
        <v>2</v>
      </c>
      <c r="C88" s="1">
        <v>4</v>
      </c>
      <c r="D88" s="1">
        <v>5</v>
      </c>
      <c r="F88" t="s">
        <v>41</v>
      </c>
    </row>
    <row r="89" spans="1:7" x14ac:dyDescent="0.25">
      <c r="A89" s="1">
        <v>5</v>
      </c>
      <c r="B89" s="1">
        <v>4</v>
      </c>
      <c r="C89" s="1">
        <v>5</v>
      </c>
      <c r="D89" s="1">
        <v>4</v>
      </c>
    </row>
    <row r="90" spans="1:7" x14ac:dyDescent="0.25">
      <c r="A90" s="1">
        <v>5</v>
      </c>
      <c r="B90" s="1">
        <v>5</v>
      </c>
      <c r="C90" s="1">
        <v>4</v>
      </c>
      <c r="D90" s="1">
        <v>4</v>
      </c>
      <c r="F90" t="str">
        <f>"Si F calculado ("&amp;G74&amp;") &gt; F critico ("&amp;G82&amp;") ---&gt; Se rechaza la hipotesis nula"</f>
        <v>Si F calculado (12.5679243878842) &gt; F critico (2.62916479292464) ---&gt; Se rechaza la hipotesis nula</v>
      </c>
    </row>
    <row r="91" spans="1:7" x14ac:dyDescent="0.25">
      <c r="A91" s="1">
        <v>1</v>
      </c>
      <c r="B91" s="1">
        <v>3</v>
      </c>
      <c r="C91" s="1">
        <v>3</v>
      </c>
      <c r="D91" s="1">
        <v>3</v>
      </c>
      <c r="F91" t="str">
        <f>"Si p-valor ("&amp;G83&amp;") &lt; α Nivel Significancia ("&amp;G79&amp;") ---&gt; Se rechaza la hipotesis nula"</f>
        <v>Si p-valor (7.69847447160852E-08) &lt; α Nivel Significancia (0.05) ---&gt; Se rechaza la hipotesis nula</v>
      </c>
    </row>
    <row r="92" spans="1:7" x14ac:dyDescent="0.25">
      <c r="A92" s="1">
        <v>4</v>
      </c>
      <c r="B92" s="1">
        <v>2</v>
      </c>
      <c r="C92" s="1">
        <v>3</v>
      </c>
      <c r="D92" s="1">
        <v>3</v>
      </c>
    </row>
    <row r="93" spans="1:7" x14ac:dyDescent="0.25">
      <c r="A93" s="1">
        <v>4</v>
      </c>
      <c r="B93" s="1">
        <v>5</v>
      </c>
      <c r="C93" s="1">
        <v>4</v>
      </c>
      <c r="D93" s="1">
        <v>5</v>
      </c>
    </row>
    <row r="94" spans="1:7" x14ac:dyDescent="0.25">
      <c r="A94" s="1">
        <v>3</v>
      </c>
      <c r="B94" s="1">
        <v>4</v>
      </c>
      <c r="C94" s="1">
        <v>5</v>
      </c>
      <c r="D94" s="1">
        <v>2</v>
      </c>
      <c r="F94" s="2" t="s">
        <v>37</v>
      </c>
    </row>
    <row r="95" spans="1:7" x14ac:dyDescent="0.25">
      <c r="F95" t="s">
        <v>38</v>
      </c>
    </row>
    <row r="96" spans="1:7" x14ac:dyDescent="0.25">
      <c r="F96" t="s"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2026-03-24T02:19:28Z</dcterms:created>
  <dcterms:modified xsi:type="dcterms:W3CDTF">2026-06-01T18:57:47Z</dcterms:modified>
</cp:coreProperties>
</file>
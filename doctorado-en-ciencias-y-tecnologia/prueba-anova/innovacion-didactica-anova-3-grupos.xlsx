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anova\"/>
    </mc:Choice>
  </mc:AlternateContent>
  <bookViews>
    <workbookView xWindow="0" yWindow="0" windowWidth="28800" windowHeight="12435" tabRatio="929"/>
  </bookViews>
  <sheets>
    <sheet name="Resumen" sheetId="16" r:id="rId1"/>
    <sheet name="Participas-actividades" sheetId="1" r:id="rId2"/>
    <sheet name="Comprensión-contenidos" sheetId="2" r:id="rId3"/>
    <sheet name="Herramientas-tecnológicas" sheetId="3" r:id="rId4"/>
    <sheet name="Recursos-tecnológicos" sheetId="4" r:id="rId5"/>
    <sheet name="Percepción-evaluaciones" sheetId="8" r:id="rId6"/>
    <sheet name="Retroalimentación-oportuna" sheetId="10" r:id="rId7"/>
    <sheet name="Calificación" sheetId="11" r:id="rId8"/>
    <sheet name="Nivel-comprensión" sheetId="12" r:id="rId9"/>
    <sheet name="Habilidades-tareas" sheetId="13" r:id="rId10"/>
    <sheet name="Resolución-problemas" sheetId="14" r:id="rId11"/>
    <sheet name="Motivación" sheetId="15" r:id="rId12"/>
  </sheets>
  <calcPr calcId="152511"/>
</workbook>
</file>

<file path=xl/calcChain.xml><?xml version="1.0" encoding="utf-8"?>
<calcChain xmlns="http://schemas.openxmlformats.org/spreadsheetml/2006/main">
  <c r="C2" i="16" l="1"/>
  <c r="D8" i="16"/>
  <c r="D7" i="16"/>
  <c r="D6" i="16"/>
  <c r="D5" i="16"/>
  <c r="D4" i="16"/>
  <c r="D3" i="16"/>
  <c r="D2" i="16"/>
  <c r="D12" i="16"/>
  <c r="D11" i="16"/>
  <c r="D10" i="16"/>
  <c r="D9" i="16"/>
  <c r="C12" i="16"/>
  <c r="C11" i="16"/>
  <c r="C10" i="16"/>
  <c r="C9" i="16"/>
  <c r="C8" i="16"/>
  <c r="C7" i="16"/>
  <c r="C6" i="16"/>
  <c r="C5" i="16"/>
  <c r="C4" i="16"/>
  <c r="C3" i="16"/>
  <c r="B12" i="16"/>
  <c r="B11" i="16"/>
  <c r="B10" i="16"/>
  <c r="B9" i="16"/>
  <c r="B8" i="16"/>
  <c r="B7" i="16"/>
  <c r="B6" i="16"/>
  <c r="B5" i="16"/>
  <c r="B4" i="16"/>
  <c r="B3" i="16"/>
  <c r="B2" i="16"/>
  <c r="F48" i="15" l="1"/>
  <c r="F47" i="15"/>
  <c r="F43" i="15"/>
  <c r="F24" i="15"/>
  <c r="F79" i="15" s="1"/>
  <c r="F6" i="15"/>
  <c r="F5" i="15"/>
  <c r="F4" i="15"/>
  <c r="F3" i="15"/>
  <c r="F48" i="14"/>
  <c r="F47" i="14"/>
  <c r="F43" i="14"/>
  <c r="F24" i="14"/>
  <c r="F79" i="14" s="1"/>
  <c r="F6" i="14"/>
  <c r="F5" i="14"/>
  <c r="F4" i="14"/>
  <c r="F3" i="14"/>
  <c r="F48" i="13"/>
  <c r="F53" i="13" s="1"/>
  <c r="F80" i="13" s="1"/>
  <c r="F47" i="13"/>
  <c r="F43" i="13"/>
  <c r="F24" i="13"/>
  <c r="F79" i="13" s="1"/>
  <c r="F6" i="13"/>
  <c r="F5" i="13"/>
  <c r="F4" i="13"/>
  <c r="F3" i="13"/>
  <c r="F48" i="12"/>
  <c r="F47" i="12"/>
  <c r="F53" i="12" s="1"/>
  <c r="F80" i="12" s="1"/>
  <c r="F43" i="12"/>
  <c r="F24" i="12"/>
  <c r="F79" i="12" s="1"/>
  <c r="F6" i="12"/>
  <c r="F5" i="12"/>
  <c r="F4" i="12"/>
  <c r="F3" i="12"/>
  <c r="F6" i="11"/>
  <c r="F5" i="11"/>
  <c r="F4" i="11"/>
  <c r="F3" i="11"/>
  <c r="F48" i="11"/>
  <c r="F47" i="11"/>
  <c r="F43" i="11"/>
  <c r="F24" i="11"/>
  <c r="F79" i="11" s="1"/>
  <c r="F48" i="10"/>
  <c r="F47" i="10"/>
  <c r="F43" i="10"/>
  <c r="F24" i="10"/>
  <c r="F79" i="10" s="1"/>
  <c r="F6" i="10"/>
  <c r="F5" i="10"/>
  <c r="F4" i="10"/>
  <c r="F3" i="10"/>
  <c r="F48" i="8"/>
  <c r="F47" i="8"/>
  <c r="F43" i="8"/>
  <c r="F24" i="8"/>
  <c r="F79" i="8" s="1"/>
  <c r="F6" i="8"/>
  <c r="F5" i="8"/>
  <c r="F4" i="8"/>
  <c r="F3" i="8"/>
  <c r="F48" i="4"/>
  <c r="F47" i="4"/>
  <c r="F43" i="4"/>
  <c r="F24" i="4"/>
  <c r="F79" i="4" s="1"/>
  <c r="F6" i="4"/>
  <c r="F5" i="4"/>
  <c r="F4" i="4"/>
  <c r="F3" i="4"/>
  <c r="F48" i="3"/>
  <c r="F47" i="3"/>
  <c r="F43" i="3"/>
  <c r="F24" i="3"/>
  <c r="F79" i="3" s="1"/>
  <c r="F6" i="3"/>
  <c r="F5" i="3"/>
  <c r="F4" i="3"/>
  <c r="F3" i="3"/>
  <c r="F48" i="2"/>
  <c r="F47" i="2"/>
  <c r="F43" i="2"/>
  <c r="F24" i="2"/>
  <c r="F79" i="2" s="1"/>
  <c r="F6" i="2"/>
  <c r="F5" i="2"/>
  <c r="F4" i="2"/>
  <c r="F3" i="2"/>
  <c r="F53" i="15" l="1"/>
  <c r="F80" i="15" s="1"/>
  <c r="F53" i="14"/>
  <c r="F80" i="14" s="1"/>
  <c r="F81" i="14" s="1"/>
  <c r="F7" i="11"/>
  <c r="F16" i="11" s="1"/>
  <c r="F33" i="11" s="1"/>
  <c r="F7" i="15"/>
  <c r="F7" i="14"/>
  <c r="F7" i="13"/>
  <c r="F16" i="13" s="1"/>
  <c r="F33" i="13" s="1"/>
  <c r="F7" i="12"/>
  <c r="F16" i="12" s="1"/>
  <c r="F33" i="12" s="1"/>
  <c r="F63" i="12"/>
  <c r="F53" i="11"/>
  <c r="F80" i="11" s="1"/>
  <c r="F7" i="10"/>
  <c r="F53" i="10"/>
  <c r="F80" i="10" s="1"/>
  <c r="F81" i="10" s="1"/>
  <c r="F7" i="8"/>
  <c r="F16" i="8" s="1"/>
  <c r="F33" i="8" s="1"/>
  <c r="F53" i="8"/>
  <c r="F80" i="8" s="1"/>
  <c r="F81" i="8" s="1"/>
  <c r="F7" i="4"/>
  <c r="F53" i="4"/>
  <c r="F80" i="4" s="1"/>
  <c r="F81" i="4" s="1"/>
  <c r="F7" i="3"/>
  <c r="F16" i="3" s="1"/>
  <c r="F33" i="3" s="1"/>
  <c r="F53" i="3"/>
  <c r="F80" i="3" s="1"/>
  <c r="F81" i="3" s="1"/>
  <c r="F7" i="2"/>
  <c r="F53" i="2"/>
  <c r="F80" i="2" s="1"/>
  <c r="F16" i="15"/>
  <c r="F33" i="15" s="1"/>
  <c r="F81" i="15"/>
  <c r="F63" i="15"/>
  <c r="F16" i="14"/>
  <c r="F33" i="14" s="1"/>
  <c r="F81" i="13"/>
  <c r="F63" i="13"/>
  <c r="F81" i="12"/>
  <c r="F81" i="11"/>
  <c r="F63" i="11"/>
  <c r="F16" i="10"/>
  <c r="F33" i="10" s="1"/>
  <c r="F16" i="4"/>
  <c r="F33" i="4" s="1"/>
  <c r="F63" i="3"/>
  <c r="F16" i="2"/>
  <c r="F33" i="2" s="1"/>
  <c r="F81" i="2"/>
  <c r="F63" i="14" l="1"/>
  <c r="F73" i="14" s="1"/>
  <c r="F73" i="12"/>
  <c r="F63" i="4"/>
  <c r="F73" i="4" s="1"/>
  <c r="F73" i="15"/>
  <c r="F82" i="15" s="1"/>
  <c r="E90" i="15" s="1"/>
  <c r="F73" i="13"/>
  <c r="F82" i="13" s="1"/>
  <c r="E90" i="13" s="1"/>
  <c r="F82" i="12"/>
  <c r="E90" i="12" s="1"/>
  <c r="E89" i="12"/>
  <c r="F73" i="11"/>
  <c r="F82" i="11" s="1"/>
  <c r="E90" i="11" s="1"/>
  <c r="F63" i="10"/>
  <c r="F73" i="10" s="1"/>
  <c r="F63" i="8"/>
  <c r="F73" i="8" s="1"/>
  <c r="F73" i="3"/>
  <c r="F63" i="2"/>
  <c r="F73" i="2" s="1"/>
  <c r="F82" i="3"/>
  <c r="E90" i="3" s="1"/>
  <c r="E89" i="3"/>
  <c r="E89" i="14" l="1"/>
  <c r="F82" i="14"/>
  <c r="E90" i="14" s="1"/>
  <c r="E89" i="13"/>
  <c r="E89" i="11"/>
  <c r="F82" i="4"/>
  <c r="E90" i="4" s="1"/>
  <c r="E89" i="4"/>
  <c r="E89" i="15"/>
  <c r="F82" i="10"/>
  <c r="E90" i="10" s="1"/>
  <c r="E89" i="10"/>
  <c r="F82" i="8"/>
  <c r="E90" i="8" s="1"/>
  <c r="E89" i="8"/>
  <c r="E89" i="2"/>
  <c r="F82" i="2"/>
  <c r="E90" i="2" s="1"/>
  <c r="F79" i="1"/>
  <c r="F48" i="1"/>
  <c r="F47" i="1"/>
  <c r="F53" i="1" s="1"/>
  <c r="F43" i="1"/>
  <c r="F24" i="1"/>
  <c r="F63" i="1" l="1"/>
  <c r="F80" i="1"/>
  <c r="F81" i="1" s="1"/>
  <c r="F3" i="1"/>
  <c r="F6" i="1"/>
  <c r="F5" i="1"/>
  <c r="F4" i="1"/>
  <c r="F7" i="1" l="1"/>
  <c r="F16" i="1"/>
  <c r="F33" i="1" s="1"/>
  <c r="F73" i="1" s="1"/>
  <c r="E89" i="1" s="1"/>
  <c r="F82" i="1" l="1"/>
  <c r="E90" i="1" s="1"/>
</calcChain>
</file>

<file path=xl/sharedStrings.xml><?xml version="1.0" encoding="utf-8"?>
<sst xmlns="http://schemas.openxmlformats.org/spreadsheetml/2006/main" count="499" uniqueCount="56">
  <si>
    <t>gl entre</t>
  </si>
  <si>
    <t>MC entre</t>
  </si>
  <si>
    <t>F calculado</t>
  </si>
  <si>
    <t>SC Dentro Grupos</t>
  </si>
  <si>
    <t>gl dentro</t>
  </si>
  <si>
    <t>MC dentro</t>
  </si>
  <si>
    <t>Interpretación:</t>
  </si>
  <si>
    <t>Promedio Grupo A</t>
  </si>
  <si>
    <t>Promedio Grupo B</t>
  </si>
  <si>
    <t>Promedio Grupo C</t>
  </si>
  <si>
    <t xml:space="preserve">SC Entre Grupos </t>
  </si>
  <si>
    <t>Calculo Suma de Cuadrados Entre Grupos</t>
  </si>
  <si>
    <t>Datos Generales</t>
  </si>
  <si>
    <t>Tamano Grupos</t>
  </si>
  <si>
    <t>Promedio Total total</t>
  </si>
  <si>
    <t>k (Numero de grupos)</t>
  </si>
  <si>
    <t>Mide qué tan diferentes son los grupos entre sí</t>
  </si>
  <si>
    <t>Compara las medias de cada grupo con la media general</t>
  </si>
  <si>
    <t>Calculo gl ENTRE (Grados de libertad entre grupos)</t>
  </si>
  <si>
    <t>Cantidad de grupos independientes que puedes comparar</t>
  </si>
  <si>
    <t>Calculo MC ENTRE (Media Cuadrática Entre)</t>
  </si>
  <si>
    <t>Es el promedio de la variación entre grupos</t>
  </si>
  <si>
    <t>Mide la variabilidad interna de cada grupo</t>
  </si>
  <si>
    <t>Qué tanto varían los datos dentro del mismo grupo</t>
  </si>
  <si>
    <t>Calculo gl DENTRO (Grados de libertad dentro)</t>
  </si>
  <si>
    <t>Calculo SC DENTRO DE GRUPOS (Suma de Cuadrados Dentro)</t>
  </si>
  <si>
    <t>N = total de datos</t>
  </si>
  <si>
    <t>Calculo MC DENTRO (Media Cuadrática Dentro)</t>
  </si>
  <si>
    <t>Es el promedio de la variación interna</t>
  </si>
  <si>
    <t>Calculo F Calculado</t>
  </si>
  <si>
    <t>El F calculado es un valor numérico que obtienes al aplicar la fórmula de ANOVA.</t>
  </si>
  <si>
    <t>Sirve para decidir si hay diferencias significativas entre grupos.</t>
  </si>
  <si>
    <t>α  El mas comun 5%</t>
  </si>
  <si>
    <t>F critico (Tabla)</t>
  </si>
  <si>
    <t>Calculo F critico (Tabla) y P valor</t>
  </si>
  <si>
    <t xml:space="preserve">P valor 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</si>
  <si>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</si>
  <si>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</si>
  <si>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 xml:space="preserve">Grupo 
Control
Pre Test
Sin intervención </t>
  </si>
  <si>
    <t>Grupo 
Control
Post Test
Sin intervención</t>
  </si>
  <si>
    <t>Grupo 
Experimental
Pre Test
Sin intervención</t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</si>
  <si>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</si>
  <si>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</si>
  <si>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</si>
  <si>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</si>
  <si>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</si>
  <si>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</si>
  <si>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</si>
  <si>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</si>
  <si>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</si>
  <si>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</si>
  <si>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</si>
  <si>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</si>
  <si>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F
Calculado</t>
  </si>
  <si>
    <t>F Critico
Critico</t>
  </si>
  <si>
    <t>P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</si>
</sst>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570" y="2514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0852" y="1360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4897" y="2571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2559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9115" y="5553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2559" y="7473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290039" y="7488116"/>
          <a:ext cx="1743808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3250" y="9477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7550" y="11125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9884" y="13291038"/>
          <a:ext cx="1247619" cy="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60" zoomScaleNormal="160" workbookViewId="0">
      <selection activeCell="F8" sqref="F8"/>
    </sheetView>
  </sheetViews>
  <sheetFormatPr baseColWidth="10" defaultRowHeight="15" x14ac:dyDescent="0.25"/>
  <cols>
    <col min="1" max="1" width="32.7109375" customWidth="1"/>
  </cols>
  <sheetData>
    <row r="1" spans="1:4" ht="30" x14ac:dyDescent="0.25">
      <c r="A1" s="7" t="s">
        <v>41</v>
      </c>
      <c r="B1" s="8" t="s">
        <v>53</v>
      </c>
      <c r="C1" s="8" t="s">
        <v>54</v>
      </c>
      <c r="D1" s="8" t="s">
        <v>55</v>
      </c>
    </row>
    <row r="2" spans="1:4" x14ac:dyDescent="0.25">
      <c r="A2" s="9" t="s">
        <v>42</v>
      </c>
      <c r="B2" s="9">
        <f>ROUND('Participas-actividades'!F73, 4)</f>
        <v>2.1006999999999998</v>
      </c>
      <c r="C2" s="9">
        <f>ROUND('Participas-actividades'!F81, 4)</f>
        <v>3.0285000000000002</v>
      </c>
      <c r="D2" s="9">
        <f>ROUND('Participas-actividades'!F82, 4)</f>
        <v>0.12429999999999999</v>
      </c>
    </row>
    <row r="3" spans="1:4" x14ac:dyDescent="0.25">
      <c r="A3" s="9" t="s">
        <v>43</v>
      </c>
      <c r="B3" s="9">
        <f>ROUND('Comprensión-contenidos'!F73, 4)</f>
        <v>1.2258</v>
      </c>
      <c r="C3" s="9">
        <f>ROUND('Comprensión-contenidos'!F81, 4)</f>
        <v>3.0285000000000002</v>
      </c>
      <c r="D3" s="9">
        <f>ROUND('Comprensión-contenidos'!F82, 4)</f>
        <v>0.29509999999999997</v>
      </c>
    </row>
    <row r="4" spans="1:4" x14ac:dyDescent="0.25">
      <c r="A4" s="9" t="s">
        <v>44</v>
      </c>
      <c r="B4" s="9">
        <f>ROUND('Herramientas-tecnológicas'!F73, 4)</f>
        <v>1.4696</v>
      </c>
      <c r="C4" s="9">
        <f>ROUND('Herramientas-tecnológicas'!F81, 4)</f>
        <v>3.0285000000000002</v>
      </c>
      <c r="D4" s="9">
        <f>ROUND('Herramientas-tecnológicas'!F82, 4)</f>
        <v>0.23180000000000001</v>
      </c>
    </row>
    <row r="5" spans="1:4" x14ac:dyDescent="0.25">
      <c r="A5" s="9" t="s">
        <v>45</v>
      </c>
      <c r="B5" s="9">
        <f>ROUND('Recursos-tecnológicos'!F73, 4)</f>
        <v>1.1733</v>
      </c>
      <c r="C5" s="9">
        <f>ROUND('Recursos-tecnológicos'!F81, 4)</f>
        <v>3.0285000000000002</v>
      </c>
      <c r="D5" s="9">
        <f>ROUND('Recursos-tecnológicos'!F82, 4)</f>
        <v>0.31090000000000001</v>
      </c>
    </row>
    <row r="6" spans="1:4" x14ac:dyDescent="0.25">
      <c r="A6" s="9" t="s">
        <v>46</v>
      </c>
      <c r="B6" s="9">
        <f>ROUND('Percepción-evaluaciones'!F73, 4)</f>
        <v>0.88580000000000003</v>
      </c>
      <c r="C6" s="9">
        <f>ROUND('Percepción-evaluaciones'!F81, 4)</f>
        <v>3.0285000000000002</v>
      </c>
      <c r="D6" s="9">
        <f>ROUND('Percepción-evaluaciones'!F82, 4)</f>
        <v>0.41349999999999998</v>
      </c>
    </row>
    <row r="7" spans="1:4" x14ac:dyDescent="0.25">
      <c r="A7" s="9" t="s">
        <v>47</v>
      </c>
      <c r="B7" s="9">
        <f>ROUND('Retroalimentación-oportuna'!F73, 4)</f>
        <v>2.6118999999999999</v>
      </c>
      <c r="C7" s="9">
        <f>ROUND('Retroalimentación-oportuna'!F81, 4)</f>
        <v>3.0285000000000002</v>
      </c>
      <c r="D7" s="9">
        <f>ROUND('Retroalimentación-oportuna'!F82, 4)</f>
        <v>7.5200000000000003E-2</v>
      </c>
    </row>
    <row r="8" spans="1:4" x14ac:dyDescent="0.25">
      <c r="A8" s="9" t="s">
        <v>48</v>
      </c>
      <c r="B8" s="9">
        <f>ROUND(Calificación!F73, 4)</f>
        <v>1.2692000000000001</v>
      </c>
      <c r="C8" s="9">
        <f>ROUND(Calificación!F81, 4)</f>
        <v>3.0285000000000002</v>
      </c>
      <c r="D8" s="9">
        <f>ROUND(Calificación!F82, 4)</f>
        <v>0.28270000000000001</v>
      </c>
    </row>
    <row r="9" spans="1:4" x14ac:dyDescent="0.25">
      <c r="A9" s="9" t="s">
        <v>49</v>
      </c>
      <c r="B9" s="9">
        <f>ROUND('Nivel-comprensión'!F73, 4)</f>
        <v>0.46360000000000001</v>
      </c>
      <c r="C9" s="9">
        <f>ROUND('Nivel-comprensión'!F81, 4)</f>
        <v>3.0285000000000002</v>
      </c>
      <c r="D9" s="9">
        <f>ROUND('Nivel-comprensión'!F82, 4)</f>
        <v>0.62949999999999995</v>
      </c>
    </row>
    <row r="10" spans="1:4" x14ac:dyDescent="0.25">
      <c r="A10" s="9" t="s">
        <v>50</v>
      </c>
      <c r="B10" s="9">
        <f>ROUND('Habilidades-tareas'!F73, 4)</f>
        <v>0.8377</v>
      </c>
      <c r="C10" s="9">
        <f>ROUND('Habilidades-tareas'!F81, 4)</f>
        <v>3.0285000000000002</v>
      </c>
      <c r="D10" s="9">
        <f>ROUND('Habilidades-tareas'!F82, 4)</f>
        <v>0.43380000000000002</v>
      </c>
    </row>
    <row r="11" spans="1:4" x14ac:dyDescent="0.25">
      <c r="A11" s="9" t="s">
        <v>51</v>
      </c>
      <c r="B11" s="9">
        <f>ROUND('Resolución-problemas'!F73, 4)</f>
        <v>7.4999999999999997E-2</v>
      </c>
      <c r="C11" s="9">
        <f>ROUND('Resolución-problemas'!F81, 4)</f>
        <v>3.0285000000000002</v>
      </c>
      <c r="D11" s="9">
        <f>ROUND('Resolución-problemas'!F82, 4)</f>
        <v>0.92769999999999997</v>
      </c>
    </row>
    <row r="12" spans="1:4" x14ac:dyDescent="0.25">
      <c r="A12" s="9" t="s">
        <v>52</v>
      </c>
      <c r="B12" s="9">
        <f>ROUND(Motivación!F73, 4)</f>
        <v>2.9834000000000001</v>
      </c>
      <c r="C12" s="9">
        <f>ROUND(Motivación!F81, 4)</f>
        <v>3.0285000000000002</v>
      </c>
      <c r="D12" s="9">
        <f>ROUND(Motivación!F82, 4)</f>
        <v>5.2299999999999999E-2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71" zoomScale="145" zoomScaleNormal="145" workbookViewId="0">
      <selection activeCell="E92" sqref="E92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5</v>
      </c>
      <c r="B2" s="1">
        <v>2</v>
      </c>
      <c r="C2" s="1">
        <v>3</v>
      </c>
      <c r="E2" s="2" t="s">
        <v>12</v>
      </c>
      <c r="F2" s="2"/>
    </row>
    <row r="3" spans="1:6" x14ac:dyDescent="0.25">
      <c r="A3" s="1">
        <v>5</v>
      </c>
      <c r="B3" s="1">
        <v>1</v>
      </c>
      <c r="C3" s="1">
        <v>4</v>
      </c>
      <c r="E3" t="s">
        <v>13</v>
      </c>
      <c r="F3">
        <f>COUNT(A:A)</f>
        <v>93</v>
      </c>
    </row>
    <row r="4" spans="1:6" x14ac:dyDescent="0.25">
      <c r="A4" s="1">
        <v>2</v>
      </c>
      <c r="B4" s="1">
        <v>4</v>
      </c>
      <c r="C4" s="1">
        <v>2</v>
      </c>
      <c r="E4" t="s">
        <v>7</v>
      </c>
      <c r="F4">
        <f>AVERAGE(A:A)</f>
        <v>3.4623655913978495</v>
      </c>
    </row>
    <row r="5" spans="1:6" x14ac:dyDescent="0.25">
      <c r="A5" s="1">
        <v>3</v>
      </c>
      <c r="B5" s="1">
        <v>3</v>
      </c>
      <c r="C5" s="1">
        <v>3</v>
      </c>
      <c r="E5" t="s">
        <v>8</v>
      </c>
      <c r="F5">
        <f>AVERAGE(B:B)</f>
        <v>3.139784946236559</v>
      </c>
    </row>
    <row r="6" spans="1:6" x14ac:dyDescent="0.25">
      <c r="A6" s="1">
        <v>3</v>
      </c>
      <c r="B6" s="1">
        <v>4</v>
      </c>
      <c r="C6" s="1">
        <v>1</v>
      </c>
      <c r="E6" t="s">
        <v>9</v>
      </c>
      <c r="F6">
        <f>AVERAGE(C:C)</f>
        <v>3.21505376344086</v>
      </c>
    </row>
    <row r="7" spans="1:6" x14ac:dyDescent="0.25">
      <c r="A7" s="1">
        <v>5</v>
      </c>
      <c r="B7" s="1">
        <v>1</v>
      </c>
      <c r="C7" s="1">
        <v>3</v>
      </c>
      <c r="E7" t="s">
        <v>14</v>
      </c>
      <c r="F7">
        <f>AVERAGE(F4:F6)</f>
        <v>3.2724014336917562</v>
      </c>
    </row>
    <row r="8" spans="1:6" x14ac:dyDescent="0.25">
      <c r="A8" s="1">
        <v>1</v>
      </c>
      <c r="B8" s="1">
        <v>4</v>
      </c>
      <c r="C8" s="1">
        <v>5</v>
      </c>
    </row>
    <row r="9" spans="1:6" x14ac:dyDescent="0.25">
      <c r="A9" s="1">
        <v>2</v>
      </c>
      <c r="B9" s="1">
        <v>1</v>
      </c>
      <c r="C9" s="1">
        <v>3</v>
      </c>
    </row>
    <row r="10" spans="1:6" x14ac:dyDescent="0.25">
      <c r="A10" s="1">
        <v>4</v>
      </c>
      <c r="B10" s="1">
        <v>3</v>
      </c>
      <c r="C10" s="1">
        <v>4</v>
      </c>
      <c r="E10" s="2" t="s">
        <v>11</v>
      </c>
      <c r="F10" s="2"/>
    </row>
    <row r="11" spans="1:6" x14ac:dyDescent="0.25">
      <c r="A11" s="1">
        <v>4</v>
      </c>
      <c r="B11" s="1">
        <v>3</v>
      </c>
      <c r="C11" s="1">
        <v>3</v>
      </c>
      <c r="E11" s="3" t="s">
        <v>16</v>
      </c>
    </row>
    <row r="12" spans="1:6" x14ac:dyDescent="0.25">
      <c r="A12" s="1">
        <v>4</v>
      </c>
      <c r="B12" s="1">
        <v>3</v>
      </c>
      <c r="C12" s="1">
        <v>5</v>
      </c>
      <c r="E12" s="3" t="s">
        <v>17</v>
      </c>
    </row>
    <row r="13" spans="1:6" x14ac:dyDescent="0.25">
      <c r="A13" s="1">
        <v>4</v>
      </c>
      <c r="B13" s="1">
        <v>4</v>
      </c>
      <c r="C13" s="1">
        <v>4</v>
      </c>
    </row>
    <row r="14" spans="1:6" x14ac:dyDescent="0.25">
      <c r="A14" s="1">
        <v>3</v>
      </c>
      <c r="B14" s="1">
        <v>4</v>
      </c>
      <c r="C14" s="1">
        <v>2</v>
      </c>
    </row>
    <row r="15" spans="1:6" x14ac:dyDescent="0.25">
      <c r="A15" s="1">
        <v>4</v>
      </c>
      <c r="B15" s="1">
        <v>4</v>
      </c>
      <c r="C15" s="1">
        <v>4</v>
      </c>
    </row>
    <row r="16" spans="1:6" x14ac:dyDescent="0.25">
      <c r="A16" s="1">
        <v>4</v>
      </c>
      <c r="B16" s="1">
        <v>4</v>
      </c>
      <c r="C16" s="1">
        <v>2</v>
      </c>
      <c r="E16" t="s">
        <v>10</v>
      </c>
      <c r="F16">
        <f>F3*((F4-F7)^2+(F5-F7)^2+(F6-F7)^2)</f>
        <v>5.2974910394265295</v>
      </c>
    </row>
    <row r="17" spans="1:6" x14ac:dyDescent="0.25">
      <c r="A17" s="1">
        <v>3</v>
      </c>
      <c r="B17" s="1">
        <v>3</v>
      </c>
      <c r="C17" s="1">
        <v>4</v>
      </c>
    </row>
    <row r="18" spans="1:6" x14ac:dyDescent="0.25">
      <c r="A18" s="1">
        <v>5</v>
      </c>
      <c r="B18" s="1">
        <v>4</v>
      </c>
      <c r="C18" s="1">
        <v>3</v>
      </c>
    </row>
    <row r="19" spans="1:6" x14ac:dyDescent="0.25">
      <c r="A19" s="1">
        <v>4</v>
      </c>
      <c r="B19" s="1">
        <v>5</v>
      </c>
      <c r="C19" s="1">
        <v>3</v>
      </c>
      <c r="E19" s="2" t="s">
        <v>18</v>
      </c>
      <c r="F19" s="2"/>
    </row>
    <row r="20" spans="1:6" x14ac:dyDescent="0.25">
      <c r="A20" s="1">
        <v>4</v>
      </c>
      <c r="B20" s="1">
        <v>1</v>
      </c>
      <c r="C20" s="1">
        <v>3</v>
      </c>
      <c r="E20" t="s">
        <v>19</v>
      </c>
    </row>
    <row r="21" spans="1:6" x14ac:dyDescent="0.25">
      <c r="A21" s="1">
        <v>4</v>
      </c>
      <c r="B21" s="1">
        <v>2</v>
      </c>
      <c r="C21" s="1">
        <v>4</v>
      </c>
      <c r="E21" t="s">
        <v>15</v>
      </c>
      <c r="F21" s="6">
        <v>3</v>
      </c>
    </row>
    <row r="22" spans="1:6" x14ac:dyDescent="0.25">
      <c r="A22" s="1">
        <v>3</v>
      </c>
      <c r="B22" s="1">
        <v>2</v>
      </c>
      <c r="C22" s="1">
        <v>4</v>
      </c>
    </row>
    <row r="23" spans="1:6" x14ac:dyDescent="0.25">
      <c r="A23" s="1">
        <v>4</v>
      </c>
      <c r="B23" s="1">
        <v>1</v>
      </c>
      <c r="C23" s="1">
        <v>5</v>
      </c>
    </row>
    <row r="24" spans="1:6" x14ac:dyDescent="0.25">
      <c r="A24" s="1">
        <v>3</v>
      </c>
      <c r="B24" s="1">
        <v>4</v>
      </c>
      <c r="C24" s="1">
        <v>4</v>
      </c>
      <c r="E24" t="s">
        <v>0</v>
      </c>
      <c r="F24">
        <f>F21-1</f>
        <v>2</v>
      </c>
    </row>
    <row r="25" spans="1:6" x14ac:dyDescent="0.25">
      <c r="A25" s="1">
        <v>3</v>
      </c>
      <c r="B25" s="1">
        <v>4</v>
      </c>
      <c r="C25" s="1">
        <v>3</v>
      </c>
    </row>
    <row r="26" spans="1:6" x14ac:dyDescent="0.25">
      <c r="A26" s="1">
        <v>5</v>
      </c>
      <c r="B26" s="1">
        <v>3</v>
      </c>
      <c r="C26" s="1">
        <v>1</v>
      </c>
    </row>
    <row r="27" spans="1:6" x14ac:dyDescent="0.25">
      <c r="A27" s="1">
        <v>3</v>
      </c>
      <c r="B27" s="1">
        <v>3</v>
      </c>
      <c r="C27" s="1">
        <v>2</v>
      </c>
      <c r="E27" s="2" t="s">
        <v>20</v>
      </c>
      <c r="F27" s="2"/>
    </row>
    <row r="28" spans="1:6" x14ac:dyDescent="0.25">
      <c r="A28" s="1">
        <v>4</v>
      </c>
      <c r="B28" s="1">
        <v>5</v>
      </c>
      <c r="C28" s="1">
        <v>2</v>
      </c>
      <c r="E28" t="s">
        <v>21</v>
      </c>
    </row>
    <row r="29" spans="1:6" x14ac:dyDescent="0.25">
      <c r="A29" s="1">
        <v>5</v>
      </c>
      <c r="B29" s="1">
        <v>2</v>
      </c>
      <c r="C29" s="1">
        <v>2</v>
      </c>
    </row>
    <row r="30" spans="1:6" x14ac:dyDescent="0.25">
      <c r="A30" s="1">
        <v>2</v>
      </c>
      <c r="B30" s="1">
        <v>4</v>
      </c>
      <c r="C30" s="1">
        <v>3</v>
      </c>
    </row>
    <row r="31" spans="1:6" x14ac:dyDescent="0.25">
      <c r="A31" s="1">
        <v>1</v>
      </c>
      <c r="B31" s="1">
        <v>4</v>
      </c>
      <c r="C31" s="1">
        <v>4</v>
      </c>
    </row>
    <row r="32" spans="1:6" x14ac:dyDescent="0.25">
      <c r="A32" s="1">
        <v>2</v>
      </c>
      <c r="B32" s="1">
        <v>3</v>
      </c>
      <c r="C32" s="1">
        <v>2</v>
      </c>
    </row>
    <row r="33" spans="1:6" x14ac:dyDescent="0.25">
      <c r="A33" s="1">
        <v>4</v>
      </c>
      <c r="B33" s="1">
        <v>3</v>
      </c>
      <c r="C33" s="1">
        <v>3</v>
      </c>
      <c r="E33" t="s">
        <v>1</v>
      </c>
      <c r="F33">
        <f>F16/F24</f>
        <v>2.6487455197132648</v>
      </c>
    </row>
    <row r="34" spans="1:6" x14ac:dyDescent="0.25">
      <c r="A34" s="1">
        <v>5</v>
      </c>
      <c r="B34" s="1">
        <v>3</v>
      </c>
      <c r="C34" s="1">
        <v>3</v>
      </c>
    </row>
    <row r="35" spans="1:6" x14ac:dyDescent="0.25">
      <c r="A35" s="1">
        <v>3</v>
      </c>
      <c r="B35" s="1">
        <v>5</v>
      </c>
      <c r="C35" s="1">
        <v>5</v>
      </c>
    </row>
    <row r="36" spans="1:6" x14ac:dyDescent="0.25">
      <c r="A36" s="1">
        <v>4</v>
      </c>
      <c r="B36" s="1">
        <v>2</v>
      </c>
      <c r="C36" s="1">
        <v>3</v>
      </c>
      <c r="E36" s="2" t="s">
        <v>25</v>
      </c>
      <c r="F36" s="2"/>
    </row>
    <row r="37" spans="1:6" x14ac:dyDescent="0.25">
      <c r="A37" s="1">
        <v>5</v>
      </c>
      <c r="B37" s="1">
        <v>4</v>
      </c>
      <c r="C37" s="1">
        <v>3</v>
      </c>
      <c r="E37" t="s">
        <v>22</v>
      </c>
    </row>
    <row r="38" spans="1:6" x14ac:dyDescent="0.25">
      <c r="A38" s="1">
        <v>3</v>
      </c>
      <c r="B38" s="1">
        <v>5</v>
      </c>
      <c r="C38" s="1">
        <v>2</v>
      </c>
      <c r="E38" t="s">
        <v>23</v>
      </c>
    </row>
    <row r="39" spans="1:6" x14ac:dyDescent="0.25">
      <c r="A39" s="1">
        <v>5</v>
      </c>
      <c r="B39" s="1">
        <v>2</v>
      </c>
      <c r="C39" s="1">
        <v>3</v>
      </c>
    </row>
    <row r="40" spans="1:6" x14ac:dyDescent="0.25">
      <c r="A40" s="1">
        <v>2</v>
      </c>
      <c r="B40" s="1">
        <v>1</v>
      </c>
      <c r="C40" s="1">
        <v>4</v>
      </c>
    </row>
    <row r="41" spans="1:6" x14ac:dyDescent="0.25">
      <c r="A41" s="1">
        <v>4</v>
      </c>
      <c r="B41" s="1">
        <v>2</v>
      </c>
      <c r="C41" s="1">
        <v>1</v>
      </c>
    </row>
    <row r="42" spans="1:6" x14ac:dyDescent="0.25">
      <c r="A42" s="1">
        <v>3</v>
      </c>
      <c r="B42" s="1">
        <v>2</v>
      </c>
      <c r="C42" s="1">
        <v>5</v>
      </c>
    </row>
    <row r="43" spans="1:6" x14ac:dyDescent="0.25">
      <c r="A43" s="1">
        <v>4</v>
      </c>
      <c r="B43" s="1">
        <v>3</v>
      </c>
      <c r="C43" s="1">
        <v>4</v>
      </c>
      <c r="E43" t="s">
        <v>3</v>
      </c>
      <c r="F43">
        <f>DEVSQ(A:A)+DEVSQ(B:B)+DEVSQ(C:C)</f>
        <v>347.99999999999994</v>
      </c>
    </row>
    <row r="44" spans="1:6" x14ac:dyDescent="0.25">
      <c r="A44" s="1">
        <v>3</v>
      </c>
      <c r="B44" s="1">
        <v>3</v>
      </c>
      <c r="C44" s="1">
        <v>5</v>
      </c>
    </row>
    <row r="45" spans="1:6" x14ac:dyDescent="0.25">
      <c r="A45" s="1">
        <v>3</v>
      </c>
      <c r="B45" s="1">
        <v>5</v>
      </c>
      <c r="C45" s="1">
        <v>3</v>
      </c>
    </row>
    <row r="46" spans="1:6" x14ac:dyDescent="0.25">
      <c r="A46" s="1">
        <v>4</v>
      </c>
      <c r="B46" s="1">
        <v>4</v>
      </c>
      <c r="C46" s="1">
        <v>2</v>
      </c>
      <c r="E46" s="2" t="s">
        <v>24</v>
      </c>
      <c r="F46" s="2"/>
    </row>
    <row r="47" spans="1:6" x14ac:dyDescent="0.25">
      <c r="A47" s="1">
        <v>1</v>
      </c>
      <c r="B47" s="1">
        <v>4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3</v>
      </c>
      <c r="B48" s="1">
        <v>4</v>
      </c>
      <c r="C48" s="1">
        <v>2</v>
      </c>
      <c r="E48" t="s">
        <v>15</v>
      </c>
      <c r="F48">
        <f>F21</f>
        <v>3</v>
      </c>
    </row>
    <row r="49" spans="1:6" x14ac:dyDescent="0.25">
      <c r="A49" s="1">
        <v>2</v>
      </c>
      <c r="B49" s="1">
        <v>3</v>
      </c>
      <c r="C49" s="1">
        <v>4</v>
      </c>
    </row>
    <row r="50" spans="1:6" x14ac:dyDescent="0.25">
      <c r="A50" s="1">
        <v>2</v>
      </c>
      <c r="B50" s="1">
        <v>3</v>
      </c>
      <c r="C50" s="1">
        <v>2</v>
      </c>
    </row>
    <row r="51" spans="1:6" x14ac:dyDescent="0.25">
      <c r="A51" s="1">
        <v>3</v>
      </c>
      <c r="B51" s="1">
        <v>5</v>
      </c>
      <c r="C51" s="1">
        <v>2</v>
      </c>
    </row>
    <row r="52" spans="1:6" x14ac:dyDescent="0.25">
      <c r="A52" s="1">
        <v>2</v>
      </c>
      <c r="B52" s="1">
        <v>4</v>
      </c>
      <c r="C52" s="1">
        <v>2</v>
      </c>
    </row>
    <row r="53" spans="1:6" x14ac:dyDescent="0.25">
      <c r="A53" s="1">
        <v>5</v>
      </c>
      <c r="B53" s="1">
        <v>3</v>
      </c>
      <c r="C53" s="1">
        <v>5</v>
      </c>
      <c r="E53" t="s">
        <v>4</v>
      </c>
      <c r="F53">
        <f>F47-F48</f>
        <v>276</v>
      </c>
    </row>
    <row r="54" spans="1:6" x14ac:dyDescent="0.25">
      <c r="A54" s="1">
        <v>4</v>
      </c>
      <c r="B54" s="1">
        <v>5</v>
      </c>
      <c r="C54" s="1">
        <v>1</v>
      </c>
    </row>
    <row r="55" spans="1:6" x14ac:dyDescent="0.25">
      <c r="A55" s="1">
        <v>5</v>
      </c>
      <c r="B55" s="1">
        <v>2</v>
      </c>
      <c r="C55" s="1">
        <v>3</v>
      </c>
    </row>
    <row r="56" spans="1:6" x14ac:dyDescent="0.25">
      <c r="A56" s="1">
        <v>4</v>
      </c>
      <c r="B56" s="1">
        <v>3</v>
      </c>
      <c r="C56" s="1">
        <v>4</v>
      </c>
      <c r="E56" s="2" t="s">
        <v>27</v>
      </c>
      <c r="F56" s="2"/>
    </row>
    <row r="57" spans="1:6" x14ac:dyDescent="0.25">
      <c r="A57" s="1">
        <v>4</v>
      </c>
      <c r="B57" s="1">
        <v>3</v>
      </c>
      <c r="C57" s="1">
        <v>2</v>
      </c>
      <c r="E57" t="s">
        <v>28</v>
      </c>
    </row>
    <row r="58" spans="1:6" x14ac:dyDescent="0.25">
      <c r="A58" s="1">
        <v>4</v>
      </c>
      <c r="B58" s="1">
        <v>3</v>
      </c>
      <c r="C58" s="1">
        <v>4</v>
      </c>
    </row>
    <row r="59" spans="1:6" x14ac:dyDescent="0.25">
      <c r="A59" s="1">
        <v>2</v>
      </c>
      <c r="B59" s="1">
        <v>2</v>
      </c>
      <c r="C59" s="1">
        <v>2</v>
      </c>
    </row>
    <row r="60" spans="1:6" x14ac:dyDescent="0.25">
      <c r="A60" s="1">
        <v>4</v>
      </c>
      <c r="B60" s="1">
        <v>4</v>
      </c>
      <c r="C60" s="1">
        <v>5</v>
      </c>
    </row>
    <row r="61" spans="1:6" x14ac:dyDescent="0.25">
      <c r="A61" s="1">
        <v>4</v>
      </c>
      <c r="B61" s="1">
        <v>3</v>
      </c>
      <c r="C61" s="1">
        <v>3</v>
      </c>
    </row>
    <row r="62" spans="1:6" x14ac:dyDescent="0.25">
      <c r="A62" s="1">
        <v>3</v>
      </c>
      <c r="B62" s="1">
        <v>3</v>
      </c>
      <c r="C62" s="1">
        <v>3</v>
      </c>
    </row>
    <row r="63" spans="1:6" x14ac:dyDescent="0.25">
      <c r="A63" s="1">
        <v>5</v>
      </c>
      <c r="B63" s="1">
        <v>4</v>
      </c>
      <c r="C63" s="1">
        <v>5</v>
      </c>
      <c r="E63" t="s">
        <v>5</v>
      </c>
      <c r="F63">
        <f>F43/F53</f>
        <v>1.2608695652173911</v>
      </c>
    </row>
    <row r="64" spans="1:6" x14ac:dyDescent="0.25">
      <c r="A64" s="1">
        <v>2</v>
      </c>
      <c r="B64" s="1">
        <v>2</v>
      </c>
      <c r="C64" s="1">
        <v>4</v>
      </c>
    </row>
    <row r="65" spans="1:6" x14ac:dyDescent="0.25">
      <c r="A65" s="1">
        <v>5</v>
      </c>
      <c r="B65" s="1">
        <v>3</v>
      </c>
      <c r="C65" s="1">
        <v>5</v>
      </c>
    </row>
    <row r="66" spans="1:6" x14ac:dyDescent="0.25">
      <c r="A66" s="1">
        <v>1</v>
      </c>
      <c r="B66" s="1">
        <v>3</v>
      </c>
      <c r="C66" s="1">
        <v>3</v>
      </c>
      <c r="E66" s="2" t="s">
        <v>29</v>
      </c>
      <c r="F66" s="2"/>
    </row>
    <row r="67" spans="1:6" x14ac:dyDescent="0.25">
      <c r="A67" s="1">
        <v>3</v>
      </c>
      <c r="B67" s="1">
        <v>2</v>
      </c>
      <c r="C67" s="1">
        <v>4</v>
      </c>
      <c r="E67" t="s">
        <v>30</v>
      </c>
    </row>
    <row r="68" spans="1:6" x14ac:dyDescent="0.25">
      <c r="A68" s="1">
        <v>4</v>
      </c>
      <c r="B68" s="1">
        <v>2</v>
      </c>
      <c r="C68" s="1">
        <v>3</v>
      </c>
      <c r="E68" t="s">
        <v>31</v>
      </c>
    </row>
    <row r="69" spans="1:6" x14ac:dyDescent="0.25">
      <c r="A69" s="1">
        <v>5</v>
      </c>
      <c r="B69" s="1">
        <v>3</v>
      </c>
      <c r="C69" s="1">
        <v>4</v>
      </c>
    </row>
    <row r="70" spans="1:6" x14ac:dyDescent="0.25">
      <c r="A70" s="1">
        <v>2</v>
      </c>
      <c r="B70" s="1">
        <v>2</v>
      </c>
      <c r="C70" s="1">
        <v>4</v>
      </c>
    </row>
    <row r="71" spans="1:6" x14ac:dyDescent="0.25">
      <c r="A71" s="1">
        <v>3</v>
      </c>
      <c r="B71" s="1">
        <v>3</v>
      </c>
      <c r="C71" s="1">
        <v>3</v>
      </c>
    </row>
    <row r="72" spans="1:6" x14ac:dyDescent="0.25">
      <c r="A72" s="1">
        <v>3</v>
      </c>
      <c r="B72" s="1">
        <v>3</v>
      </c>
      <c r="C72" s="1">
        <v>5</v>
      </c>
    </row>
    <row r="73" spans="1:6" x14ac:dyDescent="0.25">
      <c r="A73" s="1">
        <v>3</v>
      </c>
      <c r="B73" s="1">
        <v>3</v>
      </c>
      <c r="C73" s="1">
        <v>2</v>
      </c>
      <c r="E73" t="s">
        <v>2</v>
      </c>
      <c r="F73">
        <f>F33/F63</f>
        <v>2.1007292052898308</v>
      </c>
    </row>
    <row r="74" spans="1:6" x14ac:dyDescent="0.25">
      <c r="A74" s="1">
        <v>5</v>
      </c>
      <c r="B74" s="1">
        <v>3</v>
      </c>
      <c r="C74" s="1">
        <v>2</v>
      </c>
    </row>
    <row r="75" spans="1:6" x14ac:dyDescent="0.25">
      <c r="A75" s="1">
        <v>4</v>
      </c>
      <c r="B75" s="1">
        <v>5</v>
      </c>
      <c r="C75" s="1">
        <v>3</v>
      </c>
    </row>
    <row r="76" spans="1:6" x14ac:dyDescent="0.25">
      <c r="A76" s="1">
        <v>5</v>
      </c>
      <c r="B76" s="1">
        <v>2</v>
      </c>
      <c r="C76" s="1">
        <v>3</v>
      </c>
      <c r="E76" s="2" t="s">
        <v>34</v>
      </c>
      <c r="F76" s="2"/>
    </row>
    <row r="77" spans="1:6" x14ac:dyDescent="0.25">
      <c r="A77" s="1">
        <v>2</v>
      </c>
      <c r="B77" s="1">
        <v>2</v>
      </c>
      <c r="C77" s="1">
        <v>2</v>
      </c>
    </row>
    <row r="78" spans="1:6" x14ac:dyDescent="0.25">
      <c r="A78" s="1">
        <v>3</v>
      </c>
      <c r="B78" s="1">
        <v>5</v>
      </c>
      <c r="C78" s="1">
        <v>4</v>
      </c>
      <c r="E78" s="4" t="s">
        <v>32</v>
      </c>
      <c r="F78">
        <v>0.05</v>
      </c>
    </row>
    <row r="79" spans="1:6" x14ac:dyDescent="0.25">
      <c r="A79" s="1">
        <v>4</v>
      </c>
      <c r="B79" s="1">
        <v>2</v>
      </c>
      <c r="C79" s="1">
        <v>5</v>
      </c>
      <c r="E79" t="s">
        <v>0</v>
      </c>
      <c r="F79">
        <f xml:space="preserve"> F24</f>
        <v>2</v>
      </c>
    </row>
    <row r="80" spans="1:6" x14ac:dyDescent="0.25">
      <c r="A80" s="1">
        <v>5</v>
      </c>
      <c r="B80" s="1">
        <v>5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4</v>
      </c>
      <c r="B81" s="1">
        <v>4</v>
      </c>
      <c r="C81" s="1">
        <v>2</v>
      </c>
      <c r="E81" t="s">
        <v>33</v>
      </c>
      <c r="F81">
        <f>FINV(F78, F79, F80)</f>
        <v>3.0284848289066213</v>
      </c>
    </row>
    <row r="82" spans="1:6" x14ac:dyDescent="0.25">
      <c r="A82" s="1">
        <v>4</v>
      </c>
      <c r="B82" s="1">
        <v>3</v>
      </c>
      <c r="C82" s="1">
        <v>5</v>
      </c>
      <c r="E82" t="s">
        <v>35</v>
      </c>
      <c r="F82">
        <f>_xlfn.F.DIST.RT(F73, F79, F80)</f>
        <v>0.12431951634390526</v>
      </c>
    </row>
    <row r="83" spans="1:6" x14ac:dyDescent="0.25">
      <c r="A83" s="1">
        <v>3</v>
      </c>
      <c r="B83" s="1">
        <v>5</v>
      </c>
      <c r="C83" s="1">
        <v>3</v>
      </c>
    </row>
    <row r="84" spans="1:6" x14ac:dyDescent="0.25">
      <c r="A84" s="1">
        <v>3</v>
      </c>
      <c r="B84" s="1">
        <v>2</v>
      </c>
      <c r="C84" s="1">
        <v>1</v>
      </c>
      <c r="E84" s="2" t="s">
        <v>6</v>
      </c>
      <c r="F84" s="2"/>
    </row>
    <row r="85" spans="1:6" x14ac:dyDescent="0.25">
      <c r="A85" s="1">
        <v>2</v>
      </c>
      <c r="B85" s="1">
        <v>2</v>
      </c>
      <c r="C85" s="1">
        <v>2</v>
      </c>
    </row>
    <row r="86" spans="1:6" x14ac:dyDescent="0.25">
      <c r="A86" s="1">
        <v>3</v>
      </c>
      <c r="B86" s="1">
        <v>3</v>
      </c>
      <c r="C86" s="1">
        <v>3</v>
      </c>
      <c r="E86" t="s">
        <v>36</v>
      </c>
    </row>
    <row r="87" spans="1:6" x14ac:dyDescent="0.25">
      <c r="A87" s="1">
        <v>5</v>
      </c>
      <c r="B87" s="1">
        <v>5</v>
      </c>
      <c r="C87" s="1">
        <v>5</v>
      </c>
      <c r="E87" t="s">
        <v>37</v>
      </c>
    </row>
    <row r="88" spans="1:6" x14ac:dyDescent="0.25">
      <c r="A88" s="1">
        <v>3</v>
      </c>
      <c r="B88" s="1">
        <v>4</v>
      </c>
      <c r="C88" s="1">
        <v>2</v>
      </c>
    </row>
    <row r="89" spans="1:6" x14ac:dyDescent="0.25">
      <c r="A89" s="1">
        <v>3</v>
      </c>
      <c r="B89" s="1">
        <v>3</v>
      </c>
      <c r="C89" s="1">
        <v>3</v>
      </c>
      <c r="E89" t="str">
        <f>"Si F calculado ("&amp;F73&amp;") &gt; F critico ("&amp;F81&amp;") ---&gt; Se rechaza la hipotesis nula"</f>
        <v>Si F calculado (2.10072920528983) &gt; F critico (3.02848482890662) ---&gt; Se rechaza la hipotesis nula</v>
      </c>
    </row>
    <row r="90" spans="1:6" x14ac:dyDescent="0.25">
      <c r="A90" s="1">
        <v>3</v>
      </c>
      <c r="B90" s="1">
        <v>1</v>
      </c>
      <c r="C90" s="1">
        <v>5</v>
      </c>
      <c r="E90" t="str">
        <f>"Si p-valor ("&amp;F82&amp;") &lt; α Nivel Significancia ("&amp;F78&amp;") ---&gt; Se rechaza la hipotesis nula"</f>
        <v>Si p-valor (0.124319516343905) &lt; α Nivel Significancia (0.05) ---&gt; Se rechaza la hipotesis nula</v>
      </c>
    </row>
    <row r="91" spans="1:6" x14ac:dyDescent="0.25">
      <c r="A91" s="1">
        <v>3</v>
      </c>
      <c r="B91" s="1">
        <v>3</v>
      </c>
      <c r="C91" s="1">
        <v>5</v>
      </c>
    </row>
    <row r="92" spans="1:6" x14ac:dyDescent="0.25">
      <c r="A92" s="1">
        <v>3</v>
      </c>
      <c r="B92" s="1">
        <v>4</v>
      </c>
      <c r="C92" s="1">
        <v>2</v>
      </c>
    </row>
    <row r="93" spans="1:6" x14ac:dyDescent="0.25">
      <c r="A93" s="1">
        <v>3</v>
      </c>
      <c r="B93" s="1">
        <v>3</v>
      </c>
      <c r="C93" s="1">
        <v>3</v>
      </c>
    </row>
    <row r="94" spans="1:6" x14ac:dyDescent="0.25">
      <c r="A94" s="1">
        <v>4</v>
      </c>
      <c r="B94" s="1">
        <v>3</v>
      </c>
      <c r="C94" s="1">
        <v>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E1" sqref="E1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3</v>
      </c>
      <c r="B2" s="1">
        <v>4</v>
      </c>
      <c r="C2" s="1">
        <v>4</v>
      </c>
      <c r="E2" s="2" t="s">
        <v>12</v>
      </c>
      <c r="F2" s="2"/>
    </row>
    <row r="3" spans="1:6" x14ac:dyDescent="0.25">
      <c r="A3" s="1">
        <v>2</v>
      </c>
      <c r="B3" s="1">
        <v>3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4</v>
      </c>
      <c r="B4" s="1">
        <v>1</v>
      </c>
      <c r="C4" s="1">
        <v>3</v>
      </c>
      <c r="E4" t="s">
        <v>7</v>
      </c>
      <c r="F4">
        <f>AVERAGE(A:A)</f>
        <v>3.3440860215053765</v>
      </c>
    </row>
    <row r="5" spans="1:6" x14ac:dyDescent="0.25">
      <c r="A5" s="1">
        <v>4</v>
      </c>
      <c r="B5" s="1">
        <v>5</v>
      </c>
      <c r="C5" s="1">
        <v>2</v>
      </c>
      <c r="E5" t="s">
        <v>8</v>
      </c>
      <c r="F5">
        <f>AVERAGE(B:B)</f>
        <v>3.3010752688172045</v>
      </c>
    </row>
    <row r="6" spans="1:6" x14ac:dyDescent="0.25">
      <c r="A6" s="1">
        <v>3</v>
      </c>
      <c r="B6" s="1">
        <v>1</v>
      </c>
      <c r="C6" s="1">
        <v>4</v>
      </c>
      <c r="E6" t="s">
        <v>9</v>
      </c>
      <c r="F6">
        <f>AVERAGE(C:C)</f>
        <v>3.5483870967741935</v>
      </c>
    </row>
    <row r="7" spans="1:6" x14ac:dyDescent="0.25">
      <c r="A7" s="1">
        <v>4</v>
      </c>
      <c r="B7" s="1">
        <v>3</v>
      </c>
      <c r="C7" s="1">
        <v>3</v>
      </c>
      <c r="E7" t="s">
        <v>14</v>
      </c>
      <c r="F7">
        <f>AVERAGE(F4:F6)</f>
        <v>3.3978494623655915</v>
      </c>
    </row>
    <row r="8" spans="1:6" x14ac:dyDescent="0.25">
      <c r="A8" s="1">
        <v>5</v>
      </c>
      <c r="B8" s="1">
        <v>5</v>
      </c>
      <c r="C8" s="1">
        <v>3</v>
      </c>
    </row>
    <row r="9" spans="1:6" x14ac:dyDescent="0.25">
      <c r="A9" s="1">
        <v>4</v>
      </c>
      <c r="B9" s="1">
        <v>4</v>
      </c>
      <c r="C9" s="1">
        <v>3</v>
      </c>
    </row>
    <row r="10" spans="1:6" x14ac:dyDescent="0.25">
      <c r="A10" s="1">
        <v>5</v>
      </c>
      <c r="B10" s="1">
        <v>3</v>
      </c>
      <c r="C10" s="1">
        <v>3</v>
      </c>
      <c r="E10" s="2" t="s">
        <v>11</v>
      </c>
      <c r="F10" s="2"/>
    </row>
    <row r="11" spans="1:6" x14ac:dyDescent="0.25">
      <c r="A11" s="1">
        <v>2</v>
      </c>
      <c r="B11" s="1">
        <v>5</v>
      </c>
      <c r="C11" s="1">
        <v>4</v>
      </c>
      <c r="E11" s="3" t="s">
        <v>16</v>
      </c>
    </row>
    <row r="12" spans="1:6" x14ac:dyDescent="0.25">
      <c r="A12" s="1">
        <v>2</v>
      </c>
      <c r="B12" s="1">
        <v>3</v>
      </c>
      <c r="C12" s="1">
        <v>3</v>
      </c>
      <c r="E12" s="3" t="s">
        <v>17</v>
      </c>
    </row>
    <row r="13" spans="1:6" x14ac:dyDescent="0.25">
      <c r="A13" s="1">
        <v>3</v>
      </c>
      <c r="B13" s="1">
        <v>4</v>
      </c>
      <c r="C13" s="1">
        <v>5</v>
      </c>
    </row>
    <row r="14" spans="1:6" x14ac:dyDescent="0.25">
      <c r="A14" s="1">
        <v>2</v>
      </c>
      <c r="B14" s="1">
        <v>3</v>
      </c>
      <c r="C14" s="1">
        <v>4</v>
      </c>
    </row>
    <row r="15" spans="1:6" x14ac:dyDescent="0.25">
      <c r="A15" s="1">
        <v>2</v>
      </c>
      <c r="B15" s="1">
        <v>5</v>
      </c>
      <c r="C15" s="1">
        <v>3</v>
      </c>
    </row>
    <row r="16" spans="1:6" x14ac:dyDescent="0.25">
      <c r="A16" s="1">
        <v>4</v>
      </c>
      <c r="B16" s="1">
        <v>2</v>
      </c>
      <c r="C16" s="1">
        <v>3</v>
      </c>
      <c r="E16" t="s">
        <v>10</v>
      </c>
      <c r="F16">
        <f>F3*((F4-F7)^2+(F5-F7)^2+(F6-F7)^2)</f>
        <v>3.2473118279569833</v>
      </c>
    </row>
    <row r="17" spans="1:6" x14ac:dyDescent="0.25">
      <c r="A17" s="1">
        <v>2</v>
      </c>
      <c r="B17" s="1">
        <v>1</v>
      </c>
      <c r="C17" s="1">
        <v>1</v>
      </c>
    </row>
    <row r="18" spans="1:6" x14ac:dyDescent="0.25">
      <c r="A18" s="1">
        <v>3</v>
      </c>
      <c r="B18" s="1">
        <v>1</v>
      </c>
      <c r="C18" s="1">
        <v>3</v>
      </c>
    </row>
    <row r="19" spans="1:6" x14ac:dyDescent="0.25">
      <c r="A19" s="1">
        <v>2</v>
      </c>
      <c r="B19" s="1">
        <v>3</v>
      </c>
      <c r="C19" s="1">
        <v>3</v>
      </c>
      <c r="E19" s="2" t="s">
        <v>18</v>
      </c>
      <c r="F19" s="2"/>
    </row>
    <row r="20" spans="1:6" x14ac:dyDescent="0.25">
      <c r="A20" s="1">
        <v>2</v>
      </c>
      <c r="B20" s="1">
        <v>5</v>
      </c>
      <c r="C20" s="1">
        <v>3</v>
      </c>
      <c r="E20" t="s">
        <v>19</v>
      </c>
    </row>
    <row r="21" spans="1:6" x14ac:dyDescent="0.25">
      <c r="A21" s="1">
        <v>4</v>
      </c>
      <c r="B21" s="1">
        <v>3</v>
      </c>
      <c r="C21" s="1">
        <v>3</v>
      </c>
      <c r="E21" t="s">
        <v>15</v>
      </c>
      <c r="F21" s="6">
        <v>3</v>
      </c>
    </row>
    <row r="22" spans="1:6" x14ac:dyDescent="0.25">
      <c r="A22" s="1">
        <v>5</v>
      </c>
      <c r="B22" s="1">
        <v>5</v>
      </c>
      <c r="C22" s="1">
        <v>5</v>
      </c>
    </row>
    <row r="23" spans="1:6" x14ac:dyDescent="0.25">
      <c r="A23" s="1">
        <v>4</v>
      </c>
      <c r="B23" s="1">
        <v>5</v>
      </c>
      <c r="C23" s="1">
        <v>4</v>
      </c>
    </row>
    <row r="24" spans="1:6" x14ac:dyDescent="0.25">
      <c r="A24" s="1">
        <v>4</v>
      </c>
      <c r="B24" s="1">
        <v>4</v>
      </c>
      <c r="C24" s="1">
        <v>4</v>
      </c>
      <c r="E24" t="s">
        <v>0</v>
      </c>
      <c r="F24">
        <f>F21-1</f>
        <v>2</v>
      </c>
    </row>
    <row r="25" spans="1:6" x14ac:dyDescent="0.25">
      <c r="A25" s="1">
        <v>2</v>
      </c>
      <c r="B25" s="1">
        <v>3</v>
      </c>
      <c r="C25" s="1">
        <v>4</v>
      </c>
    </row>
    <row r="26" spans="1:6" x14ac:dyDescent="0.25">
      <c r="A26" s="1">
        <v>2</v>
      </c>
      <c r="B26" s="1">
        <v>2</v>
      </c>
      <c r="C26" s="1">
        <v>5</v>
      </c>
    </row>
    <row r="27" spans="1:6" x14ac:dyDescent="0.25">
      <c r="A27" s="1">
        <v>5</v>
      </c>
      <c r="B27" s="1">
        <v>3</v>
      </c>
      <c r="C27" s="1">
        <v>5</v>
      </c>
      <c r="E27" s="2" t="s">
        <v>20</v>
      </c>
      <c r="F27" s="2"/>
    </row>
    <row r="28" spans="1:6" x14ac:dyDescent="0.25">
      <c r="A28" s="1">
        <v>3</v>
      </c>
      <c r="B28" s="1">
        <v>3</v>
      </c>
      <c r="C28" s="1">
        <v>4</v>
      </c>
      <c r="E28" t="s">
        <v>21</v>
      </c>
    </row>
    <row r="29" spans="1:6" x14ac:dyDescent="0.25">
      <c r="A29" s="1">
        <v>4</v>
      </c>
      <c r="B29" s="1">
        <v>4</v>
      </c>
      <c r="C29" s="1">
        <v>1</v>
      </c>
    </row>
    <row r="30" spans="1:6" x14ac:dyDescent="0.25">
      <c r="A30" s="1">
        <v>4</v>
      </c>
      <c r="B30" s="1">
        <v>1</v>
      </c>
      <c r="C30" s="1">
        <v>4</v>
      </c>
    </row>
    <row r="31" spans="1:6" x14ac:dyDescent="0.25">
      <c r="A31" s="1">
        <v>5</v>
      </c>
      <c r="B31" s="1">
        <v>4</v>
      </c>
      <c r="C31" s="1">
        <v>3</v>
      </c>
    </row>
    <row r="32" spans="1:6" x14ac:dyDescent="0.25">
      <c r="A32" s="1">
        <v>4</v>
      </c>
      <c r="B32" s="1">
        <v>3</v>
      </c>
      <c r="C32" s="1">
        <v>5</v>
      </c>
    </row>
    <row r="33" spans="1:6" x14ac:dyDescent="0.25">
      <c r="A33" s="1">
        <v>1</v>
      </c>
      <c r="B33" s="1">
        <v>5</v>
      </c>
      <c r="C33" s="1">
        <v>3</v>
      </c>
      <c r="E33" t="s">
        <v>1</v>
      </c>
      <c r="F33">
        <f>F16/F24</f>
        <v>1.6236559139784916</v>
      </c>
    </row>
    <row r="34" spans="1:6" x14ac:dyDescent="0.25">
      <c r="A34" s="1">
        <v>4</v>
      </c>
      <c r="B34" s="1">
        <v>2</v>
      </c>
      <c r="C34" s="1">
        <v>4</v>
      </c>
    </row>
    <row r="35" spans="1:6" x14ac:dyDescent="0.25">
      <c r="A35" s="1">
        <v>3</v>
      </c>
      <c r="B35" s="1">
        <v>3</v>
      </c>
      <c r="C35" s="1">
        <v>4</v>
      </c>
    </row>
    <row r="36" spans="1:6" x14ac:dyDescent="0.25">
      <c r="A36" s="1">
        <v>3</v>
      </c>
      <c r="B36" s="1">
        <v>4</v>
      </c>
      <c r="C36" s="1">
        <v>3</v>
      </c>
      <c r="E36" s="2" t="s">
        <v>25</v>
      </c>
      <c r="F36" s="2"/>
    </row>
    <row r="37" spans="1:6" x14ac:dyDescent="0.25">
      <c r="A37" s="1">
        <v>4</v>
      </c>
      <c r="B37" s="1">
        <v>5</v>
      </c>
      <c r="C37" s="1">
        <v>5</v>
      </c>
      <c r="E37" t="s">
        <v>22</v>
      </c>
    </row>
    <row r="38" spans="1:6" x14ac:dyDescent="0.25">
      <c r="A38" s="1">
        <v>1</v>
      </c>
      <c r="B38" s="1">
        <v>3</v>
      </c>
      <c r="C38" s="1">
        <v>5</v>
      </c>
      <c r="E38" t="s">
        <v>23</v>
      </c>
    </row>
    <row r="39" spans="1:6" x14ac:dyDescent="0.25">
      <c r="A39" s="1">
        <v>1</v>
      </c>
      <c r="B39" s="1">
        <v>3</v>
      </c>
      <c r="C39" s="1">
        <v>4</v>
      </c>
    </row>
    <row r="40" spans="1:6" x14ac:dyDescent="0.25">
      <c r="A40" s="1">
        <v>4</v>
      </c>
      <c r="B40" s="1">
        <v>4</v>
      </c>
      <c r="C40" s="1">
        <v>5</v>
      </c>
    </row>
    <row r="41" spans="1:6" x14ac:dyDescent="0.25">
      <c r="A41" s="1">
        <v>3</v>
      </c>
      <c r="B41" s="1">
        <v>1</v>
      </c>
      <c r="C41" s="1">
        <v>5</v>
      </c>
    </row>
    <row r="42" spans="1:6" x14ac:dyDescent="0.25">
      <c r="A42" s="1">
        <v>4</v>
      </c>
      <c r="B42" s="1">
        <v>5</v>
      </c>
      <c r="C42" s="1">
        <v>4</v>
      </c>
    </row>
    <row r="43" spans="1:6" x14ac:dyDescent="0.25">
      <c r="A43" s="1">
        <v>4</v>
      </c>
      <c r="B43" s="1">
        <v>4</v>
      </c>
      <c r="C43" s="1">
        <v>2</v>
      </c>
      <c r="E43" t="s">
        <v>3</v>
      </c>
      <c r="F43">
        <f>DEVSQ(A:A)+DEVSQ(B:B)+DEVSQ(C:C)</f>
        <v>365.59139784946234</v>
      </c>
    </row>
    <row r="44" spans="1:6" x14ac:dyDescent="0.25">
      <c r="A44" s="1">
        <v>5</v>
      </c>
      <c r="B44" s="1">
        <v>1</v>
      </c>
      <c r="C44" s="1">
        <v>3</v>
      </c>
    </row>
    <row r="45" spans="1:6" x14ac:dyDescent="0.25">
      <c r="A45" s="1">
        <v>3</v>
      </c>
      <c r="B45" s="1">
        <v>4</v>
      </c>
      <c r="C45" s="1">
        <v>3</v>
      </c>
    </row>
    <row r="46" spans="1:6" x14ac:dyDescent="0.25">
      <c r="A46" s="1">
        <v>3</v>
      </c>
      <c r="B46" s="1">
        <v>3</v>
      </c>
      <c r="C46" s="1">
        <v>4</v>
      </c>
      <c r="E46" s="2" t="s">
        <v>24</v>
      </c>
      <c r="F46" s="2"/>
    </row>
    <row r="47" spans="1:6" x14ac:dyDescent="0.25">
      <c r="A47" s="1">
        <v>5</v>
      </c>
      <c r="B47" s="1">
        <v>4</v>
      </c>
      <c r="C47" s="1">
        <v>2</v>
      </c>
      <c r="E47" t="s">
        <v>26</v>
      </c>
      <c r="F47">
        <f>COUNT(A:A,B:B,C:C,#REF!)</f>
        <v>279</v>
      </c>
    </row>
    <row r="48" spans="1:6" x14ac:dyDescent="0.25">
      <c r="A48" s="1">
        <v>4</v>
      </c>
      <c r="B48" s="1">
        <v>4</v>
      </c>
      <c r="C48" s="1">
        <v>4</v>
      </c>
      <c r="E48" t="s">
        <v>15</v>
      </c>
      <c r="F48">
        <f>F21</f>
        <v>3</v>
      </c>
    </row>
    <row r="49" spans="1:6" x14ac:dyDescent="0.25">
      <c r="A49" s="1">
        <v>2</v>
      </c>
      <c r="B49" s="1">
        <v>1</v>
      </c>
      <c r="C49" s="1">
        <v>5</v>
      </c>
    </row>
    <row r="50" spans="1:6" x14ac:dyDescent="0.25">
      <c r="A50" s="1">
        <v>4</v>
      </c>
      <c r="B50" s="1">
        <v>4</v>
      </c>
      <c r="C50" s="1">
        <v>3</v>
      </c>
    </row>
    <row r="51" spans="1:6" x14ac:dyDescent="0.25">
      <c r="A51" s="1">
        <v>5</v>
      </c>
      <c r="B51" s="1">
        <v>2</v>
      </c>
      <c r="C51" s="1">
        <v>5</v>
      </c>
    </row>
    <row r="52" spans="1:6" x14ac:dyDescent="0.25">
      <c r="A52" s="1">
        <v>3</v>
      </c>
      <c r="B52" s="1">
        <v>4</v>
      </c>
      <c r="C52" s="1">
        <v>4</v>
      </c>
    </row>
    <row r="53" spans="1:6" x14ac:dyDescent="0.25">
      <c r="A53" s="1">
        <v>1</v>
      </c>
      <c r="B53" s="1">
        <v>4</v>
      </c>
      <c r="C53" s="1">
        <v>3</v>
      </c>
      <c r="E53" t="s">
        <v>4</v>
      </c>
      <c r="F53">
        <f>F47-F48</f>
        <v>276</v>
      </c>
    </row>
    <row r="54" spans="1:6" x14ac:dyDescent="0.25">
      <c r="A54" s="1">
        <v>4</v>
      </c>
      <c r="B54" s="1">
        <v>5</v>
      </c>
      <c r="C54" s="1">
        <v>2</v>
      </c>
    </row>
    <row r="55" spans="1:6" x14ac:dyDescent="0.25">
      <c r="A55" s="1">
        <v>3</v>
      </c>
      <c r="B55" s="1">
        <v>3</v>
      </c>
      <c r="C55" s="1">
        <v>3</v>
      </c>
    </row>
    <row r="56" spans="1:6" x14ac:dyDescent="0.25">
      <c r="A56" s="1">
        <v>3</v>
      </c>
      <c r="B56" s="1">
        <v>4</v>
      </c>
      <c r="C56" s="1">
        <v>3</v>
      </c>
      <c r="E56" s="2" t="s">
        <v>27</v>
      </c>
      <c r="F56" s="2"/>
    </row>
    <row r="57" spans="1:6" x14ac:dyDescent="0.25">
      <c r="A57" s="1">
        <v>4</v>
      </c>
      <c r="B57" s="1">
        <v>2</v>
      </c>
      <c r="C57" s="1">
        <v>1</v>
      </c>
      <c r="E57" t="s">
        <v>28</v>
      </c>
    </row>
    <row r="58" spans="1:6" x14ac:dyDescent="0.25">
      <c r="A58" s="1">
        <v>3</v>
      </c>
      <c r="B58" s="1">
        <v>3</v>
      </c>
      <c r="C58" s="1">
        <v>5</v>
      </c>
    </row>
    <row r="59" spans="1:6" x14ac:dyDescent="0.25">
      <c r="A59" s="1">
        <v>4</v>
      </c>
      <c r="B59" s="1">
        <v>1</v>
      </c>
      <c r="C59" s="1">
        <v>4</v>
      </c>
    </row>
    <row r="60" spans="1:6" x14ac:dyDescent="0.25">
      <c r="A60" s="1">
        <v>3</v>
      </c>
      <c r="B60" s="1">
        <v>5</v>
      </c>
      <c r="C60" s="1">
        <v>4</v>
      </c>
    </row>
    <row r="61" spans="1:6" x14ac:dyDescent="0.25">
      <c r="A61" s="1">
        <v>3</v>
      </c>
      <c r="B61" s="1">
        <v>2</v>
      </c>
      <c r="C61" s="1">
        <v>4</v>
      </c>
    </row>
    <row r="62" spans="1:6" x14ac:dyDescent="0.25">
      <c r="A62" s="1">
        <v>3</v>
      </c>
      <c r="B62" s="1">
        <v>2</v>
      </c>
      <c r="C62" s="1">
        <v>4</v>
      </c>
    </row>
    <row r="63" spans="1:6" x14ac:dyDescent="0.25">
      <c r="A63" s="1">
        <v>5</v>
      </c>
      <c r="B63" s="1">
        <v>2</v>
      </c>
      <c r="C63" s="1">
        <v>2</v>
      </c>
      <c r="E63" t="s">
        <v>5</v>
      </c>
      <c r="F63">
        <f>F43/F53</f>
        <v>1.3246065139473273</v>
      </c>
    </row>
    <row r="64" spans="1:6" x14ac:dyDescent="0.25">
      <c r="A64" s="1">
        <v>2</v>
      </c>
      <c r="B64" s="1">
        <v>2</v>
      </c>
      <c r="C64" s="1">
        <v>3</v>
      </c>
    </row>
    <row r="65" spans="1:6" x14ac:dyDescent="0.25">
      <c r="A65" s="1">
        <v>4</v>
      </c>
      <c r="B65" s="1">
        <v>2</v>
      </c>
      <c r="C65" s="1">
        <v>3</v>
      </c>
    </row>
    <row r="66" spans="1:6" x14ac:dyDescent="0.25">
      <c r="A66" s="1">
        <v>4</v>
      </c>
      <c r="B66" s="1">
        <v>3</v>
      </c>
      <c r="C66" s="1">
        <v>4</v>
      </c>
      <c r="E66" s="2" t="s">
        <v>29</v>
      </c>
      <c r="F66" s="2"/>
    </row>
    <row r="67" spans="1:6" x14ac:dyDescent="0.25">
      <c r="A67" s="1">
        <v>5</v>
      </c>
      <c r="B67" s="1">
        <v>5</v>
      </c>
      <c r="C67" s="1">
        <v>2</v>
      </c>
      <c r="E67" t="s">
        <v>30</v>
      </c>
    </row>
    <row r="68" spans="1:6" x14ac:dyDescent="0.25">
      <c r="A68" s="1">
        <v>3</v>
      </c>
      <c r="B68" s="1">
        <v>5</v>
      </c>
      <c r="C68" s="1">
        <v>1</v>
      </c>
      <c r="E68" t="s">
        <v>31</v>
      </c>
    </row>
    <row r="69" spans="1:6" x14ac:dyDescent="0.25">
      <c r="A69" s="1">
        <v>3</v>
      </c>
      <c r="B69" s="1">
        <v>1</v>
      </c>
      <c r="C69" s="1">
        <v>2</v>
      </c>
    </row>
    <row r="70" spans="1:6" x14ac:dyDescent="0.25">
      <c r="A70" s="1">
        <v>5</v>
      </c>
      <c r="B70" s="1">
        <v>3</v>
      </c>
      <c r="C70" s="1">
        <v>5</v>
      </c>
    </row>
    <row r="71" spans="1:6" x14ac:dyDescent="0.25">
      <c r="A71" s="1">
        <v>3</v>
      </c>
      <c r="B71" s="1">
        <v>2</v>
      </c>
      <c r="C71" s="1">
        <v>3</v>
      </c>
    </row>
    <row r="72" spans="1:6" x14ac:dyDescent="0.25">
      <c r="A72" s="1">
        <v>4</v>
      </c>
      <c r="B72" s="1">
        <v>3</v>
      </c>
      <c r="C72" s="1">
        <v>5</v>
      </c>
    </row>
    <row r="73" spans="1:6" x14ac:dyDescent="0.25">
      <c r="A73" s="1">
        <v>3</v>
      </c>
      <c r="B73" s="1">
        <v>5</v>
      </c>
      <c r="C73" s="1">
        <v>4</v>
      </c>
      <c r="E73" t="s">
        <v>2</v>
      </c>
      <c r="F73">
        <f>F33/F63</f>
        <v>1.2257647058823509</v>
      </c>
    </row>
    <row r="74" spans="1:6" x14ac:dyDescent="0.25">
      <c r="A74" s="1">
        <v>4</v>
      </c>
      <c r="B74" s="1">
        <v>5</v>
      </c>
      <c r="C74" s="1">
        <v>5</v>
      </c>
    </row>
    <row r="75" spans="1:6" x14ac:dyDescent="0.25">
      <c r="A75" s="1">
        <v>3</v>
      </c>
      <c r="B75" s="1">
        <v>3</v>
      </c>
      <c r="C75" s="1">
        <v>3</v>
      </c>
    </row>
    <row r="76" spans="1:6" x14ac:dyDescent="0.25">
      <c r="A76" s="1">
        <v>4</v>
      </c>
      <c r="B76" s="1">
        <v>4</v>
      </c>
      <c r="C76" s="1">
        <v>3</v>
      </c>
      <c r="E76" s="2" t="s">
        <v>34</v>
      </c>
      <c r="F76" s="2"/>
    </row>
    <row r="77" spans="1:6" x14ac:dyDescent="0.25">
      <c r="A77" s="1">
        <v>1</v>
      </c>
      <c r="B77" s="1">
        <v>4</v>
      </c>
      <c r="C77" s="1">
        <v>5</v>
      </c>
    </row>
    <row r="78" spans="1:6" x14ac:dyDescent="0.25">
      <c r="A78" s="1">
        <v>5</v>
      </c>
      <c r="B78" s="1">
        <v>3</v>
      </c>
      <c r="C78" s="1">
        <v>4</v>
      </c>
      <c r="E78" s="4" t="s">
        <v>32</v>
      </c>
      <c r="F78">
        <v>0.05</v>
      </c>
    </row>
    <row r="79" spans="1:6" x14ac:dyDescent="0.25">
      <c r="A79" s="1">
        <v>4</v>
      </c>
      <c r="B79" s="1">
        <v>5</v>
      </c>
      <c r="C79" s="1">
        <v>4</v>
      </c>
      <c r="E79" t="s">
        <v>0</v>
      </c>
      <c r="F79">
        <f xml:space="preserve"> F24</f>
        <v>2</v>
      </c>
    </row>
    <row r="80" spans="1:6" x14ac:dyDescent="0.25">
      <c r="A80" s="1">
        <v>5</v>
      </c>
      <c r="B80" s="1">
        <v>3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2</v>
      </c>
      <c r="B81" s="1">
        <v>4</v>
      </c>
      <c r="C81" s="1">
        <v>5</v>
      </c>
      <c r="E81" t="s">
        <v>33</v>
      </c>
      <c r="F81">
        <f>FINV(F78, F79, F80)</f>
        <v>3.0284848289066213</v>
      </c>
    </row>
    <row r="82" spans="1:6" x14ac:dyDescent="0.25">
      <c r="A82" s="1">
        <v>2</v>
      </c>
      <c r="B82" s="1">
        <v>2</v>
      </c>
      <c r="C82" s="1">
        <v>4</v>
      </c>
      <c r="E82" t="s">
        <v>35</v>
      </c>
      <c r="F82">
        <f>_xlfn.F.DIST.RT(F73, F79, F80)</f>
        <v>0.29512600113712417</v>
      </c>
    </row>
    <row r="83" spans="1:6" x14ac:dyDescent="0.25">
      <c r="A83" s="1">
        <v>4</v>
      </c>
      <c r="B83" s="1">
        <v>4</v>
      </c>
      <c r="C83" s="1">
        <v>3</v>
      </c>
    </row>
    <row r="84" spans="1:6" x14ac:dyDescent="0.25">
      <c r="A84" s="1">
        <v>3</v>
      </c>
      <c r="B84" s="1">
        <v>3</v>
      </c>
      <c r="C84" s="1">
        <v>5</v>
      </c>
      <c r="E84" s="2" t="s">
        <v>6</v>
      </c>
      <c r="F84" s="2"/>
    </row>
    <row r="85" spans="1:6" x14ac:dyDescent="0.25">
      <c r="A85" s="1">
        <v>2</v>
      </c>
      <c r="B85" s="1">
        <v>5</v>
      </c>
      <c r="C85" s="1">
        <v>5</v>
      </c>
    </row>
    <row r="86" spans="1:6" x14ac:dyDescent="0.25">
      <c r="A86" s="1">
        <v>3</v>
      </c>
      <c r="B86" s="1">
        <v>5</v>
      </c>
      <c r="C86" s="1">
        <v>4</v>
      </c>
      <c r="E86" t="s">
        <v>36</v>
      </c>
    </row>
    <row r="87" spans="1:6" x14ac:dyDescent="0.25">
      <c r="A87" s="1">
        <v>3</v>
      </c>
      <c r="B87" s="1">
        <v>4</v>
      </c>
      <c r="C87" s="1">
        <v>2</v>
      </c>
      <c r="E87" t="s">
        <v>37</v>
      </c>
    </row>
    <row r="88" spans="1:6" x14ac:dyDescent="0.25">
      <c r="A88" s="1">
        <v>4</v>
      </c>
      <c r="B88" s="1">
        <v>3</v>
      </c>
      <c r="C88" s="1">
        <v>3</v>
      </c>
    </row>
    <row r="89" spans="1:6" x14ac:dyDescent="0.25">
      <c r="A89" s="1">
        <v>5</v>
      </c>
      <c r="B89" s="1">
        <v>3</v>
      </c>
      <c r="C89" s="1">
        <v>3</v>
      </c>
      <c r="E89" t="str">
        <f>"Si F calculado ("&amp;F73&amp;") &gt; F critico ("&amp;F81&amp;") ---&gt; Se rechaza la hipotesis nula"</f>
        <v>Si F calculado (1.22576470588235) &gt; F critico (3.02848482890662) ---&gt; Se rechaza la hipotesis nula</v>
      </c>
    </row>
    <row r="90" spans="1:6" x14ac:dyDescent="0.25">
      <c r="A90" s="1">
        <v>2</v>
      </c>
      <c r="B90" s="1">
        <v>4</v>
      </c>
      <c r="C90" s="1">
        <v>4</v>
      </c>
      <c r="E90" t="str">
        <f>"Si p-valor ("&amp;F82&amp;") &lt; α Nivel Significancia ("&amp;F78&amp;") ---&gt; Se rechaza la hipotesis nula"</f>
        <v>Si p-valor (0.295126001137124) &lt; α Nivel Significancia (0.05) ---&gt; Se rechaza la hipotesis nula</v>
      </c>
    </row>
    <row r="91" spans="1:6" x14ac:dyDescent="0.25">
      <c r="A91" s="1">
        <v>2</v>
      </c>
      <c r="B91" s="1">
        <v>3</v>
      </c>
      <c r="C91" s="1">
        <v>3</v>
      </c>
    </row>
    <row r="92" spans="1:6" x14ac:dyDescent="0.25">
      <c r="A92" s="1">
        <v>3</v>
      </c>
      <c r="B92" s="1">
        <v>2</v>
      </c>
      <c r="C92" s="1">
        <v>5</v>
      </c>
    </row>
    <row r="93" spans="1:6" x14ac:dyDescent="0.25">
      <c r="A93" s="1">
        <v>4</v>
      </c>
      <c r="B93" s="1">
        <v>2</v>
      </c>
      <c r="C93" s="1">
        <v>3</v>
      </c>
    </row>
    <row r="94" spans="1:6" x14ac:dyDescent="0.25">
      <c r="A94" s="1">
        <v>4</v>
      </c>
      <c r="B94" s="1">
        <v>5</v>
      </c>
      <c r="C94" s="1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D1" sqref="D1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5</v>
      </c>
      <c r="B2" s="1">
        <v>3</v>
      </c>
      <c r="C2" s="1">
        <v>5</v>
      </c>
      <c r="E2" s="2" t="s">
        <v>12</v>
      </c>
      <c r="F2" s="2"/>
    </row>
    <row r="3" spans="1:6" x14ac:dyDescent="0.25">
      <c r="A3" s="1">
        <v>5</v>
      </c>
      <c r="B3" s="1">
        <v>3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2</v>
      </c>
      <c r="B4" s="1">
        <v>3</v>
      </c>
      <c r="C4" s="1">
        <v>5</v>
      </c>
      <c r="E4" t="s">
        <v>7</v>
      </c>
      <c r="F4">
        <f>AVERAGE(A:A)</f>
        <v>3.236559139784946</v>
      </c>
    </row>
    <row r="5" spans="1:6" x14ac:dyDescent="0.25">
      <c r="A5" s="1">
        <v>3</v>
      </c>
      <c r="B5" s="1">
        <v>3</v>
      </c>
      <c r="C5" s="1">
        <v>5</v>
      </c>
      <c r="E5" t="s">
        <v>8</v>
      </c>
      <c r="F5">
        <f>AVERAGE(B:B)</f>
        <v>3.3655913978494625</v>
      </c>
    </row>
    <row r="6" spans="1:6" x14ac:dyDescent="0.25">
      <c r="A6" s="1">
        <v>5</v>
      </c>
      <c r="B6" s="1">
        <v>5</v>
      </c>
      <c r="C6" s="1">
        <v>4</v>
      </c>
      <c r="E6" t="s">
        <v>9</v>
      </c>
      <c r="F6">
        <f>AVERAGE(C:C)</f>
        <v>3.5268817204301075</v>
      </c>
    </row>
    <row r="7" spans="1:6" x14ac:dyDescent="0.25">
      <c r="A7" s="1">
        <v>5</v>
      </c>
      <c r="B7" s="1">
        <v>4</v>
      </c>
      <c r="C7" s="1">
        <v>4</v>
      </c>
      <c r="E7" t="s">
        <v>14</v>
      </c>
      <c r="F7">
        <f>AVERAGE(F4:F6)</f>
        <v>3.3763440860215055</v>
      </c>
    </row>
    <row r="8" spans="1:6" x14ac:dyDescent="0.25">
      <c r="A8" s="1">
        <v>3</v>
      </c>
      <c r="B8" s="1">
        <v>3</v>
      </c>
      <c r="C8" s="1">
        <v>3</v>
      </c>
    </row>
    <row r="9" spans="1:6" x14ac:dyDescent="0.25">
      <c r="A9" s="1">
        <v>5</v>
      </c>
      <c r="B9" s="1">
        <v>5</v>
      </c>
      <c r="C9" s="1">
        <v>3</v>
      </c>
    </row>
    <row r="10" spans="1:6" x14ac:dyDescent="0.25">
      <c r="A10" s="1">
        <v>5</v>
      </c>
      <c r="B10" s="1">
        <v>4</v>
      </c>
      <c r="C10" s="1">
        <v>5</v>
      </c>
      <c r="E10" s="2" t="s">
        <v>11</v>
      </c>
      <c r="F10" s="2"/>
    </row>
    <row r="11" spans="1:6" x14ac:dyDescent="0.25">
      <c r="A11" s="1">
        <v>3</v>
      </c>
      <c r="B11" s="1">
        <v>5</v>
      </c>
      <c r="C11" s="1">
        <v>5</v>
      </c>
      <c r="E11" s="3" t="s">
        <v>16</v>
      </c>
    </row>
    <row r="12" spans="1:6" x14ac:dyDescent="0.25">
      <c r="A12" s="1">
        <v>3</v>
      </c>
      <c r="B12" s="1">
        <v>5</v>
      </c>
      <c r="C12" s="1">
        <v>3</v>
      </c>
      <c r="E12" s="3" t="s">
        <v>17</v>
      </c>
    </row>
    <row r="13" spans="1:6" x14ac:dyDescent="0.25">
      <c r="A13" s="1">
        <v>3</v>
      </c>
      <c r="B13" s="1">
        <v>4</v>
      </c>
      <c r="C13" s="1">
        <v>4</v>
      </c>
    </row>
    <row r="14" spans="1:6" x14ac:dyDescent="0.25">
      <c r="A14" s="1">
        <v>4</v>
      </c>
      <c r="B14" s="1">
        <v>5</v>
      </c>
      <c r="C14" s="1">
        <v>3</v>
      </c>
    </row>
    <row r="15" spans="1:6" x14ac:dyDescent="0.25">
      <c r="A15" s="1">
        <v>3</v>
      </c>
      <c r="B15" s="1">
        <v>3</v>
      </c>
      <c r="C15" s="1">
        <v>3</v>
      </c>
    </row>
    <row r="16" spans="1:6" x14ac:dyDescent="0.25">
      <c r="A16" s="1">
        <v>4</v>
      </c>
      <c r="B16" s="1">
        <v>3</v>
      </c>
      <c r="C16" s="1">
        <v>2</v>
      </c>
      <c r="E16" t="s">
        <v>10</v>
      </c>
      <c r="F16">
        <f>F3*((F4-F7)^2+(F5-F7)^2+(F6-F7)^2)</f>
        <v>3.9354838709677464</v>
      </c>
    </row>
    <row r="17" spans="1:6" x14ac:dyDescent="0.25">
      <c r="A17" s="1">
        <v>4</v>
      </c>
      <c r="B17" s="1">
        <v>2</v>
      </c>
      <c r="C17" s="1">
        <v>3</v>
      </c>
    </row>
    <row r="18" spans="1:6" x14ac:dyDescent="0.25">
      <c r="A18" s="1">
        <v>3</v>
      </c>
      <c r="B18" s="1">
        <v>4</v>
      </c>
      <c r="C18" s="1">
        <v>4</v>
      </c>
    </row>
    <row r="19" spans="1:6" x14ac:dyDescent="0.25">
      <c r="A19" s="1">
        <v>3</v>
      </c>
      <c r="B19" s="1">
        <v>5</v>
      </c>
      <c r="C19" s="1">
        <v>3</v>
      </c>
      <c r="E19" s="2" t="s">
        <v>18</v>
      </c>
      <c r="F19" s="2"/>
    </row>
    <row r="20" spans="1:6" x14ac:dyDescent="0.25">
      <c r="A20" s="1">
        <v>2</v>
      </c>
      <c r="B20" s="1">
        <v>5</v>
      </c>
      <c r="C20" s="1">
        <v>4</v>
      </c>
      <c r="E20" t="s">
        <v>19</v>
      </c>
    </row>
    <row r="21" spans="1:6" x14ac:dyDescent="0.25">
      <c r="A21" s="1">
        <v>3</v>
      </c>
      <c r="B21" s="1">
        <v>3</v>
      </c>
      <c r="C21" s="1">
        <v>4</v>
      </c>
      <c r="E21" t="s">
        <v>15</v>
      </c>
      <c r="F21" s="6">
        <v>3</v>
      </c>
    </row>
    <row r="22" spans="1:6" x14ac:dyDescent="0.25">
      <c r="A22" s="1">
        <v>3</v>
      </c>
      <c r="B22" s="1">
        <v>3</v>
      </c>
      <c r="C22" s="1">
        <v>2</v>
      </c>
    </row>
    <row r="23" spans="1:6" x14ac:dyDescent="0.25">
      <c r="A23" s="1">
        <v>5</v>
      </c>
      <c r="B23" s="1">
        <v>5</v>
      </c>
      <c r="C23" s="1">
        <v>4</v>
      </c>
    </row>
    <row r="24" spans="1:6" x14ac:dyDescent="0.25">
      <c r="A24" s="1">
        <v>4</v>
      </c>
      <c r="B24" s="1">
        <v>2</v>
      </c>
      <c r="C24" s="1">
        <v>2</v>
      </c>
      <c r="E24" t="s">
        <v>0</v>
      </c>
      <c r="F24">
        <f>F21-1</f>
        <v>2</v>
      </c>
    </row>
    <row r="25" spans="1:6" x14ac:dyDescent="0.25">
      <c r="A25" s="1">
        <v>4</v>
      </c>
      <c r="B25" s="1">
        <v>5</v>
      </c>
      <c r="C25" s="1">
        <v>2</v>
      </c>
    </row>
    <row r="26" spans="1:6" x14ac:dyDescent="0.25">
      <c r="A26" s="1">
        <v>4</v>
      </c>
      <c r="B26" s="1">
        <v>3</v>
      </c>
      <c r="C26" s="1">
        <v>2</v>
      </c>
    </row>
    <row r="27" spans="1:6" x14ac:dyDescent="0.25">
      <c r="A27" s="1">
        <v>1</v>
      </c>
      <c r="B27" s="1">
        <v>3</v>
      </c>
      <c r="C27" s="1">
        <v>1</v>
      </c>
      <c r="E27" s="2" t="s">
        <v>20</v>
      </c>
      <c r="F27" s="2"/>
    </row>
    <row r="28" spans="1:6" x14ac:dyDescent="0.25">
      <c r="A28" s="1">
        <v>4</v>
      </c>
      <c r="B28" s="1">
        <v>2</v>
      </c>
      <c r="C28" s="1">
        <v>4</v>
      </c>
      <c r="E28" t="s">
        <v>21</v>
      </c>
    </row>
    <row r="29" spans="1:6" x14ac:dyDescent="0.25">
      <c r="A29" s="1">
        <v>2</v>
      </c>
      <c r="B29" s="1">
        <v>3</v>
      </c>
      <c r="C29" s="1">
        <v>4</v>
      </c>
    </row>
    <row r="30" spans="1:6" x14ac:dyDescent="0.25">
      <c r="A30" s="1">
        <v>3</v>
      </c>
      <c r="B30" s="1">
        <v>2</v>
      </c>
      <c r="C30" s="1">
        <v>3</v>
      </c>
    </row>
    <row r="31" spans="1:6" x14ac:dyDescent="0.25">
      <c r="A31" s="1">
        <v>2</v>
      </c>
      <c r="B31" s="1">
        <v>4</v>
      </c>
      <c r="C31" s="1">
        <v>4</v>
      </c>
    </row>
    <row r="32" spans="1:6" x14ac:dyDescent="0.25">
      <c r="A32" s="1">
        <v>3</v>
      </c>
      <c r="B32" s="1">
        <v>2</v>
      </c>
      <c r="C32" s="1">
        <v>3</v>
      </c>
    </row>
    <row r="33" spans="1:6" x14ac:dyDescent="0.25">
      <c r="A33" s="1">
        <v>3</v>
      </c>
      <c r="B33" s="1">
        <v>5</v>
      </c>
      <c r="C33" s="1">
        <v>3</v>
      </c>
      <c r="E33" t="s">
        <v>1</v>
      </c>
      <c r="F33">
        <f>F16/F24</f>
        <v>1.9677419354838732</v>
      </c>
    </row>
    <row r="34" spans="1:6" x14ac:dyDescent="0.25">
      <c r="A34" s="1">
        <v>3</v>
      </c>
      <c r="B34" s="1">
        <v>2</v>
      </c>
      <c r="C34" s="1">
        <v>3</v>
      </c>
    </row>
    <row r="35" spans="1:6" x14ac:dyDescent="0.25">
      <c r="A35" s="1">
        <v>4</v>
      </c>
      <c r="B35" s="1">
        <v>3</v>
      </c>
      <c r="C35" s="1">
        <v>4</v>
      </c>
    </row>
    <row r="36" spans="1:6" x14ac:dyDescent="0.25">
      <c r="A36" s="1">
        <v>3</v>
      </c>
      <c r="B36" s="1">
        <v>2</v>
      </c>
      <c r="C36" s="1">
        <v>5</v>
      </c>
      <c r="E36" s="2" t="s">
        <v>25</v>
      </c>
      <c r="F36" s="2"/>
    </row>
    <row r="37" spans="1:6" x14ac:dyDescent="0.25">
      <c r="A37" s="1">
        <v>4</v>
      </c>
      <c r="B37" s="1">
        <v>3</v>
      </c>
      <c r="C37" s="1">
        <v>4</v>
      </c>
      <c r="E37" t="s">
        <v>22</v>
      </c>
    </row>
    <row r="38" spans="1:6" x14ac:dyDescent="0.25">
      <c r="A38" s="1">
        <v>5</v>
      </c>
      <c r="B38" s="1">
        <v>3</v>
      </c>
      <c r="C38" s="1">
        <v>5</v>
      </c>
      <c r="E38" t="s">
        <v>23</v>
      </c>
    </row>
    <row r="39" spans="1:6" x14ac:dyDescent="0.25">
      <c r="A39" s="1">
        <v>3</v>
      </c>
      <c r="B39" s="1">
        <v>3</v>
      </c>
      <c r="C39" s="1">
        <v>2</v>
      </c>
    </row>
    <row r="40" spans="1:6" x14ac:dyDescent="0.25">
      <c r="A40" s="1">
        <v>5</v>
      </c>
      <c r="B40" s="1">
        <v>3</v>
      </c>
      <c r="C40" s="1">
        <v>4</v>
      </c>
    </row>
    <row r="41" spans="1:6" x14ac:dyDescent="0.25">
      <c r="A41" s="1">
        <v>1</v>
      </c>
      <c r="B41" s="1">
        <v>5</v>
      </c>
      <c r="C41" s="1">
        <v>5</v>
      </c>
    </row>
    <row r="42" spans="1:6" x14ac:dyDescent="0.25">
      <c r="A42" s="1">
        <v>1</v>
      </c>
      <c r="B42" s="1">
        <v>5</v>
      </c>
      <c r="C42" s="1">
        <v>5</v>
      </c>
    </row>
    <row r="43" spans="1:6" x14ac:dyDescent="0.25">
      <c r="A43" s="1">
        <v>2</v>
      </c>
      <c r="B43" s="1">
        <v>4</v>
      </c>
      <c r="C43" s="1">
        <v>3</v>
      </c>
      <c r="E43" t="s">
        <v>3</v>
      </c>
      <c r="F43">
        <f>DEVSQ(A:A)+DEVSQ(B:B)+DEVSQ(C:C)</f>
        <v>369.54838709677426</v>
      </c>
    </row>
    <row r="44" spans="1:6" x14ac:dyDescent="0.25">
      <c r="A44" s="1">
        <v>4</v>
      </c>
      <c r="B44" s="1">
        <v>5</v>
      </c>
      <c r="C44" s="1">
        <v>3</v>
      </c>
    </row>
    <row r="45" spans="1:6" x14ac:dyDescent="0.25">
      <c r="A45" s="1">
        <v>5</v>
      </c>
      <c r="B45" s="1">
        <v>2</v>
      </c>
      <c r="C45" s="1">
        <v>4</v>
      </c>
    </row>
    <row r="46" spans="1:6" x14ac:dyDescent="0.25">
      <c r="A46" s="1">
        <v>1</v>
      </c>
      <c r="B46" s="1">
        <v>4</v>
      </c>
      <c r="C46" s="1">
        <v>5</v>
      </c>
      <c r="E46" s="2" t="s">
        <v>24</v>
      </c>
      <c r="F46" s="2"/>
    </row>
    <row r="47" spans="1:6" x14ac:dyDescent="0.25">
      <c r="A47" s="1">
        <v>4</v>
      </c>
      <c r="B47" s="1">
        <v>1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1</v>
      </c>
      <c r="B48" s="1">
        <v>4</v>
      </c>
      <c r="C48" s="1">
        <v>4</v>
      </c>
      <c r="E48" t="s">
        <v>15</v>
      </c>
      <c r="F48">
        <f>F21</f>
        <v>3</v>
      </c>
    </row>
    <row r="49" spans="1:6" x14ac:dyDescent="0.25">
      <c r="A49" s="1">
        <v>1</v>
      </c>
      <c r="B49" s="1">
        <v>5</v>
      </c>
      <c r="C49" s="1">
        <v>3</v>
      </c>
    </row>
    <row r="50" spans="1:6" x14ac:dyDescent="0.25">
      <c r="A50" s="1">
        <v>2</v>
      </c>
      <c r="B50" s="1">
        <v>2</v>
      </c>
      <c r="C50" s="1">
        <v>3</v>
      </c>
    </row>
    <row r="51" spans="1:6" x14ac:dyDescent="0.25">
      <c r="A51" s="1">
        <v>4</v>
      </c>
      <c r="B51" s="1">
        <v>3</v>
      </c>
      <c r="C51" s="1">
        <v>4</v>
      </c>
    </row>
    <row r="52" spans="1:6" x14ac:dyDescent="0.25">
      <c r="A52" s="1">
        <v>4</v>
      </c>
      <c r="B52" s="1">
        <v>3</v>
      </c>
      <c r="C52" s="1">
        <v>4</v>
      </c>
    </row>
    <row r="53" spans="1:6" x14ac:dyDescent="0.25">
      <c r="A53" s="1">
        <v>2</v>
      </c>
      <c r="B53" s="1">
        <v>3</v>
      </c>
      <c r="C53" s="1">
        <v>1</v>
      </c>
      <c r="E53" t="s">
        <v>4</v>
      </c>
      <c r="F53">
        <f>F47-F48</f>
        <v>276</v>
      </c>
    </row>
    <row r="54" spans="1:6" x14ac:dyDescent="0.25">
      <c r="A54" s="1">
        <v>4</v>
      </c>
      <c r="B54" s="1">
        <v>3</v>
      </c>
      <c r="C54" s="1">
        <v>4</v>
      </c>
    </row>
    <row r="55" spans="1:6" x14ac:dyDescent="0.25">
      <c r="A55" s="1">
        <v>5</v>
      </c>
      <c r="B55" s="1">
        <v>4</v>
      </c>
      <c r="C55" s="1">
        <v>3</v>
      </c>
    </row>
    <row r="56" spans="1:6" x14ac:dyDescent="0.25">
      <c r="A56" s="1">
        <v>3</v>
      </c>
      <c r="B56" s="1">
        <v>1</v>
      </c>
      <c r="C56" s="1">
        <v>5</v>
      </c>
      <c r="E56" s="2" t="s">
        <v>27</v>
      </c>
      <c r="F56" s="2"/>
    </row>
    <row r="57" spans="1:6" x14ac:dyDescent="0.25">
      <c r="A57" s="1">
        <v>1</v>
      </c>
      <c r="B57" s="1">
        <v>1</v>
      </c>
      <c r="C57" s="1">
        <v>3</v>
      </c>
      <c r="E57" t="s">
        <v>28</v>
      </c>
    </row>
    <row r="58" spans="1:6" x14ac:dyDescent="0.25">
      <c r="A58" s="1">
        <v>3</v>
      </c>
      <c r="B58" s="1">
        <v>3</v>
      </c>
      <c r="C58" s="1">
        <v>5</v>
      </c>
    </row>
    <row r="59" spans="1:6" x14ac:dyDescent="0.25">
      <c r="A59" s="1">
        <v>3</v>
      </c>
      <c r="B59" s="1">
        <v>4</v>
      </c>
      <c r="C59" s="1">
        <v>3</v>
      </c>
    </row>
    <row r="60" spans="1:6" x14ac:dyDescent="0.25">
      <c r="A60" s="1">
        <v>5</v>
      </c>
      <c r="B60" s="1">
        <v>3</v>
      </c>
      <c r="C60" s="1">
        <v>1</v>
      </c>
    </row>
    <row r="61" spans="1:6" x14ac:dyDescent="0.25">
      <c r="A61" s="1">
        <v>3</v>
      </c>
      <c r="B61" s="1">
        <v>5</v>
      </c>
      <c r="C61" s="1">
        <v>4</v>
      </c>
    </row>
    <row r="62" spans="1:6" x14ac:dyDescent="0.25">
      <c r="A62" s="1">
        <v>1</v>
      </c>
      <c r="B62" s="1">
        <v>5</v>
      </c>
      <c r="C62" s="1">
        <v>5</v>
      </c>
    </row>
    <row r="63" spans="1:6" x14ac:dyDescent="0.25">
      <c r="A63" s="1">
        <v>5</v>
      </c>
      <c r="B63" s="1">
        <v>4</v>
      </c>
      <c r="C63" s="1">
        <v>5</v>
      </c>
      <c r="E63" t="s">
        <v>5</v>
      </c>
      <c r="F63">
        <f>F43/F53</f>
        <v>1.3389434315100517</v>
      </c>
    </row>
    <row r="64" spans="1:6" x14ac:dyDescent="0.25">
      <c r="A64" s="1">
        <v>3</v>
      </c>
      <c r="B64" s="1">
        <v>3</v>
      </c>
      <c r="C64" s="1">
        <v>4</v>
      </c>
    </row>
    <row r="65" spans="1:6" x14ac:dyDescent="0.25">
      <c r="A65" s="1">
        <v>2</v>
      </c>
      <c r="B65" s="1">
        <v>2</v>
      </c>
      <c r="C65" s="1">
        <v>5</v>
      </c>
    </row>
    <row r="66" spans="1:6" x14ac:dyDescent="0.25">
      <c r="A66" s="1">
        <v>3</v>
      </c>
      <c r="B66" s="1">
        <v>3</v>
      </c>
      <c r="C66" s="1">
        <v>5</v>
      </c>
      <c r="E66" s="2" t="s">
        <v>29</v>
      </c>
      <c r="F66" s="2"/>
    </row>
    <row r="67" spans="1:6" x14ac:dyDescent="0.25">
      <c r="A67" s="1">
        <v>3</v>
      </c>
      <c r="B67" s="1">
        <v>3</v>
      </c>
      <c r="C67" s="1">
        <v>3</v>
      </c>
      <c r="E67" t="s">
        <v>30</v>
      </c>
    </row>
    <row r="68" spans="1:6" x14ac:dyDescent="0.25">
      <c r="A68" s="1">
        <v>3</v>
      </c>
      <c r="B68" s="1">
        <v>4</v>
      </c>
      <c r="C68" s="1">
        <v>4</v>
      </c>
      <c r="E68" t="s">
        <v>31</v>
      </c>
    </row>
    <row r="69" spans="1:6" x14ac:dyDescent="0.25">
      <c r="A69" s="1">
        <v>4</v>
      </c>
      <c r="B69" s="1">
        <v>4</v>
      </c>
      <c r="C69" s="1">
        <v>4</v>
      </c>
    </row>
    <row r="70" spans="1:6" x14ac:dyDescent="0.25">
      <c r="A70" s="1">
        <v>4</v>
      </c>
      <c r="B70" s="1">
        <v>4</v>
      </c>
      <c r="C70" s="1">
        <v>2</v>
      </c>
    </row>
    <row r="71" spans="1:6" x14ac:dyDescent="0.25">
      <c r="A71" s="1">
        <v>2</v>
      </c>
      <c r="B71" s="1">
        <v>1</v>
      </c>
      <c r="C71" s="1">
        <v>5</v>
      </c>
    </row>
    <row r="72" spans="1:6" x14ac:dyDescent="0.25">
      <c r="A72" s="1">
        <v>2</v>
      </c>
      <c r="B72" s="1">
        <v>5</v>
      </c>
      <c r="C72" s="1">
        <v>1</v>
      </c>
    </row>
    <row r="73" spans="1:6" x14ac:dyDescent="0.25">
      <c r="A73" s="1">
        <v>2</v>
      </c>
      <c r="B73" s="1">
        <v>2</v>
      </c>
      <c r="C73" s="1">
        <v>4</v>
      </c>
      <c r="E73" t="s">
        <v>2</v>
      </c>
      <c r="F73">
        <f>F33/F63</f>
        <v>1.4696229050279344</v>
      </c>
    </row>
    <row r="74" spans="1:6" x14ac:dyDescent="0.25">
      <c r="A74" s="1">
        <v>2</v>
      </c>
      <c r="B74" s="1">
        <v>3</v>
      </c>
      <c r="C74" s="1">
        <v>2</v>
      </c>
    </row>
    <row r="75" spans="1:6" x14ac:dyDescent="0.25">
      <c r="A75" s="1">
        <v>3</v>
      </c>
      <c r="B75" s="1">
        <v>4</v>
      </c>
      <c r="C75" s="1">
        <v>3</v>
      </c>
    </row>
    <row r="76" spans="1:6" x14ac:dyDescent="0.25">
      <c r="A76" s="1">
        <v>3</v>
      </c>
      <c r="B76" s="1">
        <v>3</v>
      </c>
      <c r="C76" s="1">
        <v>2</v>
      </c>
      <c r="E76" s="2" t="s">
        <v>34</v>
      </c>
      <c r="F76" s="2"/>
    </row>
    <row r="77" spans="1:6" x14ac:dyDescent="0.25">
      <c r="A77" s="1">
        <v>2</v>
      </c>
      <c r="B77" s="1">
        <v>3</v>
      </c>
      <c r="C77" s="1">
        <v>1</v>
      </c>
    </row>
    <row r="78" spans="1:6" x14ac:dyDescent="0.25">
      <c r="A78" s="1">
        <v>3</v>
      </c>
      <c r="B78" s="1">
        <v>2</v>
      </c>
      <c r="C78" s="1">
        <v>4</v>
      </c>
      <c r="E78" s="4" t="s">
        <v>32</v>
      </c>
      <c r="F78">
        <v>0.05</v>
      </c>
    </row>
    <row r="79" spans="1:6" x14ac:dyDescent="0.25">
      <c r="A79" s="1">
        <v>3</v>
      </c>
      <c r="B79" s="1">
        <v>2</v>
      </c>
      <c r="C79" s="1">
        <v>1</v>
      </c>
      <c r="E79" t="s">
        <v>0</v>
      </c>
      <c r="F79">
        <f xml:space="preserve"> F24</f>
        <v>2</v>
      </c>
    </row>
    <row r="80" spans="1:6" x14ac:dyDescent="0.25">
      <c r="A80" s="1">
        <v>2</v>
      </c>
      <c r="B80" s="1">
        <v>4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2</v>
      </c>
      <c r="B81" s="1">
        <v>4</v>
      </c>
      <c r="C81" s="1">
        <v>4</v>
      </c>
      <c r="E81" t="s">
        <v>33</v>
      </c>
      <c r="F81">
        <f>FINV(F78, F79, F80)</f>
        <v>3.0284848289066213</v>
      </c>
    </row>
    <row r="82" spans="1:6" x14ac:dyDescent="0.25">
      <c r="A82" s="1">
        <v>4</v>
      </c>
      <c r="B82" s="1">
        <v>3</v>
      </c>
      <c r="C82" s="1">
        <v>4</v>
      </c>
      <c r="E82" t="s">
        <v>35</v>
      </c>
      <c r="F82">
        <f>_xlfn.F.DIST.RT(F73, F79, F80)</f>
        <v>0.23180641111113487</v>
      </c>
    </row>
    <row r="83" spans="1:6" x14ac:dyDescent="0.25">
      <c r="A83" s="1">
        <v>4</v>
      </c>
      <c r="B83" s="1">
        <v>2</v>
      </c>
      <c r="C83" s="1">
        <v>3</v>
      </c>
    </row>
    <row r="84" spans="1:6" x14ac:dyDescent="0.25">
      <c r="A84" s="1">
        <v>5</v>
      </c>
      <c r="B84" s="1">
        <v>4</v>
      </c>
      <c r="C84" s="1">
        <v>5</v>
      </c>
      <c r="E84" s="2" t="s">
        <v>6</v>
      </c>
      <c r="F84" s="2"/>
    </row>
    <row r="85" spans="1:6" x14ac:dyDescent="0.25">
      <c r="A85" s="1">
        <v>3</v>
      </c>
      <c r="B85" s="1">
        <v>3</v>
      </c>
      <c r="C85" s="1">
        <v>3</v>
      </c>
    </row>
    <row r="86" spans="1:6" x14ac:dyDescent="0.25">
      <c r="A86" s="1">
        <v>5</v>
      </c>
      <c r="B86" s="1">
        <v>3</v>
      </c>
      <c r="C86" s="1">
        <v>3</v>
      </c>
      <c r="E86" t="s">
        <v>36</v>
      </c>
    </row>
    <row r="87" spans="1:6" x14ac:dyDescent="0.25">
      <c r="A87" s="1">
        <v>3</v>
      </c>
      <c r="B87" s="1">
        <v>3</v>
      </c>
      <c r="C87" s="1">
        <v>3</v>
      </c>
      <c r="E87" t="s">
        <v>37</v>
      </c>
    </row>
    <row r="88" spans="1:6" x14ac:dyDescent="0.25">
      <c r="A88" s="1">
        <v>3</v>
      </c>
      <c r="B88" s="1">
        <v>5</v>
      </c>
      <c r="C88" s="1">
        <v>2</v>
      </c>
    </row>
    <row r="89" spans="1:6" x14ac:dyDescent="0.25">
      <c r="A89" s="1">
        <v>4</v>
      </c>
      <c r="B89" s="1">
        <v>3</v>
      </c>
      <c r="C89" s="1">
        <v>4</v>
      </c>
      <c r="E89" t="str">
        <f>"Si F calculado ("&amp;F73&amp;") &gt; F critico ("&amp;F81&amp;") ---&gt; Se rechaza la hipotesis nula"</f>
        <v>Si F calculado (1.46962290502793) &gt; F critico (3.02848482890662) ---&gt; Se rechaza la hipotesis nula</v>
      </c>
    </row>
    <row r="90" spans="1:6" x14ac:dyDescent="0.25">
      <c r="A90" s="1">
        <v>3</v>
      </c>
      <c r="B90" s="1">
        <v>2</v>
      </c>
      <c r="C90" s="1">
        <v>4</v>
      </c>
      <c r="E90" t="str">
        <f>"Si p-valor ("&amp;F82&amp;") &lt; α Nivel Significancia ("&amp;F78&amp;") ---&gt; Se rechaza la hipotesis nula"</f>
        <v>Si p-valor (0.231806411111135) &lt; α Nivel Significancia (0.05) ---&gt; Se rechaza la hipotesis nula</v>
      </c>
    </row>
    <row r="91" spans="1:6" x14ac:dyDescent="0.25">
      <c r="A91" s="1">
        <v>5</v>
      </c>
      <c r="B91" s="1">
        <v>5</v>
      </c>
      <c r="C91" s="1">
        <v>4</v>
      </c>
    </row>
    <row r="92" spans="1:6" x14ac:dyDescent="0.25">
      <c r="A92" s="1">
        <v>5</v>
      </c>
      <c r="B92" s="1">
        <v>4</v>
      </c>
      <c r="C92" s="1">
        <v>4</v>
      </c>
    </row>
    <row r="93" spans="1:6" x14ac:dyDescent="0.25">
      <c r="A93" s="1">
        <v>2</v>
      </c>
      <c r="B93" s="1">
        <v>1</v>
      </c>
      <c r="C93" s="1">
        <v>5</v>
      </c>
    </row>
    <row r="94" spans="1:6" x14ac:dyDescent="0.25">
      <c r="A94" s="1">
        <v>4</v>
      </c>
      <c r="B94" s="1">
        <v>5</v>
      </c>
      <c r="C94" s="1">
        <v>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G9" sqref="G9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5</v>
      </c>
      <c r="B2" s="1">
        <v>3</v>
      </c>
      <c r="C2" s="1">
        <v>5</v>
      </c>
      <c r="E2" s="2" t="s">
        <v>12</v>
      </c>
      <c r="F2" s="2"/>
    </row>
    <row r="3" spans="1:6" x14ac:dyDescent="0.25">
      <c r="A3" s="1">
        <v>5</v>
      </c>
      <c r="B3" s="1">
        <v>4</v>
      </c>
      <c r="C3" s="1">
        <v>4</v>
      </c>
      <c r="E3" t="s">
        <v>13</v>
      </c>
      <c r="F3">
        <f>COUNT(A:A)</f>
        <v>93</v>
      </c>
    </row>
    <row r="4" spans="1:6" x14ac:dyDescent="0.25">
      <c r="A4" s="1">
        <v>3</v>
      </c>
      <c r="B4" s="1">
        <v>3</v>
      </c>
      <c r="C4" s="1">
        <v>3</v>
      </c>
      <c r="E4" t="s">
        <v>7</v>
      </c>
      <c r="F4">
        <f>AVERAGE(A:A)</f>
        <v>3.4193548387096775</v>
      </c>
    </row>
    <row r="5" spans="1:6" x14ac:dyDescent="0.25">
      <c r="A5" s="1">
        <v>3</v>
      </c>
      <c r="B5" s="1">
        <v>5</v>
      </c>
      <c r="C5" s="1">
        <v>3</v>
      </c>
      <c r="E5" t="s">
        <v>8</v>
      </c>
      <c r="F5">
        <f>AVERAGE(B:B)</f>
        <v>3.3118279569892475</v>
      </c>
    </row>
    <row r="6" spans="1:6" x14ac:dyDescent="0.25">
      <c r="A6" s="1">
        <v>3</v>
      </c>
      <c r="B6" s="1">
        <v>4</v>
      </c>
      <c r="C6" s="1">
        <v>4</v>
      </c>
      <c r="E6" t="s">
        <v>9</v>
      </c>
      <c r="F6">
        <f>AVERAGE(C:C)</f>
        <v>3.150537634408602</v>
      </c>
    </row>
    <row r="7" spans="1:6" x14ac:dyDescent="0.25">
      <c r="A7" s="1">
        <v>3</v>
      </c>
      <c r="B7" s="1">
        <v>1</v>
      </c>
      <c r="C7" s="1">
        <v>1</v>
      </c>
      <c r="E7" t="s">
        <v>14</v>
      </c>
      <c r="F7">
        <f>AVERAGE(F4:F6)</f>
        <v>3.2939068100358426</v>
      </c>
    </row>
    <row r="8" spans="1:6" x14ac:dyDescent="0.25">
      <c r="A8" s="1">
        <v>1</v>
      </c>
      <c r="B8" s="1">
        <v>4</v>
      </c>
      <c r="C8" s="1">
        <v>2</v>
      </c>
    </row>
    <row r="9" spans="1:6" x14ac:dyDescent="0.25">
      <c r="A9" s="1">
        <v>3</v>
      </c>
      <c r="B9" s="1">
        <v>3</v>
      </c>
      <c r="C9" s="1">
        <v>3</v>
      </c>
    </row>
    <row r="10" spans="1:6" x14ac:dyDescent="0.25">
      <c r="A10" s="1">
        <v>4</v>
      </c>
      <c r="B10" s="1">
        <v>4</v>
      </c>
      <c r="C10" s="1">
        <v>3</v>
      </c>
      <c r="E10" s="2" t="s">
        <v>11</v>
      </c>
      <c r="F10" s="2"/>
    </row>
    <row r="11" spans="1:6" x14ac:dyDescent="0.25">
      <c r="A11" s="1">
        <v>2</v>
      </c>
      <c r="B11" s="1">
        <v>2</v>
      </c>
      <c r="C11" s="1">
        <v>3</v>
      </c>
      <c r="E11" s="3" t="s">
        <v>16</v>
      </c>
    </row>
    <row r="12" spans="1:6" x14ac:dyDescent="0.25">
      <c r="A12" s="1">
        <v>4</v>
      </c>
      <c r="B12" s="1">
        <v>5</v>
      </c>
      <c r="C12" s="1">
        <v>4</v>
      </c>
      <c r="E12" s="3" t="s">
        <v>17</v>
      </c>
    </row>
    <row r="13" spans="1:6" x14ac:dyDescent="0.25">
      <c r="A13" s="1">
        <v>4</v>
      </c>
      <c r="B13" s="1">
        <v>1</v>
      </c>
      <c r="C13" s="1">
        <v>4</v>
      </c>
    </row>
    <row r="14" spans="1:6" x14ac:dyDescent="0.25">
      <c r="A14" s="1">
        <v>5</v>
      </c>
      <c r="B14" s="1">
        <v>4</v>
      </c>
      <c r="C14" s="1">
        <v>5</v>
      </c>
    </row>
    <row r="15" spans="1:6" x14ac:dyDescent="0.25">
      <c r="A15" s="1">
        <v>5</v>
      </c>
      <c r="B15" s="1">
        <v>4</v>
      </c>
      <c r="C15" s="1">
        <v>3</v>
      </c>
    </row>
    <row r="16" spans="1:6" x14ac:dyDescent="0.25">
      <c r="A16" s="1">
        <v>1</v>
      </c>
      <c r="B16" s="1">
        <v>5</v>
      </c>
      <c r="C16" s="1">
        <v>3</v>
      </c>
      <c r="E16" t="s">
        <v>10</v>
      </c>
      <c r="F16">
        <f>F3*((F4-F7)^2+(F5-F7)^2+(F6-F7)^2)</f>
        <v>3.4050179211469591</v>
      </c>
    </row>
    <row r="17" spans="1:6" x14ac:dyDescent="0.25">
      <c r="A17" s="1">
        <v>2</v>
      </c>
      <c r="B17" s="1">
        <v>5</v>
      </c>
      <c r="C17" s="1">
        <v>4</v>
      </c>
    </row>
    <row r="18" spans="1:6" x14ac:dyDescent="0.25">
      <c r="A18" s="1">
        <v>3</v>
      </c>
      <c r="B18" s="1">
        <v>3</v>
      </c>
      <c r="C18" s="1">
        <v>1</v>
      </c>
    </row>
    <row r="19" spans="1:6" x14ac:dyDescent="0.25">
      <c r="A19" s="1">
        <v>4</v>
      </c>
      <c r="B19" s="1">
        <v>4</v>
      </c>
      <c r="C19" s="1">
        <v>2</v>
      </c>
      <c r="E19" s="2" t="s">
        <v>18</v>
      </c>
      <c r="F19" s="2"/>
    </row>
    <row r="20" spans="1:6" x14ac:dyDescent="0.25">
      <c r="A20" s="1">
        <v>4</v>
      </c>
      <c r="B20" s="1">
        <v>2</v>
      </c>
      <c r="C20" s="1">
        <v>3</v>
      </c>
      <c r="E20" t="s">
        <v>19</v>
      </c>
    </row>
    <row r="21" spans="1:6" x14ac:dyDescent="0.25">
      <c r="A21" s="1">
        <v>5</v>
      </c>
      <c r="B21" s="1">
        <v>4</v>
      </c>
      <c r="C21" s="1">
        <v>3</v>
      </c>
      <c r="E21" t="s">
        <v>15</v>
      </c>
      <c r="F21" s="6">
        <v>3</v>
      </c>
    </row>
    <row r="22" spans="1:6" x14ac:dyDescent="0.25">
      <c r="A22" s="1">
        <v>4</v>
      </c>
      <c r="B22" s="1">
        <v>4</v>
      </c>
      <c r="C22" s="1">
        <v>2</v>
      </c>
    </row>
    <row r="23" spans="1:6" x14ac:dyDescent="0.25">
      <c r="A23" s="1">
        <v>3</v>
      </c>
      <c r="B23" s="1">
        <v>3</v>
      </c>
      <c r="C23" s="1">
        <v>5</v>
      </c>
    </row>
    <row r="24" spans="1:6" x14ac:dyDescent="0.25">
      <c r="A24" s="1">
        <v>3</v>
      </c>
      <c r="B24" s="1">
        <v>3</v>
      </c>
      <c r="C24" s="1">
        <v>2</v>
      </c>
      <c r="E24" t="s">
        <v>0</v>
      </c>
      <c r="F24">
        <f>F21-1</f>
        <v>2</v>
      </c>
    </row>
    <row r="25" spans="1:6" x14ac:dyDescent="0.25">
      <c r="A25" s="1">
        <v>3</v>
      </c>
      <c r="B25" s="1">
        <v>5</v>
      </c>
      <c r="C25" s="1">
        <v>5</v>
      </c>
    </row>
    <row r="26" spans="1:6" x14ac:dyDescent="0.25">
      <c r="A26" s="1">
        <v>4</v>
      </c>
      <c r="B26" s="1">
        <v>5</v>
      </c>
      <c r="C26" s="1">
        <v>2</v>
      </c>
    </row>
    <row r="27" spans="1:6" x14ac:dyDescent="0.25">
      <c r="A27" s="1">
        <v>1</v>
      </c>
      <c r="B27" s="1">
        <v>5</v>
      </c>
      <c r="C27" s="1">
        <v>4</v>
      </c>
      <c r="E27" s="2" t="s">
        <v>20</v>
      </c>
      <c r="F27" s="2"/>
    </row>
    <row r="28" spans="1:6" x14ac:dyDescent="0.25">
      <c r="A28" s="1">
        <v>3</v>
      </c>
      <c r="B28" s="1">
        <v>3</v>
      </c>
      <c r="C28" s="1">
        <v>2</v>
      </c>
      <c r="E28" t="s">
        <v>21</v>
      </c>
    </row>
    <row r="29" spans="1:6" x14ac:dyDescent="0.25">
      <c r="A29" s="1">
        <v>3</v>
      </c>
      <c r="B29" s="1">
        <v>3</v>
      </c>
      <c r="C29" s="1">
        <v>1</v>
      </c>
    </row>
    <row r="30" spans="1:6" x14ac:dyDescent="0.25">
      <c r="A30" s="1">
        <v>3</v>
      </c>
      <c r="B30" s="1">
        <v>3</v>
      </c>
      <c r="C30" s="1">
        <v>5</v>
      </c>
    </row>
    <row r="31" spans="1:6" x14ac:dyDescent="0.25">
      <c r="A31" s="1">
        <v>4</v>
      </c>
      <c r="B31" s="1">
        <v>2</v>
      </c>
      <c r="C31" s="1">
        <v>4</v>
      </c>
    </row>
    <row r="32" spans="1:6" x14ac:dyDescent="0.25">
      <c r="A32" s="1">
        <v>4</v>
      </c>
      <c r="B32" s="1">
        <v>2</v>
      </c>
      <c r="C32" s="1">
        <v>1</v>
      </c>
    </row>
    <row r="33" spans="1:6" x14ac:dyDescent="0.25">
      <c r="A33" s="1">
        <v>4</v>
      </c>
      <c r="B33" s="1">
        <v>3</v>
      </c>
      <c r="C33" s="1">
        <v>3</v>
      </c>
      <c r="E33" t="s">
        <v>1</v>
      </c>
      <c r="F33">
        <f>F16/F24</f>
        <v>1.7025089605734796</v>
      </c>
    </row>
    <row r="34" spans="1:6" x14ac:dyDescent="0.25">
      <c r="A34" s="1">
        <v>3</v>
      </c>
      <c r="B34" s="1">
        <v>2</v>
      </c>
      <c r="C34" s="1">
        <v>2</v>
      </c>
    </row>
    <row r="35" spans="1:6" x14ac:dyDescent="0.25">
      <c r="A35" s="1">
        <v>5</v>
      </c>
      <c r="B35" s="1">
        <v>4</v>
      </c>
      <c r="C35" s="1">
        <v>3</v>
      </c>
    </row>
    <row r="36" spans="1:6" x14ac:dyDescent="0.25">
      <c r="A36" s="1">
        <v>5</v>
      </c>
      <c r="B36" s="1">
        <v>5</v>
      </c>
      <c r="C36" s="1">
        <v>4</v>
      </c>
      <c r="E36" s="2" t="s">
        <v>25</v>
      </c>
      <c r="F36" s="2"/>
    </row>
    <row r="37" spans="1:6" x14ac:dyDescent="0.25">
      <c r="A37" s="1">
        <v>5</v>
      </c>
      <c r="B37" s="1">
        <v>4</v>
      </c>
      <c r="C37" s="1">
        <v>4</v>
      </c>
      <c r="E37" t="s">
        <v>22</v>
      </c>
    </row>
    <row r="38" spans="1:6" x14ac:dyDescent="0.25">
      <c r="A38" s="1">
        <v>5</v>
      </c>
      <c r="B38" s="1">
        <v>5</v>
      </c>
      <c r="C38" s="1">
        <v>4</v>
      </c>
      <c r="E38" t="s">
        <v>23</v>
      </c>
    </row>
    <row r="39" spans="1:6" x14ac:dyDescent="0.25">
      <c r="A39" s="1">
        <v>2</v>
      </c>
      <c r="B39" s="1">
        <v>3</v>
      </c>
      <c r="C39" s="1">
        <v>3</v>
      </c>
    </row>
    <row r="40" spans="1:6" x14ac:dyDescent="0.25">
      <c r="A40" s="1">
        <v>3</v>
      </c>
      <c r="B40" s="1">
        <v>1</v>
      </c>
      <c r="C40" s="1">
        <v>4</v>
      </c>
    </row>
    <row r="41" spans="1:6" x14ac:dyDescent="0.25">
      <c r="A41" s="1">
        <v>3</v>
      </c>
      <c r="B41" s="1">
        <v>5</v>
      </c>
      <c r="C41" s="1">
        <v>3</v>
      </c>
    </row>
    <row r="42" spans="1:6" x14ac:dyDescent="0.25">
      <c r="A42" s="1">
        <v>5</v>
      </c>
      <c r="B42" s="1">
        <v>5</v>
      </c>
      <c r="C42" s="1">
        <v>3</v>
      </c>
    </row>
    <row r="43" spans="1:6" x14ac:dyDescent="0.25">
      <c r="A43" s="1">
        <v>3</v>
      </c>
      <c r="B43" s="1">
        <v>4</v>
      </c>
      <c r="C43" s="1">
        <v>3</v>
      </c>
      <c r="E43" t="s">
        <v>3</v>
      </c>
      <c r="F43">
        <f>DEVSQ(A:A)+DEVSQ(B:B)+DEVSQ(C:C)</f>
        <v>400.49462365591381</v>
      </c>
    </row>
    <row r="44" spans="1:6" x14ac:dyDescent="0.25">
      <c r="A44" s="1">
        <v>3</v>
      </c>
      <c r="B44" s="1">
        <v>2</v>
      </c>
      <c r="C44" s="1">
        <v>2</v>
      </c>
    </row>
    <row r="45" spans="1:6" x14ac:dyDescent="0.25">
      <c r="A45" s="1">
        <v>4</v>
      </c>
      <c r="B45" s="1">
        <v>4</v>
      </c>
      <c r="C45" s="1">
        <v>1</v>
      </c>
    </row>
    <row r="46" spans="1:6" x14ac:dyDescent="0.25">
      <c r="A46" s="1">
        <v>4</v>
      </c>
      <c r="B46" s="1">
        <v>3</v>
      </c>
      <c r="C46" s="1">
        <v>4</v>
      </c>
      <c r="E46" s="2" t="s">
        <v>24</v>
      </c>
      <c r="F46" s="2"/>
    </row>
    <row r="47" spans="1:6" x14ac:dyDescent="0.25">
      <c r="A47" s="1">
        <v>4</v>
      </c>
      <c r="B47" s="1">
        <v>5</v>
      </c>
      <c r="C47" s="1">
        <v>2</v>
      </c>
      <c r="E47" t="s">
        <v>26</v>
      </c>
      <c r="F47">
        <f>COUNT(A:A,B:B,C:C,#REF!)</f>
        <v>279</v>
      </c>
    </row>
    <row r="48" spans="1:6" x14ac:dyDescent="0.25">
      <c r="A48" s="1">
        <v>3</v>
      </c>
      <c r="B48" s="1">
        <v>5</v>
      </c>
      <c r="C48" s="1">
        <v>3</v>
      </c>
      <c r="E48" t="s">
        <v>15</v>
      </c>
      <c r="F48">
        <f>F21</f>
        <v>3</v>
      </c>
    </row>
    <row r="49" spans="1:6" x14ac:dyDescent="0.25">
      <c r="A49" s="1">
        <v>3</v>
      </c>
      <c r="B49" s="1">
        <v>1</v>
      </c>
      <c r="C49" s="1">
        <v>3</v>
      </c>
    </row>
    <row r="50" spans="1:6" x14ac:dyDescent="0.25">
      <c r="A50" s="1">
        <v>5</v>
      </c>
      <c r="B50" s="1">
        <v>1</v>
      </c>
      <c r="C50" s="1">
        <v>1</v>
      </c>
    </row>
    <row r="51" spans="1:6" x14ac:dyDescent="0.25">
      <c r="A51" s="1">
        <v>4</v>
      </c>
      <c r="B51" s="1">
        <v>5</v>
      </c>
      <c r="C51" s="1">
        <v>4</v>
      </c>
    </row>
    <row r="52" spans="1:6" x14ac:dyDescent="0.25">
      <c r="A52" s="1">
        <v>3</v>
      </c>
      <c r="B52" s="1">
        <v>1</v>
      </c>
      <c r="C52" s="1">
        <v>5</v>
      </c>
    </row>
    <row r="53" spans="1:6" x14ac:dyDescent="0.25">
      <c r="A53" s="1">
        <v>3</v>
      </c>
      <c r="B53" s="1">
        <v>3</v>
      </c>
      <c r="C53" s="1">
        <v>2</v>
      </c>
      <c r="E53" t="s">
        <v>4</v>
      </c>
      <c r="F53">
        <f>F47-F48</f>
        <v>276</v>
      </c>
    </row>
    <row r="54" spans="1:6" x14ac:dyDescent="0.25">
      <c r="A54" s="1">
        <v>2</v>
      </c>
      <c r="B54" s="1">
        <v>2</v>
      </c>
      <c r="C54" s="1">
        <v>4</v>
      </c>
    </row>
    <row r="55" spans="1:6" x14ac:dyDescent="0.25">
      <c r="A55" s="1">
        <v>3</v>
      </c>
      <c r="B55" s="1">
        <v>4</v>
      </c>
      <c r="C55" s="1">
        <v>2</v>
      </c>
    </row>
    <row r="56" spans="1:6" x14ac:dyDescent="0.25">
      <c r="A56" s="1">
        <v>4</v>
      </c>
      <c r="B56" s="1">
        <v>3</v>
      </c>
      <c r="C56" s="1">
        <v>2</v>
      </c>
      <c r="E56" s="2" t="s">
        <v>27</v>
      </c>
      <c r="F56" s="2"/>
    </row>
    <row r="57" spans="1:6" x14ac:dyDescent="0.25">
      <c r="A57" s="1">
        <v>5</v>
      </c>
      <c r="B57" s="1">
        <v>3</v>
      </c>
      <c r="C57" s="1">
        <v>5</v>
      </c>
      <c r="E57" t="s">
        <v>28</v>
      </c>
    </row>
    <row r="58" spans="1:6" x14ac:dyDescent="0.25">
      <c r="A58" s="1">
        <v>3</v>
      </c>
      <c r="B58" s="1">
        <v>3</v>
      </c>
      <c r="C58" s="1">
        <v>2</v>
      </c>
    </row>
    <row r="59" spans="1:6" x14ac:dyDescent="0.25">
      <c r="A59" s="1">
        <v>5</v>
      </c>
      <c r="B59" s="1">
        <v>5</v>
      </c>
      <c r="C59" s="1">
        <v>4</v>
      </c>
    </row>
    <row r="60" spans="1:6" x14ac:dyDescent="0.25">
      <c r="A60" s="1">
        <v>3</v>
      </c>
      <c r="B60" s="1">
        <v>5</v>
      </c>
      <c r="C60" s="1">
        <v>3</v>
      </c>
    </row>
    <row r="61" spans="1:6" x14ac:dyDescent="0.25">
      <c r="A61" s="1">
        <v>1</v>
      </c>
      <c r="B61" s="1">
        <v>4</v>
      </c>
      <c r="C61" s="1">
        <v>3</v>
      </c>
    </row>
    <row r="62" spans="1:6" x14ac:dyDescent="0.25">
      <c r="A62" s="1">
        <v>3</v>
      </c>
      <c r="B62" s="1">
        <v>3</v>
      </c>
      <c r="C62" s="1">
        <v>1</v>
      </c>
    </row>
    <row r="63" spans="1:6" x14ac:dyDescent="0.25">
      <c r="A63" s="1">
        <v>4</v>
      </c>
      <c r="B63" s="1">
        <v>4</v>
      </c>
      <c r="C63" s="1">
        <v>5</v>
      </c>
      <c r="E63" t="s">
        <v>5</v>
      </c>
      <c r="F63">
        <f>F43/F53</f>
        <v>1.4510674770141805</v>
      </c>
    </row>
    <row r="64" spans="1:6" x14ac:dyDescent="0.25">
      <c r="A64" s="1">
        <v>3</v>
      </c>
      <c r="B64" s="1">
        <v>3</v>
      </c>
      <c r="C64" s="1">
        <v>3</v>
      </c>
    </row>
    <row r="65" spans="1:6" x14ac:dyDescent="0.25">
      <c r="A65" s="1">
        <v>3</v>
      </c>
      <c r="B65" s="1">
        <v>1</v>
      </c>
      <c r="C65" s="1">
        <v>3</v>
      </c>
    </row>
    <row r="66" spans="1:6" x14ac:dyDescent="0.25">
      <c r="A66" s="1">
        <v>3</v>
      </c>
      <c r="B66" s="1">
        <v>5</v>
      </c>
      <c r="C66" s="1">
        <v>3</v>
      </c>
      <c r="E66" s="2" t="s">
        <v>29</v>
      </c>
      <c r="F66" s="2"/>
    </row>
    <row r="67" spans="1:6" x14ac:dyDescent="0.25">
      <c r="A67" s="1">
        <v>1</v>
      </c>
      <c r="B67" s="1">
        <v>3</v>
      </c>
      <c r="C67" s="1">
        <v>3</v>
      </c>
      <c r="E67" t="s">
        <v>30</v>
      </c>
    </row>
    <row r="68" spans="1:6" x14ac:dyDescent="0.25">
      <c r="A68" s="1">
        <v>4</v>
      </c>
      <c r="B68" s="1">
        <v>4</v>
      </c>
      <c r="C68" s="1">
        <v>5</v>
      </c>
      <c r="E68" t="s">
        <v>31</v>
      </c>
    </row>
    <row r="69" spans="1:6" x14ac:dyDescent="0.25">
      <c r="A69" s="1">
        <v>1</v>
      </c>
      <c r="B69" s="1">
        <v>2</v>
      </c>
      <c r="C69" s="1">
        <v>4</v>
      </c>
    </row>
    <row r="70" spans="1:6" x14ac:dyDescent="0.25">
      <c r="A70" s="1">
        <v>2</v>
      </c>
      <c r="B70" s="1">
        <v>5</v>
      </c>
      <c r="C70" s="1">
        <v>4</v>
      </c>
    </row>
    <row r="71" spans="1:6" x14ac:dyDescent="0.25">
      <c r="A71" s="1">
        <v>4</v>
      </c>
      <c r="B71" s="1">
        <v>3</v>
      </c>
      <c r="C71" s="1">
        <v>2</v>
      </c>
    </row>
    <row r="72" spans="1:6" x14ac:dyDescent="0.25">
      <c r="A72" s="1">
        <v>5</v>
      </c>
      <c r="B72" s="1">
        <v>2</v>
      </c>
      <c r="C72" s="1">
        <v>4</v>
      </c>
    </row>
    <row r="73" spans="1:6" x14ac:dyDescent="0.25">
      <c r="A73" s="1">
        <v>5</v>
      </c>
      <c r="B73" s="1">
        <v>1</v>
      </c>
      <c r="C73" s="1">
        <v>4</v>
      </c>
      <c r="E73" t="s">
        <v>2</v>
      </c>
      <c r="F73">
        <f>F33/F63</f>
        <v>1.1732803522525934</v>
      </c>
    </row>
    <row r="74" spans="1:6" x14ac:dyDescent="0.25">
      <c r="A74" s="1">
        <v>5</v>
      </c>
      <c r="B74" s="1">
        <v>3</v>
      </c>
      <c r="C74" s="1">
        <v>1</v>
      </c>
    </row>
    <row r="75" spans="1:6" x14ac:dyDescent="0.25">
      <c r="A75" s="1">
        <v>5</v>
      </c>
      <c r="B75" s="1">
        <v>3</v>
      </c>
      <c r="C75" s="1">
        <v>5</v>
      </c>
    </row>
    <row r="76" spans="1:6" x14ac:dyDescent="0.25">
      <c r="A76" s="1">
        <v>3</v>
      </c>
      <c r="B76" s="1">
        <v>3</v>
      </c>
      <c r="C76" s="1">
        <v>1</v>
      </c>
      <c r="E76" s="2" t="s">
        <v>34</v>
      </c>
      <c r="F76" s="2"/>
    </row>
    <row r="77" spans="1:6" x14ac:dyDescent="0.25">
      <c r="A77" s="1">
        <v>5</v>
      </c>
      <c r="B77" s="1">
        <v>2</v>
      </c>
      <c r="C77" s="1">
        <v>3</v>
      </c>
    </row>
    <row r="78" spans="1:6" x14ac:dyDescent="0.25">
      <c r="A78" s="1">
        <v>4</v>
      </c>
      <c r="B78" s="1">
        <v>3</v>
      </c>
      <c r="C78" s="1">
        <v>2</v>
      </c>
      <c r="E78" s="4" t="s">
        <v>32</v>
      </c>
      <c r="F78">
        <v>0.05</v>
      </c>
    </row>
    <row r="79" spans="1:6" x14ac:dyDescent="0.25">
      <c r="A79" s="1">
        <v>2</v>
      </c>
      <c r="B79" s="1">
        <v>5</v>
      </c>
      <c r="C79" s="1">
        <v>4</v>
      </c>
      <c r="E79" t="s">
        <v>0</v>
      </c>
      <c r="F79">
        <f xml:space="preserve"> F24</f>
        <v>2</v>
      </c>
    </row>
    <row r="80" spans="1:6" x14ac:dyDescent="0.25">
      <c r="A80" s="1">
        <v>5</v>
      </c>
      <c r="B80" s="1">
        <v>2</v>
      </c>
      <c r="C80" s="1">
        <v>5</v>
      </c>
      <c r="E80" t="s">
        <v>4</v>
      </c>
      <c r="F80">
        <f xml:space="preserve"> F53</f>
        <v>276</v>
      </c>
    </row>
    <row r="81" spans="1:6" x14ac:dyDescent="0.25">
      <c r="A81" s="1">
        <v>2</v>
      </c>
      <c r="B81" s="1">
        <v>3</v>
      </c>
      <c r="C81" s="1">
        <v>3</v>
      </c>
      <c r="E81" t="s">
        <v>33</v>
      </c>
      <c r="F81">
        <f>FINV(F78, F79, F80)</f>
        <v>3.0284848289066213</v>
      </c>
    </row>
    <row r="82" spans="1:6" x14ac:dyDescent="0.25">
      <c r="A82" s="1">
        <v>4</v>
      </c>
      <c r="B82" s="1">
        <v>3</v>
      </c>
      <c r="C82" s="1">
        <v>2</v>
      </c>
      <c r="E82" t="s">
        <v>35</v>
      </c>
      <c r="F82">
        <f>_xlfn.F.DIST.RT(F73, F79, F80)</f>
        <v>0.31088854416176592</v>
      </c>
    </row>
    <row r="83" spans="1:6" x14ac:dyDescent="0.25">
      <c r="A83" s="1">
        <v>5</v>
      </c>
      <c r="B83" s="1">
        <v>4</v>
      </c>
      <c r="C83" s="1">
        <v>3</v>
      </c>
    </row>
    <row r="84" spans="1:6" x14ac:dyDescent="0.25">
      <c r="A84" s="1">
        <v>3</v>
      </c>
      <c r="B84" s="1">
        <v>3</v>
      </c>
      <c r="C84" s="1">
        <v>5</v>
      </c>
      <c r="E84" s="2" t="s">
        <v>6</v>
      </c>
      <c r="F84" s="2"/>
    </row>
    <row r="85" spans="1:6" x14ac:dyDescent="0.25">
      <c r="A85" s="1">
        <v>3</v>
      </c>
      <c r="B85" s="1">
        <v>4</v>
      </c>
      <c r="C85" s="1">
        <v>3</v>
      </c>
    </row>
    <row r="86" spans="1:6" x14ac:dyDescent="0.25">
      <c r="A86" s="1">
        <v>2</v>
      </c>
      <c r="B86" s="1">
        <v>3</v>
      </c>
      <c r="C86" s="1">
        <v>3</v>
      </c>
      <c r="E86" t="s">
        <v>36</v>
      </c>
    </row>
    <row r="87" spans="1:6" x14ac:dyDescent="0.25">
      <c r="A87" s="1">
        <v>3</v>
      </c>
      <c r="B87" s="1">
        <v>5</v>
      </c>
      <c r="C87" s="1">
        <v>3</v>
      </c>
      <c r="E87" t="s">
        <v>37</v>
      </c>
    </row>
    <row r="88" spans="1:6" x14ac:dyDescent="0.25">
      <c r="A88" s="1">
        <v>2</v>
      </c>
      <c r="B88" s="1">
        <v>3</v>
      </c>
      <c r="C88" s="1">
        <v>3</v>
      </c>
    </row>
    <row r="89" spans="1:6" x14ac:dyDescent="0.25">
      <c r="A89" s="1">
        <v>4</v>
      </c>
      <c r="B89" s="1">
        <v>1</v>
      </c>
      <c r="C89" s="1">
        <v>2</v>
      </c>
      <c r="E89" t="str">
        <f>"Si F calculado ("&amp;F73&amp;") &gt; F critico ("&amp;F81&amp;") ---&gt; Se rechaza la hipotesis nula"</f>
        <v>Si F calculado (1.17328035225259) &gt; F critico (3.02848482890662) ---&gt; Se rechaza la hipotesis nula</v>
      </c>
    </row>
    <row r="90" spans="1:6" x14ac:dyDescent="0.25">
      <c r="A90" s="1">
        <v>4</v>
      </c>
      <c r="B90" s="1">
        <v>5</v>
      </c>
      <c r="C90" s="1">
        <v>3</v>
      </c>
      <c r="E90" t="str">
        <f>"Si p-valor ("&amp;F82&amp;") &lt; α Nivel Significancia ("&amp;F78&amp;") ---&gt; Se rechaza la hipotesis nula"</f>
        <v>Si p-valor (0.310888544161766) &lt; α Nivel Significancia (0.05) ---&gt; Se rechaza la hipotesis nula</v>
      </c>
    </row>
    <row r="91" spans="1:6" x14ac:dyDescent="0.25">
      <c r="A91" s="1">
        <v>3</v>
      </c>
      <c r="B91" s="1">
        <v>1</v>
      </c>
      <c r="C91" s="1">
        <v>5</v>
      </c>
    </row>
    <row r="92" spans="1:6" x14ac:dyDescent="0.25">
      <c r="A92" s="1">
        <v>2</v>
      </c>
      <c r="B92" s="1">
        <v>4</v>
      </c>
      <c r="C92" s="1">
        <v>3</v>
      </c>
    </row>
    <row r="93" spans="1:6" x14ac:dyDescent="0.25">
      <c r="A93" s="1">
        <v>1</v>
      </c>
      <c r="B93" s="1">
        <v>2</v>
      </c>
      <c r="C93" s="1">
        <v>5</v>
      </c>
    </row>
    <row r="94" spans="1:6" x14ac:dyDescent="0.25">
      <c r="A94" s="1">
        <v>4</v>
      </c>
      <c r="B94" s="1">
        <v>2</v>
      </c>
      <c r="C94" s="1">
        <v>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I6" sqref="I6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4</v>
      </c>
      <c r="B2" s="1">
        <v>3</v>
      </c>
      <c r="C2" s="1">
        <v>1</v>
      </c>
      <c r="E2" s="2" t="s">
        <v>12</v>
      </c>
      <c r="F2" s="2"/>
    </row>
    <row r="3" spans="1:6" x14ac:dyDescent="0.25">
      <c r="A3" s="1">
        <v>2</v>
      </c>
      <c r="B3" s="1">
        <v>2</v>
      </c>
      <c r="C3" s="1">
        <v>5</v>
      </c>
      <c r="E3" t="s">
        <v>13</v>
      </c>
      <c r="F3">
        <f>COUNT(A:A)</f>
        <v>93</v>
      </c>
    </row>
    <row r="4" spans="1:6" x14ac:dyDescent="0.25">
      <c r="A4" s="1">
        <v>2</v>
      </c>
      <c r="B4" s="1">
        <v>3</v>
      </c>
      <c r="C4" s="1">
        <v>1</v>
      </c>
      <c r="E4" t="s">
        <v>7</v>
      </c>
      <c r="F4">
        <f>AVERAGE(A:A)</f>
        <v>3.182795698924731</v>
      </c>
    </row>
    <row r="5" spans="1:6" x14ac:dyDescent="0.25">
      <c r="A5" s="1">
        <v>5</v>
      </c>
      <c r="B5" s="1">
        <v>3</v>
      </c>
      <c r="C5" s="1">
        <v>3</v>
      </c>
      <c r="E5" t="s">
        <v>8</v>
      </c>
      <c r="F5">
        <f>AVERAGE(B:B)</f>
        <v>3.3978494623655915</v>
      </c>
    </row>
    <row r="6" spans="1:6" x14ac:dyDescent="0.25">
      <c r="A6" s="1">
        <v>2</v>
      </c>
      <c r="B6" s="1">
        <v>4</v>
      </c>
      <c r="C6" s="1">
        <v>4</v>
      </c>
      <c r="E6" t="s">
        <v>9</v>
      </c>
      <c r="F6">
        <f>AVERAGE(C:C)</f>
        <v>3.3655913978494625</v>
      </c>
    </row>
    <row r="7" spans="1:6" x14ac:dyDescent="0.25">
      <c r="A7" s="1">
        <v>3</v>
      </c>
      <c r="B7" s="1">
        <v>2</v>
      </c>
      <c r="C7" s="1">
        <v>5</v>
      </c>
      <c r="E7" t="s">
        <v>14</v>
      </c>
      <c r="F7">
        <f>AVERAGE(F4:F6)</f>
        <v>3.3154121863799282</v>
      </c>
    </row>
    <row r="8" spans="1:6" x14ac:dyDescent="0.25">
      <c r="A8" s="1">
        <v>2</v>
      </c>
      <c r="B8" s="1">
        <v>5</v>
      </c>
      <c r="C8" s="1">
        <v>3</v>
      </c>
    </row>
    <row r="9" spans="1:6" x14ac:dyDescent="0.25">
      <c r="A9" s="1">
        <v>4</v>
      </c>
      <c r="B9" s="1">
        <v>3</v>
      </c>
      <c r="C9" s="1">
        <v>2</v>
      </c>
    </row>
    <row r="10" spans="1:6" x14ac:dyDescent="0.25">
      <c r="A10" s="1">
        <v>2</v>
      </c>
      <c r="B10" s="1">
        <v>5</v>
      </c>
      <c r="C10" s="1">
        <v>3</v>
      </c>
      <c r="E10" s="2" t="s">
        <v>11</v>
      </c>
      <c r="F10" s="2"/>
    </row>
    <row r="11" spans="1:6" x14ac:dyDescent="0.25">
      <c r="A11" s="1">
        <v>4</v>
      </c>
      <c r="B11" s="1">
        <v>4</v>
      </c>
      <c r="C11" s="1">
        <v>5</v>
      </c>
      <c r="E11" s="3" t="s">
        <v>16</v>
      </c>
    </row>
    <row r="12" spans="1:6" x14ac:dyDescent="0.25">
      <c r="A12" s="1">
        <v>5</v>
      </c>
      <c r="B12" s="1">
        <v>4</v>
      </c>
      <c r="C12" s="1">
        <v>5</v>
      </c>
      <c r="E12" s="3" t="s">
        <v>17</v>
      </c>
    </row>
    <row r="13" spans="1:6" x14ac:dyDescent="0.25">
      <c r="A13" s="1">
        <v>2</v>
      </c>
      <c r="B13" s="1">
        <v>4</v>
      </c>
      <c r="C13" s="1">
        <v>4</v>
      </c>
    </row>
    <row r="14" spans="1:6" x14ac:dyDescent="0.25">
      <c r="A14" s="1">
        <v>5</v>
      </c>
      <c r="B14" s="1">
        <v>3</v>
      </c>
      <c r="C14" s="1">
        <v>4</v>
      </c>
    </row>
    <row r="15" spans="1:6" x14ac:dyDescent="0.25">
      <c r="A15" s="1">
        <v>4</v>
      </c>
      <c r="B15" s="1">
        <v>4</v>
      </c>
      <c r="C15" s="1">
        <v>4</v>
      </c>
    </row>
    <row r="16" spans="1:6" x14ac:dyDescent="0.25">
      <c r="A16" s="1">
        <v>1</v>
      </c>
      <c r="B16" s="1">
        <v>4</v>
      </c>
      <c r="C16" s="1">
        <v>4</v>
      </c>
      <c r="E16" t="s">
        <v>10</v>
      </c>
      <c r="F16">
        <f>F3*((F4-F7)^2+(F5-F7)^2+(F6-F7)^2)</f>
        <v>2.501792114695347</v>
      </c>
    </row>
    <row r="17" spans="1:6" x14ac:dyDescent="0.25">
      <c r="A17" s="1">
        <v>1</v>
      </c>
      <c r="B17" s="1">
        <v>4</v>
      </c>
      <c r="C17" s="1">
        <v>2</v>
      </c>
    </row>
    <row r="18" spans="1:6" x14ac:dyDescent="0.25">
      <c r="A18" s="1">
        <v>3</v>
      </c>
      <c r="B18" s="1">
        <v>4</v>
      </c>
      <c r="C18" s="1">
        <v>1</v>
      </c>
    </row>
    <row r="19" spans="1:6" x14ac:dyDescent="0.25">
      <c r="A19" s="1">
        <v>3</v>
      </c>
      <c r="B19" s="1">
        <v>4</v>
      </c>
      <c r="C19" s="1">
        <v>4</v>
      </c>
      <c r="E19" s="2" t="s">
        <v>18</v>
      </c>
      <c r="F19" s="2"/>
    </row>
    <row r="20" spans="1:6" x14ac:dyDescent="0.25">
      <c r="A20" s="1">
        <v>3</v>
      </c>
      <c r="B20" s="1">
        <v>5</v>
      </c>
      <c r="C20" s="1">
        <v>2</v>
      </c>
      <c r="E20" t="s">
        <v>19</v>
      </c>
    </row>
    <row r="21" spans="1:6" x14ac:dyDescent="0.25">
      <c r="A21" s="1">
        <v>4</v>
      </c>
      <c r="B21" s="1">
        <v>3</v>
      </c>
      <c r="C21" s="1">
        <v>4</v>
      </c>
      <c r="E21" t="s">
        <v>15</v>
      </c>
      <c r="F21" s="6">
        <v>3</v>
      </c>
    </row>
    <row r="22" spans="1:6" x14ac:dyDescent="0.25">
      <c r="A22" s="1">
        <v>4</v>
      </c>
      <c r="B22" s="1">
        <v>3</v>
      </c>
      <c r="C22" s="1">
        <v>3</v>
      </c>
    </row>
    <row r="23" spans="1:6" x14ac:dyDescent="0.25">
      <c r="A23" s="1">
        <v>3</v>
      </c>
      <c r="B23" s="1">
        <v>3</v>
      </c>
      <c r="C23" s="1">
        <v>4</v>
      </c>
    </row>
    <row r="24" spans="1:6" x14ac:dyDescent="0.25">
      <c r="A24" s="1">
        <v>2</v>
      </c>
      <c r="B24" s="1">
        <v>4</v>
      </c>
      <c r="C24" s="1">
        <v>3</v>
      </c>
      <c r="E24" t="s">
        <v>0</v>
      </c>
      <c r="F24">
        <f>F21-1</f>
        <v>2</v>
      </c>
    </row>
    <row r="25" spans="1:6" x14ac:dyDescent="0.25">
      <c r="A25" s="1">
        <v>2</v>
      </c>
      <c r="B25" s="1">
        <v>4</v>
      </c>
      <c r="C25" s="1">
        <v>1</v>
      </c>
    </row>
    <row r="26" spans="1:6" x14ac:dyDescent="0.25">
      <c r="A26" s="1">
        <v>2</v>
      </c>
      <c r="B26" s="1">
        <v>2</v>
      </c>
      <c r="C26" s="1">
        <v>3</v>
      </c>
    </row>
    <row r="27" spans="1:6" x14ac:dyDescent="0.25">
      <c r="A27" s="1">
        <v>5</v>
      </c>
      <c r="B27" s="1">
        <v>3</v>
      </c>
      <c r="C27" s="1">
        <v>4</v>
      </c>
      <c r="E27" s="2" t="s">
        <v>20</v>
      </c>
      <c r="F27" s="2"/>
    </row>
    <row r="28" spans="1:6" x14ac:dyDescent="0.25">
      <c r="A28" s="1">
        <v>3</v>
      </c>
      <c r="B28" s="1">
        <v>3</v>
      </c>
      <c r="C28" s="1">
        <v>3</v>
      </c>
      <c r="E28" t="s">
        <v>21</v>
      </c>
    </row>
    <row r="29" spans="1:6" x14ac:dyDescent="0.25">
      <c r="A29" s="1">
        <v>5</v>
      </c>
      <c r="B29" s="1">
        <v>5</v>
      </c>
      <c r="C29" s="1">
        <v>5</v>
      </c>
    </row>
    <row r="30" spans="1:6" x14ac:dyDescent="0.25">
      <c r="A30" s="1">
        <v>3</v>
      </c>
      <c r="B30" s="1">
        <v>4</v>
      </c>
      <c r="C30" s="1">
        <v>2</v>
      </c>
    </row>
    <row r="31" spans="1:6" x14ac:dyDescent="0.25">
      <c r="A31" s="1">
        <v>4</v>
      </c>
      <c r="B31" s="1">
        <v>4</v>
      </c>
      <c r="C31" s="1">
        <v>3</v>
      </c>
    </row>
    <row r="32" spans="1:6" x14ac:dyDescent="0.25">
      <c r="A32" s="1">
        <v>2</v>
      </c>
      <c r="B32" s="1">
        <v>4</v>
      </c>
      <c r="C32" s="1">
        <v>3</v>
      </c>
    </row>
    <row r="33" spans="1:6" x14ac:dyDescent="0.25">
      <c r="A33" s="1">
        <v>4</v>
      </c>
      <c r="B33" s="1">
        <v>3</v>
      </c>
      <c r="C33" s="1">
        <v>3</v>
      </c>
      <c r="E33" t="s">
        <v>1</v>
      </c>
      <c r="F33">
        <f>F16/F24</f>
        <v>1.2508960573476735</v>
      </c>
    </row>
    <row r="34" spans="1:6" x14ac:dyDescent="0.25">
      <c r="A34" s="1">
        <v>5</v>
      </c>
      <c r="B34" s="1">
        <v>3</v>
      </c>
      <c r="C34" s="1">
        <v>3</v>
      </c>
    </row>
    <row r="35" spans="1:6" x14ac:dyDescent="0.25">
      <c r="A35" s="1">
        <v>5</v>
      </c>
      <c r="B35" s="1">
        <v>3</v>
      </c>
      <c r="C35" s="1">
        <v>5</v>
      </c>
    </row>
    <row r="36" spans="1:6" x14ac:dyDescent="0.25">
      <c r="A36" s="1">
        <v>2</v>
      </c>
      <c r="B36" s="1">
        <v>3</v>
      </c>
      <c r="C36" s="1">
        <v>3</v>
      </c>
      <c r="E36" s="2" t="s">
        <v>25</v>
      </c>
      <c r="F36" s="2"/>
    </row>
    <row r="37" spans="1:6" x14ac:dyDescent="0.25">
      <c r="A37" s="1">
        <v>3</v>
      </c>
      <c r="B37" s="1">
        <v>2</v>
      </c>
      <c r="C37" s="1">
        <v>4</v>
      </c>
      <c r="E37" t="s">
        <v>22</v>
      </c>
    </row>
    <row r="38" spans="1:6" x14ac:dyDescent="0.25">
      <c r="A38" s="1">
        <v>5</v>
      </c>
      <c r="B38" s="1">
        <v>3</v>
      </c>
      <c r="C38" s="1">
        <v>3</v>
      </c>
      <c r="E38" t="s">
        <v>23</v>
      </c>
    </row>
    <row r="39" spans="1:6" x14ac:dyDescent="0.25">
      <c r="A39" s="1">
        <v>5</v>
      </c>
      <c r="B39" s="1">
        <v>1</v>
      </c>
      <c r="C39" s="1">
        <v>2</v>
      </c>
    </row>
    <row r="40" spans="1:6" x14ac:dyDescent="0.25">
      <c r="A40" s="1">
        <v>3</v>
      </c>
      <c r="B40" s="1">
        <v>5</v>
      </c>
      <c r="C40" s="1">
        <v>2</v>
      </c>
    </row>
    <row r="41" spans="1:6" x14ac:dyDescent="0.25">
      <c r="A41" s="1">
        <v>5</v>
      </c>
      <c r="B41" s="1">
        <v>4</v>
      </c>
      <c r="C41" s="1">
        <v>3</v>
      </c>
    </row>
    <row r="42" spans="1:6" x14ac:dyDescent="0.25">
      <c r="A42" s="1">
        <v>2</v>
      </c>
      <c r="B42" s="1">
        <v>5</v>
      </c>
      <c r="C42" s="1">
        <v>3</v>
      </c>
    </row>
    <row r="43" spans="1:6" x14ac:dyDescent="0.25">
      <c r="A43" s="1">
        <v>3</v>
      </c>
      <c r="B43" s="1">
        <v>3</v>
      </c>
      <c r="C43" s="1">
        <v>5</v>
      </c>
      <c r="E43" t="s">
        <v>3</v>
      </c>
      <c r="F43">
        <f>DEVSQ(A:A)+DEVSQ(B:B)+DEVSQ(C:C)</f>
        <v>389.74193548387098</v>
      </c>
    </row>
    <row r="44" spans="1:6" x14ac:dyDescent="0.25">
      <c r="A44" s="1">
        <v>5</v>
      </c>
      <c r="B44" s="1">
        <v>2</v>
      </c>
      <c r="C44" s="1">
        <v>2</v>
      </c>
    </row>
    <row r="45" spans="1:6" x14ac:dyDescent="0.25">
      <c r="A45" s="1">
        <v>5</v>
      </c>
      <c r="B45" s="1">
        <v>4</v>
      </c>
      <c r="C45" s="1">
        <v>4</v>
      </c>
    </row>
    <row r="46" spans="1:6" x14ac:dyDescent="0.25">
      <c r="A46" s="1">
        <v>1</v>
      </c>
      <c r="B46" s="1">
        <v>2</v>
      </c>
      <c r="C46" s="1">
        <v>3</v>
      </c>
      <c r="E46" s="2" t="s">
        <v>24</v>
      </c>
      <c r="F46" s="2"/>
    </row>
    <row r="47" spans="1:6" x14ac:dyDescent="0.25">
      <c r="A47" s="1">
        <v>4</v>
      </c>
      <c r="B47" s="1">
        <v>5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4</v>
      </c>
      <c r="B48" s="1">
        <v>2</v>
      </c>
      <c r="C48" s="1">
        <v>5</v>
      </c>
      <c r="E48" t="s">
        <v>15</v>
      </c>
      <c r="F48">
        <f>F21</f>
        <v>3</v>
      </c>
    </row>
    <row r="49" spans="1:6" x14ac:dyDescent="0.25">
      <c r="A49" s="1">
        <v>2</v>
      </c>
      <c r="B49" s="1">
        <v>4</v>
      </c>
      <c r="C49" s="1">
        <v>3</v>
      </c>
    </row>
    <row r="50" spans="1:6" x14ac:dyDescent="0.25">
      <c r="A50" s="1">
        <v>1</v>
      </c>
      <c r="B50" s="1">
        <v>5</v>
      </c>
      <c r="C50" s="1">
        <v>5</v>
      </c>
    </row>
    <row r="51" spans="1:6" x14ac:dyDescent="0.25">
      <c r="A51" s="1">
        <v>1</v>
      </c>
      <c r="B51" s="1">
        <v>3</v>
      </c>
      <c r="C51" s="1">
        <v>3</v>
      </c>
    </row>
    <row r="52" spans="1:6" x14ac:dyDescent="0.25">
      <c r="A52" s="1">
        <v>2</v>
      </c>
      <c r="B52" s="1">
        <v>4</v>
      </c>
      <c r="C52" s="1">
        <v>4</v>
      </c>
    </row>
    <row r="53" spans="1:6" x14ac:dyDescent="0.25">
      <c r="A53" s="1">
        <v>4</v>
      </c>
      <c r="B53" s="1">
        <v>4</v>
      </c>
      <c r="C53" s="1">
        <v>5</v>
      </c>
      <c r="E53" t="s">
        <v>4</v>
      </c>
      <c r="F53">
        <f>F47-F48</f>
        <v>276</v>
      </c>
    </row>
    <row r="54" spans="1:6" x14ac:dyDescent="0.25">
      <c r="A54" s="1">
        <v>5</v>
      </c>
      <c r="B54" s="1">
        <v>4</v>
      </c>
      <c r="C54" s="1">
        <v>3</v>
      </c>
    </row>
    <row r="55" spans="1:6" x14ac:dyDescent="0.25">
      <c r="A55" s="1">
        <v>2</v>
      </c>
      <c r="B55" s="1">
        <v>2</v>
      </c>
      <c r="C55" s="1">
        <v>5</v>
      </c>
    </row>
    <row r="56" spans="1:6" x14ac:dyDescent="0.25">
      <c r="A56" s="1">
        <v>3</v>
      </c>
      <c r="B56" s="1">
        <v>3</v>
      </c>
      <c r="C56" s="1">
        <v>4</v>
      </c>
      <c r="E56" s="2" t="s">
        <v>27</v>
      </c>
      <c r="F56" s="2"/>
    </row>
    <row r="57" spans="1:6" x14ac:dyDescent="0.25">
      <c r="A57" s="1">
        <v>4</v>
      </c>
      <c r="B57" s="1">
        <v>4</v>
      </c>
      <c r="C57" s="1">
        <v>3</v>
      </c>
      <c r="E57" t="s">
        <v>28</v>
      </c>
    </row>
    <row r="58" spans="1:6" x14ac:dyDescent="0.25">
      <c r="A58" s="1">
        <v>2</v>
      </c>
      <c r="B58" s="1">
        <v>3</v>
      </c>
      <c r="C58" s="1">
        <v>5</v>
      </c>
    </row>
    <row r="59" spans="1:6" x14ac:dyDescent="0.25">
      <c r="A59" s="1">
        <v>5</v>
      </c>
      <c r="B59" s="1">
        <v>3</v>
      </c>
      <c r="C59" s="1">
        <v>2</v>
      </c>
    </row>
    <row r="60" spans="1:6" x14ac:dyDescent="0.25">
      <c r="A60" s="1">
        <v>3</v>
      </c>
      <c r="B60" s="1">
        <v>4</v>
      </c>
      <c r="C60" s="1">
        <v>5</v>
      </c>
    </row>
    <row r="61" spans="1:6" x14ac:dyDescent="0.25">
      <c r="A61" s="1">
        <v>5</v>
      </c>
      <c r="B61" s="1">
        <v>4</v>
      </c>
      <c r="C61" s="1">
        <v>4</v>
      </c>
    </row>
    <row r="62" spans="1:6" x14ac:dyDescent="0.25">
      <c r="A62" s="1">
        <v>3</v>
      </c>
      <c r="B62" s="1">
        <v>5</v>
      </c>
      <c r="C62" s="1">
        <v>3</v>
      </c>
    </row>
    <row r="63" spans="1:6" x14ac:dyDescent="0.25">
      <c r="A63" s="1">
        <v>5</v>
      </c>
      <c r="B63" s="1">
        <v>4</v>
      </c>
      <c r="C63" s="1">
        <v>4</v>
      </c>
      <c r="E63" t="s">
        <v>5</v>
      </c>
      <c r="F63">
        <f>F43/F53</f>
        <v>1.4121084618980833</v>
      </c>
    </row>
    <row r="64" spans="1:6" x14ac:dyDescent="0.25">
      <c r="A64" s="1">
        <v>5</v>
      </c>
      <c r="B64" s="1">
        <v>3</v>
      </c>
      <c r="C64" s="1">
        <v>5</v>
      </c>
    </row>
    <row r="65" spans="1:6" x14ac:dyDescent="0.25">
      <c r="A65" s="1">
        <v>5</v>
      </c>
      <c r="B65" s="1">
        <v>4</v>
      </c>
      <c r="C65" s="1">
        <v>4</v>
      </c>
    </row>
    <row r="66" spans="1:6" x14ac:dyDescent="0.25">
      <c r="A66" s="1">
        <v>3</v>
      </c>
      <c r="B66" s="1">
        <v>3</v>
      </c>
      <c r="C66" s="1">
        <v>4</v>
      </c>
      <c r="E66" s="2" t="s">
        <v>29</v>
      </c>
      <c r="F66" s="2"/>
    </row>
    <row r="67" spans="1:6" x14ac:dyDescent="0.25">
      <c r="A67" s="1">
        <v>2</v>
      </c>
      <c r="B67" s="1">
        <v>3</v>
      </c>
      <c r="C67" s="1">
        <v>2</v>
      </c>
      <c r="E67" t="s">
        <v>30</v>
      </c>
    </row>
    <row r="68" spans="1:6" x14ac:dyDescent="0.25">
      <c r="A68" s="1">
        <v>3</v>
      </c>
      <c r="B68" s="1">
        <v>5</v>
      </c>
      <c r="C68" s="1">
        <v>4</v>
      </c>
      <c r="E68" t="s">
        <v>31</v>
      </c>
    </row>
    <row r="69" spans="1:6" x14ac:dyDescent="0.25">
      <c r="A69" s="1">
        <v>1</v>
      </c>
      <c r="B69" s="1">
        <v>3</v>
      </c>
      <c r="C69" s="1">
        <v>2</v>
      </c>
    </row>
    <row r="70" spans="1:6" x14ac:dyDescent="0.25">
      <c r="A70" s="1">
        <v>4</v>
      </c>
      <c r="B70" s="1">
        <v>4</v>
      </c>
      <c r="C70" s="1">
        <v>2</v>
      </c>
    </row>
    <row r="71" spans="1:6" x14ac:dyDescent="0.25">
      <c r="A71" s="1">
        <v>4</v>
      </c>
      <c r="B71" s="1">
        <v>1</v>
      </c>
      <c r="C71" s="1">
        <v>4</v>
      </c>
    </row>
    <row r="72" spans="1:6" x14ac:dyDescent="0.25">
      <c r="A72" s="1">
        <v>2</v>
      </c>
      <c r="B72" s="1">
        <v>3</v>
      </c>
      <c r="C72" s="1">
        <v>1</v>
      </c>
    </row>
    <row r="73" spans="1:6" x14ac:dyDescent="0.25">
      <c r="A73" s="1">
        <v>4</v>
      </c>
      <c r="B73" s="1">
        <v>2</v>
      </c>
      <c r="C73" s="1">
        <v>4</v>
      </c>
      <c r="E73" t="s">
        <v>2</v>
      </c>
      <c r="F73">
        <f>F33/F63</f>
        <v>0.88583567841969002</v>
      </c>
    </row>
    <row r="74" spans="1:6" x14ac:dyDescent="0.25">
      <c r="A74" s="1">
        <v>1</v>
      </c>
      <c r="B74" s="1">
        <v>3</v>
      </c>
      <c r="C74" s="1">
        <v>1</v>
      </c>
    </row>
    <row r="75" spans="1:6" x14ac:dyDescent="0.25">
      <c r="A75" s="1">
        <v>5</v>
      </c>
      <c r="B75" s="1">
        <v>5</v>
      </c>
      <c r="C75" s="1">
        <v>5</v>
      </c>
    </row>
    <row r="76" spans="1:6" x14ac:dyDescent="0.25">
      <c r="A76" s="1">
        <v>1</v>
      </c>
      <c r="B76" s="1">
        <v>3</v>
      </c>
      <c r="C76" s="1">
        <v>3</v>
      </c>
      <c r="E76" s="2" t="s">
        <v>34</v>
      </c>
      <c r="F76" s="2"/>
    </row>
    <row r="77" spans="1:6" x14ac:dyDescent="0.25">
      <c r="A77" s="1">
        <v>5</v>
      </c>
      <c r="B77" s="1">
        <v>1</v>
      </c>
      <c r="C77" s="1">
        <v>3</v>
      </c>
    </row>
    <row r="78" spans="1:6" x14ac:dyDescent="0.25">
      <c r="A78" s="1">
        <v>2</v>
      </c>
      <c r="B78" s="1">
        <v>3</v>
      </c>
      <c r="C78" s="1">
        <v>4</v>
      </c>
      <c r="E78" s="4" t="s">
        <v>32</v>
      </c>
      <c r="F78">
        <v>0.05</v>
      </c>
    </row>
    <row r="79" spans="1:6" x14ac:dyDescent="0.25">
      <c r="A79" s="1">
        <v>3</v>
      </c>
      <c r="B79" s="1">
        <v>2</v>
      </c>
      <c r="C79" s="1">
        <v>3</v>
      </c>
      <c r="E79" t="s">
        <v>0</v>
      </c>
      <c r="F79">
        <f xml:space="preserve"> F24</f>
        <v>2</v>
      </c>
    </row>
    <row r="80" spans="1:6" x14ac:dyDescent="0.25">
      <c r="A80" s="1">
        <v>1</v>
      </c>
      <c r="B80" s="1">
        <v>2</v>
      </c>
      <c r="C80" s="1">
        <v>3</v>
      </c>
      <c r="E80" t="s">
        <v>4</v>
      </c>
      <c r="F80">
        <f xml:space="preserve"> F53</f>
        <v>276</v>
      </c>
    </row>
    <row r="81" spans="1:6" x14ac:dyDescent="0.25">
      <c r="A81" s="1">
        <v>5</v>
      </c>
      <c r="B81" s="1">
        <v>4</v>
      </c>
      <c r="C81" s="1">
        <v>5</v>
      </c>
      <c r="E81" t="s">
        <v>33</v>
      </c>
      <c r="F81">
        <f>FINV(F78, F79, F80)</f>
        <v>3.0284848289066213</v>
      </c>
    </row>
    <row r="82" spans="1:6" x14ac:dyDescent="0.25">
      <c r="A82" s="1">
        <v>3</v>
      </c>
      <c r="B82" s="1">
        <v>4</v>
      </c>
      <c r="C82" s="1">
        <v>5</v>
      </c>
      <c r="E82" t="s">
        <v>35</v>
      </c>
      <c r="F82">
        <f>_xlfn.F.DIST.RT(F73, F79, F80)</f>
        <v>0.41353850318376917</v>
      </c>
    </row>
    <row r="83" spans="1:6" x14ac:dyDescent="0.25">
      <c r="A83" s="1">
        <v>1</v>
      </c>
      <c r="B83" s="1">
        <v>3</v>
      </c>
      <c r="C83" s="1">
        <v>3</v>
      </c>
    </row>
    <row r="84" spans="1:6" x14ac:dyDescent="0.25">
      <c r="A84" s="1">
        <v>3</v>
      </c>
      <c r="B84" s="1">
        <v>4</v>
      </c>
      <c r="C84" s="1">
        <v>3</v>
      </c>
      <c r="E84" s="2" t="s">
        <v>6</v>
      </c>
      <c r="F84" s="2"/>
    </row>
    <row r="85" spans="1:6" x14ac:dyDescent="0.25">
      <c r="A85" s="1">
        <v>3</v>
      </c>
      <c r="B85" s="1">
        <v>2</v>
      </c>
      <c r="C85" s="1">
        <v>1</v>
      </c>
    </row>
    <row r="86" spans="1:6" x14ac:dyDescent="0.25">
      <c r="A86" s="1">
        <v>3</v>
      </c>
      <c r="B86" s="1">
        <v>2</v>
      </c>
      <c r="C86" s="1">
        <v>3</v>
      </c>
      <c r="E86" t="s">
        <v>36</v>
      </c>
    </row>
    <row r="87" spans="1:6" x14ac:dyDescent="0.25">
      <c r="A87" s="1">
        <v>3</v>
      </c>
      <c r="B87" s="1">
        <v>4</v>
      </c>
      <c r="C87" s="1">
        <v>1</v>
      </c>
      <c r="E87" t="s">
        <v>37</v>
      </c>
    </row>
    <row r="88" spans="1:6" x14ac:dyDescent="0.25">
      <c r="A88" s="1">
        <v>3</v>
      </c>
      <c r="B88" s="1">
        <v>4</v>
      </c>
      <c r="C88" s="1">
        <v>3</v>
      </c>
    </row>
    <row r="89" spans="1:6" x14ac:dyDescent="0.25">
      <c r="A89" s="1">
        <v>3</v>
      </c>
      <c r="B89" s="1">
        <v>3</v>
      </c>
      <c r="C89" s="1">
        <v>4</v>
      </c>
      <c r="E89" t="str">
        <f>"Si F calculado ("&amp;F73&amp;") &gt; F critico ("&amp;F81&amp;") ---&gt; Se rechaza la hipotesis nula"</f>
        <v>Si F calculado (0.88583567841969) &gt; F critico (3.02848482890662) ---&gt; Se rechaza la hipotesis nula</v>
      </c>
    </row>
    <row r="90" spans="1:6" x14ac:dyDescent="0.25">
      <c r="A90" s="1">
        <v>2</v>
      </c>
      <c r="B90" s="1">
        <v>4</v>
      </c>
      <c r="C90" s="1">
        <v>5</v>
      </c>
      <c r="E90" t="str">
        <f>"Si p-valor ("&amp;F82&amp;") &lt; α Nivel Significancia ("&amp;F78&amp;") ---&gt; Se rechaza la hipotesis nula"</f>
        <v>Si p-valor (0.413538503183769) &lt; α Nivel Significancia (0.05) ---&gt; Se rechaza la hipotesis nula</v>
      </c>
    </row>
    <row r="91" spans="1:6" x14ac:dyDescent="0.25">
      <c r="A91" s="1">
        <v>5</v>
      </c>
      <c r="B91" s="1">
        <v>2</v>
      </c>
      <c r="C91" s="1">
        <v>2</v>
      </c>
    </row>
    <row r="92" spans="1:6" x14ac:dyDescent="0.25">
      <c r="A92" s="1">
        <v>4</v>
      </c>
      <c r="B92" s="1">
        <v>4</v>
      </c>
      <c r="C92" s="1">
        <v>3</v>
      </c>
    </row>
    <row r="93" spans="1:6" x14ac:dyDescent="0.25">
      <c r="A93" s="1">
        <v>1</v>
      </c>
      <c r="B93" s="1">
        <v>3</v>
      </c>
      <c r="C93" s="1">
        <v>5</v>
      </c>
    </row>
    <row r="94" spans="1:6" x14ac:dyDescent="0.25">
      <c r="A94" s="1">
        <v>2</v>
      </c>
      <c r="B94" s="1">
        <v>5</v>
      </c>
      <c r="C94" s="1">
        <v>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H9" sqref="H9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4</v>
      </c>
      <c r="B2" s="1">
        <v>2</v>
      </c>
      <c r="C2" s="1">
        <v>4</v>
      </c>
      <c r="E2" s="2" t="s">
        <v>12</v>
      </c>
      <c r="F2" s="2"/>
    </row>
    <row r="3" spans="1:6" x14ac:dyDescent="0.25">
      <c r="A3" s="1">
        <v>3</v>
      </c>
      <c r="B3" s="1">
        <v>4</v>
      </c>
      <c r="C3" s="1">
        <v>4</v>
      </c>
      <c r="E3" t="s">
        <v>13</v>
      </c>
      <c r="F3">
        <f>COUNT(A:A)</f>
        <v>93</v>
      </c>
    </row>
    <row r="4" spans="1:6" x14ac:dyDescent="0.25">
      <c r="A4" s="1">
        <v>5</v>
      </c>
      <c r="B4" s="1">
        <v>5</v>
      </c>
      <c r="C4" s="1">
        <v>5</v>
      </c>
      <c r="E4" t="s">
        <v>7</v>
      </c>
      <c r="F4">
        <f>AVERAGE(A:A)</f>
        <v>3.150537634408602</v>
      </c>
    </row>
    <row r="5" spans="1:6" x14ac:dyDescent="0.25">
      <c r="A5" s="1">
        <v>1</v>
      </c>
      <c r="B5" s="1">
        <v>5</v>
      </c>
      <c r="C5" s="1">
        <v>3</v>
      </c>
      <c r="E5" t="s">
        <v>8</v>
      </c>
      <c r="F5">
        <f>AVERAGE(B:B)</f>
        <v>3.3225806451612905</v>
      </c>
    </row>
    <row r="6" spans="1:6" x14ac:dyDescent="0.25">
      <c r="A6" s="1">
        <v>1</v>
      </c>
      <c r="B6" s="1">
        <v>3</v>
      </c>
      <c r="C6" s="1">
        <v>4</v>
      </c>
      <c r="E6" t="s">
        <v>9</v>
      </c>
      <c r="F6">
        <f>AVERAGE(C:C)</f>
        <v>3.5483870967741935</v>
      </c>
    </row>
    <row r="7" spans="1:6" x14ac:dyDescent="0.25">
      <c r="A7" s="1">
        <v>3</v>
      </c>
      <c r="B7" s="1">
        <v>3</v>
      </c>
      <c r="C7" s="1">
        <v>2</v>
      </c>
      <c r="E7" t="s">
        <v>14</v>
      </c>
      <c r="F7">
        <f>AVERAGE(F4:F6)</f>
        <v>3.3405017921146953</v>
      </c>
    </row>
    <row r="8" spans="1:6" x14ac:dyDescent="0.25">
      <c r="A8" s="1">
        <v>3</v>
      </c>
      <c r="B8" s="1">
        <v>3</v>
      </c>
      <c r="C8" s="1">
        <v>2</v>
      </c>
    </row>
    <row r="9" spans="1:6" x14ac:dyDescent="0.25">
      <c r="A9" s="1">
        <v>4</v>
      </c>
      <c r="B9" s="1">
        <v>4</v>
      </c>
      <c r="C9" s="1">
        <v>4</v>
      </c>
    </row>
    <row r="10" spans="1:6" x14ac:dyDescent="0.25">
      <c r="A10" s="1">
        <v>2</v>
      </c>
      <c r="B10" s="1">
        <v>4</v>
      </c>
      <c r="C10" s="1">
        <v>3</v>
      </c>
      <c r="E10" s="2" t="s">
        <v>11</v>
      </c>
      <c r="F10" s="2"/>
    </row>
    <row r="11" spans="1:6" x14ac:dyDescent="0.25">
      <c r="A11" s="1">
        <v>3</v>
      </c>
      <c r="B11" s="1">
        <v>3</v>
      </c>
      <c r="C11" s="1">
        <v>4</v>
      </c>
      <c r="E11" s="3" t="s">
        <v>16</v>
      </c>
    </row>
    <row r="12" spans="1:6" x14ac:dyDescent="0.25">
      <c r="A12" s="1">
        <v>5</v>
      </c>
      <c r="B12" s="1">
        <v>3</v>
      </c>
      <c r="C12" s="1">
        <v>2</v>
      </c>
      <c r="E12" s="3" t="s">
        <v>17</v>
      </c>
    </row>
    <row r="13" spans="1:6" x14ac:dyDescent="0.25">
      <c r="A13" s="1">
        <v>2</v>
      </c>
      <c r="B13" s="1">
        <v>1</v>
      </c>
      <c r="C13" s="1">
        <v>4</v>
      </c>
    </row>
    <row r="14" spans="1:6" x14ac:dyDescent="0.25">
      <c r="A14" s="1">
        <v>2</v>
      </c>
      <c r="B14" s="1">
        <v>5</v>
      </c>
      <c r="C14" s="1">
        <v>3</v>
      </c>
    </row>
    <row r="15" spans="1:6" x14ac:dyDescent="0.25">
      <c r="A15" s="1">
        <v>1</v>
      </c>
      <c r="B15" s="1">
        <v>3</v>
      </c>
      <c r="C15" s="1">
        <v>3</v>
      </c>
    </row>
    <row r="16" spans="1:6" x14ac:dyDescent="0.25">
      <c r="A16" s="1">
        <v>3</v>
      </c>
      <c r="B16" s="1">
        <v>4</v>
      </c>
      <c r="C16" s="1">
        <v>4</v>
      </c>
      <c r="E16" t="s">
        <v>10</v>
      </c>
      <c r="F16">
        <f>F3*((F4-F7)^2+(F5-F7)^2+(F6-F7)^2)</f>
        <v>7.4050179211469551</v>
      </c>
    </row>
    <row r="17" spans="1:6" x14ac:dyDescent="0.25">
      <c r="A17" s="1">
        <v>3</v>
      </c>
      <c r="B17" s="1">
        <v>4</v>
      </c>
      <c r="C17" s="1">
        <v>5</v>
      </c>
    </row>
    <row r="18" spans="1:6" x14ac:dyDescent="0.25">
      <c r="A18" s="1">
        <v>4</v>
      </c>
      <c r="B18" s="1">
        <v>3</v>
      </c>
      <c r="C18" s="1">
        <v>3</v>
      </c>
    </row>
    <row r="19" spans="1:6" x14ac:dyDescent="0.25">
      <c r="A19" s="1">
        <v>1</v>
      </c>
      <c r="B19" s="1">
        <v>3</v>
      </c>
      <c r="C19" s="1">
        <v>3</v>
      </c>
      <c r="E19" s="2" t="s">
        <v>18</v>
      </c>
      <c r="F19" s="2"/>
    </row>
    <row r="20" spans="1:6" x14ac:dyDescent="0.25">
      <c r="A20" s="1">
        <v>2</v>
      </c>
      <c r="B20" s="1">
        <v>1</v>
      </c>
      <c r="C20" s="1">
        <v>4</v>
      </c>
      <c r="E20" t="s">
        <v>19</v>
      </c>
    </row>
    <row r="21" spans="1:6" x14ac:dyDescent="0.25">
      <c r="A21" s="1">
        <v>5</v>
      </c>
      <c r="B21" s="1">
        <v>5</v>
      </c>
      <c r="C21" s="1">
        <v>3</v>
      </c>
      <c r="E21" t="s">
        <v>15</v>
      </c>
      <c r="F21" s="6">
        <v>3</v>
      </c>
    </row>
    <row r="22" spans="1:6" x14ac:dyDescent="0.25">
      <c r="A22" s="1">
        <v>5</v>
      </c>
      <c r="B22" s="1">
        <v>5</v>
      </c>
      <c r="C22" s="1">
        <v>4</v>
      </c>
    </row>
    <row r="23" spans="1:6" x14ac:dyDescent="0.25">
      <c r="A23" s="1">
        <v>4</v>
      </c>
      <c r="B23" s="1">
        <v>3</v>
      </c>
      <c r="C23" s="1">
        <v>3</v>
      </c>
    </row>
    <row r="24" spans="1:6" x14ac:dyDescent="0.25">
      <c r="A24" s="1">
        <v>2</v>
      </c>
      <c r="B24" s="1">
        <v>3</v>
      </c>
      <c r="C24" s="1">
        <v>5</v>
      </c>
      <c r="E24" t="s">
        <v>0</v>
      </c>
      <c r="F24">
        <f>F21-1</f>
        <v>2</v>
      </c>
    </row>
    <row r="25" spans="1:6" x14ac:dyDescent="0.25">
      <c r="A25" s="1">
        <v>1</v>
      </c>
      <c r="B25" s="1">
        <v>4</v>
      </c>
      <c r="C25" s="1">
        <v>2</v>
      </c>
    </row>
    <row r="26" spans="1:6" x14ac:dyDescent="0.25">
      <c r="A26" s="1">
        <v>5</v>
      </c>
      <c r="B26" s="1">
        <v>5</v>
      </c>
      <c r="C26" s="1">
        <v>4</v>
      </c>
    </row>
    <row r="27" spans="1:6" x14ac:dyDescent="0.25">
      <c r="A27" s="1">
        <v>3</v>
      </c>
      <c r="B27" s="1">
        <v>5</v>
      </c>
      <c r="C27" s="1">
        <v>4</v>
      </c>
      <c r="E27" s="2" t="s">
        <v>20</v>
      </c>
      <c r="F27" s="2"/>
    </row>
    <row r="28" spans="1:6" x14ac:dyDescent="0.25">
      <c r="A28" s="1">
        <v>4</v>
      </c>
      <c r="B28" s="1">
        <v>2</v>
      </c>
      <c r="C28" s="1">
        <v>5</v>
      </c>
      <c r="E28" t="s">
        <v>21</v>
      </c>
    </row>
    <row r="29" spans="1:6" x14ac:dyDescent="0.25">
      <c r="A29" s="1">
        <v>1</v>
      </c>
      <c r="B29" s="1">
        <v>4</v>
      </c>
      <c r="C29" s="1">
        <v>5</v>
      </c>
    </row>
    <row r="30" spans="1:6" x14ac:dyDescent="0.25">
      <c r="A30" s="1">
        <v>2</v>
      </c>
      <c r="B30" s="1">
        <v>4</v>
      </c>
      <c r="C30" s="1">
        <v>3</v>
      </c>
    </row>
    <row r="31" spans="1:6" x14ac:dyDescent="0.25">
      <c r="A31" s="1">
        <v>2</v>
      </c>
      <c r="B31" s="1">
        <v>4</v>
      </c>
      <c r="C31" s="1">
        <v>4</v>
      </c>
    </row>
    <row r="32" spans="1:6" x14ac:dyDescent="0.25">
      <c r="A32" s="1">
        <v>4</v>
      </c>
      <c r="B32" s="1">
        <v>4</v>
      </c>
      <c r="C32" s="1">
        <v>2</v>
      </c>
    </row>
    <row r="33" spans="1:6" x14ac:dyDescent="0.25">
      <c r="A33" s="1">
        <v>4</v>
      </c>
      <c r="B33" s="1">
        <v>5</v>
      </c>
      <c r="C33" s="1">
        <v>5</v>
      </c>
      <c r="E33" t="s">
        <v>1</v>
      </c>
      <c r="F33">
        <f>F16/F24</f>
        <v>3.7025089605734776</v>
      </c>
    </row>
    <row r="34" spans="1:6" x14ac:dyDescent="0.25">
      <c r="A34" s="1">
        <v>4</v>
      </c>
      <c r="B34" s="1">
        <v>3</v>
      </c>
      <c r="C34" s="1">
        <v>4</v>
      </c>
    </row>
    <row r="35" spans="1:6" x14ac:dyDescent="0.25">
      <c r="A35" s="1">
        <v>5</v>
      </c>
      <c r="B35" s="1">
        <v>5</v>
      </c>
      <c r="C35" s="1">
        <v>4</v>
      </c>
    </row>
    <row r="36" spans="1:6" x14ac:dyDescent="0.25">
      <c r="A36" s="1">
        <v>2</v>
      </c>
      <c r="B36" s="1">
        <v>2</v>
      </c>
      <c r="C36" s="1">
        <v>5</v>
      </c>
      <c r="E36" s="2" t="s">
        <v>25</v>
      </c>
      <c r="F36" s="2"/>
    </row>
    <row r="37" spans="1:6" x14ac:dyDescent="0.25">
      <c r="A37" s="1">
        <v>2</v>
      </c>
      <c r="B37" s="1">
        <v>4</v>
      </c>
      <c r="C37" s="1">
        <v>5</v>
      </c>
      <c r="E37" t="s">
        <v>22</v>
      </c>
    </row>
    <row r="38" spans="1:6" x14ac:dyDescent="0.25">
      <c r="A38" s="1">
        <v>1</v>
      </c>
      <c r="B38" s="1">
        <v>3</v>
      </c>
      <c r="C38" s="1">
        <v>4</v>
      </c>
      <c r="E38" t="s">
        <v>23</v>
      </c>
    </row>
    <row r="39" spans="1:6" x14ac:dyDescent="0.25">
      <c r="A39" s="1">
        <v>1</v>
      </c>
      <c r="B39" s="1">
        <v>2</v>
      </c>
      <c r="C39" s="1">
        <v>3</v>
      </c>
    </row>
    <row r="40" spans="1:6" x14ac:dyDescent="0.25">
      <c r="A40" s="1">
        <v>3</v>
      </c>
      <c r="B40" s="1">
        <v>3</v>
      </c>
      <c r="C40" s="1">
        <v>4</v>
      </c>
    </row>
    <row r="41" spans="1:6" x14ac:dyDescent="0.25">
      <c r="A41" s="1">
        <v>3</v>
      </c>
      <c r="B41" s="1">
        <v>3</v>
      </c>
      <c r="C41" s="1">
        <v>3</v>
      </c>
    </row>
    <row r="42" spans="1:6" x14ac:dyDescent="0.25">
      <c r="A42" s="1">
        <v>1</v>
      </c>
      <c r="B42" s="1">
        <v>4</v>
      </c>
      <c r="C42" s="1">
        <v>3</v>
      </c>
    </row>
    <row r="43" spans="1:6" x14ac:dyDescent="0.25">
      <c r="A43" s="1">
        <v>2</v>
      </c>
      <c r="B43" s="1">
        <v>4</v>
      </c>
      <c r="C43" s="1">
        <v>5</v>
      </c>
      <c r="E43" t="s">
        <v>3</v>
      </c>
      <c r="F43">
        <f>DEVSQ(A:A)+DEVSQ(B:B)+DEVSQ(C:C)</f>
        <v>391.24731182795682</v>
      </c>
    </row>
    <row r="44" spans="1:6" x14ac:dyDescent="0.25">
      <c r="A44" s="1">
        <v>4</v>
      </c>
      <c r="B44" s="1">
        <v>3</v>
      </c>
      <c r="C44" s="1">
        <v>4</v>
      </c>
    </row>
    <row r="45" spans="1:6" x14ac:dyDescent="0.25">
      <c r="A45" s="1">
        <v>4</v>
      </c>
      <c r="B45" s="1">
        <v>1</v>
      </c>
      <c r="C45" s="1">
        <v>1</v>
      </c>
    </row>
    <row r="46" spans="1:6" x14ac:dyDescent="0.25">
      <c r="A46" s="1">
        <v>5</v>
      </c>
      <c r="B46" s="1">
        <v>3</v>
      </c>
      <c r="C46" s="1">
        <v>3</v>
      </c>
      <c r="E46" s="2" t="s">
        <v>24</v>
      </c>
      <c r="F46" s="2"/>
    </row>
    <row r="47" spans="1:6" x14ac:dyDescent="0.25">
      <c r="A47" s="1">
        <v>1</v>
      </c>
      <c r="B47" s="1">
        <v>3</v>
      </c>
      <c r="C47" s="1">
        <v>3</v>
      </c>
      <c r="E47" t="s">
        <v>26</v>
      </c>
      <c r="F47">
        <f>COUNT(A:A,B:B,C:C,#REF!)</f>
        <v>279</v>
      </c>
    </row>
    <row r="48" spans="1:6" x14ac:dyDescent="0.25">
      <c r="A48" s="1">
        <v>3</v>
      </c>
      <c r="B48" s="1">
        <v>3</v>
      </c>
      <c r="C48" s="1">
        <v>4</v>
      </c>
      <c r="E48" t="s">
        <v>15</v>
      </c>
      <c r="F48">
        <f>F21</f>
        <v>3</v>
      </c>
    </row>
    <row r="49" spans="1:6" x14ac:dyDescent="0.25">
      <c r="A49" s="1">
        <v>4</v>
      </c>
      <c r="B49" s="1">
        <v>3</v>
      </c>
      <c r="C49" s="1">
        <v>3</v>
      </c>
    </row>
    <row r="50" spans="1:6" x14ac:dyDescent="0.25">
      <c r="A50" s="1">
        <v>3</v>
      </c>
      <c r="B50" s="1">
        <v>5</v>
      </c>
      <c r="C50" s="1">
        <v>3</v>
      </c>
    </row>
    <row r="51" spans="1:6" x14ac:dyDescent="0.25">
      <c r="A51" s="1">
        <v>3</v>
      </c>
      <c r="B51" s="1">
        <v>3</v>
      </c>
      <c r="C51" s="1">
        <v>3</v>
      </c>
    </row>
    <row r="52" spans="1:6" x14ac:dyDescent="0.25">
      <c r="A52" s="1">
        <v>4</v>
      </c>
      <c r="B52" s="1">
        <v>1</v>
      </c>
      <c r="C52" s="1">
        <v>1</v>
      </c>
    </row>
    <row r="53" spans="1:6" x14ac:dyDescent="0.25">
      <c r="A53" s="1">
        <v>5</v>
      </c>
      <c r="B53" s="1">
        <v>5</v>
      </c>
      <c r="C53" s="1">
        <v>5</v>
      </c>
      <c r="E53" t="s">
        <v>4</v>
      </c>
      <c r="F53">
        <f>F47-F48</f>
        <v>276</v>
      </c>
    </row>
    <row r="54" spans="1:6" x14ac:dyDescent="0.25">
      <c r="A54" s="1">
        <v>3</v>
      </c>
      <c r="B54" s="1">
        <v>3</v>
      </c>
      <c r="C54" s="1">
        <v>5</v>
      </c>
    </row>
    <row r="55" spans="1:6" x14ac:dyDescent="0.25">
      <c r="A55" s="1">
        <v>3</v>
      </c>
      <c r="B55" s="1">
        <v>4</v>
      </c>
      <c r="C55" s="1">
        <v>3</v>
      </c>
    </row>
    <row r="56" spans="1:6" x14ac:dyDescent="0.25">
      <c r="A56" s="1">
        <v>3</v>
      </c>
      <c r="B56" s="1">
        <v>3</v>
      </c>
      <c r="C56" s="1">
        <v>2</v>
      </c>
      <c r="E56" s="2" t="s">
        <v>27</v>
      </c>
      <c r="F56" s="2"/>
    </row>
    <row r="57" spans="1:6" x14ac:dyDescent="0.25">
      <c r="A57" s="1">
        <v>3</v>
      </c>
      <c r="B57" s="1">
        <v>5</v>
      </c>
      <c r="C57" s="1">
        <v>5</v>
      </c>
      <c r="E57" t="s">
        <v>28</v>
      </c>
    </row>
    <row r="58" spans="1:6" x14ac:dyDescent="0.25">
      <c r="A58" s="1">
        <v>2</v>
      </c>
      <c r="B58" s="1">
        <v>4</v>
      </c>
      <c r="C58" s="1">
        <v>4</v>
      </c>
    </row>
    <row r="59" spans="1:6" x14ac:dyDescent="0.25">
      <c r="A59" s="1">
        <v>3</v>
      </c>
      <c r="B59" s="1">
        <v>3</v>
      </c>
      <c r="C59" s="1">
        <v>5</v>
      </c>
    </row>
    <row r="60" spans="1:6" x14ac:dyDescent="0.25">
      <c r="A60" s="1">
        <v>3</v>
      </c>
      <c r="B60" s="1">
        <v>4</v>
      </c>
      <c r="C60" s="1">
        <v>4</v>
      </c>
    </row>
    <row r="61" spans="1:6" x14ac:dyDescent="0.25">
      <c r="A61" s="1">
        <v>2</v>
      </c>
      <c r="B61" s="1">
        <v>3</v>
      </c>
      <c r="C61" s="1">
        <v>3</v>
      </c>
    </row>
    <row r="62" spans="1:6" x14ac:dyDescent="0.25">
      <c r="A62" s="1">
        <v>4</v>
      </c>
      <c r="B62" s="1">
        <v>2</v>
      </c>
      <c r="C62" s="1">
        <v>3</v>
      </c>
    </row>
    <row r="63" spans="1:6" x14ac:dyDescent="0.25">
      <c r="A63" s="1">
        <v>5</v>
      </c>
      <c r="B63" s="1">
        <v>1</v>
      </c>
      <c r="C63" s="1">
        <v>4</v>
      </c>
      <c r="E63" t="s">
        <v>5</v>
      </c>
      <c r="F63">
        <f>F43/F53</f>
        <v>1.4175627240143363</v>
      </c>
    </row>
    <row r="64" spans="1:6" x14ac:dyDescent="0.25">
      <c r="A64" s="1">
        <v>5</v>
      </c>
      <c r="B64" s="1">
        <v>4</v>
      </c>
      <c r="C64" s="1">
        <v>4</v>
      </c>
    </row>
    <row r="65" spans="1:6" x14ac:dyDescent="0.25">
      <c r="A65" s="1">
        <v>3</v>
      </c>
      <c r="B65" s="1">
        <v>4</v>
      </c>
      <c r="C65" s="1">
        <v>5</v>
      </c>
    </row>
    <row r="66" spans="1:6" x14ac:dyDescent="0.25">
      <c r="A66" s="1">
        <v>3</v>
      </c>
      <c r="B66" s="1">
        <v>5</v>
      </c>
      <c r="C66" s="1">
        <v>4</v>
      </c>
      <c r="E66" s="2" t="s">
        <v>29</v>
      </c>
      <c r="F66" s="2"/>
    </row>
    <row r="67" spans="1:6" x14ac:dyDescent="0.25">
      <c r="A67" s="1">
        <v>3</v>
      </c>
      <c r="B67" s="1">
        <v>1</v>
      </c>
      <c r="C67" s="1">
        <v>3</v>
      </c>
      <c r="E67" t="s">
        <v>30</v>
      </c>
    </row>
    <row r="68" spans="1:6" x14ac:dyDescent="0.25">
      <c r="A68" s="1">
        <v>4</v>
      </c>
      <c r="B68" s="1">
        <v>1</v>
      </c>
      <c r="C68" s="1">
        <v>1</v>
      </c>
      <c r="E68" t="s">
        <v>31</v>
      </c>
    </row>
    <row r="69" spans="1:6" x14ac:dyDescent="0.25">
      <c r="A69" s="1">
        <v>5</v>
      </c>
      <c r="B69" s="1">
        <v>3</v>
      </c>
      <c r="C69" s="1">
        <v>2</v>
      </c>
    </row>
    <row r="70" spans="1:6" x14ac:dyDescent="0.25">
      <c r="A70" s="1">
        <v>5</v>
      </c>
      <c r="B70" s="1">
        <v>2</v>
      </c>
      <c r="C70" s="1">
        <v>5</v>
      </c>
    </row>
    <row r="71" spans="1:6" x14ac:dyDescent="0.25">
      <c r="A71" s="1">
        <v>4</v>
      </c>
      <c r="B71" s="1">
        <v>3</v>
      </c>
      <c r="C71" s="1">
        <v>2</v>
      </c>
    </row>
    <row r="72" spans="1:6" x14ac:dyDescent="0.25">
      <c r="A72" s="1">
        <v>3</v>
      </c>
      <c r="B72" s="1">
        <v>3</v>
      </c>
      <c r="C72" s="1">
        <v>3</v>
      </c>
    </row>
    <row r="73" spans="1:6" x14ac:dyDescent="0.25">
      <c r="A73" s="1">
        <v>4</v>
      </c>
      <c r="B73" s="1">
        <v>5</v>
      </c>
      <c r="C73" s="1">
        <v>3</v>
      </c>
      <c r="E73" t="s">
        <v>2</v>
      </c>
      <c r="F73">
        <f>F33/F63</f>
        <v>2.611883691529711</v>
      </c>
    </row>
    <row r="74" spans="1:6" x14ac:dyDescent="0.25">
      <c r="A74" s="1">
        <v>4</v>
      </c>
      <c r="B74" s="1">
        <v>3</v>
      </c>
      <c r="C74" s="1">
        <v>4</v>
      </c>
    </row>
    <row r="75" spans="1:6" x14ac:dyDescent="0.25">
      <c r="A75" s="1">
        <v>2</v>
      </c>
      <c r="B75" s="1">
        <v>5</v>
      </c>
      <c r="C75" s="1">
        <v>4</v>
      </c>
    </row>
    <row r="76" spans="1:6" x14ac:dyDescent="0.25">
      <c r="A76" s="1">
        <v>4</v>
      </c>
      <c r="B76" s="1">
        <v>2</v>
      </c>
      <c r="C76" s="1">
        <v>4</v>
      </c>
      <c r="E76" s="2" t="s">
        <v>34</v>
      </c>
      <c r="F76" s="2"/>
    </row>
    <row r="77" spans="1:6" x14ac:dyDescent="0.25">
      <c r="A77" s="1">
        <v>3</v>
      </c>
      <c r="B77" s="1">
        <v>3</v>
      </c>
      <c r="C77" s="1">
        <v>5</v>
      </c>
    </row>
    <row r="78" spans="1:6" x14ac:dyDescent="0.25">
      <c r="A78" s="1">
        <v>3</v>
      </c>
      <c r="B78" s="1">
        <v>3</v>
      </c>
      <c r="C78" s="1">
        <v>4</v>
      </c>
      <c r="E78" s="4" t="s">
        <v>32</v>
      </c>
      <c r="F78">
        <v>0.05</v>
      </c>
    </row>
    <row r="79" spans="1:6" x14ac:dyDescent="0.25">
      <c r="A79" s="1">
        <v>4</v>
      </c>
      <c r="B79" s="1">
        <v>5</v>
      </c>
      <c r="C79" s="1">
        <v>4</v>
      </c>
      <c r="E79" t="s">
        <v>0</v>
      </c>
      <c r="F79">
        <f xml:space="preserve"> F24</f>
        <v>2</v>
      </c>
    </row>
    <row r="80" spans="1:6" x14ac:dyDescent="0.25">
      <c r="A80" s="1">
        <v>3</v>
      </c>
      <c r="B80" s="1">
        <v>4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2</v>
      </c>
      <c r="B81" s="1">
        <v>4</v>
      </c>
      <c r="C81" s="1">
        <v>3</v>
      </c>
      <c r="E81" t="s">
        <v>33</v>
      </c>
      <c r="F81">
        <f>FINV(F78, F79, F80)</f>
        <v>3.0284848289066213</v>
      </c>
    </row>
    <row r="82" spans="1:6" x14ac:dyDescent="0.25">
      <c r="A82" s="1">
        <v>1</v>
      </c>
      <c r="B82" s="1">
        <v>4</v>
      </c>
      <c r="C82" s="1">
        <v>4</v>
      </c>
      <c r="E82" t="s">
        <v>35</v>
      </c>
      <c r="F82">
        <f>_xlfn.F.DIST.RT(F73, F79, F80)</f>
        <v>7.5209776819166407E-2</v>
      </c>
    </row>
    <row r="83" spans="1:6" x14ac:dyDescent="0.25">
      <c r="A83" s="1">
        <v>5</v>
      </c>
      <c r="B83" s="1">
        <v>5</v>
      </c>
      <c r="C83" s="1">
        <v>5</v>
      </c>
    </row>
    <row r="84" spans="1:6" x14ac:dyDescent="0.25">
      <c r="A84" s="1">
        <v>2</v>
      </c>
      <c r="B84" s="1">
        <v>1</v>
      </c>
      <c r="C84" s="1">
        <v>1</v>
      </c>
      <c r="E84" s="2" t="s">
        <v>6</v>
      </c>
      <c r="F84" s="2"/>
    </row>
    <row r="85" spans="1:6" x14ac:dyDescent="0.25">
      <c r="A85" s="1">
        <v>3</v>
      </c>
      <c r="B85" s="1">
        <v>3</v>
      </c>
      <c r="C85" s="1">
        <v>2</v>
      </c>
    </row>
    <row r="86" spans="1:6" x14ac:dyDescent="0.25">
      <c r="A86" s="1">
        <v>4</v>
      </c>
      <c r="B86" s="1">
        <v>4</v>
      </c>
      <c r="C86" s="1">
        <v>3</v>
      </c>
      <c r="E86" t="s">
        <v>36</v>
      </c>
    </row>
    <row r="87" spans="1:6" x14ac:dyDescent="0.25">
      <c r="A87" s="1">
        <v>4</v>
      </c>
      <c r="B87" s="1">
        <v>4</v>
      </c>
      <c r="C87" s="1">
        <v>1</v>
      </c>
      <c r="E87" t="s">
        <v>37</v>
      </c>
    </row>
    <row r="88" spans="1:6" x14ac:dyDescent="0.25">
      <c r="A88" s="1">
        <v>1</v>
      </c>
      <c r="B88" s="1">
        <v>4</v>
      </c>
      <c r="C88" s="1">
        <v>3</v>
      </c>
    </row>
    <row r="89" spans="1:6" x14ac:dyDescent="0.25">
      <c r="A89" s="1">
        <v>3</v>
      </c>
      <c r="B89" s="1">
        <v>3</v>
      </c>
      <c r="C89" s="1">
        <v>1</v>
      </c>
      <c r="E89" t="str">
        <f>"Si F calculado ("&amp;F73&amp;") &gt; F critico ("&amp;F81&amp;") ---&gt; Se rechaza la hipotesis nula"</f>
        <v>Si F calculado (2.61188369152971) &gt; F critico (3.02848482890662) ---&gt; Se rechaza la hipotesis nula</v>
      </c>
    </row>
    <row r="90" spans="1:6" x14ac:dyDescent="0.25">
      <c r="A90" s="1">
        <v>4</v>
      </c>
      <c r="B90" s="1">
        <v>3</v>
      </c>
      <c r="C90" s="1">
        <v>5</v>
      </c>
      <c r="E90" t="str">
        <f>"Si p-valor ("&amp;F82&amp;") &lt; α Nivel Significancia ("&amp;F78&amp;") ---&gt; Se rechaza la hipotesis nula"</f>
        <v>Si p-valor (0.0752097768191664) &lt; α Nivel Significancia (0.05) ---&gt; Se rechaza la hipotesis nula</v>
      </c>
    </row>
    <row r="91" spans="1:6" x14ac:dyDescent="0.25">
      <c r="A91" s="1">
        <v>3</v>
      </c>
      <c r="B91" s="1">
        <v>1</v>
      </c>
      <c r="C91" s="1">
        <v>4</v>
      </c>
    </row>
    <row r="92" spans="1:6" x14ac:dyDescent="0.25">
      <c r="A92" s="1">
        <v>4</v>
      </c>
      <c r="B92" s="1">
        <v>3</v>
      </c>
      <c r="C92" s="1">
        <v>4</v>
      </c>
    </row>
    <row r="93" spans="1:6" x14ac:dyDescent="0.25">
      <c r="A93" s="1">
        <v>5</v>
      </c>
      <c r="B93" s="1">
        <v>1</v>
      </c>
      <c r="C93" s="1">
        <v>5</v>
      </c>
    </row>
    <row r="94" spans="1:6" x14ac:dyDescent="0.25">
      <c r="A94" s="1">
        <v>5</v>
      </c>
      <c r="B94" s="1">
        <v>2</v>
      </c>
      <c r="C94" s="1">
        <v>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C2" sqref="C2:C94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4</v>
      </c>
      <c r="B2" s="1">
        <v>2</v>
      </c>
      <c r="C2" s="1">
        <v>3</v>
      </c>
      <c r="E2" s="2" t="s">
        <v>12</v>
      </c>
      <c r="F2" s="2"/>
    </row>
    <row r="3" spans="1:6" x14ac:dyDescent="0.25">
      <c r="A3" s="1">
        <v>2</v>
      </c>
      <c r="B3" s="1">
        <v>2</v>
      </c>
      <c r="C3" s="1">
        <v>4</v>
      </c>
      <c r="E3" t="s">
        <v>13</v>
      </c>
      <c r="F3">
        <f>COUNT(A:A)</f>
        <v>93</v>
      </c>
    </row>
    <row r="4" spans="1:6" x14ac:dyDescent="0.25">
      <c r="A4" s="1">
        <v>3</v>
      </c>
      <c r="B4" s="1">
        <v>2</v>
      </c>
      <c r="C4" s="1">
        <v>3</v>
      </c>
      <c r="E4" t="s">
        <v>7</v>
      </c>
      <c r="F4">
        <f>AVERAGE(A:A)</f>
        <v>3.5483870967741935</v>
      </c>
    </row>
    <row r="5" spans="1:6" x14ac:dyDescent="0.25">
      <c r="A5" s="1">
        <v>3</v>
      </c>
      <c r="B5" s="1">
        <v>2</v>
      </c>
      <c r="C5" s="1">
        <v>4</v>
      </c>
      <c r="E5" t="s">
        <v>8</v>
      </c>
      <c r="F5">
        <f>AVERAGE(B:B)</f>
        <v>3.4193548387096775</v>
      </c>
    </row>
    <row r="6" spans="1:6" x14ac:dyDescent="0.25">
      <c r="A6" s="1">
        <v>4</v>
      </c>
      <c r="B6" s="1">
        <v>4</v>
      </c>
      <c r="C6" s="1">
        <v>4</v>
      </c>
      <c r="E6" t="s">
        <v>9</v>
      </c>
      <c r="F6">
        <f>AVERAGE(C:C)</f>
        <v>3.2688172043010755</v>
      </c>
    </row>
    <row r="7" spans="1:6" x14ac:dyDescent="0.25">
      <c r="A7" s="1">
        <v>4</v>
      </c>
      <c r="B7" s="1">
        <v>5</v>
      </c>
      <c r="C7" s="1">
        <v>1</v>
      </c>
      <c r="E7" t="s">
        <v>14</v>
      </c>
      <c r="F7">
        <f>AVERAGE(F4:F6)</f>
        <v>3.4121863799283152</v>
      </c>
    </row>
    <row r="8" spans="1:6" x14ac:dyDescent="0.25">
      <c r="A8" s="1">
        <v>5</v>
      </c>
      <c r="B8" s="1">
        <v>4</v>
      </c>
      <c r="C8" s="1">
        <v>4</v>
      </c>
    </row>
    <row r="9" spans="1:6" x14ac:dyDescent="0.25">
      <c r="A9" s="1">
        <v>5</v>
      </c>
      <c r="B9" s="1">
        <v>4</v>
      </c>
      <c r="C9" s="1">
        <v>4</v>
      </c>
    </row>
    <row r="10" spans="1:6" x14ac:dyDescent="0.25">
      <c r="A10" s="1">
        <v>4</v>
      </c>
      <c r="B10" s="1">
        <v>3</v>
      </c>
      <c r="C10" s="1">
        <v>2</v>
      </c>
      <c r="E10" s="2" t="s">
        <v>11</v>
      </c>
      <c r="F10" s="2"/>
    </row>
    <row r="11" spans="1:6" x14ac:dyDescent="0.25">
      <c r="A11" s="1">
        <v>4</v>
      </c>
      <c r="B11" s="1">
        <v>4</v>
      </c>
      <c r="C11" s="1">
        <v>3</v>
      </c>
      <c r="E11" s="3" t="s">
        <v>16</v>
      </c>
    </row>
    <row r="12" spans="1:6" x14ac:dyDescent="0.25">
      <c r="A12" s="1">
        <v>5</v>
      </c>
      <c r="B12" s="1">
        <v>1</v>
      </c>
      <c r="C12" s="1">
        <v>5</v>
      </c>
      <c r="E12" s="3" t="s">
        <v>17</v>
      </c>
    </row>
    <row r="13" spans="1:6" x14ac:dyDescent="0.25">
      <c r="A13" s="1">
        <v>5</v>
      </c>
      <c r="B13" s="1">
        <v>3</v>
      </c>
      <c r="C13" s="1">
        <v>5</v>
      </c>
    </row>
    <row r="14" spans="1:6" x14ac:dyDescent="0.25">
      <c r="A14" s="1">
        <v>3</v>
      </c>
      <c r="B14" s="1">
        <v>2</v>
      </c>
      <c r="C14" s="1">
        <v>5</v>
      </c>
    </row>
    <row r="15" spans="1:6" x14ac:dyDescent="0.25">
      <c r="A15" s="1">
        <v>4</v>
      </c>
      <c r="B15" s="1">
        <v>5</v>
      </c>
      <c r="C15" s="1">
        <v>3</v>
      </c>
    </row>
    <row r="16" spans="1:6" x14ac:dyDescent="0.25">
      <c r="A16" s="1">
        <v>4</v>
      </c>
      <c r="B16" s="1">
        <v>2</v>
      </c>
      <c r="C16" s="1">
        <v>4</v>
      </c>
      <c r="E16" t="s">
        <v>10</v>
      </c>
      <c r="F16">
        <f>F3*((F4-F7)^2+(F5-F7)^2+(F6-F7)^2)</f>
        <v>3.6415770609318932</v>
      </c>
    </row>
    <row r="17" spans="1:6" x14ac:dyDescent="0.25">
      <c r="A17" s="1">
        <v>3</v>
      </c>
      <c r="B17" s="1">
        <v>2</v>
      </c>
      <c r="C17" s="1">
        <v>5</v>
      </c>
    </row>
    <row r="18" spans="1:6" x14ac:dyDescent="0.25">
      <c r="A18" s="1">
        <v>3</v>
      </c>
      <c r="B18" s="1">
        <v>3</v>
      </c>
      <c r="C18" s="1">
        <v>1</v>
      </c>
    </row>
    <row r="19" spans="1:6" x14ac:dyDescent="0.25">
      <c r="A19" s="1">
        <v>5</v>
      </c>
      <c r="B19" s="1">
        <v>3</v>
      </c>
      <c r="C19" s="1">
        <v>3</v>
      </c>
      <c r="E19" s="2" t="s">
        <v>18</v>
      </c>
      <c r="F19" s="2"/>
    </row>
    <row r="20" spans="1:6" x14ac:dyDescent="0.25">
      <c r="A20" s="1">
        <v>2</v>
      </c>
      <c r="B20" s="1">
        <v>3</v>
      </c>
      <c r="C20" s="1">
        <v>4</v>
      </c>
      <c r="E20" t="s">
        <v>19</v>
      </c>
    </row>
    <row r="21" spans="1:6" x14ac:dyDescent="0.25">
      <c r="A21" s="1">
        <v>3</v>
      </c>
      <c r="B21" s="1">
        <v>4</v>
      </c>
      <c r="C21" s="1">
        <v>3</v>
      </c>
      <c r="E21" t="s">
        <v>15</v>
      </c>
      <c r="F21" s="6">
        <v>3</v>
      </c>
    </row>
    <row r="22" spans="1:6" x14ac:dyDescent="0.25">
      <c r="A22" s="1">
        <v>5</v>
      </c>
      <c r="B22" s="1">
        <v>3</v>
      </c>
      <c r="C22" s="1">
        <v>3</v>
      </c>
    </row>
    <row r="23" spans="1:6" x14ac:dyDescent="0.25">
      <c r="A23" s="1">
        <v>2</v>
      </c>
      <c r="B23" s="1">
        <v>4</v>
      </c>
      <c r="C23" s="1">
        <v>5</v>
      </c>
    </row>
    <row r="24" spans="1:6" x14ac:dyDescent="0.25">
      <c r="A24" s="1">
        <v>2</v>
      </c>
      <c r="B24" s="1">
        <v>5</v>
      </c>
      <c r="C24" s="1">
        <v>4</v>
      </c>
      <c r="E24" t="s">
        <v>0</v>
      </c>
      <c r="F24">
        <f>F21-1</f>
        <v>2</v>
      </c>
    </row>
    <row r="25" spans="1:6" x14ac:dyDescent="0.25">
      <c r="A25" s="1">
        <v>5</v>
      </c>
      <c r="B25" s="1">
        <v>4</v>
      </c>
      <c r="C25" s="1">
        <v>2</v>
      </c>
    </row>
    <row r="26" spans="1:6" x14ac:dyDescent="0.25">
      <c r="A26" s="1">
        <v>4</v>
      </c>
      <c r="B26" s="1">
        <v>5</v>
      </c>
      <c r="C26" s="1">
        <v>4</v>
      </c>
    </row>
    <row r="27" spans="1:6" x14ac:dyDescent="0.25">
      <c r="A27" s="1">
        <v>2</v>
      </c>
      <c r="B27" s="1">
        <v>5</v>
      </c>
      <c r="C27" s="1">
        <v>3</v>
      </c>
      <c r="E27" s="2" t="s">
        <v>20</v>
      </c>
      <c r="F27" s="2"/>
    </row>
    <row r="28" spans="1:6" x14ac:dyDescent="0.25">
      <c r="A28" s="1">
        <v>3</v>
      </c>
      <c r="B28" s="1">
        <v>5</v>
      </c>
      <c r="C28" s="1">
        <v>4</v>
      </c>
      <c r="E28" t="s">
        <v>21</v>
      </c>
    </row>
    <row r="29" spans="1:6" x14ac:dyDescent="0.25">
      <c r="A29" s="1">
        <v>4</v>
      </c>
      <c r="B29" s="1">
        <v>1</v>
      </c>
      <c r="C29" s="1">
        <v>5</v>
      </c>
    </row>
    <row r="30" spans="1:6" x14ac:dyDescent="0.25">
      <c r="A30" s="1">
        <v>4</v>
      </c>
      <c r="B30" s="1">
        <v>3</v>
      </c>
      <c r="C30" s="1">
        <v>5</v>
      </c>
    </row>
    <row r="31" spans="1:6" x14ac:dyDescent="0.25">
      <c r="A31" s="1">
        <v>4</v>
      </c>
      <c r="B31" s="1">
        <v>1</v>
      </c>
      <c r="C31" s="1">
        <v>4</v>
      </c>
    </row>
    <row r="32" spans="1:6" x14ac:dyDescent="0.25">
      <c r="A32" s="1">
        <v>3</v>
      </c>
      <c r="B32" s="1">
        <v>4</v>
      </c>
      <c r="C32" s="1">
        <v>4</v>
      </c>
    </row>
    <row r="33" spans="1:6" x14ac:dyDescent="0.25">
      <c r="A33" s="1">
        <v>3</v>
      </c>
      <c r="B33" s="1">
        <v>4</v>
      </c>
      <c r="C33" s="1">
        <v>5</v>
      </c>
      <c r="E33" t="s">
        <v>1</v>
      </c>
      <c r="F33">
        <f>F16/F24</f>
        <v>1.8207885304659466</v>
      </c>
    </row>
    <row r="34" spans="1:6" x14ac:dyDescent="0.25">
      <c r="A34" s="1">
        <v>4</v>
      </c>
      <c r="B34" s="1">
        <v>3</v>
      </c>
      <c r="C34" s="1">
        <v>2</v>
      </c>
    </row>
    <row r="35" spans="1:6" x14ac:dyDescent="0.25">
      <c r="A35" s="1">
        <v>3</v>
      </c>
      <c r="B35" s="1">
        <v>4</v>
      </c>
      <c r="C35" s="1">
        <v>1</v>
      </c>
    </row>
    <row r="36" spans="1:6" x14ac:dyDescent="0.25">
      <c r="A36" s="1">
        <v>3</v>
      </c>
      <c r="B36" s="1">
        <v>5</v>
      </c>
      <c r="C36" s="1">
        <v>2</v>
      </c>
      <c r="E36" s="2" t="s">
        <v>25</v>
      </c>
      <c r="F36" s="2"/>
    </row>
    <row r="37" spans="1:6" x14ac:dyDescent="0.25">
      <c r="A37" s="1">
        <v>5</v>
      </c>
      <c r="B37" s="1">
        <v>3</v>
      </c>
      <c r="C37" s="1">
        <v>2</v>
      </c>
      <c r="E37" t="s">
        <v>22</v>
      </c>
    </row>
    <row r="38" spans="1:6" x14ac:dyDescent="0.25">
      <c r="A38" s="1">
        <v>4</v>
      </c>
      <c r="B38" s="1">
        <v>4</v>
      </c>
      <c r="C38" s="1">
        <v>4</v>
      </c>
      <c r="E38" t="s">
        <v>23</v>
      </c>
    </row>
    <row r="39" spans="1:6" x14ac:dyDescent="0.25">
      <c r="A39" s="1">
        <v>3</v>
      </c>
      <c r="B39" s="1">
        <v>3</v>
      </c>
      <c r="C39" s="1">
        <v>1</v>
      </c>
    </row>
    <row r="40" spans="1:6" x14ac:dyDescent="0.25">
      <c r="A40" s="1">
        <v>2</v>
      </c>
      <c r="B40" s="1">
        <v>3</v>
      </c>
      <c r="C40" s="1">
        <v>4</v>
      </c>
    </row>
    <row r="41" spans="1:6" x14ac:dyDescent="0.25">
      <c r="A41" s="1">
        <v>3</v>
      </c>
      <c r="B41" s="1">
        <v>5</v>
      </c>
      <c r="C41" s="1">
        <v>1</v>
      </c>
    </row>
    <row r="42" spans="1:6" x14ac:dyDescent="0.25">
      <c r="A42" s="1">
        <v>3</v>
      </c>
      <c r="B42" s="1">
        <v>5</v>
      </c>
      <c r="C42" s="1">
        <v>1</v>
      </c>
    </row>
    <row r="43" spans="1:6" x14ac:dyDescent="0.25">
      <c r="A43" s="1">
        <v>5</v>
      </c>
      <c r="B43" s="1">
        <v>2</v>
      </c>
      <c r="C43" s="1">
        <v>3</v>
      </c>
      <c r="E43" t="s">
        <v>3</v>
      </c>
      <c r="F43">
        <f>DEVSQ(A:A)+DEVSQ(B:B)+DEVSQ(C:C)</f>
        <v>395.95698924731158</v>
      </c>
    </row>
    <row r="44" spans="1:6" x14ac:dyDescent="0.25">
      <c r="A44" s="1">
        <v>4</v>
      </c>
      <c r="B44" s="1">
        <v>4</v>
      </c>
      <c r="C44" s="1">
        <v>1</v>
      </c>
    </row>
    <row r="45" spans="1:6" x14ac:dyDescent="0.25">
      <c r="A45" s="1">
        <v>3</v>
      </c>
      <c r="B45" s="1">
        <v>5</v>
      </c>
      <c r="C45" s="1">
        <v>3</v>
      </c>
    </row>
    <row r="46" spans="1:6" x14ac:dyDescent="0.25">
      <c r="A46" s="1">
        <v>4</v>
      </c>
      <c r="B46" s="1">
        <v>1</v>
      </c>
      <c r="C46" s="1">
        <v>4</v>
      </c>
      <c r="E46" s="2" t="s">
        <v>24</v>
      </c>
      <c r="F46" s="2"/>
    </row>
    <row r="47" spans="1:6" x14ac:dyDescent="0.25">
      <c r="A47" s="1">
        <v>4</v>
      </c>
      <c r="B47" s="1">
        <v>5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4</v>
      </c>
      <c r="B48" s="1">
        <v>3</v>
      </c>
      <c r="C48" s="1">
        <v>3</v>
      </c>
      <c r="E48" t="s">
        <v>15</v>
      </c>
      <c r="F48">
        <f>F21</f>
        <v>3</v>
      </c>
    </row>
    <row r="49" spans="1:6" x14ac:dyDescent="0.25">
      <c r="A49" s="1">
        <v>5</v>
      </c>
      <c r="B49" s="1">
        <v>1</v>
      </c>
      <c r="C49" s="1">
        <v>5</v>
      </c>
    </row>
    <row r="50" spans="1:6" x14ac:dyDescent="0.25">
      <c r="A50" s="1">
        <v>4</v>
      </c>
      <c r="B50" s="1">
        <v>4</v>
      </c>
      <c r="C50" s="1">
        <v>3</v>
      </c>
    </row>
    <row r="51" spans="1:6" x14ac:dyDescent="0.25">
      <c r="A51" s="1">
        <v>4</v>
      </c>
      <c r="B51" s="1">
        <v>5</v>
      </c>
      <c r="C51" s="1">
        <v>1</v>
      </c>
    </row>
    <row r="52" spans="1:6" x14ac:dyDescent="0.25">
      <c r="A52" s="1">
        <v>4</v>
      </c>
      <c r="B52" s="1">
        <v>5</v>
      </c>
      <c r="C52" s="1">
        <v>4</v>
      </c>
    </row>
    <row r="53" spans="1:6" x14ac:dyDescent="0.25">
      <c r="A53" s="1">
        <v>5</v>
      </c>
      <c r="B53" s="1">
        <v>4</v>
      </c>
      <c r="C53" s="1">
        <v>2</v>
      </c>
      <c r="E53" t="s">
        <v>4</v>
      </c>
      <c r="F53">
        <f>F47-F48</f>
        <v>276</v>
      </c>
    </row>
    <row r="54" spans="1:6" x14ac:dyDescent="0.25">
      <c r="A54" s="1">
        <v>2</v>
      </c>
      <c r="B54" s="1">
        <v>5</v>
      </c>
      <c r="C54" s="1">
        <v>2</v>
      </c>
    </row>
    <row r="55" spans="1:6" x14ac:dyDescent="0.25">
      <c r="A55" s="1">
        <v>3</v>
      </c>
      <c r="B55" s="1">
        <v>3</v>
      </c>
      <c r="C55" s="1">
        <v>1</v>
      </c>
    </row>
    <row r="56" spans="1:6" x14ac:dyDescent="0.25">
      <c r="A56" s="1">
        <v>3</v>
      </c>
      <c r="B56" s="1">
        <v>5</v>
      </c>
      <c r="C56" s="1">
        <v>1</v>
      </c>
      <c r="E56" s="2" t="s">
        <v>27</v>
      </c>
      <c r="F56" s="2"/>
    </row>
    <row r="57" spans="1:6" x14ac:dyDescent="0.25">
      <c r="A57" s="1">
        <v>2</v>
      </c>
      <c r="B57" s="1">
        <v>3</v>
      </c>
      <c r="C57" s="1">
        <v>3</v>
      </c>
      <c r="E57" t="s">
        <v>28</v>
      </c>
    </row>
    <row r="58" spans="1:6" x14ac:dyDescent="0.25">
      <c r="A58" s="1">
        <v>3</v>
      </c>
      <c r="B58" s="1">
        <v>1</v>
      </c>
      <c r="C58" s="1">
        <v>1</v>
      </c>
    </row>
    <row r="59" spans="1:6" x14ac:dyDescent="0.25">
      <c r="A59" s="1">
        <v>5</v>
      </c>
      <c r="B59" s="1">
        <v>2</v>
      </c>
      <c r="C59" s="1">
        <v>3</v>
      </c>
    </row>
    <row r="60" spans="1:6" x14ac:dyDescent="0.25">
      <c r="A60" s="1">
        <v>3</v>
      </c>
      <c r="B60" s="1">
        <v>3</v>
      </c>
      <c r="C60" s="1">
        <v>5</v>
      </c>
    </row>
    <row r="61" spans="1:6" x14ac:dyDescent="0.25">
      <c r="A61" s="1">
        <v>3</v>
      </c>
      <c r="B61" s="1">
        <v>4</v>
      </c>
      <c r="C61" s="1">
        <v>3</v>
      </c>
    </row>
    <row r="62" spans="1:6" x14ac:dyDescent="0.25">
      <c r="A62" s="1">
        <v>3</v>
      </c>
      <c r="B62" s="1">
        <v>3</v>
      </c>
      <c r="C62" s="1">
        <v>3</v>
      </c>
    </row>
    <row r="63" spans="1:6" x14ac:dyDescent="0.25">
      <c r="A63" s="1">
        <v>4</v>
      </c>
      <c r="B63" s="1">
        <v>3</v>
      </c>
      <c r="C63" s="1">
        <v>4</v>
      </c>
      <c r="E63" t="s">
        <v>5</v>
      </c>
      <c r="F63">
        <f>F43/F53</f>
        <v>1.4346267726351869</v>
      </c>
    </row>
    <row r="64" spans="1:6" x14ac:dyDescent="0.25">
      <c r="A64" s="1">
        <v>5</v>
      </c>
      <c r="B64" s="1">
        <v>4</v>
      </c>
      <c r="C64" s="1">
        <v>3</v>
      </c>
    </row>
    <row r="65" spans="1:6" x14ac:dyDescent="0.25">
      <c r="A65" s="1">
        <v>4</v>
      </c>
      <c r="B65" s="1">
        <v>5</v>
      </c>
      <c r="C65" s="1">
        <v>3</v>
      </c>
    </row>
    <row r="66" spans="1:6" x14ac:dyDescent="0.25">
      <c r="A66" s="1">
        <v>4</v>
      </c>
      <c r="B66" s="1">
        <v>2</v>
      </c>
      <c r="C66" s="1">
        <v>5</v>
      </c>
      <c r="E66" s="2" t="s">
        <v>29</v>
      </c>
      <c r="F66" s="2"/>
    </row>
    <row r="67" spans="1:6" x14ac:dyDescent="0.25">
      <c r="A67" s="1">
        <v>3</v>
      </c>
      <c r="B67" s="1">
        <v>4</v>
      </c>
      <c r="C67" s="1">
        <v>3</v>
      </c>
      <c r="E67" t="s">
        <v>30</v>
      </c>
    </row>
    <row r="68" spans="1:6" x14ac:dyDescent="0.25">
      <c r="A68" s="1">
        <v>3</v>
      </c>
      <c r="B68" s="1">
        <v>4</v>
      </c>
      <c r="C68" s="1">
        <v>3</v>
      </c>
      <c r="E68" t="s">
        <v>31</v>
      </c>
    </row>
    <row r="69" spans="1:6" x14ac:dyDescent="0.25">
      <c r="A69" s="1">
        <v>4</v>
      </c>
      <c r="B69" s="1">
        <v>4</v>
      </c>
      <c r="C69" s="1">
        <v>3</v>
      </c>
    </row>
    <row r="70" spans="1:6" x14ac:dyDescent="0.25">
      <c r="A70" s="1">
        <v>1</v>
      </c>
      <c r="B70" s="1">
        <v>4</v>
      </c>
      <c r="C70" s="1">
        <v>5</v>
      </c>
    </row>
    <row r="71" spans="1:6" x14ac:dyDescent="0.25">
      <c r="A71" s="1">
        <v>3</v>
      </c>
      <c r="B71" s="1">
        <v>2</v>
      </c>
      <c r="C71" s="1">
        <v>5</v>
      </c>
    </row>
    <row r="72" spans="1:6" x14ac:dyDescent="0.25">
      <c r="A72" s="1">
        <v>4</v>
      </c>
      <c r="B72" s="1">
        <v>3</v>
      </c>
      <c r="C72" s="1">
        <v>4</v>
      </c>
    </row>
    <row r="73" spans="1:6" x14ac:dyDescent="0.25">
      <c r="A73" s="1">
        <v>5</v>
      </c>
      <c r="B73" s="1">
        <v>2</v>
      </c>
      <c r="C73" s="1">
        <v>1</v>
      </c>
      <c r="E73" t="s">
        <v>2</v>
      </c>
      <c r="F73">
        <f>F33/F63</f>
        <v>1.2691722789485103</v>
      </c>
    </row>
    <row r="74" spans="1:6" x14ac:dyDescent="0.25">
      <c r="A74" s="1">
        <v>5</v>
      </c>
      <c r="B74" s="1">
        <v>5</v>
      </c>
      <c r="C74" s="1">
        <v>4</v>
      </c>
    </row>
    <row r="75" spans="1:6" x14ac:dyDescent="0.25">
      <c r="A75" s="1">
        <v>4</v>
      </c>
      <c r="B75" s="1">
        <v>4</v>
      </c>
      <c r="C75" s="1">
        <v>3</v>
      </c>
    </row>
    <row r="76" spans="1:6" x14ac:dyDescent="0.25">
      <c r="A76" s="1">
        <v>5</v>
      </c>
      <c r="B76" s="1">
        <v>3</v>
      </c>
      <c r="C76" s="1">
        <v>4</v>
      </c>
      <c r="E76" s="2" t="s">
        <v>34</v>
      </c>
      <c r="F76" s="2"/>
    </row>
    <row r="77" spans="1:6" x14ac:dyDescent="0.25">
      <c r="A77" s="1">
        <v>4</v>
      </c>
      <c r="B77" s="1">
        <v>5</v>
      </c>
      <c r="C77" s="1">
        <v>4</v>
      </c>
    </row>
    <row r="78" spans="1:6" x14ac:dyDescent="0.25">
      <c r="A78" s="1">
        <v>4</v>
      </c>
      <c r="B78" s="1">
        <v>4</v>
      </c>
      <c r="C78" s="1">
        <v>2</v>
      </c>
      <c r="E78" s="4" t="s">
        <v>32</v>
      </c>
      <c r="F78">
        <v>0.05</v>
      </c>
    </row>
    <row r="79" spans="1:6" x14ac:dyDescent="0.25">
      <c r="A79" s="1">
        <v>4</v>
      </c>
      <c r="B79" s="1">
        <v>3</v>
      </c>
      <c r="C79" s="1">
        <v>3</v>
      </c>
      <c r="E79" t="s">
        <v>0</v>
      </c>
      <c r="F79">
        <f xml:space="preserve"> F24</f>
        <v>2</v>
      </c>
    </row>
    <row r="80" spans="1:6" x14ac:dyDescent="0.25">
      <c r="A80" s="1">
        <v>2</v>
      </c>
      <c r="B80" s="1">
        <v>5</v>
      </c>
      <c r="C80" s="1">
        <v>5</v>
      </c>
      <c r="E80" t="s">
        <v>4</v>
      </c>
      <c r="F80">
        <f xml:space="preserve"> F53</f>
        <v>276</v>
      </c>
    </row>
    <row r="81" spans="1:6" x14ac:dyDescent="0.25">
      <c r="A81" s="1">
        <v>5</v>
      </c>
      <c r="B81" s="1">
        <v>3</v>
      </c>
      <c r="C81" s="1">
        <v>4</v>
      </c>
      <c r="E81" t="s">
        <v>33</v>
      </c>
      <c r="F81">
        <f>FINV(F78, F79, F80)</f>
        <v>3.0284848289066213</v>
      </c>
    </row>
    <row r="82" spans="1:6" x14ac:dyDescent="0.25">
      <c r="A82" s="1">
        <v>3</v>
      </c>
      <c r="B82" s="1">
        <v>4</v>
      </c>
      <c r="C82" s="1">
        <v>5</v>
      </c>
      <c r="E82" t="s">
        <v>35</v>
      </c>
      <c r="F82">
        <f>_xlfn.F.DIST.RT(F73, F79, F80)</f>
        <v>0.28269927134899775</v>
      </c>
    </row>
    <row r="83" spans="1:6" x14ac:dyDescent="0.25">
      <c r="A83" s="1">
        <v>4</v>
      </c>
      <c r="B83" s="1">
        <v>5</v>
      </c>
      <c r="C83" s="1">
        <v>3</v>
      </c>
    </row>
    <row r="84" spans="1:6" x14ac:dyDescent="0.25">
      <c r="A84" s="1">
        <v>1</v>
      </c>
      <c r="B84" s="1">
        <v>4</v>
      </c>
      <c r="C84" s="1">
        <v>3</v>
      </c>
      <c r="E84" s="2" t="s">
        <v>6</v>
      </c>
      <c r="F84" s="2"/>
    </row>
    <row r="85" spans="1:6" x14ac:dyDescent="0.25">
      <c r="A85" s="1">
        <v>5</v>
      </c>
      <c r="B85" s="1">
        <v>1</v>
      </c>
      <c r="C85" s="1">
        <v>5</v>
      </c>
    </row>
    <row r="86" spans="1:6" x14ac:dyDescent="0.25">
      <c r="A86" s="1">
        <v>4</v>
      </c>
      <c r="B86" s="1">
        <v>2</v>
      </c>
      <c r="C86" s="1">
        <v>4</v>
      </c>
      <c r="E86" t="s">
        <v>36</v>
      </c>
    </row>
    <row r="87" spans="1:6" x14ac:dyDescent="0.25">
      <c r="A87" s="1">
        <v>1</v>
      </c>
      <c r="B87" s="1">
        <v>1</v>
      </c>
      <c r="C87" s="1">
        <v>4</v>
      </c>
      <c r="E87" t="s">
        <v>37</v>
      </c>
    </row>
    <row r="88" spans="1:6" x14ac:dyDescent="0.25">
      <c r="A88" s="1">
        <v>2</v>
      </c>
      <c r="B88" s="1">
        <v>3</v>
      </c>
      <c r="C88" s="1">
        <v>1</v>
      </c>
    </row>
    <row r="89" spans="1:6" x14ac:dyDescent="0.25">
      <c r="A89" s="1">
        <v>2</v>
      </c>
      <c r="B89" s="1">
        <v>5</v>
      </c>
      <c r="C89" s="1">
        <v>1</v>
      </c>
      <c r="E89" t="str">
        <f>"Si F calculado ("&amp;F73&amp;") &gt; F critico ("&amp;F81&amp;") ---&gt; Se rechaza la hipotesis nula"</f>
        <v>Si F calculado (1.26917227894851) &gt; F critico (3.02848482890662) ---&gt; Se rechaza la hipotesis nula</v>
      </c>
    </row>
    <row r="90" spans="1:6" x14ac:dyDescent="0.25">
      <c r="A90" s="1">
        <v>4</v>
      </c>
      <c r="B90" s="1">
        <v>3</v>
      </c>
      <c r="C90" s="1">
        <v>5</v>
      </c>
      <c r="E90" t="str">
        <f>"Si p-valor ("&amp;F82&amp;") &lt; α Nivel Significancia ("&amp;F78&amp;") ---&gt; Se rechaza la hipotesis nula"</f>
        <v>Si p-valor (0.282699271348998) &lt; α Nivel Significancia (0.05) ---&gt; Se rechaza la hipotesis nula</v>
      </c>
    </row>
    <row r="91" spans="1:6" x14ac:dyDescent="0.25">
      <c r="A91" s="1">
        <v>4</v>
      </c>
      <c r="B91" s="1">
        <v>4</v>
      </c>
      <c r="C91" s="1">
        <v>3</v>
      </c>
    </row>
    <row r="92" spans="1:6" x14ac:dyDescent="0.25">
      <c r="A92" s="1">
        <v>3</v>
      </c>
      <c r="B92" s="1">
        <v>2</v>
      </c>
      <c r="C92" s="1">
        <v>4</v>
      </c>
    </row>
    <row r="93" spans="1:6" x14ac:dyDescent="0.25">
      <c r="A93" s="1">
        <v>2</v>
      </c>
      <c r="B93" s="1">
        <v>5</v>
      </c>
      <c r="C93" s="1">
        <v>4</v>
      </c>
    </row>
    <row r="94" spans="1:6" x14ac:dyDescent="0.25">
      <c r="A94" s="1">
        <v>3</v>
      </c>
      <c r="B94" s="1">
        <v>3</v>
      </c>
      <c r="C94" s="1">
        <v>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I21" sqref="I21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4</v>
      </c>
      <c r="B2" s="1">
        <v>4</v>
      </c>
      <c r="C2" s="1">
        <v>4</v>
      </c>
      <c r="E2" s="2" t="s">
        <v>12</v>
      </c>
      <c r="F2" s="2"/>
    </row>
    <row r="3" spans="1:6" x14ac:dyDescent="0.25">
      <c r="A3" s="1">
        <v>3</v>
      </c>
      <c r="B3" s="1">
        <v>3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4</v>
      </c>
      <c r="B4" s="1">
        <v>2</v>
      </c>
      <c r="C4" s="1">
        <v>4</v>
      </c>
      <c r="E4" t="s">
        <v>7</v>
      </c>
      <c r="F4">
        <f>AVERAGE(A:A)</f>
        <v>3.4301075268817205</v>
      </c>
    </row>
    <row r="5" spans="1:6" x14ac:dyDescent="0.25">
      <c r="A5" s="1">
        <v>5</v>
      </c>
      <c r="B5" s="1">
        <v>2</v>
      </c>
      <c r="C5" s="1">
        <v>3</v>
      </c>
      <c r="E5" t="s">
        <v>8</v>
      </c>
      <c r="F5">
        <f>AVERAGE(B:B)</f>
        <v>3.2795698924731185</v>
      </c>
    </row>
    <row r="6" spans="1:6" x14ac:dyDescent="0.25">
      <c r="A6" s="1">
        <v>3</v>
      </c>
      <c r="B6" s="1">
        <v>1</v>
      </c>
      <c r="C6" s="1">
        <v>4</v>
      </c>
      <c r="E6" t="s">
        <v>9</v>
      </c>
      <c r="F6">
        <f>AVERAGE(C:C)</f>
        <v>3.3978494623655915</v>
      </c>
    </row>
    <row r="7" spans="1:6" x14ac:dyDescent="0.25">
      <c r="A7" s="1">
        <v>4</v>
      </c>
      <c r="B7" s="1">
        <v>2</v>
      </c>
      <c r="C7" s="1">
        <v>5</v>
      </c>
      <c r="E7" t="s">
        <v>14</v>
      </c>
      <c r="F7">
        <f>AVERAGE(F4:F6)</f>
        <v>3.3691756272401432</v>
      </c>
    </row>
    <row r="8" spans="1:6" x14ac:dyDescent="0.25">
      <c r="A8" s="1">
        <v>3</v>
      </c>
      <c r="B8" s="1">
        <v>4</v>
      </c>
      <c r="C8" s="1">
        <v>1</v>
      </c>
    </row>
    <row r="9" spans="1:6" x14ac:dyDescent="0.25">
      <c r="A9" s="1">
        <v>5</v>
      </c>
      <c r="B9" s="1">
        <v>3</v>
      </c>
      <c r="C9" s="1">
        <v>5</v>
      </c>
    </row>
    <row r="10" spans="1:6" x14ac:dyDescent="0.25">
      <c r="A10" s="1">
        <v>3</v>
      </c>
      <c r="B10" s="1">
        <v>4</v>
      </c>
      <c r="C10" s="1">
        <v>3</v>
      </c>
      <c r="E10" s="2" t="s">
        <v>11</v>
      </c>
      <c r="F10" s="2"/>
    </row>
    <row r="11" spans="1:6" x14ac:dyDescent="0.25">
      <c r="A11" s="1">
        <v>3</v>
      </c>
      <c r="B11" s="1">
        <v>4</v>
      </c>
      <c r="C11" s="1">
        <v>4</v>
      </c>
      <c r="E11" s="3" t="s">
        <v>16</v>
      </c>
    </row>
    <row r="12" spans="1:6" x14ac:dyDescent="0.25">
      <c r="A12" s="1">
        <v>5</v>
      </c>
      <c r="B12" s="1">
        <v>2</v>
      </c>
      <c r="C12" s="1">
        <v>5</v>
      </c>
      <c r="E12" s="3" t="s">
        <v>17</v>
      </c>
    </row>
    <row r="13" spans="1:6" x14ac:dyDescent="0.25">
      <c r="A13" s="1">
        <v>4</v>
      </c>
      <c r="B13" s="1">
        <v>5</v>
      </c>
      <c r="C13" s="1">
        <v>5</v>
      </c>
    </row>
    <row r="14" spans="1:6" x14ac:dyDescent="0.25">
      <c r="A14" s="1">
        <v>5</v>
      </c>
      <c r="B14" s="1">
        <v>2</v>
      </c>
      <c r="C14" s="1">
        <v>5</v>
      </c>
    </row>
    <row r="15" spans="1:6" x14ac:dyDescent="0.25">
      <c r="A15" s="1">
        <v>5</v>
      </c>
      <c r="B15" s="1">
        <v>3</v>
      </c>
      <c r="C15" s="1">
        <v>2</v>
      </c>
    </row>
    <row r="16" spans="1:6" x14ac:dyDescent="0.25">
      <c r="A16" s="1">
        <v>1</v>
      </c>
      <c r="B16" s="1">
        <v>3</v>
      </c>
      <c r="C16" s="1">
        <v>4</v>
      </c>
      <c r="E16" t="s">
        <v>10</v>
      </c>
      <c r="F16">
        <f>F3*((F4-F7)^2+(F5-F7)^2+(F6-F7)^2)</f>
        <v>1.1684587813620049</v>
      </c>
    </row>
    <row r="17" spans="1:6" x14ac:dyDescent="0.25">
      <c r="A17" s="1">
        <v>4</v>
      </c>
      <c r="B17" s="1">
        <v>3</v>
      </c>
      <c r="C17" s="1">
        <v>1</v>
      </c>
    </row>
    <row r="18" spans="1:6" x14ac:dyDescent="0.25">
      <c r="A18" s="1">
        <v>2</v>
      </c>
      <c r="B18" s="1">
        <v>2</v>
      </c>
      <c r="C18" s="1">
        <v>3</v>
      </c>
    </row>
    <row r="19" spans="1:6" x14ac:dyDescent="0.25">
      <c r="A19" s="1">
        <v>4</v>
      </c>
      <c r="B19" s="1">
        <v>3</v>
      </c>
      <c r="C19" s="1">
        <v>4</v>
      </c>
      <c r="E19" s="2" t="s">
        <v>18</v>
      </c>
      <c r="F19" s="2"/>
    </row>
    <row r="20" spans="1:6" x14ac:dyDescent="0.25">
      <c r="A20" s="1">
        <v>3</v>
      </c>
      <c r="B20" s="1">
        <v>3</v>
      </c>
      <c r="C20" s="1">
        <v>3</v>
      </c>
      <c r="E20" t="s">
        <v>19</v>
      </c>
    </row>
    <row r="21" spans="1:6" x14ac:dyDescent="0.25">
      <c r="A21" s="1">
        <v>3</v>
      </c>
      <c r="B21" s="1">
        <v>5</v>
      </c>
      <c r="C21" s="1">
        <v>3</v>
      </c>
      <c r="E21" t="s">
        <v>15</v>
      </c>
      <c r="F21" s="6">
        <v>3</v>
      </c>
    </row>
    <row r="22" spans="1:6" x14ac:dyDescent="0.25">
      <c r="A22" s="1">
        <v>3</v>
      </c>
      <c r="B22" s="1">
        <v>3</v>
      </c>
      <c r="C22" s="1">
        <v>3</v>
      </c>
    </row>
    <row r="23" spans="1:6" x14ac:dyDescent="0.25">
      <c r="A23" s="1">
        <v>3</v>
      </c>
      <c r="B23" s="1">
        <v>5</v>
      </c>
      <c r="C23" s="1">
        <v>4</v>
      </c>
    </row>
    <row r="24" spans="1:6" x14ac:dyDescent="0.25">
      <c r="A24" s="1">
        <v>4</v>
      </c>
      <c r="B24" s="1">
        <v>3</v>
      </c>
      <c r="C24" s="1">
        <v>4</v>
      </c>
      <c r="E24" t="s">
        <v>0</v>
      </c>
      <c r="F24">
        <f>F21-1</f>
        <v>2</v>
      </c>
    </row>
    <row r="25" spans="1:6" x14ac:dyDescent="0.25">
      <c r="A25" s="1">
        <v>4</v>
      </c>
      <c r="B25" s="1">
        <v>3</v>
      </c>
      <c r="C25" s="1">
        <v>2</v>
      </c>
    </row>
    <row r="26" spans="1:6" x14ac:dyDescent="0.25">
      <c r="A26" s="1">
        <v>2</v>
      </c>
      <c r="B26" s="1">
        <v>3</v>
      </c>
      <c r="C26" s="1">
        <v>1</v>
      </c>
    </row>
    <row r="27" spans="1:6" x14ac:dyDescent="0.25">
      <c r="A27" s="1">
        <v>2</v>
      </c>
      <c r="B27" s="1">
        <v>5</v>
      </c>
      <c r="C27" s="1">
        <v>2</v>
      </c>
      <c r="E27" s="2" t="s">
        <v>20</v>
      </c>
      <c r="F27" s="2"/>
    </row>
    <row r="28" spans="1:6" x14ac:dyDescent="0.25">
      <c r="A28" s="1">
        <v>1</v>
      </c>
      <c r="B28" s="1">
        <v>5</v>
      </c>
      <c r="C28" s="1">
        <v>4</v>
      </c>
      <c r="E28" t="s">
        <v>21</v>
      </c>
    </row>
    <row r="29" spans="1:6" x14ac:dyDescent="0.25">
      <c r="A29" s="1">
        <v>5</v>
      </c>
      <c r="B29" s="1">
        <v>3</v>
      </c>
      <c r="C29" s="1">
        <v>3</v>
      </c>
    </row>
    <row r="30" spans="1:6" x14ac:dyDescent="0.25">
      <c r="A30" s="1">
        <v>3</v>
      </c>
      <c r="B30" s="1">
        <v>5</v>
      </c>
      <c r="C30" s="1">
        <v>4</v>
      </c>
    </row>
    <row r="31" spans="1:6" x14ac:dyDescent="0.25">
      <c r="A31" s="1">
        <v>2</v>
      </c>
      <c r="B31" s="1">
        <v>5</v>
      </c>
      <c r="C31" s="1">
        <v>3</v>
      </c>
    </row>
    <row r="32" spans="1:6" x14ac:dyDescent="0.25">
      <c r="A32" s="1">
        <v>5</v>
      </c>
      <c r="B32" s="1">
        <v>5</v>
      </c>
      <c r="C32" s="1">
        <v>4</v>
      </c>
    </row>
    <row r="33" spans="1:6" x14ac:dyDescent="0.25">
      <c r="A33" s="1">
        <v>5</v>
      </c>
      <c r="B33" s="1">
        <v>1</v>
      </c>
      <c r="C33" s="1">
        <v>3</v>
      </c>
      <c r="E33" t="s">
        <v>1</v>
      </c>
      <c r="F33">
        <f>F16/F24</f>
        <v>0.58422939068100244</v>
      </c>
    </row>
    <row r="34" spans="1:6" x14ac:dyDescent="0.25">
      <c r="A34" s="1">
        <v>3</v>
      </c>
      <c r="B34" s="1">
        <v>3</v>
      </c>
      <c r="C34" s="1">
        <v>5</v>
      </c>
    </row>
    <row r="35" spans="1:6" x14ac:dyDescent="0.25">
      <c r="A35" s="1">
        <v>3</v>
      </c>
      <c r="B35" s="1">
        <v>4</v>
      </c>
      <c r="C35" s="1">
        <v>4</v>
      </c>
    </row>
    <row r="36" spans="1:6" x14ac:dyDescent="0.25">
      <c r="A36" s="1">
        <v>2</v>
      </c>
      <c r="B36" s="1">
        <v>4</v>
      </c>
      <c r="C36" s="1">
        <v>2</v>
      </c>
      <c r="E36" s="2" t="s">
        <v>25</v>
      </c>
      <c r="F36" s="2"/>
    </row>
    <row r="37" spans="1:6" x14ac:dyDescent="0.25">
      <c r="A37" s="1">
        <v>5</v>
      </c>
      <c r="B37" s="1">
        <v>4</v>
      </c>
      <c r="C37" s="1">
        <v>4</v>
      </c>
      <c r="E37" t="s">
        <v>22</v>
      </c>
    </row>
    <row r="38" spans="1:6" x14ac:dyDescent="0.25">
      <c r="A38" s="1">
        <v>3</v>
      </c>
      <c r="B38" s="1">
        <v>3</v>
      </c>
      <c r="C38" s="1">
        <v>5</v>
      </c>
      <c r="E38" t="s">
        <v>23</v>
      </c>
    </row>
    <row r="39" spans="1:6" x14ac:dyDescent="0.25">
      <c r="A39" s="1">
        <v>4</v>
      </c>
      <c r="B39" s="1">
        <v>3</v>
      </c>
      <c r="C39" s="1">
        <v>5</v>
      </c>
    </row>
    <row r="40" spans="1:6" x14ac:dyDescent="0.25">
      <c r="A40" s="1">
        <v>5</v>
      </c>
      <c r="B40" s="1">
        <v>4</v>
      </c>
      <c r="C40" s="1">
        <v>1</v>
      </c>
    </row>
    <row r="41" spans="1:6" x14ac:dyDescent="0.25">
      <c r="A41" s="1">
        <v>5</v>
      </c>
      <c r="B41" s="1">
        <v>4</v>
      </c>
      <c r="C41" s="1">
        <v>3</v>
      </c>
    </row>
    <row r="42" spans="1:6" x14ac:dyDescent="0.25">
      <c r="A42" s="1">
        <v>2</v>
      </c>
      <c r="B42" s="1">
        <v>5</v>
      </c>
      <c r="C42" s="1">
        <v>4</v>
      </c>
    </row>
    <row r="43" spans="1:6" x14ac:dyDescent="0.25">
      <c r="A43" s="1">
        <v>3</v>
      </c>
      <c r="B43" s="1">
        <v>3</v>
      </c>
      <c r="C43" s="1">
        <v>2</v>
      </c>
      <c r="E43" t="s">
        <v>3</v>
      </c>
      <c r="F43">
        <f>DEVSQ(A:A)+DEVSQ(B:B)+DEVSQ(C:C)</f>
        <v>347.80645161290317</v>
      </c>
    </row>
    <row r="44" spans="1:6" x14ac:dyDescent="0.25">
      <c r="A44" s="1">
        <v>3</v>
      </c>
      <c r="B44" s="1">
        <v>3</v>
      </c>
      <c r="C44" s="1">
        <v>2</v>
      </c>
    </row>
    <row r="45" spans="1:6" x14ac:dyDescent="0.25">
      <c r="A45" s="1">
        <v>4</v>
      </c>
      <c r="B45" s="1">
        <v>4</v>
      </c>
      <c r="C45" s="1">
        <v>4</v>
      </c>
    </row>
    <row r="46" spans="1:6" x14ac:dyDescent="0.25">
      <c r="A46" s="1">
        <v>2</v>
      </c>
      <c r="B46" s="1">
        <v>5</v>
      </c>
      <c r="C46" s="1">
        <v>3</v>
      </c>
      <c r="E46" s="2" t="s">
        <v>24</v>
      </c>
      <c r="F46" s="2"/>
    </row>
    <row r="47" spans="1:6" x14ac:dyDescent="0.25">
      <c r="A47" s="1">
        <v>4</v>
      </c>
      <c r="B47" s="1">
        <v>5</v>
      </c>
      <c r="C47" s="1">
        <v>3</v>
      </c>
      <c r="E47" t="s">
        <v>26</v>
      </c>
      <c r="F47">
        <f>COUNT(A:A,B:B,C:C,#REF!)</f>
        <v>279</v>
      </c>
    </row>
    <row r="48" spans="1:6" x14ac:dyDescent="0.25">
      <c r="A48" s="1">
        <v>2</v>
      </c>
      <c r="B48" s="1">
        <v>1</v>
      </c>
      <c r="C48" s="1">
        <v>3</v>
      </c>
      <c r="E48" t="s">
        <v>15</v>
      </c>
      <c r="F48">
        <f>F21</f>
        <v>3</v>
      </c>
    </row>
    <row r="49" spans="1:6" x14ac:dyDescent="0.25">
      <c r="A49" s="1">
        <v>4</v>
      </c>
      <c r="B49" s="1">
        <v>4</v>
      </c>
      <c r="C49" s="1">
        <v>5</v>
      </c>
    </row>
    <row r="50" spans="1:6" x14ac:dyDescent="0.25">
      <c r="A50" s="1">
        <v>4</v>
      </c>
      <c r="B50" s="1">
        <v>3</v>
      </c>
      <c r="C50" s="1">
        <v>2</v>
      </c>
    </row>
    <row r="51" spans="1:6" x14ac:dyDescent="0.25">
      <c r="A51" s="1">
        <v>3</v>
      </c>
      <c r="B51" s="1">
        <v>3</v>
      </c>
      <c r="C51" s="1">
        <v>3</v>
      </c>
    </row>
    <row r="52" spans="1:6" x14ac:dyDescent="0.25">
      <c r="A52" s="1">
        <v>4</v>
      </c>
      <c r="B52" s="1">
        <v>4</v>
      </c>
      <c r="C52" s="1">
        <v>4</v>
      </c>
    </row>
    <row r="53" spans="1:6" x14ac:dyDescent="0.25">
      <c r="A53" s="1">
        <v>3</v>
      </c>
      <c r="B53" s="1">
        <v>4</v>
      </c>
      <c r="C53" s="1">
        <v>4</v>
      </c>
      <c r="E53" t="s">
        <v>4</v>
      </c>
      <c r="F53">
        <f>F47-F48</f>
        <v>276</v>
      </c>
    </row>
    <row r="54" spans="1:6" x14ac:dyDescent="0.25">
      <c r="A54" s="1">
        <v>3</v>
      </c>
      <c r="B54" s="1">
        <v>5</v>
      </c>
      <c r="C54" s="1">
        <v>5</v>
      </c>
    </row>
    <row r="55" spans="1:6" x14ac:dyDescent="0.25">
      <c r="A55" s="1">
        <v>4</v>
      </c>
      <c r="B55" s="1">
        <v>3</v>
      </c>
      <c r="C55" s="1">
        <v>5</v>
      </c>
    </row>
    <row r="56" spans="1:6" x14ac:dyDescent="0.25">
      <c r="A56" s="1">
        <v>2</v>
      </c>
      <c r="B56" s="1">
        <v>3</v>
      </c>
      <c r="C56" s="1">
        <v>3</v>
      </c>
      <c r="E56" s="2" t="s">
        <v>27</v>
      </c>
      <c r="F56" s="2"/>
    </row>
    <row r="57" spans="1:6" x14ac:dyDescent="0.25">
      <c r="A57" s="1">
        <v>4</v>
      </c>
      <c r="B57" s="1">
        <v>3</v>
      </c>
      <c r="C57" s="1">
        <v>5</v>
      </c>
      <c r="E57" t="s">
        <v>28</v>
      </c>
    </row>
    <row r="58" spans="1:6" x14ac:dyDescent="0.25">
      <c r="A58" s="1">
        <v>3</v>
      </c>
      <c r="B58" s="1">
        <v>3</v>
      </c>
      <c r="C58" s="1">
        <v>4</v>
      </c>
    </row>
    <row r="59" spans="1:6" x14ac:dyDescent="0.25">
      <c r="A59" s="1">
        <v>2</v>
      </c>
      <c r="B59" s="1">
        <v>5</v>
      </c>
      <c r="C59" s="1">
        <v>3</v>
      </c>
    </row>
    <row r="60" spans="1:6" x14ac:dyDescent="0.25">
      <c r="A60" s="1">
        <v>3</v>
      </c>
      <c r="B60" s="1">
        <v>1</v>
      </c>
      <c r="C60" s="1">
        <v>5</v>
      </c>
    </row>
    <row r="61" spans="1:6" x14ac:dyDescent="0.25">
      <c r="A61" s="1">
        <v>5</v>
      </c>
      <c r="B61" s="1">
        <v>2</v>
      </c>
      <c r="C61" s="1">
        <v>1</v>
      </c>
    </row>
    <row r="62" spans="1:6" x14ac:dyDescent="0.25">
      <c r="A62" s="1">
        <v>1</v>
      </c>
      <c r="B62" s="1">
        <v>4</v>
      </c>
      <c r="C62" s="1">
        <v>4</v>
      </c>
    </row>
    <row r="63" spans="1:6" x14ac:dyDescent="0.25">
      <c r="A63" s="1">
        <v>3</v>
      </c>
      <c r="B63" s="1">
        <v>1</v>
      </c>
      <c r="C63" s="1">
        <v>4</v>
      </c>
      <c r="E63" t="s">
        <v>5</v>
      </c>
      <c r="F63">
        <f>F43/F53</f>
        <v>1.2601683029453015</v>
      </c>
    </row>
    <row r="64" spans="1:6" x14ac:dyDescent="0.25">
      <c r="A64" s="1">
        <v>4</v>
      </c>
      <c r="B64" s="1">
        <v>3</v>
      </c>
      <c r="C64" s="1">
        <v>4</v>
      </c>
    </row>
    <row r="65" spans="1:6" x14ac:dyDescent="0.25">
      <c r="A65" s="1">
        <v>5</v>
      </c>
      <c r="B65" s="1">
        <v>3</v>
      </c>
      <c r="C65" s="1">
        <v>4</v>
      </c>
    </row>
    <row r="66" spans="1:6" x14ac:dyDescent="0.25">
      <c r="A66" s="1">
        <v>3</v>
      </c>
      <c r="B66" s="1">
        <v>3</v>
      </c>
      <c r="C66" s="1">
        <v>5</v>
      </c>
      <c r="E66" s="2" t="s">
        <v>29</v>
      </c>
      <c r="F66" s="2"/>
    </row>
    <row r="67" spans="1:6" x14ac:dyDescent="0.25">
      <c r="A67" s="1">
        <v>3</v>
      </c>
      <c r="B67" s="1">
        <v>2</v>
      </c>
      <c r="C67" s="1">
        <v>3</v>
      </c>
      <c r="E67" t="s">
        <v>30</v>
      </c>
    </row>
    <row r="68" spans="1:6" x14ac:dyDescent="0.25">
      <c r="A68" s="1">
        <v>3</v>
      </c>
      <c r="B68" s="1">
        <v>3</v>
      </c>
      <c r="C68" s="1">
        <v>1</v>
      </c>
      <c r="E68" t="s">
        <v>31</v>
      </c>
    </row>
    <row r="69" spans="1:6" x14ac:dyDescent="0.25">
      <c r="A69" s="1">
        <v>2</v>
      </c>
      <c r="B69" s="1">
        <v>5</v>
      </c>
      <c r="C69" s="1">
        <v>4</v>
      </c>
    </row>
    <row r="70" spans="1:6" x14ac:dyDescent="0.25">
      <c r="A70" s="1">
        <v>3</v>
      </c>
      <c r="B70" s="1">
        <v>4</v>
      </c>
      <c r="C70" s="1">
        <v>3</v>
      </c>
    </row>
    <row r="71" spans="1:6" x14ac:dyDescent="0.25">
      <c r="A71" s="1">
        <v>5</v>
      </c>
      <c r="B71" s="1">
        <v>2</v>
      </c>
      <c r="C71" s="1">
        <v>3</v>
      </c>
    </row>
    <row r="72" spans="1:6" x14ac:dyDescent="0.25">
      <c r="A72" s="1">
        <v>4</v>
      </c>
      <c r="B72" s="1">
        <v>4</v>
      </c>
      <c r="C72" s="1">
        <v>2</v>
      </c>
    </row>
    <row r="73" spans="1:6" x14ac:dyDescent="0.25">
      <c r="A73" s="1">
        <v>4</v>
      </c>
      <c r="B73" s="1">
        <v>4</v>
      </c>
      <c r="C73" s="1">
        <v>4</v>
      </c>
      <c r="E73" t="s">
        <v>2</v>
      </c>
      <c r="F73">
        <f>F33/F63</f>
        <v>0.46361219316144103</v>
      </c>
    </row>
    <row r="74" spans="1:6" x14ac:dyDescent="0.25">
      <c r="A74" s="1">
        <v>3</v>
      </c>
      <c r="B74" s="1">
        <v>4</v>
      </c>
      <c r="C74" s="1">
        <v>4</v>
      </c>
    </row>
    <row r="75" spans="1:6" x14ac:dyDescent="0.25">
      <c r="A75" s="1">
        <v>5</v>
      </c>
      <c r="B75" s="1">
        <v>4</v>
      </c>
      <c r="C75" s="1">
        <v>4</v>
      </c>
    </row>
    <row r="76" spans="1:6" x14ac:dyDescent="0.25">
      <c r="A76" s="1">
        <v>3</v>
      </c>
      <c r="B76" s="1">
        <v>3</v>
      </c>
      <c r="C76" s="1">
        <v>3</v>
      </c>
      <c r="E76" s="2" t="s">
        <v>34</v>
      </c>
      <c r="F76" s="2"/>
    </row>
    <row r="77" spans="1:6" x14ac:dyDescent="0.25">
      <c r="A77" s="1">
        <v>3</v>
      </c>
      <c r="B77" s="1">
        <v>1</v>
      </c>
      <c r="C77" s="1">
        <v>2</v>
      </c>
    </row>
    <row r="78" spans="1:6" x14ac:dyDescent="0.25">
      <c r="A78" s="1">
        <v>2</v>
      </c>
      <c r="B78" s="1">
        <v>4</v>
      </c>
      <c r="C78" s="1">
        <v>5</v>
      </c>
      <c r="E78" s="4" t="s">
        <v>32</v>
      </c>
      <c r="F78">
        <v>0.05</v>
      </c>
    </row>
    <row r="79" spans="1:6" x14ac:dyDescent="0.25">
      <c r="A79" s="1">
        <v>4</v>
      </c>
      <c r="B79" s="1">
        <v>5</v>
      </c>
      <c r="C79" s="1">
        <v>4</v>
      </c>
      <c r="E79" t="s">
        <v>0</v>
      </c>
      <c r="F79">
        <f xml:space="preserve"> F24</f>
        <v>2</v>
      </c>
    </row>
    <row r="80" spans="1:6" x14ac:dyDescent="0.25">
      <c r="A80" s="1">
        <v>2</v>
      </c>
      <c r="B80" s="1">
        <v>4</v>
      </c>
      <c r="C80" s="1">
        <v>2</v>
      </c>
      <c r="E80" t="s">
        <v>4</v>
      </c>
      <c r="F80">
        <f xml:space="preserve"> F53</f>
        <v>276</v>
      </c>
    </row>
    <row r="81" spans="1:6" x14ac:dyDescent="0.25">
      <c r="A81" s="1">
        <v>5</v>
      </c>
      <c r="B81" s="1">
        <v>2</v>
      </c>
      <c r="C81" s="1">
        <v>2</v>
      </c>
      <c r="E81" t="s">
        <v>33</v>
      </c>
      <c r="F81">
        <f>FINV(F78, F79, F80)</f>
        <v>3.0284848289066213</v>
      </c>
    </row>
    <row r="82" spans="1:6" x14ac:dyDescent="0.25">
      <c r="A82" s="1">
        <v>2</v>
      </c>
      <c r="B82" s="1">
        <v>3</v>
      </c>
      <c r="C82" s="1">
        <v>1</v>
      </c>
      <c r="E82" t="s">
        <v>35</v>
      </c>
      <c r="F82">
        <f>_xlfn.F.DIST.RT(F73, F79, F80)</f>
        <v>0.62949637859112118</v>
      </c>
    </row>
    <row r="83" spans="1:6" x14ac:dyDescent="0.25">
      <c r="A83" s="1">
        <v>5</v>
      </c>
      <c r="B83" s="1">
        <v>4</v>
      </c>
      <c r="C83" s="1">
        <v>3</v>
      </c>
    </row>
    <row r="84" spans="1:6" x14ac:dyDescent="0.25">
      <c r="A84" s="1">
        <v>4</v>
      </c>
      <c r="B84" s="1">
        <v>2</v>
      </c>
      <c r="C84" s="1">
        <v>4</v>
      </c>
      <c r="E84" s="2" t="s">
        <v>6</v>
      </c>
      <c r="F84" s="2"/>
    </row>
    <row r="85" spans="1:6" x14ac:dyDescent="0.25">
      <c r="A85" s="1">
        <v>3</v>
      </c>
      <c r="B85" s="1">
        <v>2</v>
      </c>
      <c r="C85" s="1">
        <v>3</v>
      </c>
    </row>
    <row r="86" spans="1:6" x14ac:dyDescent="0.25">
      <c r="A86" s="1">
        <v>5</v>
      </c>
      <c r="B86" s="1">
        <v>2</v>
      </c>
      <c r="C86" s="1">
        <v>3</v>
      </c>
      <c r="E86" t="s">
        <v>36</v>
      </c>
    </row>
    <row r="87" spans="1:6" x14ac:dyDescent="0.25">
      <c r="A87" s="1">
        <v>4</v>
      </c>
      <c r="B87" s="1">
        <v>2</v>
      </c>
      <c r="C87" s="1">
        <v>5</v>
      </c>
      <c r="E87" t="s">
        <v>37</v>
      </c>
    </row>
    <row r="88" spans="1:6" x14ac:dyDescent="0.25">
      <c r="A88" s="1">
        <v>3</v>
      </c>
      <c r="B88" s="1">
        <v>4</v>
      </c>
      <c r="C88" s="1">
        <v>3</v>
      </c>
    </row>
    <row r="89" spans="1:6" x14ac:dyDescent="0.25">
      <c r="A89" s="1">
        <v>3</v>
      </c>
      <c r="B89" s="1">
        <v>3</v>
      </c>
      <c r="C89" s="1">
        <v>3</v>
      </c>
      <c r="E89" t="str">
        <f>"Si F calculado ("&amp;F73&amp;") &gt; F critico ("&amp;F81&amp;") ---&gt; Se rechaza la hipotesis nula"</f>
        <v>Si F calculado (0.463612193161441) &gt; F critico (3.02848482890662) ---&gt; Se rechaza la hipotesis nula</v>
      </c>
    </row>
    <row r="90" spans="1:6" x14ac:dyDescent="0.25">
      <c r="A90" s="1">
        <v>3</v>
      </c>
      <c r="B90" s="1">
        <v>3</v>
      </c>
      <c r="C90" s="1">
        <v>5</v>
      </c>
      <c r="E90" t="str">
        <f>"Si p-valor ("&amp;F82&amp;") &lt; α Nivel Significancia ("&amp;F78&amp;") ---&gt; Se rechaza la hipotesis nula"</f>
        <v>Si p-valor (0.629496378591121) &lt; α Nivel Significancia (0.05) ---&gt; Se rechaza la hipotesis nula</v>
      </c>
    </row>
    <row r="91" spans="1:6" x14ac:dyDescent="0.25">
      <c r="A91" s="1">
        <v>3</v>
      </c>
      <c r="B91" s="1">
        <v>2</v>
      </c>
      <c r="C91" s="1">
        <v>3</v>
      </c>
    </row>
    <row r="92" spans="1:6" x14ac:dyDescent="0.25">
      <c r="A92" s="1">
        <v>3</v>
      </c>
      <c r="B92" s="1">
        <v>3</v>
      </c>
      <c r="C92" s="1">
        <v>3</v>
      </c>
    </row>
    <row r="93" spans="1:6" x14ac:dyDescent="0.25">
      <c r="A93" s="1">
        <v>4</v>
      </c>
      <c r="B93" s="1">
        <v>3</v>
      </c>
      <c r="C93" s="1">
        <v>1</v>
      </c>
    </row>
    <row r="94" spans="1:6" x14ac:dyDescent="0.25">
      <c r="A94" s="1">
        <v>4</v>
      </c>
      <c r="B94" s="1">
        <v>3</v>
      </c>
      <c r="C94" s="1">
        <v>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H11" sqref="H11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1</v>
      </c>
      <c r="B2" s="1">
        <v>4</v>
      </c>
      <c r="C2" s="1">
        <v>5</v>
      </c>
      <c r="E2" s="2" t="s">
        <v>12</v>
      </c>
      <c r="F2" s="2"/>
    </row>
    <row r="3" spans="1:6" x14ac:dyDescent="0.25">
      <c r="A3" s="1">
        <v>5</v>
      </c>
      <c r="B3" s="1">
        <v>5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3</v>
      </c>
      <c r="B4" s="1">
        <v>3</v>
      </c>
      <c r="C4" s="1">
        <v>3</v>
      </c>
      <c r="E4" t="s">
        <v>7</v>
      </c>
      <c r="F4">
        <f>AVERAGE(A:A)</f>
        <v>3.4301075268817205</v>
      </c>
    </row>
    <row r="5" spans="1:6" x14ac:dyDescent="0.25">
      <c r="A5" s="1">
        <v>3</v>
      </c>
      <c r="B5" s="1">
        <v>2</v>
      </c>
      <c r="C5" s="1">
        <v>4</v>
      </c>
      <c r="E5" t="s">
        <v>8</v>
      </c>
      <c r="F5">
        <f>AVERAGE(B:B)</f>
        <v>3.2903225806451615</v>
      </c>
    </row>
    <row r="6" spans="1:6" x14ac:dyDescent="0.25">
      <c r="A6" s="1">
        <v>3</v>
      </c>
      <c r="B6" s="1">
        <v>4</v>
      </c>
      <c r="C6" s="1">
        <v>1</v>
      </c>
      <c r="E6" t="s">
        <v>9</v>
      </c>
      <c r="F6">
        <f>AVERAGE(C:C)</f>
        <v>3.225806451612903</v>
      </c>
    </row>
    <row r="7" spans="1:6" x14ac:dyDescent="0.25">
      <c r="A7" s="1">
        <v>5</v>
      </c>
      <c r="B7" s="1">
        <v>3</v>
      </c>
      <c r="C7" s="1">
        <v>2</v>
      </c>
      <c r="E7" t="s">
        <v>14</v>
      </c>
      <c r="F7">
        <f>AVERAGE(F4:F6)</f>
        <v>3.3154121863799282</v>
      </c>
    </row>
    <row r="8" spans="1:6" x14ac:dyDescent="0.25">
      <c r="A8" s="1">
        <v>2</v>
      </c>
      <c r="B8" s="1">
        <v>2</v>
      </c>
      <c r="C8" s="1">
        <v>3</v>
      </c>
    </row>
    <row r="9" spans="1:6" x14ac:dyDescent="0.25">
      <c r="A9" s="1">
        <v>2</v>
      </c>
      <c r="B9" s="1">
        <v>3</v>
      </c>
      <c r="C9" s="1">
        <v>3</v>
      </c>
    </row>
    <row r="10" spans="1:6" x14ac:dyDescent="0.25">
      <c r="A10" s="1">
        <v>3</v>
      </c>
      <c r="B10" s="1">
        <v>3</v>
      </c>
      <c r="C10" s="1">
        <v>3</v>
      </c>
      <c r="E10" s="2" t="s">
        <v>11</v>
      </c>
      <c r="F10" s="2"/>
    </row>
    <row r="11" spans="1:6" x14ac:dyDescent="0.25">
      <c r="A11" s="1">
        <v>3</v>
      </c>
      <c r="B11" s="1">
        <v>3</v>
      </c>
      <c r="C11" s="1">
        <v>1</v>
      </c>
      <c r="E11" s="3" t="s">
        <v>16</v>
      </c>
    </row>
    <row r="12" spans="1:6" x14ac:dyDescent="0.25">
      <c r="A12" s="1">
        <v>2</v>
      </c>
      <c r="B12" s="1">
        <v>3</v>
      </c>
      <c r="C12" s="1">
        <v>3</v>
      </c>
      <c r="E12" s="3" t="s">
        <v>17</v>
      </c>
    </row>
    <row r="13" spans="1:6" x14ac:dyDescent="0.25">
      <c r="A13" s="1">
        <v>3</v>
      </c>
      <c r="B13" s="1">
        <v>4</v>
      </c>
      <c r="C13" s="1">
        <v>3</v>
      </c>
    </row>
    <row r="14" spans="1:6" x14ac:dyDescent="0.25">
      <c r="A14" s="1">
        <v>5</v>
      </c>
      <c r="B14" s="1">
        <v>3</v>
      </c>
      <c r="C14" s="1">
        <v>2</v>
      </c>
    </row>
    <row r="15" spans="1:6" x14ac:dyDescent="0.25">
      <c r="A15" s="1">
        <v>3</v>
      </c>
      <c r="B15" s="1">
        <v>3</v>
      </c>
      <c r="C15" s="1">
        <v>4</v>
      </c>
    </row>
    <row r="16" spans="1:6" x14ac:dyDescent="0.25">
      <c r="A16" s="1">
        <v>3</v>
      </c>
      <c r="B16" s="1">
        <v>2</v>
      </c>
      <c r="C16" s="1">
        <v>2</v>
      </c>
      <c r="E16" t="s">
        <v>10</v>
      </c>
      <c r="F16">
        <f>F3*((F4-F7)^2+(F5-F7)^2+(F6-F7)^2)</f>
        <v>2.0286738351254519</v>
      </c>
    </row>
    <row r="17" spans="1:6" x14ac:dyDescent="0.25">
      <c r="A17" s="1">
        <v>4</v>
      </c>
      <c r="B17" s="1">
        <v>3</v>
      </c>
      <c r="C17" s="1">
        <v>4</v>
      </c>
    </row>
    <row r="18" spans="1:6" x14ac:dyDescent="0.25">
      <c r="A18" s="1">
        <v>3</v>
      </c>
      <c r="B18" s="1">
        <v>3</v>
      </c>
      <c r="C18" s="1">
        <v>4</v>
      </c>
    </row>
    <row r="19" spans="1:6" x14ac:dyDescent="0.25">
      <c r="A19" s="1">
        <v>1</v>
      </c>
      <c r="B19" s="1">
        <v>4</v>
      </c>
      <c r="C19" s="1">
        <v>4</v>
      </c>
      <c r="E19" s="2" t="s">
        <v>18</v>
      </c>
      <c r="F19" s="2"/>
    </row>
    <row r="20" spans="1:6" x14ac:dyDescent="0.25">
      <c r="A20" s="1">
        <v>2</v>
      </c>
      <c r="B20" s="1">
        <v>3</v>
      </c>
      <c r="C20" s="1">
        <v>1</v>
      </c>
      <c r="E20" t="s">
        <v>19</v>
      </c>
    </row>
    <row r="21" spans="1:6" x14ac:dyDescent="0.25">
      <c r="A21" s="1">
        <v>4</v>
      </c>
      <c r="B21" s="1">
        <v>5</v>
      </c>
      <c r="C21" s="1">
        <v>2</v>
      </c>
      <c r="E21" t="s">
        <v>15</v>
      </c>
      <c r="F21" s="6">
        <v>3</v>
      </c>
    </row>
    <row r="22" spans="1:6" x14ac:dyDescent="0.25">
      <c r="A22" s="1">
        <v>5</v>
      </c>
      <c r="B22" s="1">
        <v>4</v>
      </c>
      <c r="C22" s="1">
        <v>3</v>
      </c>
    </row>
    <row r="23" spans="1:6" x14ac:dyDescent="0.25">
      <c r="A23" s="1">
        <v>1</v>
      </c>
      <c r="B23" s="1">
        <v>3</v>
      </c>
      <c r="C23" s="1">
        <v>3</v>
      </c>
    </row>
    <row r="24" spans="1:6" x14ac:dyDescent="0.25">
      <c r="A24" s="1">
        <v>2</v>
      </c>
      <c r="B24" s="1">
        <v>1</v>
      </c>
      <c r="C24" s="1">
        <v>3</v>
      </c>
      <c r="E24" t="s">
        <v>0</v>
      </c>
      <c r="F24">
        <f>F21-1</f>
        <v>2</v>
      </c>
    </row>
    <row r="25" spans="1:6" x14ac:dyDescent="0.25">
      <c r="A25" s="1">
        <v>5</v>
      </c>
      <c r="B25" s="1">
        <v>5</v>
      </c>
      <c r="C25" s="1">
        <v>1</v>
      </c>
    </row>
    <row r="26" spans="1:6" x14ac:dyDescent="0.25">
      <c r="A26" s="1">
        <v>2</v>
      </c>
      <c r="B26" s="1">
        <v>4</v>
      </c>
      <c r="C26" s="1">
        <v>3</v>
      </c>
    </row>
    <row r="27" spans="1:6" x14ac:dyDescent="0.25">
      <c r="A27" s="1">
        <v>2</v>
      </c>
      <c r="B27" s="1">
        <v>2</v>
      </c>
      <c r="C27" s="1">
        <v>4</v>
      </c>
      <c r="E27" s="2" t="s">
        <v>20</v>
      </c>
      <c r="F27" s="2"/>
    </row>
    <row r="28" spans="1:6" x14ac:dyDescent="0.25">
      <c r="A28" s="1">
        <v>3</v>
      </c>
      <c r="B28" s="1">
        <v>4</v>
      </c>
      <c r="C28" s="1">
        <v>5</v>
      </c>
      <c r="E28" t="s">
        <v>21</v>
      </c>
    </row>
    <row r="29" spans="1:6" x14ac:dyDescent="0.25">
      <c r="A29" s="1">
        <v>3</v>
      </c>
      <c r="B29" s="1">
        <v>3</v>
      </c>
      <c r="C29" s="1">
        <v>2</v>
      </c>
    </row>
    <row r="30" spans="1:6" x14ac:dyDescent="0.25">
      <c r="A30" s="1">
        <v>4</v>
      </c>
      <c r="B30" s="1">
        <v>3</v>
      </c>
      <c r="C30" s="1">
        <v>3</v>
      </c>
    </row>
    <row r="31" spans="1:6" x14ac:dyDescent="0.25">
      <c r="A31" s="1">
        <v>5</v>
      </c>
      <c r="B31" s="1">
        <v>3</v>
      </c>
      <c r="C31" s="1">
        <v>4</v>
      </c>
    </row>
    <row r="32" spans="1:6" x14ac:dyDescent="0.25">
      <c r="A32" s="1">
        <v>4</v>
      </c>
      <c r="B32" s="1">
        <v>4</v>
      </c>
      <c r="C32" s="1">
        <v>5</v>
      </c>
    </row>
    <row r="33" spans="1:6" x14ac:dyDescent="0.25">
      <c r="A33" s="1">
        <v>2</v>
      </c>
      <c r="B33" s="1">
        <v>4</v>
      </c>
      <c r="C33" s="1">
        <v>2</v>
      </c>
      <c r="E33" t="s">
        <v>1</v>
      </c>
      <c r="F33">
        <f>F16/F24</f>
        <v>1.0143369175627259</v>
      </c>
    </row>
    <row r="34" spans="1:6" x14ac:dyDescent="0.25">
      <c r="A34" s="1">
        <v>5</v>
      </c>
      <c r="B34" s="1">
        <v>2</v>
      </c>
      <c r="C34" s="1">
        <v>5</v>
      </c>
    </row>
    <row r="35" spans="1:6" x14ac:dyDescent="0.25">
      <c r="A35" s="1">
        <v>4</v>
      </c>
      <c r="B35" s="1">
        <v>3</v>
      </c>
      <c r="C35" s="1">
        <v>3</v>
      </c>
    </row>
    <row r="36" spans="1:6" x14ac:dyDescent="0.25">
      <c r="A36" s="1">
        <v>4</v>
      </c>
      <c r="B36" s="1">
        <v>5</v>
      </c>
      <c r="C36" s="1">
        <v>1</v>
      </c>
      <c r="E36" s="2" t="s">
        <v>25</v>
      </c>
      <c r="F36" s="2"/>
    </row>
    <row r="37" spans="1:6" x14ac:dyDescent="0.25">
      <c r="A37" s="1">
        <v>3</v>
      </c>
      <c r="B37" s="1">
        <v>3</v>
      </c>
      <c r="C37" s="1">
        <v>4</v>
      </c>
      <c r="E37" t="s">
        <v>22</v>
      </c>
    </row>
    <row r="38" spans="1:6" x14ac:dyDescent="0.25">
      <c r="A38" s="1">
        <v>2</v>
      </c>
      <c r="B38" s="1">
        <v>5</v>
      </c>
      <c r="C38" s="1">
        <v>4</v>
      </c>
      <c r="E38" t="s">
        <v>23</v>
      </c>
    </row>
    <row r="39" spans="1:6" x14ac:dyDescent="0.25">
      <c r="A39" s="1">
        <v>4</v>
      </c>
      <c r="B39" s="1">
        <v>3</v>
      </c>
      <c r="C39" s="1">
        <v>3</v>
      </c>
    </row>
    <row r="40" spans="1:6" x14ac:dyDescent="0.25">
      <c r="A40" s="1">
        <v>4</v>
      </c>
      <c r="B40" s="1">
        <v>4</v>
      </c>
      <c r="C40" s="1">
        <v>2</v>
      </c>
    </row>
    <row r="41" spans="1:6" x14ac:dyDescent="0.25">
      <c r="A41" s="1">
        <v>3</v>
      </c>
      <c r="B41" s="1">
        <v>1</v>
      </c>
      <c r="C41" s="1">
        <v>3</v>
      </c>
    </row>
    <row r="42" spans="1:6" x14ac:dyDescent="0.25">
      <c r="A42" s="1">
        <v>4</v>
      </c>
      <c r="B42" s="1">
        <v>4</v>
      </c>
      <c r="C42" s="1">
        <v>1</v>
      </c>
    </row>
    <row r="43" spans="1:6" x14ac:dyDescent="0.25">
      <c r="A43" s="1">
        <v>4</v>
      </c>
      <c r="B43" s="1">
        <v>4</v>
      </c>
      <c r="C43" s="1">
        <v>5</v>
      </c>
      <c r="E43" t="s">
        <v>3</v>
      </c>
      <c r="F43">
        <f>DEVSQ(A:A)+DEVSQ(B:B)+DEVSQ(C:C)</f>
        <v>334.21505376344084</v>
      </c>
    </row>
    <row r="44" spans="1:6" x14ac:dyDescent="0.25">
      <c r="A44" s="1">
        <v>4</v>
      </c>
      <c r="B44" s="1">
        <v>5</v>
      </c>
      <c r="C44" s="1">
        <v>3</v>
      </c>
    </row>
    <row r="45" spans="1:6" x14ac:dyDescent="0.25">
      <c r="A45" s="1">
        <v>5</v>
      </c>
      <c r="B45" s="1">
        <v>4</v>
      </c>
      <c r="C45" s="1">
        <v>3</v>
      </c>
    </row>
    <row r="46" spans="1:6" x14ac:dyDescent="0.25">
      <c r="A46" s="1">
        <v>4</v>
      </c>
      <c r="B46" s="1">
        <v>2</v>
      </c>
      <c r="C46" s="1">
        <v>2</v>
      </c>
      <c r="E46" s="2" t="s">
        <v>24</v>
      </c>
      <c r="F46" s="2"/>
    </row>
    <row r="47" spans="1:6" x14ac:dyDescent="0.25">
      <c r="A47" s="1">
        <v>3</v>
      </c>
      <c r="B47" s="1">
        <v>1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4</v>
      </c>
      <c r="B48" s="1">
        <v>4</v>
      </c>
      <c r="C48" s="1">
        <v>2</v>
      </c>
      <c r="E48" t="s">
        <v>15</v>
      </c>
      <c r="F48">
        <f>F21</f>
        <v>3</v>
      </c>
    </row>
    <row r="49" spans="1:6" x14ac:dyDescent="0.25">
      <c r="A49" s="1">
        <v>2</v>
      </c>
      <c r="B49" s="1">
        <v>3</v>
      </c>
      <c r="C49" s="1">
        <v>3</v>
      </c>
    </row>
    <row r="50" spans="1:6" x14ac:dyDescent="0.25">
      <c r="A50" s="1">
        <v>4</v>
      </c>
      <c r="B50" s="1">
        <v>3</v>
      </c>
      <c r="C50" s="1">
        <v>4</v>
      </c>
    </row>
    <row r="51" spans="1:6" x14ac:dyDescent="0.25">
      <c r="A51" s="1">
        <v>3</v>
      </c>
      <c r="B51" s="1">
        <v>2</v>
      </c>
      <c r="C51" s="1">
        <v>5</v>
      </c>
    </row>
    <row r="52" spans="1:6" x14ac:dyDescent="0.25">
      <c r="A52" s="1">
        <v>3</v>
      </c>
      <c r="B52" s="1">
        <v>3</v>
      </c>
      <c r="C52" s="1">
        <v>2</v>
      </c>
    </row>
    <row r="53" spans="1:6" x14ac:dyDescent="0.25">
      <c r="A53" s="1">
        <v>5</v>
      </c>
      <c r="B53" s="1">
        <v>4</v>
      </c>
      <c r="C53" s="1">
        <v>5</v>
      </c>
      <c r="E53" t="s">
        <v>4</v>
      </c>
      <c r="F53">
        <f>F47-F48</f>
        <v>276</v>
      </c>
    </row>
    <row r="54" spans="1:6" x14ac:dyDescent="0.25">
      <c r="A54" s="1">
        <v>3</v>
      </c>
      <c r="B54" s="1">
        <v>4</v>
      </c>
      <c r="C54" s="1">
        <v>4</v>
      </c>
    </row>
    <row r="55" spans="1:6" x14ac:dyDescent="0.25">
      <c r="A55" s="1">
        <v>4</v>
      </c>
      <c r="B55" s="1">
        <v>3</v>
      </c>
      <c r="C55" s="1">
        <v>4</v>
      </c>
    </row>
    <row r="56" spans="1:6" x14ac:dyDescent="0.25">
      <c r="A56" s="1">
        <v>1</v>
      </c>
      <c r="B56" s="1">
        <v>5</v>
      </c>
      <c r="C56" s="1">
        <v>2</v>
      </c>
      <c r="E56" s="2" t="s">
        <v>27</v>
      </c>
      <c r="F56" s="2"/>
    </row>
    <row r="57" spans="1:6" x14ac:dyDescent="0.25">
      <c r="A57" s="1">
        <v>5</v>
      </c>
      <c r="B57" s="1">
        <v>3</v>
      </c>
      <c r="C57" s="1">
        <v>3</v>
      </c>
      <c r="E57" t="s">
        <v>28</v>
      </c>
    </row>
    <row r="58" spans="1:6" x14ac:dyDescent="0.25">
      <c r="A58" s="1">
        <v>4</v>
      </c>
      <c r="B58" s="1">
        <v>4</v>
      </c>
      <c r="C58" s="1">
        <v>2</v>
      </c>
    </row>
    <row r="59" spans="1:6" x14ac:dyDescent="0.25">
      <c r="A59" s="1">
        <v>5</v>
      </c>
      <c r="B59" s="1">
        <v>2</v>
      </c>
      <c r="C59" s="1">
        <v>4</v>
      </c>
    </row>
    <row r="60" spans="1:6" x14ac:dyDescent="0.25">
      <c r="A60" s="1">
        <v>1</v>
      </c>
      <c r="B60" s="1">
        <v>5</v>
      </c>
      <c r="C60" s="1">
        <v>3</v>
      </c>
    </row>
    <row r="61" spans="1:6" x14ac:dyDescent="0.25">
      <c r="A61" s="1">
        <v>3</v>
      </c>
      <c r="B61" s="1">
        <v>3</v>
      </c>
      <c r="C61" s="1">
        <v>3</v>
      </c>
    </row>
    <row r="62" spans="1:6" x14ac:dyDescent="0.25">
      <c r="A62" s="1">
        <v>3</v>
      </c>
      <c r="B62" s="1">
        <v>3</v>
      </c>
      <c r="C62" s="1">
        <v>2</v>
      </c>
    </row>
    <row r="63" spans="1:6" x14ac:dyDescent="0.25">
      <c r="A63" s="1">
        <v>5</v>
      </c>
      <c r="B63" s="1">
        <v>3</v>
      </c>
      <c r="C63" s="1">
        <v>2</v>
      </c>
      <c r="E63" t="s">
        <v>5</v>
      </c>
      <c r="F63">
        <f>F43/F53</f>
        <v>1.2109241078385538</v>
      </c>
    </row>
    <row r="64" spans="1:6" x14ac:dyDescent="0.25">
      <c r="A64" s="1">
        <v>3</v>
      </c>
      <c r="B64" s="1">
        <v>5</v>
      </c>
      <c r="C64" s="1">
        <v>5</v>
      </c>
    </row>
    <row r="65" spans="1:6" x14ac:dyDescent="0.25">
      <c r="A65" s="1">
        <v>4</v>
      </c>
      <c r="B65" s="1">
        <v>3</v>
      </c>
      <c r="C65" s="1">
        <v>3</v>
      </c>
    </row>
    <row r="66" spans="1:6" x14ac:dyDescent="0.25">
      <c r="A66" s="1">
        <v>2</v>
      </c>
      <c r="B66" s="1">
        <v>3</v>
      </c>
      <c r="C66" s="1">
        <v>5</v>
      </c>
      <c r="E66" s="2" t="s">
        <v>29</v>
      </c>
      <c r="F66" s="2"/>
    </row>
    <row r="67" spans="1:6" x14ac:dyDescent="0.25">
      <c r="A67" s="1">
        <v>4</v>
      </c>
      <c r="B67" s="1">
        <v>3</v>
      </c>
      <c r="C67" s="1">
        <v>3</v>
      </c>
      <c r="E67" t="s">
        <v>30</v>
      </c>
    </row>
    <row r="68" spans="1:6" x14ac:dyDescent="0.25">
      <c r="A68" s="1">
        <v>4</v>
      </c>
      <c r="B68" s="1">
        <v>3</v>
      </c>
      <c r="C68" s="1">
        <v>4</v>
      </c>
      <c r="E68" t="s">
        <v>31</v>
      </c>
    </row>
    <row r="69" spans="1:6" x14ac:dyDescent="0.25">
      <c r="A69" s="1">
        <v>5</v>
      </c>
      <c r="B69" s="1">
        <v>3</v>
      </c>
      <c r="C69" s="1">
        <v>4</v>
      </c>
    </row>
    <row r="70" spans="1:6" x14ac:dyDescent="0.25">
      <c r="A70" s="1">
        <v>3</v>
      </c>
      <c r="B70" s="1">
        <v>2</v>
      </c>
      <c r="C70" s="1">
        <v>4</v>
      </c>
    </row>
    <row r="71" spans="1:6" x14ac:dyDescent="0.25">
      <c r="A71" s="1">
        <v>3</v>
      </c>
      <c r="B71" s="1">
        <v>4</v>
      </c>
      <c r="C71" s="1">
        <v>3</v>
      </c>
    </row>
    <row r="72" spans="1:6" x14ac:dyDescent="0.25">
      <c r="A72" s="1">
        <v>5</v>
      </c>
      <c r="B72" s="1">
        <v>2</v>
      </c>
      <c r="C72" s="1">
        <v>4</v>
      </c>
    </row>
    <row r="73" spans="1:6" x14ac:dyDescent="0.25">
      <c r="A73" s="1">
        <v>3</v>
      </c>
      <c r="B73" s="1">
        <v>3</v>
      </c>
      <c r="C73" s="1">
        <v>3</v>
      </c>
      <c r="E73" t="s">
        <v>2</v>
      </c>
      <c r="F73">
        <f>F33/F63</f>
        <v>0.83765523454089352</v>
      </c>
    </row>
    <row r="74" spans="1:6" x14ac:dyDescent="0.25">
      <c r="A74" s="1">
        <v>4</v>
      </c>
      <c r="B74" s="1">
        <v>5</v>
      </c>
      <c r="C74" s="1">
        <v>4</v>
      </c>
    </row>
    <row r="75" spans="1:6" x14ac:dyDescent="0.25">
      <c r="A75" s="1">
        <v>3</v>
      </c>
      <c r="B75" s="1">
        <v>5</v>
      </c>
      <c r="C75" s="1">
        <v>5</v>
      </c>
    </row>
    <row r="76" spans="1:6" x14ac:dyDescent="0.25">
      <c r="A76" s="1">
        <v>4</v>
      </c>
      <c r="B76" s="1">
        <v>4</v>
      </c>
      <c r="C76" s="1">
        <v>2</v>
      </c>
      <c r="E76" s="2" t="s">
        <v>34</v>
      </c>
      <c r="F76" s="2"/>
    </row>
    <row r="77" spans="1:6" x14ac:dyDescent="0.25">
      <c r="A77" s="1">
        <v>4</v>
      </c>
      <c r="B77" s="1">
        <v>2</v>
      </c>
      <c r="C77" s="1">
        <v>4</v>
      </c>
    </row>
    <row r="78" spans="1:6" x14ac:dyDescent="0.25">
      <c r="A78" s="1">
        <v>3</v>
      </c>
      <c r="B78" s="1">
        <v>3</v>
      </c>
      <c r="C78" s="1">
        <v>4</v>
      </c>
      <c r="E78" s="4" t="s">
        <v>32</v>
      </c>
      <c r="F78">
        <v>0.05</v>
      </c>
    </row>
    <row r="79" spans="1:6" x14ac:dyDescent="0.25">
      <c r="A79" s="1">
        <v>5</v>
      </c>
      <c r="B79" s="1">
        <v>2</v>
      </c>
      <c r="C79" s="1">
        <v>3</v>
      </c>
      <c r="E79" t="s">
        <v>0</v>
      </c>
      <c r="F79">
        <f xml:space="preserve"> F24</f>
        <v>2</v>
      </c>
    </row>
    <row r="80" spans="1:6" x14ac:dyDescent="0.25">
      <c r="A80" s="1">
        <v>4</v>
      </c>
      <c r="B80" s="1">
        <v>3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2</v>
      </c>
      <c r="B81" s="1">
        <v>3</v>
      </c>
      <c r="C81" s="1">
        <v>5</v>
      </c>
      <c r="E81" t="s">
        <v>33</v>
      </c>
      <c r="F81">
        <f>FINV(F78, F79, F80)</f>
        <v>3.0284848289066213</v>
      </c>
    </row>
    <row r="82" spans="1:6" x14ac:dyDescent="0.25">
      <c r="A82" s="1">
        <v>1</v>
      </c>
      <c r="B82" s="1">
        <v>5</v>
      </c>
      <c r="C82" s="1">
        <v>4</v>
      </c>
      <c r="E82" t="s">
        <v>35</v>
      </c>
      <c r="F82">
        <f>_xlfn.F.DIST.RT(F73, F79, F80)</f>
        <v>0.43382102860584215</v>
      </c>
    </row>
    <row r="83" spans="1:6" x14ac:dyDescent="0.25">
      <c r="A83" s="1">
        <v>4</v>
      </c>
      <c r="B83" s="1">
        <v>4</v>
      </c>
      <c r="C83" s="1">
        <v>1</v>
      </c>
    </row>
    <row r="84" spans="1:6" x14ac:dyDescent="0.25">
      <c r="A84" s="1">
        <v>4</v>
      </c>
      <c r="B84" s="1">
        <v>4</v>
      </c>
      <c r="C84" s="1">
        <v>3</v>
      </c>
      <c r="E84" s="2" t="s">
        <v>6</v>
      </c>
      <c r="F84" s="2"/>
    </row>
    <row r="85" spans="1:6" x14ac:dyDescent="0.25">
      <c r="A85" s="1">
        <v>3</v>
      </c>
      <c r="B85" s="1">
        <v>5</v>
      </c>
      <c r="C85" s="1">
        <v>3</v>
      </c>
    </row>
    <row r="86" spans="1:6" x14ac:dyDescent="0.25">
      <c r="A86" s="1">
        <v>4</v>
      </c>
      <c r="B86" s="1">
        <v>4</v>
      </c>
      <c r="C86" s="1">
        <v>3</v>
      </c>
      <c r="E86" t="s">
        <v>36</v>
      </c>
    </row>
    <row r="87" spans="1:6" x14ac:dyDescent="0.25">
      <c r="A87" s="1">
        <v>5</v>
      </c>
      <c r="B87" s="1">
        <v>3</v>
      </c>
      <c r="C87" s="1">
        <v>4</v>
      </c>
      <c r="E87" t="s">
        <v>37</v>
      </c>
    </row>
    <row r="88" spans="1:6" x14ac:dyDescent="0.25">
      <c r="A88" s="1">
        <v>5</v>
      </c>
      <c r="B88" s="1">
        <v>3</v>
      </c>
      <c r="C88" s="1">
        <v>4</v>
      </c>
    </row>
    <row r="89" spans="1:6" x14ac:dyDescent="0.25">
      <c r="A89" s="1">
        <v>3</v>
      </c>
      <c r="B89" s="1">
        <v>1</v>
      </c>
      <c r="C89" s="1">
        <v>3</v>
      </c>
      <c r="E89" t="str">
        <f>"Si F calculado ("&amp;F73&amp;") &gt; F critico ("&amp;F81&amp;") ---&gt; Se rechaza la hipotesis nula"</f>
        <v>Si F calculado (0.837655234540894) &gt; F critico (3.02848482890662) ---&gt; Se rechaza la hipotesis nula</v>
      </c>
    </row>
    <row r="90" spans="1:6" x14ac:dyDescent="0.25">
      <c r="A90" s="1">
        <v>3</v>
      </c>
      <c r="B90" s="1">
        <v>2</v>
      </c>
      <c r="C90" s="1">
        <v>5</v>
      </c>
      <c r="E90" t="str">
        <f>"Si p-valor ("&amp;F82&amp;") &lt; α Nivel Significancia ("&amp;F78&amp;") ---&gt; Se rechaza la hipotesis nula"</f>
        <v>Si p-valor (0.433821028605842) &lt; α Nivel Significancia (0.05) ---&gt; Se rechaza la hipotesis nula</v>
      </c>
    </row>
    <row r="91" spans="1:6" x14ac:dyDescent="0.25">
      <c r="A91" s="1">
        <v>5</v>
      </c>
      <c r="B91" s="1">
        <v>3</v>
      </c>
      <c r="C91" s="1">
        <v>4</v>
      </c>
    </row>
    <row r="92" spans="1:6" x14ac:dyDescent="0.25">
      <c r="A92" s="1">
        <v>4</v>
      </c>
      <c r="B92" s="1">
        <v>4</v>
      </c>
      <c r="C92" s="1">
        <v>4</v>
      </c>
    </row>
    <row r="93" spans="1:6" x14ac:dyDescent="0.25">
      <c r="A93" s="1">
        <v>4</v>
      </c>
      <c r="B93" s="1">
        <v>3</v>
      </c>
      <c r="C93" s="1">
        <v>4</v>
      </c>
    </row>
    <row r="94" spans="1:6" x14ac:dyDescent="0.25">
      <c r="A94" s="1">
        <v>3</v>
      </c>
      <c r="B94" s="1">
        <v>2</v>
      </c>
      <c r="C94" s="1">
        <v>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G20" sqref="G20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4</v>
      </c>
      <c r="B2" s="1">
        <v>3</v>
      </c>
      <c r="C2" s="1">
        <v>4</v>
      </c>
      <c r="E2" s="2" t="s">
        <v>12</v>
      </c>
      <c r="F2" s="2"/>
    </row>
    <row r="3" spans="1:6" x14ac:dyDescent="0.25">
      <c r="A3" s="1">
        <v>5</v>
      </c>
      <c r="B3" s="1">
        <v>4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4</v>
      </c>
      <c r="B4" s="1">
        <v>4</v>
      </c>
      <c r="C4" s="1">
        <v>3</v>
      </c>
      <c r="E4" t="s">
        <v>7</v>
      </c>
      <c r="F4">
        <f>AVERAGE(A:A)</f>
        <v>3.4516129032258065</v>
      </c>
    </row>
    <row r="5" spans="1:6" x14ac:dyDescent="0.25">
      <c r="A5" s="1">
        <v>3</v>
      </c>
      <c r="B5" s="1">
        <v>4</v>
      </c>
      <c r="C5" s="1">
        <v>4</v>
      </c>
      <c r="E5" t="s">
        <v>8</v>
      </c>
      <c r="F5">
        <f>AVERAGE(B:B)</f>
        <v>3.3978494623655915</v>
      </c>
    </row>
    <row r="6" spans="1:6" x14ac:dyDescent="0.25">
      <c r="A6" s="1">
        <v>2</v>
      </c>
      <c r="B6" s="1">
        <v>5</v>
      </c>
      <c r="C6" s="1">
        <v>4</v>
      </c>
      <c r="E6" t="s">
        <v>9</v>
      </c>
      <c r="F6">
        <f>AVERAGE(C:C)</f>
        <v>3.3978494623655915</v>
      </c>
    </row>
    <row r="7" spans="1:6" x14ac:dyDescent="0.25">
      <c r="A7" s="1">
        <v>2</v>
      </c>
      <c r="B7" s="1">
        <v>5</v>
      </c>
      <c r="C7" s="1">
        <v>4</v>
      </c>
      <c r="E7" t="s">
        <v>14</v>
      </c>
      <c r="F7">
        <f>AVERAGE(F4:F6)</f>
        <v>3.4157706093189968</v>
      </c>
    </row>
    <row r="8" spans="1:6" x14ac:dyDescent="0.25">
      <c r="A8" s="1">
        <v>4</v>
      </c>
      <c r="B8" s="1">
        <v>2</v>
      </c>
      <c r="C8" s="1">
        <v>4</v>
      </c>
    </row>
    <row r="9" spans="1:6" x14ac:dyDescent="0.25">
      <c r="A9" s="1">
        <v>3</v>
      </c>
      <c r="B9" s="1">
        <v>4</v>
      </c>
      <c r="C9" s="1">
        <v>4</v>
      </c>
    </row>
    <row r="10" spans="1:6" x14ac:dyDescent="0.25">
      <c r="A10" s="1">
        <v>4</v>
      </c>
      <c r="B10" s="1">
        <v>3</v>
      </c>
      <c r="C10" s="1">
        <v>3</v>
      </c>
      <c r="E10" s="2" t="s">
        <v>11</v>
      </c>
      <c r="F10" s="2"/>
    </row>
    <row r="11" spans="1:6" x14ac:dyDescent="0.25">
      <c r="A11" s="1">
        <v>4</v>
      </c>
      <c r="B11" s="1">
        <v>4</v>
      </c>
      <c r="C11" s="1">
        <v>4</v>
      </c>
      <c r="E11" s="3" t="s">
        <v>16</v>
      </c>
    </row>
    <row r="12" spans="1:6" x14ac:dyDescent="0.25">
      <c r="A12" s="1">
        <v>2</v>
      </c>
      <c r="B12" s="1">
        <v>1</v>
      </c>
      <c r="C12" s="1">
        <v>4</v>
      </c>
      <c r="E12" s="3" t="s">
        <v>17</v>
      </c>
    </row>
    <row r="13" spans="1:6" x14ac:dyDescent="0.25">
      <c r="A13" s="1">
        <v>5</v>
      </c>
      <c r="B13" s="1">
        <v>4</v>
      </c>
      <c r="C13" s="1">
        <v>3</v>
      </c>
    </row>
    <row r="14" spans="1:6" x14ac:dyDescent="0.25">
      <c r="A14" s="1">
        <v>5</v>
      </c>
      <c r="B14" s="1">
        <v>4</v>
      </c>
      <c r="C14" s="1">
        <v>1</v>
      </c>
    </row>
    <row r="15" spans="1:6" x14ac:dyDescent="0.25">
      <c r="A15" s="1">
        <v>4</v>
      </c>
      <c r="B15" s="1">
        <v>2</v>
      </c>
      <c r="C15" s="1">
        <v>3</v>
      </c>
    </row>
    <row r="16" spans="1:6" x14ac:dyDescent="0.25">
      <c r="A16" s="1">
        <v>5</v>
      </c>
      <c r="B16" s="1">
        <v>2</v>
      </c>
      <c r="C16" s="1">
        <v>5</v>
      </c>
      <c r="E16" t="s">
        <v>10</v>
      </c>
      <c r="F16">
        <f>F3*((F4-F7)^2+(F5-F7)^2+(F6-F7)^2)</f>
        <v>0.17921146953404984</v>
      </c>
    </row>
    <row r="17" spans="1:6" x14ac:dyDescent="0.25">
      <c r="A17" s="1">
        <v>4</v>
      </c>
      <c r="B17" s="1">
        <v>4</v>
      </c>
      <c r="C17" s="1">
        <v>5</v>
      </c>
    </row>
    <row r="18" spans="1:6" x14ac:dyDescent="0.25">
      <c r="A18" s="1">
        <v>3</v>
      </c>
      <c r="B18" s="1">
        <v>2</v>
      </c>
      <c r="C18" s="1">
        <v>1</v>
      </c>
    </row>
    <row r="19" spans="1:6" x14ac:dyDescent="0.25">
      <c r="A19" s="1">
        <v>4</v>
      </c>
      <c r="B19" s="1">
        <v>3</v>
      </c>
      <c r="C19" s="1">
        <v>4</v>
      </c>
      <c r="E19" s="2" t="s">
        <v>18</v>
      </c>
      <c r="F19" s="2"/>
    </row>
    <row r="20" spans="1:6" x14ac:dyDescent="0.25">
      <c r="A20" s="1">
        <v>2</v>
      </c>
      <c r="B20" s="1">
        <v>3</v>
      </c>
      <c r="C20" s="1">
        <v>5</v>
      </c>
      <c r="E20" t="s">
        <v>19</v>
      </c>
    </row>
    <row r="21" spans="1:6" x14ac:dyDescent="0.25">
      <c r="A21" s="1">
        <v>2</v>
      </c>
      <c r="B21" s="1">
        <v>5</v>
      </c>
      <c r="C21" s="1">
        <v>3</v>
      </c>
      <c r="E21" t="s">
        <v>15</v>
      </c>
      <c r="F21" s="6">
        <v>3</v>
      </c>
    </row>
    <row r="22" spans="1:6" x14ac:dyDescent="0.25">
      <c r="A22" s="1">
        <v>4</v>
      </c>
      <c r="B22" s="1">
        <v>5</v>
      </c>
      <c r="C22" s="1">
        <v>3</v>
      </c>
    </row>
    <row r="23" spans="1:6" x14ac:dyDescent="0.25">
      <c r="A23" s="1">
        <v>4</v>
      </c>
      <c r="B23" s="1">
        <v>3</v>
      </c>
      <c r="C23" s="1">
        <v>3</v>
      </c>
    </row>
    <row r="24" spans="1:6" x14ac:dyDescent="0.25">
      <c r="A24" s="1">
        <v>4</v>
      </c>
      <c r="B24" s="1">
        <v>3</v>
      </c>
      <c r="C24" s="1">
        <v>4</v>
      </c>
      <c r="E24" t="s">
        <v>0</v>
      </c>
      <c r="F24">
        <f>F21-1</f>
        <v>2</v>
      </c>
    </row>
    <row r="25" spans="1:6" x14ac:dyDescent="0.25">
      <c r="A25" s="1">
        <v>3</v>
      </c>
      <c r="B25" s="1">
        <v>3</v>
      </c>
      <c r="C25" s="1">
        <v>5</v>
      </c>
    </row>
    <row r="26" spans="1:6" x14ac:dyDescent="0.25">
      <c r="A26" s="1">
        <v>4</v>
      </c>
      <c r="B26" s="1">
        <v>3</v>
      </c>
      <c r="C26" s="1">
        <v>1</v>
      </c>
    </row>
    <row r="27" spans="1:6" x14ac:dyDescent="0.25">
      <c r="A27" s="1">
        <v>3</v>
      </c>
      <c r="B27" s="1">
        <v>3</v>
      </c>
      <c r="C27" s="1">
        <v>4</v>
      </c>
      <c r="E27" s="2" t="s">
        <v>20</v>
      </c>
      <c r="F27" s="2"/>
    </row>
    <row r="28" spans="1:6" x14ac:dyDescent="0.25">
      <c r="A28" s="1">
        <v>4</v>
      </c>
      <c r="B28" s="1">
        <v>4</v>
      </c>
      <c r="C28" s="1">
        <v>3</v>
      </c>
      <c r="E28" t="s">
        <v>21</v>
      </c>
    </row>
    <row r="29" spans="1:6" x14ac:dyDescent="0.25">
      <c r="A29" s="1">
        <v>3</v>
      </c>
      <c r="B29" s="1">
        <v>3</v>
      </c>
      <c r="C29" s="1">
        <v>3</v>
      </c>
    </row>
    <row r="30" spans="1:6" x14ac:dyDescent="0.25">
      <c r="A30" s="1">
        <v>3</v>
      </c>
      <c r="B30" s="1">
        <v>5</v>
      </c>
      <c r="C30" s="1">
        <v>3</v>
      </c>
    </row>
    <row r="31" spans="1:6" x14ac:dyDescent="0.25">
      <c r="A31" s="1">
        <v>4</v>
      </c>
      <c r="B31" s="1">
        <v>3</v>
      </c>
      <c r="C31" s="1">
        <v>4</v>
      </c>
    </row>
    <row r="32" spans="1:6" x14ac:dyDescent="0.25">
      <c r="A32" s="1">
        <v>1</v>
      </c>
      <c r="B32" s="1">
        <v>3</v>
      </c>
      <c r="C32" s="1">
        <v>4</v>
      </c>
    </row>
    <row r="33" spans="1:6" x14ac:dyDescent="0.25">
      <c r="A33" s="1">
        <v>3</v>
      </c>
      <c r="B33" s="1">
        <v>1</v>
      </c>
      <c r="C33" s="1">
        <v>3</v>
      </c>
      <c r="E33" t="s">
        <v>1</v>
      </c>
      <c r="F33">
        <f>F16/F24</f>
        <v>8.9605734767024922E-2</v>
      </c>
    </row>
    <row r="34" spans="1:6" x14ac:dyDescent="0.25">
      <c r="A34" s="1">
        <v>5</v>
      </c>
      <c r="B34" s="1">
        <v>5</v>
      </c>
      <c r="C34" s="1">
        <v>2</v>
      </c>
    </row>
    <row r="35" spans="1:6" x14ac:dyDescent="0.25">
      <c r="A35" s="1">
        <v>2</v>
      </c>
      <c r="B35" s="1">
        <v>5</v>
      </c>
      <c r="C35" s="1">
        <v>2</v>
      </c>
    </row>
    <row r="36" spans="1:6" x14ac:dyDescent="0.25">
      <c r="A36" s="1">
        <v>3</v>
      </c>
      <c r="B36" s="1">
        <v>4</v>
      </c>
      <c r="C36" s="1">
        <v>5</v>
      </c>
      <c r="E36" s="2" t="s">
        <v>25</v>
      </c>
      <c r="F36" s="2"/>
    </row>
    <row r="37" spans="1:6" x14ac:dyDescent="0.25">
      <c r="A37" s="1">
        <v>2</v>
      </c>
      <c r="B37" s="1">
        <v>4</v>
      </c>
      <c r="C37" s="1">
        <v>5</v>
      </c>
      <c r="E37" t="s">
        <v>22</v>
      </c>
    </row>
    <row r="38" spans="1:6" x14ac:dyDescent="0.25">
      <c r="A38" s="1">
        <v>2</v>
      </c>
      <c r="B38" s="1">
        <v>4</v>
      </c>
      <c r="C38" s="1">
        <v>2</v>
      </c>
      <c r="E38" t="s">
        <v>23</v>
      </c>
    </row>
    <row r="39" spans="1:6" x14ac:dyDescent="0.25">
      <c r="A39" s="1">
        <v>4</v>
      </c>
      <c r="B39" s="1">
        <v>2</v>
      </c>
      <c r="C39" s="1">
        <v>3</v>
      </c>
    </row>
    <row r="40" spans="1:6" x14ac:dyDescent="0.25">
      <c r="A40" s="1">
        <v>5</v>
      </c>
      <c r="B40" s="1">
        <v>4</v>
      </c>
      <c r="C40" s="1">
        <v>2</v>
      </c>
    </row>
    <row r="41" spans="1:6" x14ac:dyDescent="0.25">
      <c r="A41" s="1">
        <v>4</v>
      </c>
      <c r="B41" s="1">
        <v>4</v>
      </c>
      <c r="C41" s="1">
        <v>4</v>
      </c>
    </row>
    <row r="42" spans="1:6" x14ac:dyDescent="0.25">
      <c r="A42" s="1">
        <v>3</v>
      </c>
      <c r="B42" s="1">
        <v>3</v>
      </c>
      <c r="C42" s="1">
        <v>3</v>
      </c>
    </row>
    <row r="43" spans="1:6" x14ac:dyDescent="0.25">
      <c r="A43" s="1">
        <v>3</v>
      </c>
      <c r="B43" s="1">
        <v>3</v>
      </c>
      <c r="C43" s="1">
        <v>3</v>
      </c>
      <c r="E43" t="s">
        <v>3</v>
      </c>
      <c r="F43">
        <f>DEVSQ(A:A)+DEVSQ(B:B)+DEVSQ(C:C)</f>
        <v>329.59139784946245</v>
      </c>
    </row>
    <row r="44" spans="1:6" x14ac:dyDescent="0.25">
      <c r="A44" s="1">
        <v>4</v>
      </c>
      <c r="B44" s="1">
        <v>3</v>
      </c>
      <c r="C44" s="1">
        <v>3</v>
      </c>
    </row>
    <row r="45" spans="1:6" x14ac:dyDescent="0.25">
      <c r="A45" s="1">
        <v>5</v>
      </c>
      <c r="B45" s="1">
        <v>5</v>
      </c>
      <c r="C45" s="1">
        <v>4</v>
      </c>
    </row>
    <row r="46" spans="1:6" x14ac:dyDescent="0.25">
      <c r="A46" s="1">
        <v>2</v>
      </c>
      <c r="B46" s="1">
        <v>3</v>
      </c>
      <c r="C46" s="1">
        <v>5</v>
      </c>
      <c r="E46" s="2" t="s">
        <v>24</v>
      </c>
      <c r="F46" s="2"/>
    </row>
    <row r="47" spans="1:6" x14ac:dyDescent="0.25">
      <c r="A47" s="1">
        <v>1</v>
      </c>
      <c r="B47" s="1">
        <v>5</v>
      </c>
      <c r="C47" s="1">
        <v>3</v>
      </c>
      <c r="E47" t="s">
        <v>26</v>
      </c>
      <c r="F47">
        <f>COUNT(A:A,B:B,C:C,#REF!)</f>
        <v>279</v>
      </c>
    </row>
    <row r="48" spans="1:6" x14ac:dyDescent="0.25">
      <c r="A48" s="1">
        <v>3</v>
      </c>
      <c r="B48" s="1">
        <v>5</v>
      </c>
      <c r="C48" s="1">
        <v>4</v>
      </c>
      <c r="E48" t="s">
        <v>15</v>
      </c>
      <c r="F48">
        <f>F21</f>
        <v>3</v>
      </c>
    </row>
    <row r="49" spans="1:6" x14ac:dyDescent="0.25">
      <c r="A49" s="1">
        <v>4</v>
      </c>
      <c r="B49" s="1">
        <v>2</v>
      </c>
      <c r="C49" s="1">
        <v>4</v>
      </c>
    </row>
    <row r="50" spans="1:6" x14ac:dyDescent="0.25">
      <c r="A50" s="1">
        <v>4</v>
      </c>
      <c r="B50" s="1">
        <v>5</v>
      </c>
      <c r="C50" s="1">
        <v>1</v>
      </c>
    </row>
    <row r="51" spans="1:6" x14ac:dyDescent="0.25">
      <c r="A51" s="1">
        <v>5</v>
      </c>
      <c r="B51" s="1">
        <v>3</v>
      </c>
      <c r="C51" s="1">
        <v>4</v>
      </c>
    </row>
    <row r="52" spans="1:6" x14ac:dyDescent="0.25">
      <c r="A52" s="1">
        <v>2</v>
      </c>
      <c r="B52" s="1">
        <v>4</v>
      </c>
      <c r="C52" s="1">
        <v>2</v>
      </c>
    </row>
    <row r="53" spans="1:6" x14ac:dyDescent="0.25">
      <c r="A53" s="1">
        <v>5</v>
      </c>
      <c r="B53" s="1">
        <v>4</v>
      </c>
      <c r="C53" s="1">
        <v>4</v>
      </c>
      <c r="E53" t="s">
        <v>4</v>
      </c>
      <c r="F53">
        <f>F47-F48</f>
        <v>276</v>
      </c>
    </row>
    <row r="54" spans="1:6" x14ac:dyDescent="0.25">
      <c r="A54" s="1">
        <v>3</v>
      </c>
      <c r="B54" s="1">
        <v>2</v>
      </c>
      <c r="C54" s="1">
        <v>3</v>
      </c>
    </row>
    <row r="55" spans="1:6" x14ac:dyDescent="0.25">
      <c r="A55" s="1">
        <v>4</v>
      </c>
      <c r="B55" s="1">
        <v>5</v>
      </c>
      <c r="C55" s="1">
        <v>1</v>
      </c>
    </row>
    <row r="56" spans="1:6" x14ac:dyDescent="0.25">
      <c r="A56" s="1">
        <v>3</v>
      </c>
      <c r="B56" s="1">
        <v>3</v>
      </c>
      <c r="C56" s="1">
        <v>5</v>
      </c>
      <c r="E56" s="2" t="s">
        <v>27</v>
      </c>
      <c r="F56" s="2"/>
    </row>
    <row r="57" spans="1:6" x14ac:dyDescent="0.25">
      <c r="A57" s="1">
        <v>3</v>
      </c>
      <c r="B57" s="1">
        <v>1</v>
      </c>
      <c r="C57" s="1">
        <v>5</v>
      </c>
      <c r="E57" t="s">
        <v>28</v>
      </c>
    </row>
    <row r="58" spans="1:6" x14ac:dyDescent="0.25">
      <c r="A58" s="1">
        <v>2</v>
      </c>
      <c r="B58" s="1">
        <v>3</v>
      </c>
      <c r="C58" s="1">
        <v>4</v>
      </c>
    </row>
    <row r="59" spans="1:6" x14ac:dyDescent="0.25">
      <c r="A59" s="1">
        <v>4</v>
      </c>
      <c r="B59" s="1">
        <v>1</v>
      </c>
      <c r="C59" s="1">
        <v>5</v>
      </c>
    </row>
    <row r="60" spans="1:6" x14ac:dyDescent="0.25">
      <c r="A60" s="1">
        <v>5</v>
      </c>
      <c r="B60" s="1">
        <v>5</v>
      </c>
      <c r="C60" s="1">
        <v>3</v>
      </c>
    </row>
    <row r="61" spans="1:6" x14ac:dyDescent="0.25">
      <c r="A61" s="1">
        <v>5</v>
      </c>
      <c r="B61" s="1">
        <v>4</v>
      </c>
      <c r="C61" s="1">
        <v>2</v>
      </c>
    </row>
    <row r="62" spans="1:6" x14ac:dyDescent="0.25">
      <c r="A62" s="1">
        <v>2</v>
      </c>
      <c r="B62" s="1">
        <v>4</v>
      </c>
      <c r="C62" s="1">
        <v>4</v>
      </c>
    </row>
    <row r="63" spans="1:6" x14ac:dyDescent="0.25">
      <c r="A63" s="1">
        <v>2</v>
      </c>
      <c r="B63" s="1">
        <v>3</v>
      </c>
      <c r="C63" s="1">
        <v>4</v>
      </c>
      <c r="E63" t="s">
        <v>5</v>
      </c>
      <c r="F63">
        <f>F43/F53</f>
        <v>1.194171731338632</v>
      </c>
    </row>
    <row r="64" spans="1:6" x14ac:dyDescent="0.25">
      <c r="A64" s="1">
        <v>3</v>
      </c>
      <c r="B64" s="1">
        <v>1</v>
      </c>
      <c r="C64" s="1">
        <v>4</v>
      </c>
    </row>
    <row r="65" spans="1:6" x14ac:dyDescent="0.25">
      <c r="A65" s="1">
        <v>3</v>
      </c>
      <c r="B65" s="1">
        <v>4</v>
      </c>
      <c r="C65" s="1">
        <v>3</v>
      </c>
    </row>
    <row r="66" spans="1:6" x14ac:dyDescent="0.25">
      <c r="A66" s="1">
        <v>3</v>
      </c>
      <c r="B66" s="1">
        <v>3</v>
      </c>
      <c r="C66" s="1">
        <v>5</v>
      </c>
      <c r="E66" s="2" t="s">
        <v>29</v>
      </c>
      <c r="F66" s="2"/>
    </row>
    <row r="67" spans="1:6" x14ac:dyDescent="0.25">
      <c r="A67" s="1">
        <v>4</v>
      </c>
      <c r="B67" s="1">
        <v>4</v>
      </c>
      <c r="C67" s="1">
        <v>3</v>
      </c>
      <c r="E67" t="s">
        <v>30</v>
      </c>
    </row>
    <row r="68" spans="1:6" x14ac:dyDescent="0.25">
      <c r="A68" s="1">
        <v>2</v>
      </c>
      <c r="B68" s="1">
        <v>3</v>
      </c>
      <c r="C68" s="1">
        <v>3</v>
      </c>
      <c r="E68" t="s">
        <v>31</v>
      </c>
    </row>
    <row r="69" spans="1:6" x14ac:dyDescent="0.25">
      <c r="A69" s="1">
        <v>4</v>
      </c>
      <c r="B69" s="1">
        <v>3</v>
      </c>
      <c r="C69" s="1">
        <v>3</v>
      </c>
    </row>
    <row r="70" spans="1:6" x14ac:dyDescent="0.25">
      <c r="A70" s="1">
        <v>4</v>
      </c>
      <c r="B70" s="1">
        <v>1</v>
      </c>
      <c r="C70" s="1">
        <v>4</v>
      </c>
    </row>
    <row r="71" spans="1:6" x14ac:dyDescent="0.25">
      <c r="A71" s="1">
        <v>3</v>
      </c>
      <c r="B71" s="1">
        <v>3</v>
      </c>
      <c r="C71" s="1">
        <v>3</v>
      </c>
    </row>
    <row r="72" spans="1:6" x14ac:dyDescent="0.25">
      <c r="A72" s="1">
        <v>5</v>
      </c>
      <c r="B72" s="1">
        <v>4</v>
      </c>
      <c r="C72" s="1">
        <v>5</v>
      </c>
    </row>
    <row r="73" spans="1:6" x14ac:dyDescent="0.25">
      <c r="A73" s="1">
        <v>4</v>
      </c>
      <c r="B73" s="1">
        <v>5</v>
      </c>
      <c r="C73" s="1">
        <v>4</v>
      </c>
      <c r="E73" t="s">
        <v>2</v>
      </c>
      <c r="F73">
        <f>F33/F63</f>
        <v>7.5035886728435183E-2</v>
      </c>
    </row>
    <row r="74" spans="1:6" x14ac:dyDescent="0.25">
      <c r="A74" s="1">
        <v>3</v>
      </c>
      <c r="B74" s="1">
        <v>5</v>
      </c>
      <c r="C74" s="1">
        <v>2</v>
      </c>
    </row>
    <row r="75" spans="1:6" x14ac:dyDescent="0.25">
      <c r="A75" s="1">
        <v>5</v>
      </c>
      <c r="B75" s="1">
        <v>4</v>
      </c>
      <c r="C75" s="1">
        <v>3</v>
      </c>
    </row>
    <row r="76" spans="1:6" x14ac:dyDescent="0.25">
      <c r="A76" s="1">
        <v>3</v>
      </c>
      <c r="B76" s="1">
        <v>4</v>
      </c>
      <c r="C76" s="1">
        <v>5</v>
      </c>
      <c r="E76" s="2" t="s">
        <v>34</v>
      </c>
      <c r="F76" s="2"/>
    </row>
    <row r="77" spans="1:6" x14ac:dyDescent="0.25">
      <c r="A77" s="1">
        <v>4</v>
      </c>
      <c r="B77" s="1">
        <v>2</v>
      </c>
      <c r="C77" s="1">
        <v>4</v>
      </c>
    </row>
    <row r="78" spans="1:6" x14ac:dyDescent="0.25">
      <c r="A78" s="1">
        <v>4</v>
      </c>
      <c r="B78" s="1">
        <v>3</v>
      </c>
      <c r="C78" s="1">
        <v>4</v>
      </c>
      <c r="E78" s="4" t="s">
        <v>32</v>
      </c>
      <c r="F78">
        <v>0.05</v>
      </c>
    </row>
    <row r="79" spans="1:6" x14ac:dyDescent="0.25">
      <c r="A79" s="1">
        <v>4</v>
      </c>
      <c r="B79" s="1">
        <v>3</v>
      </c>
      <c r="C79" s="1">
        <v>4</v>
      </c>
      <c r="E79" t="s">
        <v>0</v>
      </c>
      <c r="F79">
        <f xml:space="preserve"> F24</f>
        <v>2</v>
      </c>
    </row>
    <row r="80" spans="1:6" x14ac:dyDescent="0.25">
      <c r="A80" s="1">
        <v>4</v>
      </c>
      <c r="B80" s="1">
        <v>5</v>
      </c>
      <c r="C80" s="1">
        <v>4</v>
      </c>
      <c r="E80" t="s">
        <v>4</v>
      </c>
      <c r="F80">
        <f xml:space="preserve"> F53</f>
        <v>276</v>
      </c>
    </row>
    <row r="81" spans="1:6" x14ac:dyDescent="0.25">
      <c r="A81" s="1">
        <v>3</v>
      </c>
      <c r="B81" s="1">
        <v>2</v>
      </c>
      <c r="C81" s="1">
        <v>5</v>
      </c>
      <c r="E81" t="s">
        <v>33</v>
      </c>
      <c r="F81">
        <f>FINV(F78, F79, F80)</f>
        <v>3.0284848289066213</v>
      </c>
    </row>
    <row r="82" spans="1:6" x14ac:dyDescent="0.25">
      <c r="A82" s="1">
        <v>4</v>
      </c>
      <c r="B82" s="1">
        <v>3</v>
      </c>
      <c r="C82" s="1">
        <v>3</v>
      </c>
      <c r="E82" t="s">
        <v>35</v>
      </c>
      <c r="F82">
        <f>_xlfn.F.DIST.RT(F73, F79, F80)</f>
        <v>0.92772911181800011</v>
      </c>
    </row>
    <row r="83" spans="1:6" x14ac:dyDescent="0.25">
      <c r="A83" s="1">
        <v>3</v>
      </c>
      <c r="B83" s="1">
        <v>5</v>
      </c>
      <c r="C83" s="1">
        <v>3</v>
      </c>
    </row>
    <row r="84" spans="1:6" x14ac:dyDescent="0.25">
      <c r="A84" s="1">
        <v>3</v>
      </c>
      <c r="B84" s="1">
        <v>3</v>
      </c>
      <c r="C84" s="1">
        <v>3</v>
      </c>
      <c r="E84" s="2" t="s">
        <v>6</v>
      </c>
      <c r="F84" s="2"/>
    </row>
    <row r="85" spans="1:6" x14ac:dyDescent="0.25">
      <c r="A85" s="1">
        <v>3</v>
      </c>
      <c r="B85" s="1">
        <v>3</v>
      </c>
      <c r="C85" s="1">
        <v>3</v>
      </c>
    </row>
    <row r="86" spans="1:6" x14ac:dyDescent="0.25">
      <c r="A86" s="1">
        <v>1</v>
      </c>
      <c r="B86" s="1">
        <v>5</v>
      </c>
      <c r="C86" s="1">
        <v>5</v>
      </c>
      <c r="E86" t="s">
        <v>36</v>
      </c>
    </row>
    <row r="87" spans="1:6" x14ac:dyDescent="0.25">
      <c r="A87" s="1">
        <v>3</v>
      </c>
      <c r="B87" s="1">
        <v>3</v>
      </c>
      <c r="C87" s="1">
        <v>1</v>
      </c>
      <c r="E87" t="s">
        <v>37</v>
      </c>
    </row>
    <row r="88" spans="1:6" x14ac:dyDescent="0.25">
      <c r="A88" s="1">
        <v>4</v>
      </c>
      <c r="B88" s="1">
        <v>3</v>
      </c>
      <c r="C88" s="1">
        <v>2</v>
      </c>
    </row>
    <row r="89" spans="1:6" x14ac:dyDescent="0.25">
      <c r="A89" s="1">
        <v>5</v>
      </c>
      <c r="B89" s="1">
        <v>4</v>
      </c>
      <c r="C89" s="1">
        <v>2</v>
      </c>
      <c r="E89" t="str">
        <f>"Si F calculado ("&amp;F73&amp;") &gt; F critico ("&amp;F81&amp;") ---&gt; Se rechaza la hipotesis nula"</f>
        <v>Si F calculado (0.0750358867284352) &gt; F critico (3.02848482890662) ---&gt; Se rechaza la hipotesis nula</v>
      </c>
    </row>
    <row r="90" spans="1:6" x14ac:dyDescent="0.25">
      <c r="A90" s="1">
        <v>4</v>
      </c>
      <c r="B90" s="1">
        <v>1</v>
      </c>
      <c r="C90" s="1">
        <v>2</v>
      </c>
      <c r="E90" t="str">
        <f>"Si p-valor ("&amp;F82&amp;") &lt; α Nivel Significancia ("&amp;F78&amp;") ---&gt; Se rechaza la hipotesis nula"</f>
        <v>Si p-valor (0.927729111818) &lt; α Nivel Significancia (0.05) ---&gt; Se rechaza la hipotesis nula</v>
      </c>
    </row>
    <row r="91" spans="1:6" x14ac:dyDescent="0.25">
      <c r="A91" s="1">
        <v>3</v>
      </c>
      <c r="B91" s="1">
        <v>2</v>
      </c>
      <c r="C91" s="1">
        <v>2</v>
      </c>
    </row>
    <row r="92" spans="1:6" x14ac:dyDescent="0.25">
      <c r="A92" s="1">
        <v>5</v>
      </c>
      <c r="B92" s="1">
        <v>3</v>
      </c>
      <c r="C92" s="1">
        <v>3</v>
      </c>
    </row>
    <row r="93" spans="1:6" x14ac:dyDescent="0.25">
      <c r="A93" s="1">
        <v>3</v>
      </c>
      <c r="B93" s="1">
        <v>3</v>
      </c>
      <c r="C93" s="1">
        <v>4</v>
      </c>
    </row>
    <row r="94" spans="1:6" x14ac:dyDescent="0.25">
      <c r="A94" s="1">
        <v>3</v>
      </c>
      <c r="B94" s="1">
        <v>4</v>
      </c>
      <c r="C94" s="1">
        <v>3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G9" sqref="G9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 s="1">
        <v>3</v>
      </c>
      <c r="B2" s="1">
        <v>4</v>
      </c>
      <c r="C2" s="1">
        <v>2</v>
      </c>
      <c r="E2" s="2" t="s">
        <v>12</v>
      </c>
      <c r="F2" s="2"/>
    </row>
    <row r="3" spans="1:6" x14ac:dyDescent="0.25">
      <c r="A3" s="1">
        <v>3</v>
      </c>
      <c r="B3" s="1">
        <v>5</v>
      </c>
      <c r="C3" s="1">
        <v>3</v>
      </c>
      <c r="E3" t="s">
        <v>13</v>
      </c>
      <c r="F3">
        <f>COUNT(A:A)</f>
        <v>93</v>
      </c>
    </row>
    <row r="4" spans="1:6" x14ac:dyDescent="0.25">
      <c r="A4" s="1">
        <v>4</v>
      </c>
      <c r="B4" s="1">
        <v>2</v>
      </c>
      <c r="C4" s="1">
        <v>3</v>
      </c>
      <c r="E4" t="s">
        <v>7</v>
      </c>
      <c r="F4">
        <f>AVERAGE(A:A)</f>
        <v>3.161290322580645</v>
      </c>
    </row>
    <row r="5" spans="1:6" x14ac:dyDescent="0.25">
      <c r="A5" s="1">
        <v>4</v>
      </c>
      <c r="B5" s="1">
        <v>4</v>
      </c>
      <c r="C5" s="1">
        <v>4</v>
      </c>
      <c r="E5" t="s">
        <v>8</v>
      </c>
      <c r="F5">
        <f>AVERAGE(B:B)</f>
        <v>3.236559139784946</v>
      </c>
    </row>
    <row r="6" spans="1:6" x14ac:dyDescent="0.25">
      <c r="A6" s="1">
        <v>2</v>
      </c>
      <c r="B6" s="1">
        <v>4</v>
      </c>
      <c r="C6" s="1">
        <v>4</v>
      </c>
      <c r="E6" t="s">
        <v>9</v>
      </c>
      <c r="F6">
        <f>AVERAGE(C:C)</f>
        <v>3.5591397849462365</v>
      </c>
    </row>
    <row r="7" spans="1:6" x14ac:dyDescent="0.25">
      <c r="A7" s="1">
        <v>2</v>
      </c>
      <c r="B7" s="1">
        <v>5</v>
      </c>
      <c r="C7" s="1">
        <v>2</v>
      </c>
      <c r="E7" t="s">
        <v>14</v>
      </c>
      <c r="F7">
        <f>AVERAGE(F4:F6)</f>
        <v>3.3189964157706093</v>
      </c>
    </row>
    <row r="8" spans="1:6" x14ac:dyDescent="0.25">
      <c r="A8" s="1">
        <v>3</v>
      </c>
      <c r="B8" s="1">
        <v>4</v>
      </c>
      <c r="C8" s="1">
        <v>3</v>
      </c>
    </row>
    <row r="9" spans="1:6" x14ac:dyDescent="0.25">
      <c r="A9" s="1">
        <v>4</v>
      </c>
      <c r="B9" s="1">
        <v>3</v>
      </c>
      <c r="C9" s="1">
        <v>3</v>
      </c>
    </row>
    <row r="10" spans="1:6" x14ac:dyDescent="0.25">
      <c r="A10" s="1">
        <v>3</v>
      </c>
      <c r="B10" s="1">
        <v>3</v>
      </c>
      <c r="C10" s="1">
        <v>4</v>
      </c>
      <c r="E10" s="2" t="s">
        <v>11</v>
      </c>
      <c r="F10" s="2"/>
    </row>
    <row r="11" spans="1:6" x14ac:dyDescent="0.25">
      <c r="A11" s="1">
        <v>4</v>
      </c>
      <c r="B11" s="1">
        <v>4</v>
      </c>
      <c r="C11" s="1">
        <v>3</v>
      </c>
      <c r="E11" s="3" t="s">
        <v>16</v>
      </c>
    </row>
    <row r="12" spans="1:6" x14ac:dyDescent="0.25">
      <c r="A12" s="1">
        <v>5</v>
      </c>
      <c r="B12" s="1">
        <v>2</v>
      </c>
      <c r="C12" s="1">
        <v>4</v>
      </c>
      <c r="E12" s="3" t="s">
        <v>17</v>
      </c>
    </row>
    <row r="13" spans="1:6" x14ac:dyDescent="0.25">
      <c r="A13" s="1">
        <v>1</v>
      </c>
      <c r="B13" s="1">
        <v>2</v>
      </c>
      <c r="C13" s="1">
        <v>3</v>
      </c>
    </row>
    <row r="14" spans="1:6" x14ac:dyDescent="0.25">
      <c r="A14" s="1">
        <v>5</v>
      </c>
      <c r="B14" s="1">
        <v>2</v>
      </c>
      <c r="C14" s="1">
        <v>4</v>
      </c>
    </row>
    <row r="15" spans="1:6" x14ac:dyDescent="0.25">
      <c r="A15" s="1">
        <v>1</v>
      </c>
      <c r="B15" s="1">
        <v>4</v>
      </c>
      <c r="C15" s="1">
        <v>4</v>
      </c>
    </row>
    <row r="16" spans="1:6" x14ac:dyDescent="0.25">
      <c r="A16" s="1">
        <v>4</v>
      </c>
      <c r="B16" s="1">
        <v>4</v>
      </c>
      <c r="C16" s="1">
        <v>3</v>
      </c>
      <c r="E16" t="s">
        <v>10</v>
      </c>
      <c r="F16">
        <f>F3*((F4-F7)^2+(F5-F7)^2+(F6-F7)^2)</f>
        <v>8.3082437275985708</v>
      </c>
    </row>
    <row r="17" spans="1:6" x14ac:dyDescent="0.25">
      <c r="A17" s="1">
        <v>4</v>
      </c>
      <c r="B17" s="1">
        <v>1</v>
      </c>
      <c r="C17" s="1">
        <v>2</v>
      </c>
    </row>
    <row r="18" spans="1:6" x14ac:dyDescent="0.25">
      <c r="A18" s="1">
        <v>3</v>
      </c>
      <c r="B18" s="1">
        <v>2</v>
      </c>
      <c r="C18" s="1">
        <v>5</v>
      </c>
    </row>
    <row r="19" spans="1:6" x14ac:dyDescent="0.25">
      <c r="A19" s="1">
        <v>2</v>
      </c>
      <c r="B19" s="1">
        <v>5</v>
      </c>
      <c r="C19" s="1">
        <v>2</v>
      </c>
      <c r="E19" s="2" t="s">
        <v>18</v>
      </c>
      <c r="F19" s="2"/>
    </row>
    <row r="20" spans="1:6" x14ac:dyDescent="0.25">
      <c r="A20" s="1">
        <v>3</v>
      </c>
      <c r="B20" s="1">
        <v>5</v>
      </c>
      <c r="C20" s="1">
        <v>4</v>
      </c>
      <c r="E20" t="s">
        <v>19</v>
      </c>
    </row>
    <row r="21" spans="1:6" x14ac:dyDescent="0.25">
      <c r="A21" s="1">
        <v>2</v>
      </c>
      <c r="B21" s="1">
        <v>4</v>
      </c>
      <c r="C21" s="1">
        <v>4</v>
      </c>
      <c r="E21" t="s">
        <v>15</v>
      </c>
      <c r="F21" s="6">
        <v>3</v>
      </c>
    </row>
    <row r="22" spans="1:6" x14ac:dyDescent="0.25">
      <c r="A22" s="1">
        <v>3</v>
      </c>
      <c r="B22" s="1">
        <v>2</v>
      </c>
      <c r="C22" s="1">
        <v>5</v>
      </c>
    </row>
    <row r="23" spans="1:6" x14ac:dyDescent="0.25">
      <c r="A23" s="1">
        <v>3</v>
      </c>
      <c r="B23" s="1">
        <v>3</v>
      </c>
      <c r="C23" s="1">
        <v>4</v>
      </c>
    </row>
    <row r="24" spans="1:6" x14ac:dyDescent="0.25">
      <c r="A24" s="1">
        <v>2</v>
      </c>
      <c r="B24" s="1">
        <v>3</v>
      </c>
      <c r="C24" s="1">
        <v>3</v>
      </c>
      <c r="E24" t="s">
        <v>0</v>
      </c>
      <c r="F24">
        <f>F21-1</f>
        <v>2</v>
      </c>
    </row>
    <row r="25" spans="1:6" x14ac:dyDescent="0.25">
      <c r="A25" s="1">
        <v>4</v>
      </c>
      <c r="B25" s="1">
        <v>5</v>
      </c>
      <c r="C25" s="1">
        <v>5</v>
      </c>
    </row>
    <row r="26" spans="1:6" x14ac:dyDescent="0.25">
      <c r="A26" s="1">
        <v>3</v>
      </c>
      <c r="B26" s="1">
        <v>3</v>
      </c>
      <c r="C26" s="1">
        <v>3</v>
      </c>
    </row>
    <row r="27" spans="1:6" x14ac:dyDescent="0.25">
      <c r="A27" s="1">
        <v>4</v>
      </c>
      <c r="B27" s="1">
        <v>2</v>
      </c>
      <c r="C27" s="1">
        <v>2</v>
      </c>
      <c r="E27" s="2" t="s">
        <v>20</v>
      </c>
      <c r="F27" s="2"/>
    </row>
    <row r="28" spans="1:6" x14ac:dyDescent="0.25">
      <c r="A28" s="1">
        <v>1</v>
      </c>
      <c r="B28" s="1">
        <v>4</v>
      </c>
      <c r="C28" s="1">
        <v>5</v>
      </c>
      <c r="E28" t="s">
        <v>21</v>
      </c>
    </row>
    <row r="29" spans="1:6" x14ac:dyDescent="0.25">
      <c r="A29" s="1">
        <v>1</v>
      </c>
      <c r="B29" s="1">
        <v>2</v>
      </c>
      <c r="C29" s="1">
        <v>3</v>
      </c>
    </row>
    <row r="30" spans="1:6" x14ac:dyDescent="0.25">
      <c r="A30" s="1">
        <v>5</v>
      </c>
      <c r="B30" s="1">
        <v>1</v>
      </c>
      <c r="C30" s="1">
        <v>4</v>
      </c>
    </row>
    <row r="31" spans="1:6" x14ac:dyDescent="0.25">
      <c r="A31" s="1">
        <v>3</v>
      </c>
      <c r="B31" s="1">
        <v>4</v>
      </c>
      <c r="C31" s="1">
        <v>3</v>
      </c>
    </row>
    <row r="32" spans="1:6" x14ac:dyDescent="0.25">
      <c r="A32" s="1">
        <v>1</v>
      </c>
      <c r="B32" s="1">
        <v>3</v>
      </c>
      <c r="C32" s="1">
        <v>4</v>
      </c>
    </row>
    <row r="33" spans="1:6" x14ac:dyDescent="0.25">
      <c r="A33" s="1">
        <v>4</v>
      </c>
      <c r="B33" s="1">
        <v>4</v>
      </c>
      <c r="C33" s="1">
        <v>5</v>
      </c>
      <c r="E33" t="s">
        <v>1</v>
      </c>
      <c r="F33">
        <f>F16/F24</f>
        <v>4.1541218637992854</v>
      </c>
    </row>
    <row r="34" spans="1:6" x14ac:dyDescent="0.25">
      <c r="A34" s="1">
        <v>3</v>
      </c>
      <c r="B34" s="1">
        <v>2</v>
      </c>
      <c r="C34" s="1">
        <v>5</v>
      </c>
    </row>
    <row r="35" spans="1:6" x14ac:dyDescent="0.25">
      <c r="A35" s="1">
        <v>1</v>
      </c>
      <c r="B35" s="1">
        <v>3</v>
      </c>
      <c r="C35" s="1">
        <v>5</v>
      </c>
    </row>
    <row r="36" spans="1:6" x14ac:dyDescent="0.25">
      <c r="A36" s="1">
        <v>5</v>
      </c>
      <c r="B36" s="1">
        <v>3</v>
      </c>
      <c r="C36" s="1">
        <v>5</v>
      </c>
      <c r="E36" s="2" t="s">
        <v>25</v>
      </c>
      <c r="F36" s="2"/>
    </row>
    <row r="37" spans="1:6" x14ac:dyDescent="0.25">
      <c r="A37" s="1">
        <v>3</v>
      </c>
      <c r="B37" s="1">
        <v>2</v>
      </c>
      <c r="C37" s="1">
        <v>3</v>
      </c>
      <c r="E37" t="s">
        <v>22</v>
      </c>
    </row>
    <row r="38" spans="1:6" x14ac:dyDescent="0.25">
      <c r="A38" s="1">
        <v>4</v>
      </c>
      <c r="B38" s="1">
        <v>4</v>
      </c>
      <c r="C38" s="1">
        <v>2</v>
      </c>
      <c r="E38" t="s">
        <v>23</v>
      </c>
    </row>
    <row r="39" spans="1:6" x14ac:dyDescent="0.25">
      <c r="A39" s="1">
        <v>1</v>
      </c>
      <c r="B39" s="1">
        <v>1</v>
      </c>
      <c r="C39" s="1">
        <v>2</v>
      </c>
    </row>
    <row r="40" spans="1:6" x14ac:dyDescent="0.25">
      <c r="A40" s="1">
        <v>1</v>
      </c>
      <c r="B40" s="1">
        <v>3</v>
      </c>
      <c r="C40" s="1">
        <v>3</v>
      </c>
    </row>
    <row r="41" spans="1:6" x14ac:dyDescent="0.25">
      <c r="A41" s="1">
        <v>1</v>
      </c>
      <c r="B41" s="1">
        <v>5</v>
      </c>
      <c r="C41" s="1">
        <v>5</v>
      </c>
    </row>
    <row r="42" spans="1:6" x14ac:dyDescent="0.25">
      <c r="A42" s="1">
        <v>4</v>
      </c>
      <c r="B42" s="1">
        <v>3</v>
      </c>
      <c r="C42" s="1">
        <v>4</v>
      </c>
    </row>
    <row r="43" spans="1:6" x14ac:dyDescent="0.25">
      <c r="A43" s="1">
        <v>2</v>
      </c>
      <c r="B43" s="1">
        <v>2</v>
      </c>
      <c r="C43" s="1">
        <v>4</v>
      </c>
      <c r="E43" t="s">
        <v>3</v>
      </c>
      <c r="F43">
        <f>DEVSQ(A:A)+DEVSQ(B:B)+DEVSQ(C:C)</f>
        <v>384.30107526881727</v>
      </c>
    </row>
    <row r="44" spans="1:6" x14ac:dyDescent="0.25">
      <c r="A44" s="1">
        <v>2</v>
      </c>
      <c r="B44" s="1">
        <v>4</v>
      </c>
      <c r="C44" s="1">
        <v>4</v>
      </c>
    </row>
    <row r="45" spans="1:6" x14ac:dyDescent="0.25">
      <c r="A45" s="1">
        <v>4</v>
      </c>
      <c r="B45" s="1">
        <v>2</v>
      </c>
      <c r="C45" s="1">
        <v>3</v>
      </c>
    </row>
    <row r="46" spans="1:6" x14ac:dyDescent="0.25">
      <c r="A46" s="1">
        <v>2</v>
      </c>
      <c r="B46" s="1">
        <v>2</v>
      </c>
      <c r="C46" s="1">
        <v>3</v>
      </c>
      <c r="E46" s="2" t="s">
        <v>24</v>
      </c>
      <c r="F46" s="2"/>
    </row>
    <row r="47" spans="1:6" x14ac:dyDescent="0.25">
      <c r="A47" s="1">
        <v>5</v>
      </c>
      <c r="B47" s="1">
        <v>4</v>
      </c>
      <c r="C47" s="1">
        <v>4</v>
      </c>
      <c r="E47" t="s">
        <v>26</v>
      </c>
      <c r="F47">
        <f>COUNT(A:A,B:B,C:C,#REF!)</f>
        <v>279</v>
      </c>
    </row>
    <row r="48" spans="1:6" x14ac:dyDescent="0.25">
      <c r="A48" s="1">
        <v>3</v>
      </c>
      <c r="B48" s="1">
        <v>1</v>
      </c>
      <c r="C48" s="1">
        <v>4</v>
      </c>
      <c r="E48" t="s">
        <v>15</v>
      </c>
      <c r="F48">
        <f>F21</f>
        <v>3</v>
      </c>
    </row>
    <row r="49" spans="1:6" x14ac:dyDescent="0.25">
      <c r="A49" s="1">
        <v>4</v>
      </c>
      <c r="B49" s="1">
        <v>5</v>
      </c>
      <c r="C49" s="1">
        <v>2</v>
      </c>
    </row>
    <row r="50" spans="1:6" x14ac:dyDescent="0.25">
      <c r="A50" s="1">
        <v>5</v>
      </c>
      <c r="B50" s="1">
        <v>4</v>
      </c>
      <c r="C50" s="1">
        <v>3</v>
      </c>
    </row>
    <row r="51" spans="1:6" x14ac:dyDescent="0.25">
      <c r="A51" s="1">
        <v>5</v>
      </c>
      <c r="B51" s="1">
        <v>5</v>
      </c>
      <c r="C51" s="1">
        <v>4</v>
      </c>
    </row>
    <row r="52" spans="1:6" x14ac:dyDescent="0.25">
      <c r="A52" s="1">
        <v>3</v>
      </c>
      <c r="B52" s="1">
        <v>2</v>
      </c>
      <c r="C52" s="1">
        <v>2</v>
      </c>
    </row>
    <row r="53" spans="1:6" x14ac:dyDescent="0.25">
      <c r="A53" s="1">
        <v>4</v>
      </c>
      <c r="B53" s="1">
        <v>3</v>
      </c>
      <c r="C53" s="1">
        <v>1</v>
      </c>
      <c r="E53" t="s">
        <v>4</v>
      </c>
      <c r="F53">
        <f>F47-F48</f>
        <v>276</v>
      </c>
    </row>
    <row r="54" spans="1:6" x14ac:dyDescent="0.25">
      <c r="A54" s="1">
        <v>3</v>
      </c>
      <c r="B54" s="1">
        <v>5</v>
      </c>
      <c r="C54" s="1">
        <v>4</v>
      </c>
    </row>
    <row r="55" spans="1:6" x14ac:dyDescent="0.25">
      <c r="A55" s="1">
        <v>5</v>
      </c>
      <c r="B55" s="1">
        <v>4</v>
      </c>
      <c r="C55" s="1">
        <v>4</v>
      </c>
    </row>
    <row r="56" spans="1:6" x14ac:dyDescent="0.25">
      <c r="A56" s="1">
        <v>4</v>
      </c>
      <c r="B56" s="1">
        <v>3</v>
      </c>
      <c r="C56" s="1">
        <v>3</v>
      </c>
      <c r="E56" s="2" t="s">
        <v>27</v>
      </c>
      <c r="F56" s="2"/>
    </row>
    <row r="57" spans="1:6" x14ac:dyDescent="0.25">
      <c r="A57" s="1">
        <v>3</v>
      </c>
      <c r="B57" s="1">
        <v>5</v>
      </c>
      <c r="C57" s="1">
        <v>1</v>
      </c>
      <c r="E57" t="s">
        <v>28</v>
      </c>
    </row>
    <row r="58" spans="1:6" x14ac:dyDescent="0.25">
      <c r="A58" s="1">
        <v>2</v>
      </c>
      <c r="B58" s="1">
        <v>2</v>
      </c>
      <c r="C58" s="1">
        <v>2</v>
      </c>
    </row>
    <row r="59" spans="1:6" x14ac:dyDescent="0.25">
      <c r="A59" s="1">
        <v>4</v>
      </c>
      <c r="B59" s="1">
        <v>2</v>
      </c>
      <c r="C59" s="1">
        <v>5</v>
      </c>
    </row>
    <row r="60" spans="1:6" x14ac:dyDescent="0.25">
      <c r="A60" s="1">
        <v>3</v>
      </c>
      <c r="B60" s="1">
        <v>3</v>
      </c>
      <c r="C60" s="1">
        <v>4</v>
      </c>
    </row>
    <row r="61" spans="1:6" x14ac:dyDescent="0.25">
      <c r="A61" s="1">
        <v>2</v>
      </c>
      <c r="B61" s="1">
        <v>1</v>
      </c>
      <c r="C61" s="1">
        <v>3</v>
      </c>
    </row>
    <row r="62" spans="1:6" x14ac:dyDescent="0.25">
      <c r="A62" s="1">
        <v>3</v>
      </c>
      <c r="B62" s="1">
        <v>4</v>
      </c>
      <c r="C62" s="1">
        <v>3</v>
      </c>
    </row>
    <row r="63" spans="1:6" x14ac:dyDescent="0.25">
      <c r="A63" s="1">
        <v>4</v>
      </c>
      <c r="B63" s="1">
        <v>1</v>
      </c>
      <c r="C63" s="1">
        <v>5</v>
      </c>
      <c r="E63" t="s">
        <v>5</v>
      </c>
      <c r="F63">
        <f>F43/F53</f>
        <v>1.392395200249338</v>
      </c>
    </row>
    <row r="64" spans="1:6" x14ac:dyDescent="0.25">
      <c r="A64" s="1">
        <v>5</v>
      </c>
      <c r="B64" s="1">
        <v>3</v>
      </c>
      <c r="C64" s="1">
        <v>2</v>
      </c>
    </row>
    <row r="65" spans="1:6" x14ac:dyDescent="0.25">
      <c r="A65" s="1">
        <v>2</v>
      </c>
      <c r="B65" s="1">
        <v>3</v>
      </c>
      <c r="C65" s="1">
        <v>3</v>
      </c>
    </row>
    <row r="66" spans="1:6" x14ac:dyDescent="0.25">
      <c r="A66" s="1">
        <v>5</v>
      </c>
      <c r="B66" s="1">
        <v>5</v>
      </c>
      <c r="C66" s="1">
        <v>2</v>
      </c>
      <c r="E66" s="2" t="s">
        <v>29</v>
      </c>
      <c r="F66" s="2"/>
    </row>
    <row r="67" spans="1:6" x14ac:dyDescent="0.25">
      <c r="A67" s="1">
        <v>2</v>
      </c>
      <c r="B67" s="1">
        <v>2</v>
      </c>
      <c r="C67" s="1">
        <v>2</v>
      </c>
      <c r="E67" t="s">
        <v>30</v>
      </c>
    </row>
    <row r="68" spans="1:6" x14ac:dyDescent="0.25">
      <c r="A68" s="1">
        <v>3</v>
      </c>
      <c r="B68" s="1">
        <v>4</v>
      </c>
      <c r="C68" s="1">
        <v>3</v>
      </c>
      <c r="E68" t="s">
        <v>31</v>
      </c>
    </row>
    <row r="69" spans="1:6" x14ac:dyDescent="0.25">
      <c r="A69" s="1">
        <v>1</v>
      </c>
      <c r="B69" s="1">
        <v>5</v>
      </c>
      <c r="C69" s="1">
        <v>4</v>
      </c>
    </row>
    <row r="70" spans="1:6" x14ac:dyDescent="0.25">
      <c r="A70" s="1">
        <v>2</v>
      </c>
      <c r="B70" s="1">
        <v>5</v>
      </c>
      <c r="C70" s="1">
        <v>3</v>
      </c>
    </row>
    <row r="71" spans="1:6" x14ac:dyDescent="0.25">
      <c r="A71" s="1">
        <v>1</v>
      </c>
      <c r="B71" s="1">
        <v>3</v>
      </c>
      <c r="C71" s="1">
        <v>5</v>
      </c>
    </row>
    <row r="72" spans="1:6" x14ac:dyDescent="0.25">
      <c r="A72" s="1">
        <v>4</v>
      </c>
      <c r="B72" s="1">
        <v>3</v>
      </c>
      <c r="C72" s="1">
        <v>3</v>
      </c>
    </row>
    <row r="73" spans="1:6" x14ac:dyDescent="0.25">
      <c r="A73" s="1">
        <v>3</v>
      </c>
      <c r="B73" s="1">
        <v>3</v>
      </c>
      <c r="C73" s="1">
        <v>5</v>
      </c>
      <c r="E73" t="s">
        <v>2</v>
      </c>
      <c r="F73">
        <f>F33/F63</f>
        <v>2.9834359261331849</v>
      </c>
    </row>
    <row r="74" spans="1:6" x14ac:dyDescent="0.25">
      <c r="A74" s="1">
        <v>4</v>
      </c>
      <c r="B74" s="1">
        <v>2</v>
      </c>
      <c r="C74" s="1">
        <v>3</v>
      </c>
    </row>
    <row r="75" spans="1:6" x14ac:dyDescent="0.25">
      <c r="A75" s="1">
        <v>4</v>
      </c>
      <c r="B75" s="1">
        <v>5</v>
      </c>
      <c r="C75" s="1">
        <v>4</v>
      </c>
    </row>
    <row r="76" spans="1:6" x14ac:dyDescent="0.25">
      <c r="A76" s="1">
        <v>3</v>
      </c>
      <c r="B76" s="1">
        <v>3</v>
      </c>
      <c r="C76" s="1">
        <v>5</v>
      </c>
      <c r="E76" s="2" t="s">
        <v>34</v>
      </c>
      <c r="F76" s="2"/>
    </row>
    <row r="77" spans="1:6" x14ac:dyDescent="0.25">
      <c r="A77" s="1">
        <v>2</v>
      </c>
      <c r="B77" s="1">
        <v>5</v>
      </c>
      <c r="C77" s="1">
        <v>5</v>
      </c>
    </row>
    <row r="78" spans="1:6" x14ac:dyDescent="0.25">
      <c r="A78" s="1">
        <v>1</v>
      </c>
      <c r="B78" s="1">
        <v>2</v>
      </c>
      <c r="C78" s="1">
        <v>5</v>
      </c>
      <c r="E78" s="4" t="s">
        <v>32</v>
      </c>
      <c r="F78">
        <v>0.05</v>
      </c>
    </row>
    <row r="79" spans="1:6" x14ac:dyDescent="0.25">
      <c r="A79" s="1">
        <v>3</v>
      </c>
      <c r="B79" s="1">
        <v>2</v>
      </c>
      <c r="C79" s="1">
        <v>3</v>
      </c>
      <c r="E79" t="s">
        <v>0</v>
      </c>
      <c r="F79">
        <f xml:space="preserve"> F24</f>
        <v>2</v>
      </c>
    </row>
    <row r="80" spans="1:6" x14ac:dyDescent="0.25">
      <c r="A80" s="1">
        <v>4</v>
      </c>
      <c r="B80" s="1">
        <v>3</v>
      </c>
      <c r="C80" s="1">
        <v>3</v>
      </c>
      <c r="E80" t="s">
        <v>4</v>
      </c>
      <c r="F80">
        <f xml:space="preserve"> F53</f>
        <v>276</v>
      </c>
    </row>
    <row r="81" spans="1:6" x14ac:dyDescent="0.25">
      <c r="A81" s="1">
        <v>4</v>
      </c>
      <c r="B81" s="1">
        <v>3</v>
      </c>
      <c r="C81" s="1">
        <v>3</v>
      </c>
      <c r="E81" t="s">
        <v>33</v>
      </c>
      <c r="F81">
        <f>FINV(F78, F79, F80)</f>
        <v>3.0284848289066213</v>
      </c>
    </row>
    <row r="82" spans="1:6" x14ac:dyDescent="0.25">
      <c r="A82" s="1">
        <v>3</v>
      </c>
      <c r="B82" s="1">
        <v>4</v>
      </c>
      <c r="C82" s="1">
        <v>5</v>
      </c>
      <c r="E82" t="s">
        <v>35</v>
      </c>
      <c r="F82">
        <f>_xlfn.F.DIST.RT(F73, F79, F80)</f>
        <v>5.2253744720271667E-2</v>
      </c>
    </row>
    <row r="83" spans="1:6" x14ac:dyDescent="0.25">
      <c r="A83" s="1">
        <v>4</v>
      </c>
      <c r="B83" s="1">
        <v>3</v>
      </c>
      <c r="C83" s="1">
        <v>5</v>
      </c>
    </row>
    <row r="84" spans="1:6" x14ac:dyDescent="0.25">
      <c r="A84" s="1">
        <v>5</v>
      </c>
      <c r="B84" s="1">
        <v>2</v>
      </c>
      <c r="C84" s="1">
        <v>5</v>
      </c>
      <c r="E84" s="2" t="s">
        <v>6</v>
      </c>
      <c r="F84" s="2"/>
    </row>
    <row r="85" spans="1:6" x14ac:dyDescent="0.25">
      <c r="A85" s="1">
        <v>4</v>
      </c>
      <c r="B85" s="1">
        <v>4</v>
      </c>
      <c r="C85" s="1">
        <v>5</v>
      </c>
    </row>
    <row r="86" spans="1:6" x14ac:dyDescent="0.25">
      <c r="A86" s="1">
        <v>4</v>
      </c>
      <c r="B86" s="1">
        <v>4</v>
      </c>
      <c r="C86" s="1">
        <v>2</v>
      </c>
      <c r="E86" t="s">
        <v>36</v>
      </c>
    </row>
    <row r="87" spans="1:6" x14ac:dyDescent="0.25">
      <c r="A87" s="1">
        <v>4</v>
      </c>
      <c r="B87" s="1">
        <v>3</v>
      </c>
      <c r="C87" s="1">
        <v>4</v>
      </c>
      <c r="E87" t="s">
        <v>37</v>
      </c>
    </row>
    <row r="88" spans="1:6" x14ac:dyDescent="0.25">
      <c r="A88" s="1">
        <v>4</v>
      </c>
      <c r="B88" s="1">
        <v>2</v>
      </c>
      <c r="C88" s="1">
        <v>4</v>
      </c>
    </row>
    <row r="89" spans="1:6" x14ac:dyDescent="0.25">
      <c r="A89" s="1">
        <v>5</v>
      </c>
      <c r="B89" s="1">
        <v>4</v>
      </c>
      <c r="C89" s="1">
        <v>5</v>
      </c>
      <c r="E89" t="str">
        <f>"Si F calculado ("&amp;F73&amp;") &gt; F critico ("&amp;F81&amp;") ---&gt; Se rechaza la hipotesis nula"</f>
        <v>Si F calculado (2.98343592613318) &gt; F critico (3.02848482890662) ---&gt; Se rechaza la hipotesis nula</v>
      </c>
    </row>
    <row r="90" spans="1:6" x14ac:dyDescent="0.25">
      <c r="A90" s="1">
        <v>5</v>
      </c>
      <c r="B90" s="1">
        <v>5</v>
      </c>
      <c r="C90" s="1">
        <v>4</v>
      </c>
      <c r="E90" t="str">
        <f>"Si p-valor ("&amp;F82&amp;") &lt; α Nivel Significancia ("&amp;F78&amp;") ---&gt; Se rechaza la hipotesis nula"</f>
        <v>Si p-valor (0.0522537447202717) &lt; α Nivel Significancia (0.05) ---&gt; Se rechaza la hipotesis nula</v>
      </c>
    </row>
    <row r="91" spans="1:6" x14ac:dyDescent="0.25">
      <c r="A91" s="1">
        <v>1</v>
      </c>
      <c r="B91" s="1">
        <v>3</v>
      </c>
      <c r="C91" s="1">
        <v>3</v>
      </c>
    </row>
    <row r="92" spans="1:6" x14ac:dyDescent="0.25">
      <c r="A92" s="1">
        <v>4</v>
      </c>
      <c r="B92" s="1">
        <v>2</v>
      </c>
      <c r="C92" s="1">
        <v>3</v>
      </c>
    </row>
    <row r="93" spans="1:6" x14ac:dyDescent="0.25">
      <c r="A93" s="1">
        <v>4</v>
      </c>
      <c r="B93" s="1">
        <v>5</v>
      </c>
      <c r="C93" s="1">
        <v>4</v>
      </c>
    </row>
    <row r="94" spans="1:6" x14ac:dyDescent="0.25">
      <c r="A94" s="1">
        <v>3</v>
      </c>
      <c r="B94" s="1">
        <v>4</v>
      </c>
      <c r="C94" s="1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2026-03-24T02:19:28Z</dcterms:created>
  <dcterms:modified xsi:type="dcterms:W3CDTF">2026-06-01T18:51:16Z</dcterms:modified>
</cp:coreProperties>
</file>
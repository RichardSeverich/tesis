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 tabRatio="880"/>
  </bookViews>
  <sheets>
    <sheet name="Resumen" sheetId="13" r:id="rId1"/>
    <sheet name="Participas-actividades" sheetId="1" r:id="rId2"/>
    <sheet name="Comprensión-contenidos" sheetId="2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7" r:id="rId8"/>
    <sheet name="Nivel-comprensión" sheetId="8" r:id="rId9"/>
    <sheet name="Habilidades-tareas" sheetId="9" r:id="rId10"/>
    <sheet name="Resolución-problemas" sheetId="10" r:id="rId11"/>
    <sheet name="Motivación" sheetId="11" r:id="rId12"/>
  </sheets>
  <calcPr calcId="152511"/>
</workbook>
</file>

<file path=xl/calcChain.xml><?xml version="1.0" encoding="utf-8"?>
<calcChain xmlns="http://schemas.openxmlformats.org/spreadsheetml/2006/main">
  <c r="E2" i="13" l="1"/>
  <c r="D2" i="13"/>
  <c r="B2" i="13"/>
  <c r="F12" i="13" l="1"/>
  <c r="F11" i="13"/>
  <c r="F10" i="13"/>
  <c r="F9" i="13"/>
  <c r="F8" i="13"/>
  <c r="F7" i="13"/>
  <c r="F6" i="13"/>
  <c r="F5" i="13"/>
  <c r="F4" i="13"/>
  <c r="F3" i="13"/>
  <c r="F2" i="13"/>
  <c r="E12" i="13"/>
  <c r="E11" i="13"/>
  <c r="E10" i="13"/>
  <c r="E9" i="13"/>
  <c r="E8" i="13"/>
  <c r="E7" i="13"/>
  <c r="E6" i="13"/>
  <c r="E5" i="13"/>
  <c r="E4" i="13"/>
  <c r="E3" i="13"/>
  <c r="D12" i="13"/>
  <c r="D11" i="13"/>
  <c r="D10" i="13"/>
  <c r="D9" i="13"/>
  <c r="D8" i="13"/>
  <c r="D7" i="13"/>
  <c r="D6" i="13"/>
  <c r="D5" i="13"/>
  <c r="D4" i="13"/>
  <c r="D3" i="13"/>
  <c r="C12" i="13"/>
  <c r="C11" i="13"/>
  <c r="C10" i="13"/>
  <c r="C9" i="13"/>
  <c r="C8" i="13"/>
  <c r="C7" i="13"/>
  <c r="C5" i="13"/>
  <c r="C6" i="13"/>
  <c r="C4" i="13"/>
  <c r="C3" i="13"/>
  <c r="C2" i="13"/>
  <c r="B7" i="13"/>
  <c r="B12" i="13"/>
  <c r="B11" i="13"/>
  <c r="B10" i="13"/>
  <c r="B9" i="13"/>
  <c r="B8" i="13"/>
  <c r="B6" i="13"/>
  <c r="B5" i="13"/>
  <c r="B4" i="13"/>
  <c r="B3" i="13"/>
  <c r="C77" i="11" l="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G4" i="8"/>
  <c r="G18" i="8" s="1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G30" i="7"/>
  <c r="G29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0" i="6"/>
  <c r="C3" i="6"/>
  <c r="C2" i="6"/>
  <c r="C92" i="6"/>
  <c r="C91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3" i="6"/>
  <c r="C94" i="6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G30" i="11" l="1"/>
  <c r="F48" i="11" s="1"/>
  <c r="G29" i="11"/>
  <c r="F47" i="11" s="1"/>
  <c r="G30" i="10"/>
  <c r="F48" i="10" s="1"/>
  <c r="G29" i="10"/>
  <c r="F47" i="10" s="1"/>
  <c r="G30" i="9"/>
  <c r="F48" i="9" s="1"/>
  <c r="G29" i="9"/>
  <c r="F47" i="9" s="1"/>
  <c r="G30" i="8"/>
  <c r="F48" i="8" s="1"/>
  <c r="G29" i="8"/>
  <c r="F47" i="8" s="1"/>
  <c r="F48" i="7"/>
  <c r="F47" i="7"/>
  <c r="G30" i="6"/>
  <c r="F48" i="6" s="1"/>
  <c r="G29" i="6"/>
  <c r="F47" i="6" s="1"/>
  <c r="G30" i="5"/>
  <c r="F48" i="5" s="1"/>
  <c r="G29" i="5"/>
  <c r="F47" i="5" s="1"/>
  <c r="G30" i="4"/>
  <c r="F48" i="4" s="1"/>
  <c r="G29" i="4"/>
  <c r="F47" i="4" s="1"/>
  <c r="G30" i="3"/>
  <c r="F48" i="3" s="1"/>
  <c r="G29" i="3"/>
  <c r="F47" i="3" s="1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G30" i="2"/>
  <c r="F48" i="2" s="1"/>
  <c r="G29" i="2"/>
  <c r="F47" i="2" s="1"/>
  <c r="G4" i="1"/>
  <c r="G18" i="1" s="1"/>
  <c r="G24" i="1" s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76" i="1"/>
  <c r="G23" i="1" l="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G4" i="11"/>
  <c r="G18" i="11" s="1"/>
  <c r="C4" i="11"/>
  <c r="C3" i="11"/>
  <c r="C2" i="11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G4" i="10"/>
  <c r="G18" i="10" s="1"/>
  <c r="C4" i="10"/>
  <c r="C3" i="10"/>
  <c r="C2" i="10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G4" i="9"/>
  <c r="G18" i="9" s="1"/>
  <c r="C4" i="9"/>
  <c r="C3" i="9"/>
  <c r="C2" i="9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G4" i="7"/>
  <c r="G18" i="7" s="1"/>
  <c r="C4" i="7"/>
  <c r="C3" i="7"/>
  <c r="C2" i="7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G4" i="6"/>
  <c r="G18" i="6" s="1"/>
  <c r="C4" i="6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G4" i="5"/>
  <c r="G18" i="5" s="1"/>
  <c r="C4" i="5"/>
  <c r="C3" i="5"/>
  <c r="C2" i="5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4" i="4"/>
  <c r="G18" i="4" s="1"/>
  <c r="C4" i="4"/>
  <c r="C3" i="4"/>
  <c r="C2" i="4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4" i="3"/>
  <c r="G18" i="3" s="1"/>
  <c r="C4" i="3"/>
  <c r="C3" i="3"/>
  <c r="C2" i="3"/>
  <c r="G5" i="8" l="1"/>
  <c r="G6" i="8" s="1"/>
  <c r="G24" i="11"/>
  <c r="G23" i="11"/>
  <c r="G24" i="10"/>
  <c r="G23" i="10"/>
  <c r="G24" i="9"/>
  <c r="G23" i="9"/>
  <c r="G24" i="7"/>
  <c r="G23" i="7"/>
  <c r="G24" i="8"/>
  <c r="G23" i="8"/>
  <c r="G24" i="6"/>
  <c r="G23" i="6"/>
  <c r="G24" i="5"/>
  <c r="G23" i="5"/>
  <c r="G24" i="4"/>
  <c r="G23" i="4"/>
  <c r="G23" i="3"/>
  <c r="G24" i="3"/>
  <c r="G5" i="11"/>
  <c r="G6" i="11" s="1"/>
  <c r="G5" i="10"/>
  <c r="G6" i="10" s="1"/>
  <c r="G5" i="9"/>
  <c r="G6" i="9" s="1"/>
  <c r="G5" i="7"/>
  <c r="G6" i="7" s="1"/>
  <c r="G5" i="6"/>
  <c r="G6" i="6" s="1"/>
  <c r="G5" i="5"/>
  <c r="G6" i="5" s="1"/>
  <c r="G5" i="4"/>
  <c r="G6" i="4" s="1"/>
  <c r="G5" i="3"/>
  <c r="G6" i="3" s="1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4" i="2"/>
  <c r="G18" i="2" s="1"/>
  <c r="C4" i="2"/>
  <c r="C3" i="2"/>
  <c r="C2" i="2"/>
  <c r="D45" i="11" l="1"/>
  <c r="D77" i="11"/>
  <c r="D81" i="11"/>
  <c r="D85" i="11"/>
  <c r="D89" i="11"/>
  <c r="D93" i="11"/>
  <c r="D78" i="11"/>
  <c r="D82" i="11"/>
  <c r="D86" i="11"/>
  <c r="D90" i="11"/>
  <c r="D94" i="11"/>
  <c r="D88" i="11"/>
  <c r="D87" i="11"/>
  <c r="D84" i="11"/>
  <c r="D83" i="11"/>
  <c r="D80" i="11"/>
  <c r="D79" i="11"/>
  <c r="D92" i="11"/>
  <c r="D91" i="11"/>
  <c r="D77" i="10"/>
  <c r="D81" i="10"/>
  <c r="D85" i="10"/>
  <c r="D89" i="10"/>
  <c r="D93" i="10"/>
  <c r="D78" i="10"/>
  <c r="D82" i="10"/>
  <c r="D86" i="10"/>
  <c r="D90" i="10"/>
  <c r="D94" i="10"/>
  <c r="D92" i="10"/>
  <c r="D91" i="10"/>
  <c r="D88" i="10"/>
  <c r="D87" i="10"/>
  <c r="D80" i="10"/>
  <c r="D79" i="10"/>
  <c r="D84" i="10"/>
  <c r="D83" i="10"/>
  <c r="D61" i="9"/>
  <c r="D77" i="9"/>
  <c r="D81" i="9"/>
  <c r="D85" i="9"/>
  <c r="D89" i="9"/>
  <c r="D93" i="9"/>
  <c r="D78" i="9"/>
  <c r="D82" i="9"/>
  <c r="D86" i="9"/>
  <c r="D90" i="9"/>
  <c r="D94" i="9"/>
  <c r="D88" i="9"/>
  <c r="D87" i="9"/>
  <c r="D84" i="9"/>
  <c r="D83" i="9"/>
  <c r="D80" i="9"/>
  <c r="D79" i="9"/>
  <c r="D92" i="9"/>
  <c r="D91" i="9"/>
  <c r="D61" i="5"/>
  <c r="D78" i="5"/>
  <c r="D82" i="5"/>
  <c r="D86" i="5"/>
  <c r="D90" i="5"/>
  <c r="D94" i="5"/>
  <c r="D79" i="5"/>
  <c r="D83" i="5"/>
  <c r="D87" i="5"/>
  <c r="D91" i="5"/>
  <c r="D93" i="5"/>
  <c r="D77" i="5"/>
  <c r="D80" i="5"/>
  <c r="D89" i="5"/>
  <c r="D92" i="5"/>
  <c r="D81" i="5"/>
  <c r="D84" i="5"/>
  <c r="D85" i="5"/>
  <c r="D88" i="5"/>
  <c r="D26" i="4"/>
  <c r="D77" i="4"/>
  <c r="D81" i="4"/>
  <c r="D85" i="4"/>
  <c r="D89" i="4"/>
  <c r="D93" i="4"/>
  <c r="D78" i="4"/>
  <c r="D82" i="4"/>
  <c r="D86" i="4"/>
  <c r="D90" i="4"/>
  <c r="D94" i="4"/>
  <c r="D91" i="4"/>
  <c r="D92" i="4"/>
  <c r="D87" i="4"/>
  <c r="D88" i="4"/>
  <c r="D79" i="4"/>
  <c r="D80" i="4"/>
  <c r="D83" i="4"/>
  <c r="D84" i="4"/>
  <c r="D33" i="4"/>
  <c r="D52" i="11"/>
  <c r="D79" i="8"/>
  <c r="D83" i="8"/>
  <c r="D87" i="8"/>
  <c r="D91" i="8"/>
  <c r="D81" i="8"/>
  <c r="D89" i="8"/>
  <c r="D78" i="8"/>
  <c r="D86" i="8"/>
  <c r="D90" i="8"/>
  <c r="D80" i="8"/>
  <c r="D84" i="8"/>
  <c r="D88" i="8"/>
  <c r="D92" i="8"/>
  <c r="D77" i="8"/>
  <c r="D85" i="8"/>
  <c r="D93" i="8"/>
  <c r="D82" i="8"/>
  <c r="D94" i="8"/>
  <c r="D77" i="7"/>
  <c r="D81" i="7"/>
  <c r="D85" i="7"/>
  <c r="D89" i="7"/>
  <c r="D93" i="7"/>
  <c r="D78" i="7"/>
  <c r="D82" i="7"/>
  <c r="D86" i="7"/>
  <c r="D90" i="7"/>
  <c r="D94" i="7"/>
  <c r="D79" i="7"/>
  <c r="D83" i="7"/>
  <c r="D87" i="7"/>
  <c r="D91" i="7"/>
  <c r="D80" i="7"/>
  <c r="D84" i="7"/>
  <c r="D88" i="7"/>
  <c r="D92" i="7"/>
  <c r="D77" i="6"/>
  <c r="D81" i="6"/>
  <c r="D85" i="6"/>
  <c r="D89" i="6"/>
  <c r="D93" i="6"/>
  <c r="D78" i="6"/>
  <c r="D82" i="6"/>
  <c r="D86" i="6"/>
  <c r="D90" i="6"/>
  <c r="D79" i="6"/>
  <c r="D83" i="6"/>
  <c r="D87" i="6"/>
  <c r="D91" i="6"/>
  <c r="D94" i="6"/>
  <c r="D80" i="6"/>
  <c r="D84" i="6"/>
  <c r="D88" i="6"/>
  <c r="D92" i="6"/>
  <c r="D67" i="4"/>
  <c r="D45" i="3"/>
  <c r="D80" i="3"/>
  <c r="D84" i="3"/>
  <c r="D88" i="3"/>
  <c r="D92" i="3"/>
  <c r="D77" i="3"/>
  <c r="D81" i="3"/>
  <c r="D85" i="3"/>
  <c r="D89" i="3"/>
  <c r="D93" i="3"/>
  <c r="D78" i="3"/>
  <c r="D82" i="3"/>
  <c r="D86" i="3"/>
  <c r="D90" i="3"/>
  <c r="D94" i="3"/>
  <c r="D79" i="3"/>
  <c r="D83" i="3"/>
  <c r="D87" i="3"/>
  <c r="D91" i="3"/>
  <c r="G24" i="2"/>
  <c r="G23" i="2"/>
  <c r="D45" i="7"/>
  <c r="D14" i="7"/>
  <c r="D39" i="7"/>
  <c r="D31" i="7"/>
  <c r="D72" i="7"/>
  <c r="D6" i="7"/>
  <c r="D68" i="7"/>
  <c r="D65" i="7"/>
  <c r="D22" i="7"/>
  <c r="D37" i="7"/>
  <c r="D30" i="7"/>
  <c r="D38" i="11"/>
  <c r="D8" i="11"/>
  <c r="D2" i="11"/>
  <c r="D75" i="11"/>
  <c r="D35" i="11"/>
  <c r="D72" i="11"/>
  <c r="D51" i="11"/>
  <c r="D20" i="11"/>
  <c r="D48" i="11"/>
  <c r="D43" i="11"/>
  <c r="D31" i="11"/>
  <c r="D61" i="11"/>
  <c r="D37" i="11"/>
  <c r="D27" i="11"/>
  <c r="D46" i="11"/>
  <c r="D21" i="11"/>
  <c r="D50" i="11"/>
  <c r="D23" i="11"/>
  <c r="D76" i="11"/>
  <c r="D16" i="11"/>
  <c r="D5" i="11"/>
  <c r="D7" i="11"/>
  <c r="D39" i="9"/>
  <c r="D25" i="7"/>
  <c r="D76" i="7"/>
  <c r="D3" i="7"/>
  <c r="D15" i="7"/>
  <c r="D43" i="7"/>
  <c r="D50" i="7"/>
  <c r="D41" i="7"/>
  <c r="D7" i="7"/>
  <c r="D52" i="7"/>
  <c r="D42" i="7"/>
  <c r="D18" i="7"/>
  <c r="D21" i="7"/>
  <c r="D57" i="7"/>
  <c r="D56" i="7"/>
  <c r="D44" i="7"/>
  <c r="D2" i="7"/>
  <c r="D9" i="7"/>
  <c r="D12" i="7"/>
  <c r="D19" i="7"/>
  <c r="D48" i="7"/>
  <c r="D5" i="7"/>
  <c r="D11" i="7"/>
  <c r="D70" i="7"/>
  <c r="D26" i="7"/>
  <c r="D62" i="7"/>
  <c r="D67" i="7"/>
  <c r="D20" i="7"/>
  <c r="D75" i="7"/>
  <c r="D74" i="7"/>
  <c r="D10" i="7"/>
  <c r="D40" i="7"/>
  <c r="D29" i="7"/>
  <c r="D27" i="7"/>
  <c r="D51" i="7"/>
  <c r="D66" i="7"/>
  <c r="D55" i="7"/>
  <c r="D32" i="7"/>
  <c r="D58" i="4"/>
  <c r="D8" i="4"/>
  <c r="D20" i="4"/>
  <c r="D55" i="4"/>
  <c r="D31" i="4"/>
  <c r="D39" i="4"/>
  <c r="D38" i="4"/>
  <c r="D35" i="4"/>
  <c r="D6" i="4"/>
  <c r="D29" i="4"/>
  <c r="D36" i="11"/>
  <c r="D4" i="11"/>
  <c r="D73" i="11"/>
  <c r="D63" i="11"/>
  <c r="D19" i="11"/>
  <c r="D54" i="11"/>
  <c r="D70" i="11"/>
  <c r="D17" i="11"/>
  <c r="D28" i="11"/>
  <c r="D34" i="11"/>
  <c r="D25" i="11"/>
  <c r="D44" i="11"/>
  <c r="D13" i="11"/>
  <c r="D14" i="11"/>
  <c r="D49" i="11"/>
  <c r="D26" i="11"/>
  <c r="D24" i="11"/>
  <c r="D22" i="11"/>
  <c r="D42" i="11"/>
  <c r="D74" i="11"/>
  <c r="D11" i="11"/>
  <c r="D71" i="11"/>
  <c r="D47" i="11"/>
  <c r="D33" i="11"/>
  <c r="D30" i="9"/>
  <c r="D49" i="9"/>
  <c r="D69" i="7"/>
  <c r="D65" i="4"/>
  <c r="D60" i="4"/>
  <c r="D19" i="4"/>
  <c r="D28" i="4"/>
  <c r="D44" i="4"/>
  <c r="D52" i="4"/>
  <c r="D59" i="4"/>
  <c r="D21" i="4"/>
  <c r="D15" i="4"/>
  <c r="D68" i="4"/>
  <c r="D46" i="4"/>
  <c r="D50" i="4"/>
  <c r="D25" i="4"/>
  <c r="D57" i="4"/>
  <c r="D62" i="4"/>
  <c r="D14" i="4"/>
  <c r="D12" i="4"/>
  <c r="D5" i="4"/>
  <c r="D64" i="4"/>
  <c r="D10" i="4"/>
  <c r="D40" i="4"/>
  <c r="D4" i="4"/>
  <c r="D61" i="4"/>
  <c r="D63" i="4"/>
  <c r="D75" i="4"/>
  <c r="D74" i="4"/>
  <c r="D9" i="4"/>
  <c r="D41" i="4"/>
  <c r="D49" i="4"/>
  <c r="D71" i="4"/>
  <c r="D22" i="4"/>
  <c r="D56" i="4"/>
  <c r="D42" i="4"/>
  <c r="D47" i="4"/>
  <c r="D32" i="4"/>
  <c r="D30" i="4"/>
  <c r="D36" i="4"/>
  <c r="D2" i="4"/>
  <c r="D37" i="4"/>
  <c r="D72" i="4"/>
  <c r="D18" i="4"/>
  <c r="D3" i="4"/>
  <c r="D30" i="11"/>
  <c r="D29" i="11"/>
  <c r="D39" i="11"/>
  <c r="D18" i="11"/>
  <c r="D12" i="11"/>
  <c r="D10" i="11"/>
  <c r="D62" i="11"/>
  <c r="D41" i="11"/>
  <c r="D68" i="11"/>
  <c r="D67" i="11"/>
  <c r="D3" i="11"/>
  <c r="D15" i="11"/>
  <c r="D66" i="11"/>
  <c r="D65" i="11"/>
  <c r="D64" i="11"/>
  <c r="D55" i="11"/>
  <c r="D40" i="11"/>
  <c r="D53" i="11"/>
  <c r="D60" i="11"/>
  <c r="D59" i="11"/>
  <c r="D6" i="11"/>
  <c r="D9" i="11"/>
  <c r="D58" i="11"/>
  <c r="D57" i="11"/>
  <c r="D56" i="11"/>
  <c r="D69" i="11"/>
  <c r="D32" i="11"/>
  <c r="D7" i="10"/>
  <c r="D20" i="10"/>
  <c r="D15" i="10"/>
  <c r="D70" i="10"/>
  <c r="D71" i="10"/>
  <c r="D64" i="10"/>
  <c r="D73" i="10"/>
  <c r="D21" i="10"/>
  <c r="D12" i="10"/>
  <c r="D52" i="10"/>
  <c r="D29" i="10"/>
  <c r="D58" i="10"/>
  <c r="D23" i="10"/>
  <c r="D9" i="10"/>
  <c r="D8" i="10"/>
  <c r="D17" i="10"/>
  <c r="D24" i="10"/>
  <c r="D72" i="10"/>
  <c r="D45" i="10"/>
  <c r="D18" i="10"/>
  <c r="D42" i="10"/>
  <c r="D25" i="10"/>
  <c r="D62" i="10"/>
  <c r="D4" i="10"/>
  <c r="D53" i="10"/>
  <c r="D14" i="10"/>
  <c r="D16" i="10"/>
  <c r="D33" i="10"/>
  <c r="D10" i="10"/>
  <c r="D11" i="10"/>
  <c r="D28" i="10"/>
  <c r="D43" i="10"/>
  <c r="D74" i="10"/>
  <c r="D76" i="10"/>
  <c r="D31" i="10"/>
  <c r="D6" i="10"/>
  <c r="D41" i="10"/>
  <c r="D26" i="10"/>
  <c r="D19" i="10"/>
  <c r="D50" i="10"/>
  <c r="D51" i="10"/>
  <c r="D22" i="10"/>
  <c r="D69" i="10"/>
  <c r="D37" i="10"/>
  <c r="D32" i="10"/>
  <c r="D35" i="10"/>
  <c r="D3" i="10"/>
  <c r="D47" i="10"/>
  <c r="D34" i="10"/>
  <c r="D49" i="10"/>
  <c r="D66" i="10"/>
  <c r="D59" i="10"/>
  <c r="D30" i="10"/>
  <c r="D46" i="10"/>
  <c r="D2" i="10"/>
  <c r="D40" i="10"/>
  <c r="D55" i="10"/>
  <c r="D48" i="10"/>
  <c r="D57" i="10"/>
  <c r="D5" i="10"/>
  <c r="D67" i="10"/>
  <c r="D38" i="10"/>
  <c r="D36" i="10"/>
  <c r="D27" i="10"/>
  <c r="D39" i="10"/>
  <c r="D54" i="10"/>
  <c r="D63" i="10"/>
  <c r="D56" i="10"/>
  <c r="D65" i="10"/>
  <c r="D13" i="10"/>
  <c r="D75" i="10"/>
  <c r="D44" i="10"/>
  <c r="D60" i="10"/>
  <c r="D68" i="10"/>
  <c r="D61" i="10"/>
  <c r="D43" i="9"/>
  <c r="D27" i="9"/>
  <c r="D29" i="9"/>
  <c r="D74" i="9"/>
  <c r="D55" i="9"/>
  <c r="D21" i="9"/>
  <c r="D50" i="9"/>
  <c r="D17" i="9"/>
  <c r="D15" i="9"/>
  <c r="D5" i="9"/>
  <c r="D54" i="9"/>
  <c r="D60" i="9"/>
  <c r="D9" i="9"/>
  <c r="D73" i="9"/>
  <c r="D40" i="9"/>
  <c r="D22" i="9"/>
  <c r="D8" i="9"/>
  <c r="D19" i="9"/>
  <c r="D45" i="9"/>
  <c r="D59" i="9"/>
  <c r="D14" i="9"/>
  <c r="D10" i="9"/>
  <c r="D72" i="9"/>
  <c r="D44" i="9"/>
  <c r="D6" i="9"/>
  <c r="D28" i="9"/>
  <c r="D41" i="9"/>
  <c r="D7" i="9"/>
  <c r="D25" i="9"/>
  <c r="D24" i="9"/>
  <c r="D56" i="9"/>
  <c r="D48" i="9"/>
  <c r="D76" i="9"/>
  <c r="D75" i="9"/>
  <c r="D13" i="9"/>
  <c r="D20" i="9"/>
  <c r="D66" i="9"/>
  <c r="D65" i="9"/>
  <c r="D71" i="9"/>
  <c r="D70" i="9"/>
  <c r="D34" i="9"/>
  <c r="D69" i="9"/>
  <c r="D68" i="9"/>
  <c r="D67" i="9"/>
  <c r="D2" i="9"/>
  <c r="D35" i="9"/>
  <c r="D58" i="9"/>
  <c r="D57" i="9"/>
  <c r="D63" i="9"/>
  <c r="D62" i="9"/>
  <c r="D26" i="9"/>
  <c r="D53" i="9"/>
  <c r="D52" i="9"/>
  <c r="D51" i="9"/>
  <c r="D3" i="9"/>
  <c r="D31" i="9"/>
  <c r="D36" i="9"/>
  <c r="D42" i="9"/>
  <c r="D47" i="9"/>
  <c r="D46" i="9"/>
  <c r="D4" i="9"/>
  <c r="D23" i="9"/>
  <c r="D38" i="9"/>
  <c r="D37" i="9"/>
  <c r="D16" i="9"/>
  <c r="D18" i="9"/>
  <c r="D12" i="9"/>
  <c r="D11" i="9"/>
  <c r="D33" i="9"/>
  <c r="D32" i="9"/>
  <c r="D64" i="9"/>
  <c r="D24" i="8"/>
  <c r="D10" i="8"/>
  <c r="D42" i="8"/>
  <c r="D13" i="8"/>
  <c r="D38" i="8"/>
  <c r="D16" i="8"/>
  <c r="D62" i="8"/>
  <c r="D72" i="8"/>
  <c r="D6" i="8"/>
  <c r="D12" i="8"/>
  <c r="D37" i="8"/>
  <c r="D60" i="8"/>
  <c r="D41" i="8"/>
  <c r="D29" i="8"/>
  <c r="D23" i="8"/>
  <c r="D14" i="8"/>
  <c r="D15" i="8"/>
  <c r="D36" i="8"/>
  <c r="D43" i="8"/>
  <c r="D68" i="8"/>
  <c r="D27" i="8"/>
  <c r="D58" i="8"/>
  <c r="D17" i="8"/>
  <c r="D31" i="8"/>
  <c r="D11" i="8"/>
  <c r="D50" i="8"/>
  <c r="D59" i="8"/>
  <c r="D76" i="8"/>
  <c r="D49" i="8"/>
  <c r="D67" i="8"/>
  <c r="D63" i="8"/>
  <c r="D20" i="8"/>
  <c r="D57" i="8"/>
  <c r="D74" i="8"/>
  <c r="D75" i="8"/>
  <c r="D44" i="8"/>
  <c r="D71" i="8"/>
  <c r="D35" i="8"/>
  <c r="D65" i="8"/>
  <c r="D5" i="8"/>
  <c r="D30" i="8"/>
  <c r="D48" i="8"/>
  <c r="D45" i="8"/>
  <c r="D4" i="8"/>
  <c r="D22" i="8"/>
  <c r="D21" i="8"/>
  <c r="D28" i="8"/>
  <c r="D19" i="8"/>
  <c r="D8" i="8"/>
  <c r="D18" i="8"/>
  <c r="D47" i="8"/>
  <c r="D70" i="8"/>
  <c r="D2" i="8"/>
  <c r="D9" i="8"/>
  <c r="D56" i="8"/>
  <c r="D33" i="8"/>
  <c r="D40" i="8"/>
  <c r="D32" i="8"/>
  <c r="D52" i="8"/>
  <c r="D51" i="8"/>
  <c r="D66" i="8"/>
  <c r="D73" i="8"/>
  <c r="D3" i="8"/>
  <c r="D39" i="8"/>
  <c r="D34" i="8"/>
  <c r="D69" i="8"/>
  <c r="D26" i="8"/>
  <c r="D25" i="8"/>
  <c r="D7" i="8"/>
  <c r="D61" i="8"/>
  <c r="D54" i="8"/>
  <c r="D64" i="8"/>
  <c r="D55" i="8"/>
  <c r="D53" i="8"/>
  <c r="D46" i="8"/>
  <c r="D71" i="7"/>
  <c r="D61" i="7"/>
  <c r="D60" i="7"/>
  <c r="D13" i="7"/>
  <c r="D8" i="7"/>
  <c r="D28" i="7"/>
  <c r="D73" i="7"/>
  <c r="D4" i="7"/>
  <c r="D17" i="7"/>
  <c r="D23" i="7"/>
  <c r="D38" i="7"/>
  <c r="D16" i="7"/>
  <c r="D35" i="7"/>
  <c r="D59" i="7"/>
  <c r="D63" i="7"/>
  <c r="D49" i="7"/>
  <c r="D33" i="7"/>
  <c r="D46" i="7"/>
  <c r="D47" i="7"/>
  <c r="D24" i="7"/>
  <c r="D53" i="7"/>
  <c r="D36" i="7"/>
  <c r="D58" i="7"/>
  <c r="D34" i="7"/>
  <c r="D64" i="7"/>
  <c r="D54" i="7"/>
  <c r="D7" i="6"/>
  <c r="D24" i="6"/>
  <c r="D15" i="6"/>
  <c r="D25" i="6"/>
  <c r="D39" i="6"/>
  <c r="D50" i="6"/>
  <c r="D29" i="6"/>
  <c r="D20" i="6"/>
  <c r="D76" i="6"/>
  <c r="D10" i="6"/>
  <c r="D38" i="6"/>
  <c r="D30" i="6"/>
  <c r="D65" i="6"/>
  <c r="D45" i="6"/>
  <c r="D67" i="6"/>
  <c r="D35" i="6"/>
  <c r="D6" i="6"/>
  <c r="D11" i="6"/>
  <c r="D43" i="6"/>
  <c r="D9" i="6"/>
  <c r="D5" i="6"/>
  <c r="D56" i="6"/>
  <c r="D59" i="6"/>
  <c r="D14" i="6"/>
  <c r="D72" i="6"/>
  <c r="D37" i="6"/>
  <c r="D27" i="6"/>
  <c r="D34" i="6"/>
  <c r="D47" i="6"/>
  <c r="D58" i="6"/>
  <c r="D46" i="6"/>
  <c r="D4" i="6"/>
  <c r="D57" i="6"/>
  <c r="D48" i="6"/>
  <c r="D3" i="6"/>
  <c r="D16" i="6"/>
  <c r="D60" i="6"/>
  <c r="D36" i="6"/>
  <c r="D17" i="6"/>
  <c r="D49" i="6"/>
  <c r="D71" i="6"/>
  <c r="D70" i="6"/>
  <c r="D69" i="6"/>
  <c r="D21" i="6"/>
  <c r="D52" i="6"/>
  <c r="D28" i="6"/>
  <c r="D74" i="6"/>
  <c r="D42" i="6"/>
  <c r="D63" i="6"/>
  <c r="D62" i="6"/>
  <c r="D61" i="6"/>
  <c r="D68" i="6"/>
  <c r="D18" i="6"/>
  <c r="D75" i="6"/>
  <c r="D13" i="6"/>
  <c r="D8" i="6"/>
  <c r="D44" i="6"/>
  <c r="D12" i="6"/>
  <c r="D66" i="6"/>
  <c r="D19" i="6"/>
  <c r="D55" i="6"/>
  <c r="D54" i="6"/>
  <c r="D53" i="6"/>
  <c r="D41" i="6"/>
  <c r="D40" i="6"/>
  <c r="D23" i="6"/>
  <c r="D51" i="6"/>
  <c r="D2" i="6"/>
  <c r="D31" i="6"/>
  <c r="D22" i="6"/>
  <c r="D26" i="6"/>
  <c r="D73" i="6"/>
  <c r="D64" i="6"/>
  <c r="D33" i="6"/>
  <c r="D32" i="6"/>
  <c r="D13" i="4"/>
  <c r="D54" i="4"/>
  <c r="D45" i="4"/>
  <c r="D51" i="4"/>
  <c r="D17" i="4"/>
  <c r="D7" i="4"/>
  <c r="D24" i="4"/>
  <c r="D53" i="4"/>
  <c r="D43" i="4"/>
  <c r="D16" i="4"/>
  <c r="D76" i="4"/>
  <c r="D66" i="4"/>
  <c r="D27" i="4"/>
  <c r="D11" i="4"/>
  <c r="D48" i="4"/>
  <c r="D73" i="4"/>
  <c r="D34" i="4"/>
  <c r="D23" i="4"/>
  <c r="D70" i="4"/>
  <c r="D69" i="4"/>
  <c r="D30" i="5"/>
  <c r="D29" i="5"/>
  <c r="D2" i="5"/>
  <c r="D26" i="5"/>
  <c r="D5" i="5"/>
  <c r="D66" i="5"/>
  <c r="D27" i="5"/>
  <c r="D62" i="5"/>
  <c r="D53" i="5"/>
  <c r="D37" i="5"/>
  <c r="D74" i="5"/>
  <c r="D21" i="5"/>
  <c r="D10" i="5"/>
  <c r="D34" i="5"/>
  <c r="D19" i="5"/>
  <c r="D54" i="5"/>
  <c r="D45" i="5"/>
  <c r="D16" i="5"/>
  <c r="D20" i="5"/>
  <c r="D35" i="5"/>
  <c r="D22" i="5"/>
  <c r="D8" i="5"/>
  <c r="D58" i="5"/>
  <c r="D76" i="5"/>
  <c r="D75" i="5"/>
  <c r="D13" i="5"/>
  <c r="D14" i="5"/>
  <c r="D63" i="5"/>
  <c r="D4" i="5"/>
  <c r="D50" i="5"/>
  <c r="D11" i="5"/>
  <c r="D46" i="5"/>
  <c r="D39" i="5"/>
  <c r="D38" i="5"/>
  <c r="D12" i="5"/>
  <c r="D70" i="5"/>
  <c r="D68" i="5"/>
  <c r="D67" i="5"/>
  <c r="D3" i="5"/>
  <c r="D18" i="5"/>
  <c r="D55" i="5"/>
  <c r="D71" i="5"/>
  <c r="D73" i="5"/>
  <c r="D72" i="5"/>
  <c r="D40" i="5"/>
  <c r="D31" i="5"/>
  <c r="D59" i="5"/>
  <c r="D23" i="5"/>
  <c r="D60" i="5"/>
  <c r="D33" i="5"/>
  <c r="D64" i="5"/>
  <c r="D52" i="5"/>
  <c r="D15" i="5"/>
  <c r="D17" i="5"/>
  <c r="D25" i="5"/>
  <c r="D57" i="5"/>
  <c r="D56" i="5"/>
  <c r="D24" i="5"/>
  <c r="D7" i="5"/>
  <c r="D42" i="5"/>
  <c r="D47" i="5"/>
  <c r="D65" i="5"/>
  <c r="D32" i="5"/>
  <c r="D51" i="5"/>
  <c r="D44" i="5"/>
  <c r="D43" i="5"/>
  <c r="D6" i="5"/>
  <c r="D28" i="5"/>
  <c r="D36" i="5"/>
  <c r="D9" i="5"/>
  <c r="D49" i="5"/>
  <c r="D48" i="5"/>
  <c r="D69" i="5"/>
  <c r="D41" i="5"/>
  <c r="D11" i="3"/>
  <c r="D17" i="3"/>
  <c r="D64" i="3"/>
  <c r="D30" i="3"/>
  <c r="D29" i="3"/>
  <c r="D48" i="3"/>
  <c r="D19" i="3"/>
  <c r="D65" i="3"/>
  <c r="D13" i="3"/>
  <c r="D34" i="3"/>
  <c r="D68" i="3"/>
  <c r="D72" i="3"/>
  <c r="D36" i="3"/>
  <c r="D10" i="3"/>
  <c r="D62" i="3"/>
  <c r="D31" i="3"/>
  <c r="D43" i="3"/>
  <c r="D70" i="3"/>
  <c r="D50" i="3"/>
  <c r="D39" i="3"/>
  <c r="D9" i="3"/>
  <c r="D75" i="3"/>
  <c r="D71" i="3"/>
  <c r="D67" i="3"/>
  <c r="D63" i="3"/>
  <c r="D59" i="3"/>
  <c r="D55" i="3"/>
  <c r="D51" i="3"/>
  <c r="D40" i="3"/>
  <c r="D28" i="3"/>
  <c r="D21" i="3"/>
  <c r="D54" i="3"/>
  <c r="D74" i="3"/>
  <c r="D42" i="3"/>
  <c r="D16" i="3"/>
  <c r="D6" i="3"/>
  <c r="D3" i="3"/>
  <c r="D32" i="3"/>
  <c r="D66" i="3"/>
  <c r="D27" i="3"/>
  <c r="D15" i="3"/>
  <c r="D8" i="3"/>
  <c r="D2" i="3"/>
  <c r="D47" i="3"/>
  <c r="D58" i="3"/>
  <c r="D46" i="3"/>
  <c r="D35" i="3"/>
  <c r="D20" i="3"/>
  <c r="D37" i="3"/>
  <c r="D57" i="3"/>
  <c r="D38" i="3"/>
  <c r="D23" i="3"/>
  <c r="D5" i="3"/>
  <c r="D26" i="3"/>
  <c r="D44" i="3"/>
  <c r="D56" i="3"/>
  <c r="D22" i="3"/>
  <c r="D33" i="3"/>
  <c r="D4" i="3"/>
  <c r="D69" i="3"/>
  <c r="D73" i="3"/>
  <c r="D18" i="3"/>
  <c r="D14" i="3"/>
  <c r="D25" i="3"/>
  <c r="D24" i="3"/>
  <c r="D49" i="3"/>
  <c r="D41" i="3"/>
  <c r="D12" i="3"/>
  <c r="D61" i="3"/>
  <c r="D53" i="3"/>
  <c r="D76" i="3"/>
  <c r="D7" i="3"/>
  <c r="D52" i="3"/>
  <c r="D60" i="3"/>
  <c r="G5" i="2"/>
  <c r="G6" i="2" s="1"/>
  <c r="C2" i="1"/>
  <c r="G7" i="8" l="1"/>
  <c r="G8" i="8" s="1"/>
  <c r="G12" i="8" s="1"/>
  <c r="D77" i="2"/>
  <c r="D82" i="2"/>
  <c r="D87" i="2"/>
  <c r="D91" i="2"/>
  <c r="D80" i="2"/>
  <c r="D89" i="2"/>
  <c r="D83" i="2"/>
  <c r="D76" i="2"/>
  <c r="D84" i="2"/>
  <c r="D88" i="2"/>
  <c r="D92" i="2"/>
  <c r="D79" i="2"/>
  <c r="D85" i="2"/>
  <c r="D93" i="2"/>
  <c r="D78" i="2"/>
  <c r="D81" i="2"/>
  <c r="D86" i="2"/>
  <c r="D90" i="2"/>
  <c r="D94" i="2"/>
  <c r="G7" i="11"/>
  <c r="G8" i="11" s="1"/>
  <c r="G12" i="11" s="1"/>
  <c r="G7" i="4"/>
  <c r="G8" i="4" s="1"/>
  <c r="G12" i="4" s="1"/>
  <c r="G7" i="10"/>
  <c r="G8" i="10" s="1"/>
  <c r="G12" i="10" s="1"/>
  <c r="G7" i="9"/>
  <c r="G8" i="9" s="1"/>
  <c r="G12" i="9" s="1"/>
  <c r="G7" i="7"/>
  <c r="G8" i="7" s="1"/>
  <c r="G12" i="7" s="1"/>
  <c r="G7" i="6"/>
  <c r="G8" i="6" s="1"/>
  <c r="G12" i="6" s="1"/>
  <c r="G7" i="5"/>
  <c r="G8" i="5" s="1"/>
  <c r="G12" i="5" s="1"/>
  <c r="G7" i="3"/>
  <c r="G8" i="3" s="1"/>
  <c r="G12" i="3" s="1"/>
  <c r="D53" i="2"/>
  <c r="D26" i="2"/>
  <c r="D37" i="2"/>
  <c r="D43" i="2"/>
  <c r="D27" i="2"/>
  <c r="D22" i="2"/>
  <c r="D7" i="2"/>
  <c r="D62" i="2"/>
  <c r="D46" i="2"/>
  <c r="D72" i="2"/>
  <c r="D68" i="2"/>
  <c r="D51" i="2"/>
  <c r="D4" i="2"/>
  <c r="D35" i="2"/>
  <c r="D65" i="2"/>
  <c r="D33" i="2"/>
  <c r="D32" i="2"/>
  <c r="D2" i="2"/>
  <c r="D13" i="2"/>
  <c r="D11" i="2"/>
  <c r="D12" i="2"/>
  <c r="D14" i="2"/>
  <c r="D59" i="2"/>
  <c r="D70" i="2"/>
  <c r="D45" i="2"/>
  <c r="D50" i="2"/>
  <c r="D52" i="2"/>
  <c r="D47" i="2"/>
  <c r="D15" i="2"/>
  <c r="D10" i="2"/>
  <c r="D63" i="2"/>
  <c r="D41" i="2"/>
  <c r="D34" i="2"/>
  <c r="D23" i="2"/>
  <c r="D38" i="2"/>
  <c r="D39" i="2"/>
  <c r="D28" i="2"/>
  <c r="D8" i="2"/>
  <c r="D48" i="2"/>
  <c r="D18" i="2"/>
  <c r="D6" i="2"/>
  <c r="D66" i="2"/>
  <c r="D36" i="2"/>
  <c r="D9" i="2"/>
  <c r="D64" i="2"/>
  <c r="D73" i="2"/>
  <c r="D67" i="2"/>
  <c r="D25" i="2"/>
  <c r="D56" i="2"/>
  <c r="D5" i="2"/>
  <c r="D42" i="2"/>
  <c r="D24" i="2"/>
  <c r="D30" i="2"/>
  <c r="D31" i="2"/>
  <c r="D54" i="2"/>
  <c r="D40" i="2"/>
  <c r="D71" i="2"/>
  <c r="D29" i="2"/>
  <c r="D60" i="2"/>
  <c r="D57" i="2"/>
  <c r="D19" i="2"/>
  <c r="D3" i="2"/>
  <c r="D75" i="2"/>
  <c r="D58" i="2"/>
  <c r="D21" i="2"/>
  <c r="D55" i="2"/>
  <c r="D20" i="2"/>
  <c r="D44" i="2"/>
  <c r="D74" i="2"/>
  <c r="D49" i="2"/>
  <c r="D69" i="2"/>
  <c r="D16" i="2"/>
  <c r="D61" i="2"/>
  <c r="D17" i="2"/>
  <c r="G30" i="1"/>
  <c r="F48" i="1" s="1"/>
  <c r="F42" i="8" l="1"/>
  <c r="F41" i="8"/>
  <c r="F41" i="4"/>
  <c r="F42" i="4"/>
  <c r="F42" i="11"/>
  <c r="F41" i="11"/>
  <c r="F42" i="10"/>
  <c r="F41" i="10"/>
  <c r="F42" i="9"/>
  <c r="F41" i="9"/>
  <c r="F42" i="7"/>
  <c r="F41" i="7"/>
  <c r="F42" i="6"/>
  <c r="F41" i="6"/>
  <c r="F42" i="5"/>
  <c r="F41" i="5"/>
  <c r="F41" i="3"/>
  <c r="F42" i="3"/>
  <c r="G7" i="2"/>
  <c r="G8" i="2" s="1"/>
  <c r="G12" i="2" s="1"/>
  <c r="G29" i="1"/>
  <c r="F47" i="1" s="1"/>
  <c r="F41" i="2" l="1"/>
  <c r="F4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G5" i="1" l="1"/>
  <c r="G6" i="1" s="1"/>
  <c r="D5" i="1" s="1"/>
  <c r="D71" i="1"/>
  <c r="D89" i="1"/>
  <c r="D83" i="1"/>
  <c r="D91" i="1"/>
  <c r="D84" i="1"/>
  <c r="D93" i="1"/>
  <c r="D86" i="1"/>
  <c r="D92" i="1"/>
  <c r="D81" i="1"/>
  <c r="D88" i="1"/>
  <c r="D76" i="1"/>
  <c r="D78" i="1"/>
  <c r="D82" i="1"/>
  <c r="D8" i="1"/>
  <c r="D40" i="1"/>
  <c r="D72" i="1"/>
  <c r="D13" i="1"/>
  <c r="D61" i="1"/>
  <c r="D18" i="1"/>
  <c r="D50" i="1"/>
  <c r="D48" i="1"/>
  <c r="D64" i="1"/>
  <c r="D37" i="1"/>
  <c r="D69" i="1"/>
  <c r="D26" i="1"/>
  <c r="D42" i="1"/>
  <c r="D3" i="1"/>
  <c r="D19" i="1"/>
  <c r="D35" i="1"/>
  <c r="D4" i="1"/>
  <c r="D20" i="1"/>
  <c r="D52" i="1"/>
  <c r="D25" i="1"/>
  <c r="D57" i="1"/>
  <c r="D73" i="1"/>
  <c r="D30" i="1"/>
  <c r="D46" i="1"/>
  <c r="D62" i="1"/>
  <c r="D55" i="1"/>
  <c r="D34" i="1"/>
  <c r="D11" i="1"/>
  <c r="D43" i="1"/>
  <c r="D75" i="1"/>
  <c r="D12" i="1"/>
  <c r="D60" i="1"/>
  <c r="D17" i="1"/>
  <c r="D33" i="1"/>
  <c r="D6" i="1"/>
  <c r="D22" i="1"/>
  <c r="D54" i="1"/>
  <c r="D15" i="1"/>
  <c r="D47" i="1"/>
  <c r="D63" i="1"/>
  <c r="D70" i="1" l="1"/>
  <c r="D65" i="1"/>
  <c r="D28" i="1"/>
  <c r="D27" i="1"/>
  <c r="D39" i="1"/>
  <c r="D2" i="1"/>
  <c r="G7" i="1" s="1"/>
  <c r="G8" i="1" s="1"/>
  <c r="G12" i="1" s="1"/>
  <c r="D68" i="1"/>
  <c r="D67" i="1"/>
  <c r="D58" i="1"/>
  <c r="D53" i="1"/>
  <c r="D32" i="1"/>
  <c r="D29" i="1"/>
  <c r="D24" i="1"/>
  <c r="D7" i="1"/>
  <c r="D85" i="1"/>
  <c r="D94" i="1"/>
  <c r="D79" i="1"/>
  <c r="D31" i="1"/>
  <c r="D38" i="1"/>
  <c r="D49" i="1"/>
  <c r="D44" i="1"/>
  <c r="D59" i="1"/>
  <c r="D66" i="1"/>
  <c r="D23" i="1"/>
  <c r="D14" i="1"/>
  <c r="D41" i="1"/>
  <c r="D36" i="1"/>
  <c r="D51" i="1"/>
  <c r="D74" i="1"/>
  <c r="D10" i="1"/>
  <c r="D21" i="1"/>
  <c r="D16" i="1"/>
  <c r="D45" i="1"/>
  <c r="D56" i="1"/>
  <c r="D90" i="1"/>
  <c r="D87" i="1"/>
  <c r="D77" i="1"/>
  <c r="D80" i="1"/>
  <c r="D9" i="1"/>
  <c r="F41" i="1" l="1"/>
  <c r="F42" i="1"/>
</calcChain>
</file>

<file path=xl/sharedStrings.xml><?xml version="1.0" encoding="utf-8"?>
<sst xmlns="http://schemas.openxmlformats.org/spreadsheetml/2006/main" count="281" uniqueCount="59">
  <si>
    <t>Diferencia</t>
  </si>
  <si>
    <t>Media de las diferencias</t>
  </si>
  <si>
    <t>Sumatoria Diferencias</t>
  </si>
  <si>
    <t>numero de datos</t>
  </si>
  <si>
    <t>desviación estándar de las diferencias</t>
  </si>
  <si>
    <t>nivel de significancia (α)</t>
  </si>
  <si>
    <t>grados de libertad   (DF)</t>
  </si>
  <si>
    <t>Valor critico t</t>
  </si>
  <si>
    <t>t calculado (estadistico t):</t>
  </si>
  <si>
    <t>p valor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</si>
  <si>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</si>
  <si>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</si>
  <si>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Hipotesis</t>
  </si>
  <si>
    <t>Datos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</si>
  <si>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</si>
  <si>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dos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</si>
  <si>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</si>
  <si>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- 1 colas</t>
    </r>
  </si>
  <si>
    <t>Sumatoria de diferencias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</si>
  <si>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una colas</t>
    </r>
  </si>
  <si>
    <r>
      <t>(Sin Innovacion Didactica) 
Pre-test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</si>
  <si>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</si>
  <si>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r>
      <t xml:space="preserve">(Sin Innovacion Didactica) 
Pre-test   </t>
    </r>
    <r>
      <rPr>
        <sz val="11"/>
        <color theme="1"/>
        <rFont val="Calibri"/>
        <family val="2"/>
        <scheme val="minor"/>
      </rPr>
      <t xml:space="preserve">         
Comprensión-contenidos
a) Siempre = 5
b) Muchas veces = 4
c) A veces = 3
d) Pocas veces = 2 
e) Nunca = 1</t>
    </r>
  </si>
  <si>
    <r>
      <t xml:space="preserve">(Sin Innovacion Didactica) 
Pre-test   </t>
    </r>
    <r>
      <rPr>
        <sz val="11"/>
        <color theme="1"/>
        <rFont val="Calibri"/>
        <family val="2"/>
        <scheme val="minor"/>
      </rPr>
      <t xml:space="preserve">         
Recursos-tecnológicos
a) Siempre = 5
b) Muchas veces = 4
c) A veces = 3
d) Pocas veces = 2 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</si>
  <si>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</si>
  <si>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</si>
  <si>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(Sin Innovacion Didactica) 
Pre-test   </t>
    </r>
    <r>
      <rPr>
        <sz val="11"/>
        <color theme="1"/>
        <rFont val="Calibri"/>
        <family val="2"/>
        <scheme val="minor"/>
      </rPr>
      <t xml:space="preserve">         
Retroalimentación-oportuna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</si>
  <si>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 xml:space="preserve">(Sin Innovacion Didactica)  
Pre-test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</si>
  <si>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</si>
  <si>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</si>
  <si>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</si>
  <si>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Motivación
a) Muy Alta = 5
b) Alta = 4
c) Regular = 3
d) Baja = 2
e) Muy Baja = 1</t>
    </r>
    <r>
      <rPr>
        <sz val="11"/>
        <color rgb="FFC00000"/>
        <rFont val="Calibri"/>
        <family val="2"/>
        <scheme val="minor"/>
      </rPr>
      <t xml:space="preserve">
</t>
    </r>
  </si>
  <si>
    <r>
      <t>(Sin Innovacion Didactica) 
Post-test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</si>
  <si>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(Sin Innovacion Didactica) 
Post-test       </t>
    </r>
    <r>
      <rPr>
        <sz val="11"/>
        <color theme="1"/>
        <rFont val="Calibri"/>
        <family val="2"/>
        <scheme val="minor"/>
      </rPr>
      <t xml:space="preserve">     
Comprensión-contenidos
a) Siempre = 5
b) Muchas veces = 4
c) A veces = 3
d) Pocas veces = 2 
e) Nunca = 1</t>
    </r>
  </si>
  <si>
    <r>
      <t xml:space="preserve">(Sin Innovacion Didactica) 
Post-test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</si>
  <si>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(Sin Innovacion Didactica) 
Post-test       </t>
    </r>
    <r>
      <rPr>
        <sz val="11"/>
        <color theme="1"/>
        <rFont val="Calibri"/>
        <family val="2"/>
        <scheme val="minor"/>
      </rPr>
      <t xml:space="preserve">     
Recursos-tecnológicos
a) Siempre = 5
b) Muchas veces = 4
c) A veces = 3
d) Pocas veces = 2 
e) Nunca = 1</t>
    </r>
  </si>
  <si>
    <r>
      <t xml:space="preserve">(Sin Innovacion Didactica) 
Post-test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</si>
  <si>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(Sin Innovacion Didactica) 
Post-test       </t>
    </r>
    <r>
      <rPr>
        <sz val="11"/>
        <color theme="1"/>
        <rFont val="Calibri"/>
        <family val="2"/>
        <scheme val="minor"/>
      </rPr>
      <t xml:space="preserve">     
Retroalimentación-oportuna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</si>
  <si>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 xml:space="preserve">(Sin Innovacion Didactica)  
Post-test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</si>
  <si>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(Sin Innovacion Didactica) 
Post-test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</si>
  <si>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(Sin Innovacion Didactica)
Post-test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</si>
  <si>
    <r>
      <t>(Sin Innovacion Didactica)
Post-test</t>
    </r>
    <r>
      <rPr>
        <sz val="11"/>
        <color theme="1"/>
        <rFont val="Calibri"/>
        <family val="2"/>
        <scheme val="minor"/>
      </rPr>
      <t xml:space="preserve">
Motivación
a) Muy Alta = 5
b) Alta = 4
c) Regular = 3
d) Baja = 2
e) Muy Baja = 1</t>
    </r>
  </si>
  <si>
    <t>Indicador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</si>
  <si>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</si>
  <si>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</si>
  <si>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</si>
  <si>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</si>
  <si>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</si>
  <si>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</si>
  <si>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</si>
  <si>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</si>
  <si>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</si>
  <si>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</si>
  <si>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</si>
  <si>
    <t>T
Calculado</t>
  </si>
  <si>
    <t>T Critico
2 Colas</t>
  </si>
  <si>
    <t>T Critico
1 Cola</t>
  </si>
  <si>
    <t>P valor
2 Colas</t>
  </si>
  <si>
    <t>P valor
1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</si>
</sst>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/>
    <xf numFmtId="0" fontId="9" fillId="0" borderId="0"/>
    <xf numFmtId="0" fontId="10" fillId="5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3" borderId="1" xfId="1" applyFont="1" applyFill="1" applyBorder="1" applyAlignment="1">
      <alignment horizontal="center" vertical="center" wrapText="1"/>
    </xf>
    <xf numFmtId="0" fontId="6" fillId="4" borderId="0" xfId="6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10" fillId="5" borderId="0" xfId="8"/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1" fillId="0" borderId="0" xfId="0" applyFont="1" applyFill="1" applyBorder="1" applyAlignment="1">
      <alignment horizontal="justify" vertical="center" wrapText="1"/>
    </xf>
  </cellXfs>
  <cellStyles count="9">
    <cellStyle name="Buena" xfId="1" builtinId="26"/>
    <cellStyle name="Incorrecto" xfId="8" builtinId="27"/>
    <cellStyle name="Neutral" xfId="6" builtinId="28"/>
    <cellStyle name="Normal" xfId="0" builtinId="0"/>
    <cellStyle name="Normal 2" xfId="3"/>
    <cellStyle name="Normal 2 2" xfId="5"/>
    <cellStyle name="Normal 3" xfId="2"/>
    <cellStyle name="Normal 3 2" xfId="4"/>
    <cellStyle name="Normal 4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2072309" y="1884623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064309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0683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1623579" y="2081255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00000000-0008-0000-0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1920914" y="1710999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2059837" y="1524229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26567" y="2265948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372477</xdr:colOff>
      <xdr:row>8</xdr:row>
      <xdr:rowOff>34592</xdr:rowOff>
    </xdr:from>
    <xdr:to>
      <xdr:col>5</xdr:col>
      <xdr:colOff>1410200</xdr:colOff>
      <xdr:row>10</xdr:row>
      <xdr:rowOff>68681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16277" y="289209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553452</xdr:colOff>
      <xdr:row>12</xdr:row>
      <xdr:rowOff>14539</xdr:rowOff>
    </xdr:from>
    <xdr:to>
      <xdr:col>5</xdr:col>
      <xdr:colOff>1267197</xdr:colOff>
      <xdr:row>14</xdr:row>
      <xdr:rowOff>85725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97252" y="3634039"/>
          <a:ext cx="713745" cy="452186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5566" y="4722394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8327" y="10715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8283</xdr:colOff>
      <xdr:row>43</xdr:row>
      <xdr:rowOff>33130</xdr:rowOff>
    </xdr:from>
    <xdr:to>
      <xdr:col>5</xdr:col>
      <xdr:colOff>2476109</xdr:colOff>
      <xdr:row>44</xdr:row>
      <xdr:rowOff>134335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553740" y="9558130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32979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062948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24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52642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215616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96939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71111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90161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64356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59606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9518" y="10715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9518" y="8429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810500" y="9508434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985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985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8125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175" zoomScaleNormal="175" workbookViewId="0">
      <selection activeCell="H6" sqref="H6"/>
    </sheetView>
  </sheetViews>
  <sheetFormatPr baseColWidth="10" defaultRowHeight="15" x14ac:dyDescent="0.25"/>
  <cols>
    <col min="1" max="1" width="23.85546875" bestFit="1" customWidth="1"/>
    <col min="2" max="2" width="9.5703125" bestFit="1" customWidth="1"/>
    <col min="3" max="4" width="8.140625" bestFit="1" customWidth="1"/>
    <col min="5" max="5" width="7.140625" bestFit="1" customWidth="1"/>
    <col min="6" max="6" width="7" bestFit="1" customWidth="1"/>
  </cols>
  <sheetData>
    <row r="1" spans="1:6" ht="30" x14ac:dyDescent="0.25">
      <c r="A1" s="13" t="s">
        <v>42</v>
      </c>
      <c r="B1" s="14" t="s">
        <v>54</v>
      </c>
      <c r="C1" s="14" t="s">
        <v>55</v>
      </c>
      <c r="D1" s="14" t="s">
        <v>56</v>
      </c>
      <c r="E1" s="14" t="s">
        <v>57</v>
      </c>
      <c r="F1" s="14" t="s">
        <v>58</v>
      </c>
    </row>
    <row r="2" spans="1:6" x14ac:dyDescent="0.25">
      <c r="A2" s="12" t="s">
        <v>43</v>
      </c>
      <c r="B2" s="12">
        <f>ROUND('Participas-actividades'!G12, 4)</f>
        <v>-1.9492</v>
      </c>
      <c r="C2" s="12">
        <f>ROUND('Participas-actividades'!G23, 4)</f>
        <v>1.9861</v>
      </c>
      <c r="D2" s="12">
        <f>ROUND('Participas-actividades'!G24, 4)</f>
        <v>-1.6616</v>
      </c>
      <c r="E2" s="12">
        <f>ROUND('Participas-actividades'!G29, 4)</f>
        <v>5.4300000000000001E-2</v>
      </c>
      <c r="F2" s="12">
        <f>ROUND('Participas-actividades'!G30, 4)</f>
        <v>2.7199999999999998E-2</v>
      </c>
    </row>
    <row r="3" spans="1:6" x14ac:dyDescent="0.25">
      <c r="A3" s="12" t="s">
        <v>44</v>
      </c>
      <c r="B3" s="12">
        <f>ROUND('Comprensión-contenidos'!G12, 4)</f>
        <v>-0.24779999999999999</v>
      </c>
      <c r="C3" s="12">
        <f>ROUND('Comprensión-contenidos'!G23, 4)</f>
        <v>1.9861</v>
      </c>
      <c r="D3" s="12">
        <f>ROUND('Comprensión-contenidos'!G24, 4)</f>
        <v>-1.6616</v>
      </c>
      <c r="E3" s="12">
        <f>ROUND('Comprensión-contenidos'!G29, 4)</f>
        <v>0.80489999999999995</v>
      </c>
      <c r="F3" s="12">
        <f>ROUND('Comprensión-contenidos'!G30, 4)</f>
        <v>0.40239999999999998</v>
      </c>
    </row>
    <row r="4" spans="1:6" x14ac:dyDescent="0.25">
      <c r="A4" s="12" t="s">
        <v>45</v>
      </c>
      <c r="B4" s="12">
        <f>ROUND('Herramientas-tecnológicas'!G12, 4)</f>
        <v>0.76649999999999996</v>
      </c>
      <c r="C4" s="12">
        <f>ROUND('Herramientas-tecnológicas'!G23, 4)</f>
        <v>1.9861</v>
      </c>
      <c r="D4" s="12">
        <f>ROUND('Herramientas-tecnológicas'!G24, 4)</f>
        <v>-1.6616</v>
      </c>
      <c r="E4" s="12">
        <f>ROUND('Herramientas-tecnológicas'!G29, 4)</f>
        <v>0.44529999999999997</v>
      </c>
      <c r="F4" s="12">
        <f>ROUND('Herramientas-tecnológicas'!G30, 4)</f>
        <v>0.22270000000000001</v>
      </c>
    </row>
    <row r="5" spans="1:6" x14ac:dyDescent="0.25">
      <c r="A5" s="12" t="s">
        <v>46</v>
      </c>
      <c r="B5" s="12">
        <f>ROUND('Recursos-tecnológicos'!G12, 4)</f>
        <v>-0.59989999999999999</v>
      </c>
      <c r="C5" s="12">
        <f>ROUND('Recursos-tecnológicos'!G23, 4)</f>
        <v>1.9861</v>
      </c>
      <c r="D5" s="12">
        <f>ROUND('Recursos-tecnológicos'!G24, 4)</f>
        <v>-1.6616</v>
      </c>
      <c r="E5" s="12">
        <f>ROUND('Recursos-tecnológicos'!G29, 4)</f>
        <v>0.55010000000000003</v>
      </c>
      <c r="F5" s="12">
        <f>ROUND('Recursos-tecnológicos'!G30, 4)</f>
        <v>0.27500000000000002</v>
      </c>
    </row>
    <row r="6" spans="1:6" x14ac:dyDescent="0.25">
      <c r="A6" s="12" t="s">
        <v>47</v>
      </c>
      <c r="B6" s="12">
        <f>ROUND('Percepción-evaluaciones'!G12, 4)</f>
        <v>1.2068000000000001</v>
      </c>
      <c r="C6" s="12">
        <f>ROUND('Percepción-evaluaciones'!G23, 4)</f>
        <v>1.9861</v>
      </c>
      <c r="D6" s="12">
        <f>ROUND('Percepción-evaluaciones'!G24, 4)</f>
        <v>-1.6616</v>
      </c>
      <c r="E6" s="12">
        <f>ROUND('Percepción-evaluaciones'!G29, 4)</f>
        <v>0.2306</v>
      </c>
      <c r="F6" s="12">
        <f>ROUND('Percepción-evaluaciones'!G30, 4)</f>
        <v>0.1153</v>
      </c>
    </row>
    <row r="7" spans="1:6" x14ac:dyDescent="0.25">
      <c r="A7" s="12" t="s">
        <v>48</v>
      </c>
      <c r="B7" s="12">
        <f>ROUND('Retroalimentación-oportuna'!G12, 4)</f>
        <v>0.95230000000000004</v>
      </c>
      <c r="C7" s="12">
        <f>ROUND('Retroalimentación-oportuna'!G23, 4)</f>
        <v>1.9861</v>
      </c>
      <c r="D7" s="12">
        <f>ROUND('Retroalimentación-oportuna'!G24, 4)</f>
        <v>-1.6616</v>
      </c>
      <c r="E7" s="12">
        <f>ROUND('Retroalimentación-oportuna'!G29, 4)</f>
        <v>0.34339999999999998</v>
      </c>
      <c r="F7" s="12">
        <f>ROUND('Retroalimentación-oportuna'!G30, 4)</f>
        <v>0.17169999999999999</v>
      </c>
    </row>
    <row r="8" spans="1:6" x14ac:dyDescent="0.25">
      <c r="A8" s="12" t="s">
        <v>49</v>
      </c>
      <c r="B8" s="12">
        <f>ROUND(Calificación!G12, 4)</f>
        <v>-0.7077</v>
      </c>
      <c r="C8" s="12">
        <f>ROUND(Calificación!G23, 4)</f>
        <v>1.9861</v>
      </c>
      <c r="D8" s="12">
        <f>ROUND(Calificación!G24, 4)</f>
        <v>-1.6616</v>
      </c>
      <c r="E8" s="12">
        <f>ROUND(Calificación!G29, 4)</f>
        <v>0.48089999999999999</v>
      </c>
      <c r="F8" s="12">
        <f>ROUND(Calificación!G30, 4)</f>
        <v>0.24049999999999999</v>
      </c>
    </row>
    <row r="9" spans="1:6" x14ac:dyDescent="0.25">
      <c r="A9" s="12" t="s">
        <v>50</v>
      </c>
      <c r="B9" s="12">
        <f>ROUND('Nivel-comprensión'!G12, 4)</f>
        <v>-0.84760000000000002</v>
      </c>
      <c r="C9" s="12">
        <f>ROUND('Nivel-comprensión'!G23, 4)</f>
        <v>1.9861</v>
      </c>
      <c r="D9" s="12">
        <f>ROUND('Nivel-comprensión'!G24, 4)</f>
        <v>-1.6616</v>
      </c>
      <c r="E9" s="12">
        <f>ROUND('Nivel-comprensión'!G29, 4)</f>
        <v>0.39889999999999998</v>
      </c>
      <c r="F9" s="12">
        <f>ROUND('Nivel-comprensión'!G30, 4)</f>
        <v>0.19939999999999999</v>
      </c>
    </row>
    <row r="10" spans="1:6" x14ac:dyDescent="0.25">
      <c r="A10" s="12" t="s">
        <v>51</v>
      </c>
      <c r="B10" s="12">
        <f>ROUND('Habilidades-tareas'!G12, 4)</f>
        <v>-0.86160000000000003</v>
      </c>
      <c r="C10" s="12">
        <f>ROUND('Habilidades-tareas'!G23, 4)</f>
        <v>1.9861</v>
      </c>
      <c r="D10" s="12">
        <f>ROUND('Habilidades-tareas'!G24, 4)</f>
        <v>-1.6616</v>
      </c>
      <c r="E10" s="12">
        <f>ROUND('Habilidades-tareas'!G29, 4)</f>
        <v>0.3911</v>
      </c>
      <c r="F10" s="12">
        <f>ROUND('Habilidades-tareas'!G30, 4)</f>
        <v>0.1956</v>
      </c>
    </row>
    <row r="11" spans="1:6" x14ac:dyDescent="0.25">
      <c r="A11" s="12" t="s">
        <v>52</v>
      </c>
      <c r="B11" s="12">
        <f>ROUND('Resolución-problemas'!G12, 4)</f>
        <v>-0.3332</v>
      </c>
      <c r="C11" s="12">
        <f>ROUND('Resolución-problemas'!G23, 4)</f>
        <v>1.9861</v>
      </c>
      <c r="D11" s="12">
        <f>ROUND('Resolución-problemas'!G24, 4)</f>
        <v>-1.6616</v>
      </c>
      <c r="E11" s="12">
        <f>ROUND('Resolución-problemas'!G29, 4)</f>
        <v>0.73970000000000002</v>
      </c>
      <c r="F11" s="12">
        <f>ROUND('Resolución-problemas'!G30, 4)</f>
        <v>0.36990000000000001</v>
      </c>
    </row>
    <row r="12" spans="1:6" x14ac:dyDescent="0.25">
      <c r="A12" s="12" t="s">
        <v>53</v>
      </c>
      <c r="B12" s="12">
        <f>ROUND(Motivación!G12, 4)</f>
        <v>0.42330000000000001</v>
      </c>
      <c r="C12" s="12">
        <f>ROUND(Motivación!G23, 4)</f>
        <v>1.9861</v>
      </c>
      <c r="D12" s="12">
        <f>ROUND(Motivación!G24, 4)</f>
        <v>-1.6616</v>
      </c>
      <c r="E12" s="12">
        <f>ROUND(Motivación!G29, 4)</f>
        <v>0.67300000000000004</v>
      </c>
      <c r="F12" s="12">
        <f>ROUND(Motivación!G30, 4)</f>
        <v>0.33650000000000002</v>
      </c>
    </row>
    <row r="14" spans="1:6" x14ac:dyDescent="0.25">
      <c r="A14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7" zoomScale="115" zoomScaleNormal="115" workbookViewId="0">
      <selection activeCell="A29" sqref="A29:XFD29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20</v>
      </c>
      <c r="B1" s="7" t="s">
        <v>32</v>
      </c>
      <c r="C1" s="4" t="s">
        <v>0</v>
      </c>
      <c r="D1" s="4"/>
    </row>
    <row r="2" spans="1:7" x14ac:dyDescent="0.25">
      <c r="A2" s="1">
        <v>5</v>
      </c>
      <c r="B2" s="1">
        <v>2</v>
      </c>
      <c r="C2" s="2">
        <f>B2-A2</f>
        <v>-3</v>
      </c>
      <c r="D2" s="1">
        <f>(C2-$G$6)^2</f>
        <v>7.1685744016649311</v>
      </c>
    </row>
    <row r="3" spans="1:7" x14ac:dyDescent="0.25">
      <c r="A3" s="1">
        <v>5</v>
      </c>
      <c r="B3" s="1">
        <v>1</v>
      </c>
      <c r="C3" s="2">
        <f t="shared" ref="C3:C66" si="0">B3-A3</f>
        <v>-4</v>
      </c>
      <c r="D3" s="1">
        <f>(C3-$G$6)^2</f>
        <v>13.52341311134235</v>
      </c>
      <c r="F3" s="5" t="s">
        <v>13</v>
      </c>
      <c r="G3" s="5"/>
    </row>
    <row r="4" spans="1:7" x14ac:dyDescent="0.25">
      <c r="A4" s="1">
        <v>2</v>
      </c>
      <c r="B4" s="1">
        <v>4</v>
      </c>
      <c r="C4" s="2">
        <f t="shared" si="0"/>
        <v>2</v>
      </c>
      <c r="D4" s="1">
        <f>(C4-$G$6)^2</f>
        <v>5.3943808532778359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3</v>
      </c>
      <c r="C5" s="2">
        <f t="shared" si="0"/>
        <v>0</v>
      </c>
      <c r="D5" s="1">
        <f>(C5-$G$6)^2</f>
        <v>0.1040582726326743</v>
      </c>
      <c r="F5" t="s">
        <v>2</v>
      </c>
      <c r="G5">
        <f>SUM(C:C)</f>
        <v>-30</v>
      </c>
    </row>
    <row r="6" spans="1:7" x14ac:dyDescent="0.25">
      <c r="A6" s="1">
        <v>3</v>
      </c>
      <c r="B6" s="1">
        <v>4</v>
      </c>
      <c r="C6" s="2">
        <f t="shared" si="0"/>
        <v>1</v>
      </c>
      <c r="D6" s="1">
        <f t="shared" ref="D6:D66" si="1">(C6-$G$6)^2</f>
        <v>1.7492195629552547</v>
      </c>
      <c r="F6" t="s">
        <v>1</v>
      </c>
      <c r="G6">
        <f>G5/G4</f>
        <v>-0.32258064516129031</v>
      </c>
    </row>
    <row r="7" spans="1:7" x14ac:dyDescent="0.25">
      <c r="A7" s="1">
        <v>5</v>
      </c>
      <c r="B7" s="1">
        <v>1</v>
      </c>
      <c r="C7" s="2">
        <f t="shared" si="0"/>
        <v>-4</v>
      </c>
      <c r="D7" s="1">
        <f>(C7-$G$6)^2</f>
        <v>13.52341311134235</v>
      </c>
      <c r="F7" t="s">
        <v>18</v>
      </c>
      <c r="G7">
        <f>SUM(D:D)</f>
        <v>234.32258064516108</v>
      </c>
    </row>
    <row r="8" spans="1:7" x14ac:dyDescent="0.25">
      <c r="A8" s="1">
        <v>1</v>
      </c>
      <c r="B8" s="1">
        <v>4</v>
      </c>
      <c r="C8" s="2">
        <f t="shared" si="0"/>
        <v>3</v>
      </c>
      <c r="D8" s="1">
        <f t="shared" si="1"/>
        <v>11.039542143600418</v>
      </c>
      <c r="F8" t="s">
        <v>4</v>
      </c>
      <c r="G8">
        <f>SQRT(G7/(G4-1))</f>
        <v>1.5959274959189129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>(C9-$G$6)^2</f>
        <v>0.45889698231009374</v>
      </c>
    </row>
    <row r="10" spans="1:7" x14ac:dyDescent="0.25">
      <c r="A10" s="1">
        <v>4</v>
      </c>
      <c r="B10" s="1">
        <v>3</v>
      </c>
      <c r="C10" s="2">
        <f t="shared" si="0"/>
        <v>-1</v>
      </c>
      <c r="D10" s="1">
        <f t="shared" si="1"/>
        <v>0.45889698231009374</v>
      </c>
    </row>
    <row r="11" spans="1:7" x14ac:dyDescent="0.25">
      <c r="A11" s="1">
        <v>4</v>
      </c>
      <c r="B11" s="1">
        <v>3</v>
      </c>
      <c r="C11" s="2">
        <f t="shared" si="0"/>
        <v>-1</v>
      </c>
      <c r="D11" s="1">
        <f t="shared" si="1"/>
        <v>0.45889698231009374</v>
      </c>
    </row>
    <row r="12" spans="1:7" x14ac:dyDescent="0.25">
      <c r="A12" s="1">
        <v>4</v>
      </c>
      <c r="B12" s="1">
        <v>3</v>
      </c>
      <c r="C12" s="2">
        <f t="shared" si="0"/>
        <v>-1</v>
      </c>
      <c r="D12" s="1">
        <f t="shared" si="1"/>
        <v>0.45889698231009374</v>
      </c>
      <c r="F12" t="s">
        <v>8</v>
      </c>
      <c r="G12">
        <f>G6/(G8/SQRT(G4))</f>
        <v>-1.9492458724762358</v>
      </c>
    </row>
    <row r="13" spans="1:7" x14ac:dyDescent="0.25">
      <c r="A13" s="1">
        <v>4</v>
      </c>
      <c r="B13" s="1">
        <v>4</v>
      </c>
      <c r="C13" s="2">
        <f t="shared" si="0"/>
        <v>0</v>
      </c>
      <c r="D13" s="1">
        <f t="shared" si="1"/>
        <v>0.1040582726326743</v>
      </c>
    </row>
    <row r="14" spans="1:7" x14ac:dyDescent="0.25">
      <c r="A14" s="1">
        <v>3</v>
      </c>
      <c r="B14" s="1">
        <v>4</v>
      </c>
      <c r="C14" s="2">
        <f t="shared" si="0"/>
        <v>1</v>
      </c>
      <c r="D14" s="1">
        <f t="shared" si="1"/>
        <v>1.7492195629552547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0.1040582726326743</v>
      </c>
    </row>
    <row r="16" spans="1:7" x14ac:dyDescent="0.25">
      <c r="A16" s="1">
        <v>4</v>
      </c>
      <c r="B16" s="1">
        <v>4</v>
      </c>
      <c r="C16" s="2">
        <f t="shared" si="0"/>
        <v>0</v>
      </c>
      <c r="D16" s="1">
        <f t="shared" si="1"/>
        <v>0.1040582726326743</v>
      </c>
    </row>
    <row r="17" spans="1:7" x14ac:dyDescent="0.25">
      <c r="A17" s="1">
        <v>3</v>
      </c>
      <c r="B17" s="1">
        <v>3</v>
      </c>
      <c r="C17" s="2">
        <f t="shared" si="0"/>
        <v>0</v>
      </c>
      <c r="D17" s="1">
        <f t="shared" si="1"/>
        <v>0.1040582726326743</v>
      </c>
      <c r="F17" t="s">
        <v>5</v>
      </c>
      <c r="G17">
        <v>0.05</v>
      </c>
    </row>
    <row r="18" spans="1:7" x14ac:dyDescent="0.25">
      <c r="A18" s="1">
        <v>5</v>
      </c>
      <c r="B18" s="1">
        <v>4</v>
      </c>
      <c r="C18" s="2">
        <f t="shared" si="0"/>
        <v>-1</v>
      </c>
      <c r="D18" s="1">
        <f t="shared" si="1"/>
        <v>0.45889698231009374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5</v>
      </c>
      <c r="C19" s="2">
        <f t="shared" si="0"/>
        <v>1</v>
      </c>
      <c r="D19" s="1">
        <f t="shared" si="1"/>
        <v>1.7492195629552547</v>
      </c>
    </row>
    <row r="20" spans="1:7" x14ac:dyDescent="0.25">
      <c r="A20" s="1">
        <v>4</v>
      </c>
      <c r="B20" s="1">
        <v>1</v>
      </c>
      <c r="C20" s="2">
        <f t="shared" si="0"/>
        <v>-3</v>
      </c>
      <c r="D20" s="1">
        <f t="shared" si="1"/>
        <v>7.1685744016649311</v>
      </c>
    </row>
    <row r="21" spans="1:7" x14ac:dyDescent="0.25">
      <c r="A21" s="1">
        <v>4</v>
      </c>
      <c r="B21" s="1">
        <v>2</v>
      </c>
      <c r="C21" s="2">
        <f t="shared" si="0"/>
        <v>-2</v>
      </c>
      <c r="D21" s="1">
        <f t="shared" si="1"/>
        <v>2.8137356919875134</v>
      </c>
    </row>
    <row r="22" spans="1:7" x14ac:dyDescent="0.25">
      <c r="A22" s="1">
        <v>3</v>
      </c>
      <c r="B22" s="1">
        <v>2</v>
      </c>
      <c r="C22" s="2">
        <f t="shared" si="0"/>
        <v>-1</v>
      </c>
      <c r="D22" s="1">
        <f t="shared" si="1"/>
        <v>0.45889698231009374</v>
      </c>
      <c r="F22" s="5" t="s">
        <v>7</v>
      </c>
      <c r="G22" s="5"/>
    </row>
    <row r="23" spans="1:7" x14ac:dyDescent="0.25">
      <c r="A23" s="1">
        <v>4</v>
      </c>
      <c r="B23" s="1">
        <v>1</v>
      </c>
      <c r="C23" s="2">
        <f t="shared" si="0"/>
        <v>-3</v>
      </c>
      <c r="D23" s="1">
        <f t="shared" si="1"/>
        <v>7.1685744016649311</v>
      </c>
      <c r="F23" t="s">
        <v>16</v>
      </c>
      <c r="G23">
        <f>_xlfn.T.INV.2T(G17,G18)</f>
        <v>1.9860863169511298</v>
      </c>
    </row>
    <row r="24" spans="1:7" x14ac:dyDescent="0.25">
      <c r="A24" s="1">
        <v>3</v>
      </c>
      <c r="B24" s="1">
        <v>4</v>
      </c>
      <c r="C24" s="2">
        <f t="shared" si="0"/>
        <v>1</v>
      </c>
      <c r="D24" s="1">
        <f t="shared" si="1"/>
        <v>1.7492195629552547</v>
      </c>
      <c r="F24" t="s">
        <v>17</v>
      </c>
      <c r="G24">
        <f>_xlfn.T.INV(G17,G18)</f>
        <v>-1.6615853969032315</v>
      </c>
    </row>
    <row r="25" spans="1:7" x14ac:dyDescent="0.25">
      <c r="A25" s="1">
        <v>3</v>
      </c>
      <c r="B25" s="1">
        <v>4</v>
      </c>
      <c r="C25" s="2">
        <f t="shared" si="0"/>
        <v>1</v>
      </c>
      <c r="D25" s="1">
        <f t="shared" si="1"/>
        <v>1.7492195629552547</v>
      </c>
    </row>
    <row r="26" spans="1:7" x14ac:dyDescent="0.25">
      <c r="A26" s="1">
        <v>5</v>
      </c>
      <c r="B26" s="1">
        <v>3</v>
      </c>
      <c r="C26" s="2">
        <f t="shared" si="0"/>
        <v>-2</v>
      </c>
      <c r="D26" s="1">
        <f t="shared" si="1"/>
        <v>2.8137356919875134</v>
      </c>
    </row>
    <row r="27" spans="1:7" x14ac:dyDescent="0.25">
      <c r="A27" s="1">
        <v>3</v>
      </c>
      <c r="B27" s="1">
        <v>3</v>
      </c>
      <c r="C27" s="2">
        <f t="shared" si="0"/>
        <v>0</v>
      </c>
      <c r="D27" s="1">
        <f t="shared" si="1"/>
        <v>0.1040582726326743</v>
      </c>
      <c r="F27" s="5" t="s">
        <v>9</v>
      </c>
      <c r="G27" s="5"/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1.7492195629552547</v>
      </c>
      <c r="F28" t="s">
        <v>9</v>
      </c>
    </row>
    <row r="29" spans="1:7" x14ac:dyDescent="0.25">
      <c r="A29" s="1">
        <v>5</v>
      </c>
      <c r="B29" s="1">
        <v>2</v>
      </c>
      <c r="C29" s="2">
        <f t="shared" si="0"/>
        <v>-3</v>
      </c>
      <c r="D29" s="1">
        <f t="shared" si="1"/>
        <v>7.1685744016649311</v>
      </c>
      <c r="F29" t="s">
        <v>15</v>
      </c>
      <c r="G29">
        <f>TTEST(A:A,B:B,2,1)</f>
        <v>5.4312005870565172E-2</v>
      </c>
    </row>
    <row r="30" spans="1:7" x14ac:dyDescent="0.25">
      <c r="A30" s="1">
        <v>2</v>
      </c>
      <c r="B30" s="1">
        <v>4</v>
      </c>
      <c r="C30" s="2">
        <f t="shared" si="0"/>
        <v>2</v>
      </c>
      <c r="D30" s="1">
        <f t="shared" si="1"/>
        <v>5.3943808532778359</v>
      </c>
      <c r="F30" t="s">
        <v>19</v>
      </c>
      <c r="G30">
        <f>TTEST(A:A,B:B,1,1)</f>
        <v>2.7156002935282586E-2</v>
      </c>
    </row>
    <row r="31" spans="1:7" x14ac:dyDescent="0.25">
      <c r="A31" s="1">
        <v>1</v>
      </c>
      <c r="B31" s="1">
        <v>4</v>
      </c>
      <c r="C31" s="2">
        <f t="shared" si="0"/>
        <v>3</v>
      </c>
      <c r="D31" s="1">
        <f t="shared" si="1"/>
        <v>11.039542143600418</v>
      </c>
    </row>
    <row r="32" spans="1:7" x14ac:dyDescent="0.25">
      <c r="A32" s="1">
        <v>2</v>
      </c>
      <c r="B32" s="1">
        <v>3</v>
      </c>
      <c r="C32" s="2">
        <f t="shared" si="0"/>
        <v>1</v>
      </c>
      <c r="D32" s="1">
        <f t="shared" si="1"/>
        <v>1.7492195629552547</v>
      </c>
    </row>
    <row r="33" spans="1:7" x14ac:dyDescent="0.25">
      <c r="A33" s="1">
        <v>4</v>
      </c>
      <c r="B33" s="1">
        <v>3</v>
      </c>
      <c r="C33" s="2">
        <f t="shared" si="0"/>
        <v>-1</v>
      </c>
      <c r="D33" s="1">
        <f t="shared" si="1"/>
        <v>0.45889698231009374</v>
      </c>
      <c r="F33" s="8" t="s">
        <v>12</v>
      </c>
      <c r="G33" s="8"/>
    </row>
    <row r="34" spans="1:7" x14ac:dyDescent="0.25">
      <c r="A34" s="1">
        <v>5</v>
      </c>
      <c r="B34" s="1">
        <v>3</v>
      </c>
      <c r="C34" s="2">
        <f t="shared" si="0"/>
        <v>-2</v>
      </c>
      <c r="D34" s="1">
        <f t="shared" si="1"/>
        <v>2.8137356919875134</v>
      </c>
    </row>
    <row r="35" spans="1:7" x14ac:dyDescent="0.25">
      <c r="A35" s="1">
        <v>3</v>
      </c>
      <c r="B35" s="1">
        <v>5</v>
      </c>
      <c r="C35" s="2">
        <f t="shared" si="0"/>
        <v>2</v>
      </c>
      <c r="D35" s="1">
        <f t="shared" si="1"/>
        <v>5.3943808532778359</v>
      </c>
      <c r="F35" t="s">
        <v>10</v>
      </c>
    </row>
    <row r="36" spans="1:7" x14ac:dyDescent="0.25">
      <c r="A36" s="1">
        <v>4</v>
      </c>
      <c r="B36" s="1">
        <v>2</v>
      </c>
      <c r="C36" s="2">
        <f t="shared" si="0"/>
        <v>-2</v>
      </c>
      <c r="D36" s="1">
        <f t="shared" si="1"/>
        <v>2.8137356919875134</v>
      </c>
      <c r="F36" t="s">
        <v>11</v>
      </c>
    </row>
    <row r="37" spans="1:7" x14ac:dyDescent="0.25">
      <c r="A37" s="1">
        <v>5</v>
      </c>
      <c r="B37" s="1">
        <v>4</v>
      </c>
      <c r="C37" s="2">
        <f t="shared" si="0"/>
        <v>-1</v>
      </c>
      <c r="D37" s="1">
        <f t="shared" si="1"/>
        <v>0.45889698231009374</v>
      </c>
    </row>
    <row r="38" spans="1:7" x14ac:dyDescent="0.25">
      <c r="A38" s="1">
        <v>3</v>
      </c>
      <c r="B38" s="1">
        <v>5</v>
      </c>
      <c r="C38" s="2">
        <f t="shared" si="0"/>
        <v>2</v>
      </c>
      <c r="D38" s="1">
        <f t="shared" si="1"/>
        <v>5.3943808532778359</v>
      </c>
    </row>
    <row r="39" spans="1:7" x14ac:dyDescent="0.25">
      <c r="A39" s="1">
        <v>5</v>
      </c>
      <c r="B39" s="1">
        <v>2</v>
      </c>
      <c r="C39" s="2">
        <f t="shared" si="0"/>
        <v>-3</v>
      </c>
      <c r="D39" s="1">
        <f t="shared" si="1"/>
        <v>7.1685744016649311</v>
      </c>
    </row>
    <row r="40" spans="1:7" x14ac:dyDescent="0.25">
      <c r="A40" s="1">
        <v>2</v>
      </c>
      <c r="B40" s="1">
        <v>1</v>
      </c>
      <c r="C40" s="2">
        <f t="shared" si="0"/>
        <v>-1</v>
      </c>
      <c r="D40" s="1">
        <f t="shared" si="1"/>
        <v>0.45889698231009374</v>
      </c>
      <c r="F40" t="s">
        <v>14</v>
      </c>
    </row>
    <row r="41" spans="1:7" x14ac:dyDescent="0.25">
      <c r="A41" s="1">
        <v>4</v>
      </c>
      <c r="B41" s="1">
        <v>2</v>
      </c>
      <c r="C41" s="2">
        <f t="shared" si="0"/>
        <v>-2</v>
      </c>
      <c r="D41" s="1">
        <f t="shared" si="1"/>
        <v>2.8137356919875134</v>
      </c>
      <c r="F41" t="str">
        <f>"Dos Colas: Si t calculado ("&amp;G12&amp;") &gt; a t critico  ("&amp;G23&amp;") (de tabla) ---&gt; Se rechaza la hipotesis nula"</f>
        <v>Dos Colas: Si t calculado (-1.94924587247624) &gt; a t critico  (1.98608631695113) (de tabla) ---&gt; Se rechaza la hipotesis nula</v>
      </c>
    </row>
    <row r="42" spans="1:7" x14ac:dyDescent="0.25">
      <c r="A42" s="1">
        <v>3</v>
      </c>
      <c r="B42" s="1">
        <v>2</v>
      </c>
      <c r="C42" s="2">
        <f t="shared" si="0"/>
        <v>-1</v>
      </c>
      <c r="D42" s="1">
        <f t="shared" si="1"/>
        <v>0.45889698231009374</v>
      </c>
      <c r="F42" t="str">
        <f>"Una Cola: Si t calculado ("&amp;G12&amp;") &gt; a t critico  ("&amp;G24&amp;") (de tabla) ---&gt; Se rechaza la hipotesis nula"</f>
        <v>Una Cola: Si t calculado (-1.94924587247624) &gt; a t critico  (-1.66158539690323) (de tabla) ---&gt; Se rechaza la hipotesis nula</v>
      </c>
    </row>
    <row r="43" spans="1:7" x14ac:dyDescent="0.25">
      <c r="A43" s="1">
        <v>4</v>
      </c>
      <c r="B43" s="1">
        <v>3</v>
      </c>
      <c r="C43" s="2">
        <f t="shared" si="0"/>
        <v>-1</v>
      </c>
      <c r="D43" s="1">
        <f t="shared" si="1"/>
        <v>0.45889698231009374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0.1040582726326743</v>
      </c>
    </row>
    <row r="45" spans="1:7" x14ac:dyDescent="0.25">
      <c r="A45" s="1">
        <v>3</v>
      </c>
      <c r="B45" s="1">
        <v>5</v>
      </c>
      <c r="C45" s="2">
        <f t="shared" si="0"/>
        <v>2</v>
      </c>
      <c r="D45" s="1">
        <f t="shared" si="1"/>
        <v>5.3943808532778359</v>
      </c>
    </row>
    <row r="46" spans="1:7" x14ac:dyDescent="0.25">
      <c r="A46" s="1">
        <v>4</v>
      </c>
      <c r="B46" s="1">
        <v>4</v>
      </c>
      <c r="C46" s="2">
        <f t="shared" si="0"/>
        <v>0</v>
      </c>
      <c r="D46" s="1">
        <f t="shared" si="1"/>
        <v>0.1040582726326743</v>
      </c>
      <c r="F46" t="s">
        <v>21</v>
      </c>
    </row>
    <row r="47" spans="1:7" x14ac:dyDescent="0.25">
      <c r="A47" s="1">
        <v>1</v>
      </c>
      <c r="B47" s="1">
        <v>4</v>
      </c>
      <c r="C47" s="2">
        <f t="shared" si="0"/>
        <v>3</v>
      </c>
      <c r="D47" s="1">
        <f t="shared" si="1"/>
        <v>11.039542143600418</v>
      </c>
      <c r="F47" t="str">
        <f>"Dos Colas: Si p valor ("&amp;G29&amp;") &lt; Nivel Significancia ("&amp;G17&amp;") ---&gt; Se rechaza la hipotesis nula"</f>
        <v>Dos Colas: Si p valor (0.0543120058705652) &lt; Nivel Significancia (0.05) ---&gt; Se rechaza la hipotesis nula</v>
      </c>
    </row>
    <row r="48" spans="1:7" x14ac:dyDescent="0.25">
      <c r="A48" s="1">
        <v>3</v>
      </c>
      <c r="B48" s="1">
        <v>4</v>
      </c>
      <c r="C48" s="2">
        <f t="shared" si="0"/>
        <v>1</v>
      </c>
      <c r="D48" s="1">
        <f t="shared" si="1"/>
        <v>1.7492195629552547</v>
      </c>
      <c r="F48" t="str">
        <f>"Una Cola: Si p valor ("&amp;G30&amp;") &lt; Nivel Significancia ("&amp;G17&amp;") ---&gt; Se rechaza la hipotesis nula"</f>
        <v>Una Cola: Si p valor (0.0271560029352826) &lt; Nivel Significancia (0.05) ---&gt; Se rechaza la hipotesis nula</v>
      </c>
    </row>
    <row r="49" spans="1:4" x14ac:dyDescent="0.25">
      <c r="A49" s="1">
        <v>2</v>
      </c>
      <c r="B49" s="1">
        <v>3</v>
      </c>
      <c r="C49" s="2">
        <f t="shared" si="0"/>
        <v>1</v>
      </c>
      <c r="D49" s="1">
        <f t="shared" si="1"/>
        <v>1.7492195629552547</v>
      </c>
    </row>
    <row r="50" spans="1:4" x14ac:dyDescent="0.25">
      <c r="A50" s="1">
        <v>2</v>
      </c>
      <c r="B50" s="1">
        <v>3</v>
      </c>
      <c r="C50" s="2">
        <f t="shared" si="0"/>
        <v>1</v>
      </c>
      <c r="D50" s="1">
        <f t="shared" si="1"/>
        <v>1.7492195629552547</v>
      </c>
    </row>
    <row r="51" spans="1:4" x14ac:dyDescent="0.25">
      <c r="A51" s="1">
        <v>3</v>
      </c>
      <c r="B51" s="1">
        <v>5</v>
      </c>
      <c r="C51" s="2">
        <f t="shared" si="0"/>
        <v>2</v>
      </c>
      <c r="D51" s="1">
        <f t="shared" si="1"/>
        <v>5.3943808532778359</v>
      </c>
    </row>
    <row r="52" spans="1:4" x14ac:dyDescent="0.25">
      <c r="A52" s="1">
        <v>2</v>
      </c>
      <c r="B52" s="1">
        <v>4</v>
      </c>
      <c r="C52" s="2">
        <f t="shared" si="0"/>
        <v>2</v>
      </c>
      <c r="D52" s="1">
        <f t="shared" si="1"/>
        <v>5.3943808532778359</v>
      </c>
    </row>
    <row r="53" spans="1:4" x14ac:dyDescent="0.25">
      <c r="A53" s="1">
        <v>5</v>
      </c>
      <c r="B53" s="1">
        <v>3</v>
      </c>
      <c r="C53" s="2">
        <f t="shared" si="0"/>
        <v>-2</v>
      </c>
      <c r="D53" s="1">
        <f t="shared" si="1"/>
        <v>2.8137356919875134</v>
      </c>
    </row>
    <row r="54" spans="1:4" x14ac:dyDescent="0.25">
      <c r="A54" s="1">
        <v>4</v>
      </c>
      <c r="B54" s="1">
        <v>5</v>
      </c>
      <c r="C54" s="2">
        <f t="shared" si="0"/>
        <v>1</v>
      </c>
      <c r="D54" s="1">
        <f t="shared" si="1"/>
        <v>1.7492195629552547</v>
      </c>
    </row>
    <row r="55" spans="1:4" x14ac:dyDescent="0.25">
      <c r="A55" s="1">
        <v>5</v>
      </c>
      <c r="B55" s="1">
        <v>2</v>
      </c>
      <c r="C55" s="2">
        <f t="shared" si="0"/>
        <v>-3</v>
      </c>
      <c r="D55" s="1">
        <f t="shared" si="1"/>
        <v>7.1685744016649311</v>
      </c>
    </row>
    <row r="56" spans="1:4" x14ac:dyDescent="0.25">
      <c r="A56" s="1">
        <v>4</v>
      </c>
      <c r="B56" s="1">
        <v>3</v>
      </c>
      <c r="C56" s="2">
        <f t="shared" si="0"/>
        <v>-1</v>
      </c>
      <c r="D56" s="1">
        <f t="shared" si="1"/>
        <v>0.45889698231009374</v>
      </c>
    </row>
    <row r="57" spans="1:4" x14ac:dyDescent="0.25">
      <c r="A57" s="1">
        <v>4</v>
      </c>
      <c r="B57" s="1">
        <v>3</v>
      </c>
      <c r="C57" s="2">
        <f t="shared" si="0"/>
        <v>-1</v>
      </c>
      <c r="D57" s="1">
        <f t="shared" si="1"/>
        <v>0.45889698231009374</v>
      </c>
    </row>
    <row r="58" spans="1:4" x14ac:dyDescent="0.25">
      <c r="A58" s="1">
        <v>4</v>
      </c>
      <c r="B58" s="1">
        <v>3</v>
      </c>
      <c r="C58" s="2">
        <f t="shared" si="0"/>
        <v>-1</v>
      </c>
      <c r="D58" s="1">
        <f t="shared" si="1"/>
        <v>0.45889698231009374</v>
      </c>
    </row>
    <row r="59" spans="1:4" x14ac:dyDescent="0.25">
      <c r="A59" s="1">
        <v>2</v>
      </c>
      <c r="B59" s="1">
        <v>2</v>
      </c>
      <c r="C59" s="2">
        <f t="shared" si="0"/>
        <v>0</v>
      </c>
      <c r="D59" s="1">
        <f t="shared" si="1"/>
        <v>0.1040582726326743</v>
      </c>
    </row>
    <row r="60" spans="1:4" x14ac:dyDescent="0.25">
      <c r="A60" s="1">
        <v>4</v>
      </c>
      <c r="B60" s="1">
        <v>4</v>
      </c>
      <c r="C60" s="2">
        <f t="shared" si="0"/>
        <v>0</v>
      </c>
      <c r="D60" s="1">
        <f t="shared" si="1"/>
        <v>0.1040582726326743</v>
      </c>
    </row>
    <row r="61" spans="1:4" x14ac:dyDescent="0.25">
      <c r="A61" s="1">
        <v>4</v>
      </c>
      <c r="B61" s="1">
        <v>3</v>
      </c>
      <c r="C61" s="2">
        <f t="shared" si="0"/>
        <v>-1</v>
      </c>
      <c r="D61" s="1">
        <f t="shared" si="1"/>
        <v>0.45889698231009374</v>
      </c>
    </row>
    <row r="62" spans="1:4" x14ac:dyDescent="0.25">
      <c r="A62" s="1">
        <v>3</v>
      </c>
      <c r="B62" s="1">
        <v>3</v>
      </c>
      <c r="C62" s="2">
        <f t="shared" si="0"/>
        <v>0</v>
      </c>
      <c r="D62" s="1">
        <f t="shared" si="1"/>
        <v>0.1040582726326743</v>
      </c>
    </row>
    <row r="63" spans="1:4" x14ac:dyDescent="0.25">
      <c r="A63" s="1">
        <v>5</v>
      </c>
      <c r="B63" s="1">
        <v>4</v>
      </c>
      <c r="C63" s="2">
        <f t="shared" si="0"/>
        <v>-1</v>
      </c>
      <c r="D63" s="1">
        <f t="shared" si="1"/>
        <v>0.45889698231009374</v>
      </c>
    </row>
    <row r="64" spans="1:4" x14ac:dyDescent="0.25">
      <c r="A64" s="1">
        <v>2</v>
      </c>
      <c r="B64" s="1">
        <v>2</v>
      </c>
      <c r="C64" s="2">
        <f t="shared" si="0"/>
        <v>0</v>
      </c>
      <c r="D64" s="1">
        <f t="shared" si="1"/>
        <v>0.1040582726326743</v>
      </c>
    </row>
    <row r="65" spans="1:4" x14ac:dyDescent="0.25">
      <c r="A65" s="1">
        <v>5</v>
      </c>
      <c r="B65" s="1">
        <v>3</v>
      </c>
      <c r="C65" s="2">
        <f t="shared" si="0"/>
        <v>-2</v>
      </c>
      <c r="D65" s="1">
        <f t="shared" si="1"/>
        <v>2.8137356919875134</v>
      </c>
    </row>
    <row r="66" spans="1:4" x14ac:dyDescent="0.25">
      <c r="A66" s="1">
        <v>1</v>
      </c>
      <c r="B66" s="1">
        <v>3</v>
      </c>
      <c r="C66" s="2">
        <f t="shared" si="0"/>
        <v>2</v>
      </c>
      <c r="D66" s="1">
        <f t="shared" si="1"/>
        <v>5.3943808532778359</v>
      </c>
    </row>
    <row r="67" spans="1:4" x14ac:dyDescent="0.25">
      <c r="A67" s="1">
        <v>3</v>
      </c>
      <c r="B67" s="1">
        <v>2</v>
      </c>
      <c r="C67" s="2">
        <f t="shared" ref="C67:C75" si="2">B67-A67</f>
        <v>-1</v>
      </c>
      <c r="D67" s="1">
        <f t="shared" ref="D67:D75" si="3">(C67-$G$6)^2</f>
        <v>0.45889698231009374</v>
      </c>
    </row>
    <row r="68" spans="1:4" x14ac:dyDescent="0.25">
      <c r="A68" s="1">
        <v>4</v>
      </c>
      <c r="B68" s="1">
        <v>2</v>
      </c>
      <c r="C68" s="2">
        <f t="shared" si="2"/>
        <v>-2</v>
      </c>
      <c r="D68" s="1">
        <f t="shared" si="3"/>
        <v>2.8137356919875134</v>
      </c>
    </row>
    <row r="69" spans="1:4" x14ac:dyDescent="0.25">
      <c r="A69" s="1">
        <v>5</v>
      </c>
      <c r="B69" s="1">
        <v>3</v>
      </c>
      <c r="C69" s="2">
        <f t="shared" si="2"/>
        <v>-2</v>
      </c>
      <c r="D69" s="1">
        <f t="shared" si="3"/>
        <v>2.8137356919875134</v>
      </c>
    </row>
    <row r="70" spans="1:4" x14ac:dyDescent="0.25">
      <c r="A70" s="1">
        <v>2</v>
      </c>
      <c r="B70" s="1">
        <v>2</v>
      </c>
      <c r="C70" s="2">
        <f t="shared" si="2"/>
        <v>0</v>
      </c>
      <c r="D70" s="1">
        <f t="shared" si="3"/>
        <v>0.1040582726326743</v>
      </c>
    </row>
    <row r="71" spans="1:4" x14ac:dyDescent="0.25">
      <c r="A71" s="1">
        <v>3</v>
      </c>
      <c r="B71" s="1">
        <v>3</v>
      </c>
      <c r="C71" s="2">
        <f t="shared" si="2"/>
        <v>0</v>
      </c>
      <c r="D71" s="1">
        <f t="shared" si="3"/>
        <v>0.1040582726326743</v>
      </c>
    </row>
    <row r="72" spans="1:4" x14ac:dyDescent="0.25">
      <c r="A72" s="1">
        <v>3</v>
      </c>
      <c r="B72" s="1">
        <v>3</v>
      </c>
      <c r="C72" s="2">
        <f t="shared" si="2"/>
        <v>0</v>
      </c>
      <c r="D72" s="1">
        <f t="shared" si="3"/>
        <v>0.1040582726326743</v>
      </c>
    </row>
    <row r="73" spans="1:4" x14ac:dyDescent="0.25">
      <c r="A73" s="1">
        <v>3</v>
      </c>
      <c r="B73" s="1">
        <v>3</v>
      </c>
      <c r="C73" s="2">
        <f t="shared" si="2"/>
        <v>0</v>
      </c>
      <c r="D73" s="1">
        <f t="shared" si="3"/>
        <v>0.1040582726326743</v>
      </c>
    </row>
    <row r="74" spans="1:4" x14ac:dyDescent="0.25">
      <c r="A74" s="1">
        <v>5</v>
      </c>
      <c r="B74" s="1">
        <v>3</v>
      </c>
      <c r="C74" s="2">
        <f t="shared" si="2"/>
        <v>-2</v>
      </c>
      <c r="D74" s="1">
        <f t="shared" si="3"/>
        <v>2.8137356919875134</v>
      </c>
    </row>
    <row r="75" spans="1:4" x14ac:dyDescent="0.25">
      <c r="A75" s="1">
        <v>4</v>
      </c>
      <c r="B75" s="1">
        <v>5</v>
      </c>
      <c r="C75" s="2">
        <f t="shared" si="2"/>
        <v>1</v>
      </c>
      <c r="D75" s="1">
        <f t="shared" si="3"/>
        <v>1.7492195629552547</v>
      </c>
    </row>
    <row r="76" spans="1:4" x14ac:dyDescent="0.25">
      <c r="A76" s="1">
        <v>5</v>
      </c>
      <c r="B76" s="1">
        <v>2</v>
      </c>
      <c r="C76" s="2">
        <f>B76-A76</f>
        <v>-3</v>
      </c>
      <c r="D76" s="1">
        <f>(C76-$G$6)^2</f>
        <v>7.1685744016649311</v>
      </c>
    </row>
    <row r="77" spans="1:4" x14ac:dyDescent="0.25">
      <c r="A77" s="1">
        <v>2</v>
      </c>
      <c r="B77" s="1">
        <v>2</v>
      </c>
      <c r="C77" s="2">
        <f t="shared" ref="C77:C94" si="4">B77-A77</f>
        <v>0</v>
      </c>
      <c r="D77" s="1">
        <f t="shared" ref="D77:D92" si="5">(C77-$G$6)^2</f>
        <v>0.1040582726326743</v>
      </c>
    </row>
    <row r="78" spans="1:4" x14ac:dyDescent="0.25">
      <c r="A78" s="1">
        <v>3</v>
      </c>
      <c r="B78" s="1">
        <v>5</v>
      </c>
      <c r="C78" s="2">
        <f t="shared" si="4"/>
        <v>2</v>
      </c>
      <c r="D78" s="1">
        <f t="shared" si="5"/>
        <v>5.3943808532778359</v>
      </c>
    </row>
    <row r="79" spans="1:4" x14ac:dyDescent="0.25">
      <c r="A79" s="1">
        <v>4</v>
      </c>
      <c r="B79" s="1">
        <v>2</v>
      </c>
      <c r="C79" s="2">
        <f t="shared" si="4"/>
        <v>-2</v>
      </c>
      <c r="D79" s="1">
        <f t="shared" si="5"/>
        <v>2.8137356919875134</v>
      </c>
    </row>
    <row r="80" spans="1:4" x14ac:dyDescent="0.25">
      <c r="A80" s="1">
        <v>5</v>
      </c>
      <c r="B80" s="1">
        <v>5</v>
      </c>
      <c r="C80" s="2">
        <f t="shared" si="4"/>
        <v>0</v>
      </c>
      <c r="D80" s="1">
        <f t="shared" si="5"/>
        <v>0.1040582726326743</v>
      </c>
    </row>
    <row r="81" spans="1:6" x14ac:dyDescent="0.25">
      <c r="A81" s="1">
        <v>4</v>
      </c>
      <c r="B81" s="1">
        <v>4</v>
      </c>
      <c r="C81" s="2">
        <f t="shared" si="4"/>
        <v>0</v>
      </c>
      <c r="D81" s="1">
        <f t="shared" si="5"/>
        <v>0.1040582726326743</v>
      </c>
    </row>
    <row r="82" spans="1:6" x14ac:dyDescent="0.25">
      <c r="A82" s="1">
        <v>4</v>
      </c>
      <c r="B82" s="1">
        <v>3</v>
      </c>
      <c r="C82" s="2">
        <f t="shared" si="4"/>
        <v>-1</v>
      </c>
      <c r="D82" s="1">
        <f t="shared" si="5"/>
        <v>0.45889698231009374</v>
      </c>
    </row>
    <row r="83" spans="1:6" x14ac:dyDescent="0.25">
      <c r="A83" s="1">
        <v>3</v>
      </c>
      <c r="B83" s="1">
        <v>5</v>
      </c>
      <c r="C83" s="2">
        <f t="shared" si="4"/>
        <v>2</v>
      </c>
      <c r="D83" s="1">
        <f t="shared" si="5"/>
        <v>5.3943808532778359</v>
      </c>
    </row>
    <row r="84" spans="1:6" x14ac:dyDescent="0.25">
      <c r="A84" s="1">
        <v>3</v>
      </c>
      <c r="B84" s="1">
        <v>2</v>
      </c>
      <c r="C84" s="2">
        <f t="shared" si="4"/>
        <v>-1</v>
      </c>
      <c r="D84" s="1">
        <f>(C84-$G$6)^2</f>
        <v>0.45889698231009374</v>
      </c>
    </row>
    <row r="85" spans="1:6" x14ac:dyDescent="0.25">
      <c r="A85" s="1">
        <v>2</v>
      </c>
      <c r="B85" s="1">
        <v>2</v>
      </c>
      <c r="C85" s="2">
        <f t="shared" si="4"/>
        <v>0</v>
      </c>
      <c r="D85" s="1">
        <f>(C85-$G$6)^2</f>
        <v>0.1040582726326743</v>
      </c>
    </row>
    <row r="86" spans="1:6" x14ac:dyDescent="0.25">
      <c r="A86" s="1">
        <v>3</v>
      </c>
      <c r="B86" s="1">
        <v>3</v>
      </c>
      <c r="C86" s="2">
        <f t="shared" si="4"/>
        <v>0</v>
      </c>
      <c r="D86" s="1">
        <f t="shared" si="5"/>
        <v>0.1040582726326743</v>
      </c>
    </row>
    <row r="87" spans="1:6" x14ac:dyDescent="0.25">
      <c r="A87" s="1">
        <v>5</v>
      </c>
      <c r="B87" s="1">
        <v>5</v>
      </c>
      <c r="C87" s="2">
        <f t="shared" si="4"/>
        <v>0</v>
      </c>
      <c r="D87" s="1">
        <f>(C87-$G$6)^2</f>
        <v>0.1040582726326743</v>
      </c>
    </row>
    <row r="88" spans="1:6" x14ac:dyDescent="0.25">
      <c r="A88" s="1">
        <v>3</v>
      </c>
      <c r="B88" s="1">
        <v>4</v>
      </c>
      <c r="C88" s="2">
        <f t="shared" si="4"/>
        <v>1</v>
      </c>
      <c r="D88" s="1">
        <f t="shared" si="5"/>
        <v>1.7492195629552547</v>
      </c>
    </row>
    <row r="89" spans="1:6" x14ac:dyDescent="0.25">
      <c r="A89" s="1">
        <v>3</v>
      </c>
      <c r="B89" s="1">
        <v>3</v>
      </c>
      <c r="C89" s="2">
        <f t="shared" si="4"/>
        <v>0</v>
      </c>
      <c r="D89" s="1">
        <f>(C89-$G$6)^2</f>
        <v>0.1040582726326743</v>
      </c>
    </row>
    <row r="90" spans="1:6" x14ac:dyDescent="0.25">
      <c r="A90" s="1">
        <v>3</v>
      </c>
      <c r="B90" s="1">
        <v>1</v>
      </c>
      <c r="C90" s="2">
        <f t="shared" si="4"/>
        <v>-2</v>
      </c>
      <c r="D90" s="1">
        <f t="shared" si="5"/>
        <v>2.8137356919875134</v>
      </c>
    </row>
    <row r="91" spans="1:6" x14ac:dyDescent="0.25">
      <c r="A91" s="1">
        <v>3</v>
      </c>
      <c r="B91" s="1">
        <v>3</v>
      </c>
      <c r="C91" s="2">
        <f t="shared" si="4"/>
        <v>0</v>
      </c>
      <c r="D91" s="1">
        <f t="shared" si="5"/>
        <v>0.1040582726326743</v>
      </c>
    </row>
    <row r="92" spans="1:6" x14ac:dyDescent="0.25">
      <c r="A92" s="1">
        <v>3</v>
      </c>
      <c r="B92" s="1">
        <v>4</v>
      </c>
      <c r="C92" s="2">
        <f t="shared" si="4"/>
        <v>1</v>
      </c>
      <c r="D92" s="1">
        <f t="shared" si="5"/>
        <v>1.7492195629552547</v>
      </c>
    </row>
    <row r="93" spans="1:6" x14ac:dyDescent="0.25">
      <c r="A93" s="1">
        <v>3</v>
      </c>
      <c r="B93" s="1">
        <v>3</v>
      </c>
      <c r="C93" s="2">
        <f t="shared" si="4"/>
        <v>0</v>
      </c>
      <c r="D93" s="1">
        <f>(C93-$G$6)^2</f>
        <v>0.1040582726326743</v>
      </c>
      <c r="F93" s="6"/>
    </row>
    <row r="94" spans="1:6" x14ac:dyDescent="0.25">
      <c r="A94" s="1">
        <v>4</v>
      </c>
      <c r="B94" s="1">
        <v>3</v>
      </c>
      <c r="C94" s="2">
        <f t="shared" si="4"/>
        <v>-1</v>
      </c>
      <c r="D94" s="1">
        <f>(C94-$G$6)^2</f>
        <v>0.45889698231009374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10" zoomScale="145" zoomScaleNormal="145" workbookViewId="0">
      <selection sqref="A1:B1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1.5" customHeight="1" x14ac:dyDescent="0.25">
      <c r="A1" s="7" t="s">
        <v>22</v>
      </c>
      <c r="B1" s="9" t="s">
        <v>33</v>
      </c>
      <c r="C1" s="4" t="s">
        <v>0</v>
      </c>
      <c r="D1" s="4"/>
    </row>
    <row r="2" spans="1:7" x14ac:dyDescent="0.25">
      <c r="A2" s="1">
        <v>3</v>
      </c>
      <c r="B2" s="1">
        <v>4</v>
      </c>
      <c r="C2" s="2">
        <f>B2-A2</f>
        <v>1</v>
      </c>
      <c r="D2" s="1">
        <f>(C2-$G$6)^2</f>
        <v>1.0878714302231471</v>
      </c>
    </row>
    <row r="3" spans="1:7" x14ac:dyDescent="0.25">
      <c r="A3" s="1">
        <v>2</v>
      </c>
      <c r="B3" s="1">
        <v>3</v>
      </c>
      <c r="C3" s="2">
        <f t="shared" ref="C3:C66" si="0">B3-A3</f>
        <v>1</v>
      </c>
      <c r="D3" s="1">
        <f>(C3-$G$6)^2</f>
        <v>1.0878714302231471</v>
      </c>
      <c r="F3" s="5" t="s">
        <v>13</v>
      </c>
      <c r="G3" s="5"/>
    </row>
    <row r="4" spans="1:7" x14ac:dyDescent="0.25">
      <c r="A4" s="1">
        <v>4</v>
      </c>
      <c r="B4" s="1">
        <v>1</v>
      </c>
      <c r="C4" s="2">
        <f t="shared" si="0"/>
        <v>-3</v>
      </c>
      <c r="D4" s="1">
        <f>(C4-$G$6)^2</f>
        <v>8.7437854087177715</v>
      </c>
      <c r="F4" t="s">
        <v>3</v>
      </c>
      <c r="G4">
        <f>COUNT(A:A)</f>
        <v>93</v>
      </c>
    </row>
    <row r="5" spans="1:7" x14ac:dyDescent="0.25">
      <c r="A5" s="1">
        <v>4</v>
      </c>
      <c r="B5" s="1">
        <v>5</v>
      </c>
      <c r="C5" s="2">
        <f t="shared" si="0"/>
        <v>1</v>
      </c>
      <c r="D5" s="1">
        <f t="shared" ref="D5:D68" si="1">(C5-$G$6)^2</f>
        <v>1.0878714302231471</v>
      </c>
      <c r="F5" t="s">
        <v>2</v>
      </c>
      <c r="G5">
        <f>SUM(C:C)</f>
        <v>-4</v>
      </c>
    </row>
    <row r="6" spans="1:7" x14ac:dyDescent="0.25">
      <c r="A6" s="1">
        <v>3</v>
      </c>
      <c r="B6" s="1">
        <v>1</v>
      </c>
      <c r="C6" s="2">
        <f t="shared" si="0"/>
        <v>-2</v>
      </c>
      <c r="D6" s="1">
        <f t="shared" si="1"/>
        <v>3.8298069140941151</v>
      </c>
      <c r="F6" t="s">
        <v>1</v>
      </c>
      <c r="G6">
        <f>G5/G4</f>
        <v>-4.3010752688172046E-2</v>
      </c>
    </row>
    <row r="7" spans="1:7" x14ac:dyDescent="0.25">
      <c r="A7" s="1">
        <v>4</v>
      </c>
      <c r="B7" s="1">
        <v>3</v>
      </c>
      <c r="C7" s="2">
        <f t="shared" si="0"/>
        <v>-1</v>
      </c>
      <c r="D7" s="1">
        <f t="shared" si="1"/>
        <v>0.91582841947045912</v>
      </c>
      <c r="F7" t="s">
        <v>18</v>
      </c>
      <c r="G7">
        <f>SUM(D:D)</f>
        <v>257.82795698924747</v>
      </c>
    </row>
    <row r="8" spans="1:7" x14ac:dyDescent="0.25">
      <c r="A8" s="1">
        <v>5</v>
      </c>
      <c r="B8" s="1">
        <v>5</v>
      </c>
      <c r="C8" s="2">
        <f t="shared" si="0"/>
        <v>0</v>
      </c>
      <c r="D8" s="1">
        <f t="shared" si="1"/>
        <v>1.849924846803099E-3</v>
      </c>
      <c r="F8" t="s">
        <v>4</v>
      </c>
      <c r="G8">
        <f>SQRT(G7/(G4-1))</f>
        <v>1.6740602717230302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1.849924846803099E-3</v>
      </c>
    </row>
    <row r="10" spans="1:7" x14ac:dyDescent="0.25">
      <c r="A10" s="1">
        <v>5</v>
      </c>
      <c r="B10" s="1">
        <v>3</v>
      </c>
      <c r="C10" s="2">
        <f t="shared" si="0"/>
        <v>-2</v>
      </c>
      <c r="D10" s="1">
        <f t="shared" si="1"/>
        <v>3.8298069140941151</v>
      </c>
    </row>
    <row r="11" spans="1:7" x14ac:dyDescent="0.25">
      <c r="A11" s="1">
        <v>2</v>
      </c>
      <c r="B11" s="1">
        <v>5</v>
      </c>
      <c r="C11" s="2">
        <f t="shared" si="0"/>
        <v>3</v>
      </c>
      <c r="D11" s="1">
        <f t="shared" si="1"/>
        <v>9.2599144409758356</v>
      </c>
    </row>
    <row r="12" spans="1:7" x14ac:dyDescent="0.25">
      <c r="A12" s="1">
        <v>2</v>
      </c>
      <c r="B12" s="1">
        <v>3</v>
      </c>
      <c r="C12" s="2">
        <f t="shared" si="0"/>
        <v>1</v>
      </c>
      <c r="D12" s="1">
        <f t="shared" si="1"/>
        <v>1.0878714302231471</v>
      </c>
      <c r="F12" t="s">
        <v>8</v>
      </c>
      <c r="G12">
        <f>G6/(G8/SQRT(G4))</f>
        <v>-0.24776926189476811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1.0878714302231471</v>
      </c>
    </row>
    <row r="14" spans="1:7" x14ac:dyDescent="0.25">
      <c r="A14" s="1">
        <v>2</v>
      </c>
      <c r="B14" s="1">
        <v>3</v>
      </c>
      <c r="C14" s="2">
        <f t="shared" si="0"/>
        <v>1</v>
      </c>
      <c r="D14" s="1">
        <f t="shared" si="1"/>
        <v>1.0878714302231471</v>
      </c>
    </row>
    <row r="15" spans="1:7" x14ac:dyDescent="0.25">
      <c r="A15" s="1">
        <v>2</v>
      </c>
      <c r="B15" s="1">
        <v>5</v>
      </c>
      <c r="C15" s="2">
        <f t="shared" si="0"/>
        <v>3</v>
      </c>
      <c r="D15" s="1">
        <f t="shared" si="1"/>
        <v>9.2599144409758356</v>
      </c>
    </row>
    <row r="16" spans="1:7" x14ac:dyDescent="0.25">
      <c r="A16" s="1">
        <v>4</v>
      </c>
      <c r="B16" s="1">
        <v>2</v>
      </c>
      <c r="C16" s="2">
        <f t="shared" si="0"/>
        <v>-2</v>
      </c>
      <c r="D16" s="1">
        <f t="shared" si="1"/>
        <v>3.8298069140941151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0.91582841947045912</v>
      </c>
      <c r="F17" t="s">
        <v>5</v>
      </c>
      <c r="G17">
        <v>0.05</v>
      </c>
    </row>
    <row r="18" spans="1:7" x14ac:dyDescent="0.25">
      <c r="A18" s="1">
        <v>3</v>
      </c>
      <c r="B18" s="1">
        <v>1</v>
      </c>
      <c r="C18" s="2">
        <f t="shared" si="0"/>
        <v>-2</v>
      </c>
      <c r="D18" s="1">
        <f t="shared" si="1"/>
        <v>3.8298069140941151</v>
      </c>
      <c r="F18" t="s">
        <v>6</v>
      </c>
      <c r="G18">
        <f>G4-1</f>
        <v>92</v>
      </c>
    </row>
    <row r="19" spans="1:7" x14ac:dyDescent="0.25">
      <c r="A19" s="1">
        <v>2</v>
      </c>
      <c r="B19" s="1">
        <v>3</v>
      </c>
      <c r="C19" s="2">
        <f t="shared" si="0"/>
        <v>1</v>
      </c>
      <c r="D19" s="1">
        <f t="shared" si="1"/>
        <v>1.0878714302231471</v>
      </c>
    </row>
    <row r="20" spans="1:7" x14ac:dyDescent="0.25">
      <c r="A20" s="1">
        <v>2</v>
      </c>
      <c r="B20" s="1">
        <v>5</v>
      </c>
      <c r="C20" s="2">
        <f t="shared" si="0"/>
        <v>3</v>
      </c>
      <c r="D20" s="1">
        <f t="shared" si="1"/>
        <v>9.2599144409758356</v>
      </c>
    </row>
    <row r="21" spans="1:7" x14ac:dyDescent="0.25">
      <c r="A21" s="1">
        <v>4</v>
      </c>
      <c r="B21" s="1">
        <v>3</v>
      </c>
      <c r="C21" s="2">
        <f t="shared" si="0"/>
        <v>-1</v>
      </c>
      <c r="D21" s="1">
        <f t="shared" si="1"/>
        <v>0.91582841947045912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1.849924846803099E-3</v>
      </c>
      <c r="F22" s="5" t="s">
        <v>7</v>
      </c>
      <c r="G22" s="5"/>
    </row>
    <row r="23" spans="1:7" x14ac:dyDescent="0.25">
      <c r="A23" s="1">
        <v>4</v>
      </c>
      <c r="B23" s="1">
        <v>5</v>
      </c>
      <c r="C23" s="2">
        <f t="shared" si="0"/>
        <v>1</v>
      </c>
      <c r="D23" s="1">
        <f t="shared" si="1"/>
        <v>1.0878714302231471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4</v>
      </c>
      <c r="C24" s="2">
        <f t="shared" si="0"/>
        <v>0</v>
      </c>
      <c r="D24" s="1">
        <f t="shared" si="1"/>
        <v>1.849924846803099E-3</v>
      </c>
      <c r="F24" t="s">
        <v>17</v>
      </c>
      <c r="G24">
        <f>_xlfn.T.INV(G17,G18)</f>
        <v>-1.6615853969032315</v>
      </c>
    </row>
    <row r="25" spans="1:7" x14ac:dyDescent="0.25">
      <c r="A25" s="1">
        <v>2</v>
      </c>
      <c r="B25" s="1">
        <v>3</v>
      </c>
      <c r="C25" s="2">
        <f t="shared" si="0"/>
        <v>1</v>
      </c>
      <c r="D25" s="1">
        <f t="shared" si="1"/>
        <v>1.0878714302231471</v>
      </c>
    </row>
    <row r="26" spans="1:7" x14ac:dyDescent="0.25">
      <c r="A26" s="1">
        <v>2</v>
      </c>
      <c r="B26" s="1">
        <v>2</v>
      </c>
      <c r="C26" s="2">
        <f t="shared" si="0"/>
        <v>0</v>
      </c>
      <c r="D26" s="1">
        <f t="shared" si="1"/>
        <v>1.849924846803099E-3</v>
      </c>
    </row>
    <row r="27" spans="1:7" x14ac:dyDescent="0.25">
      <c r="A27" s="1">
        <v>5</v>
      </c>
      <c r="B27" s="1">
        <v>3</v>
      </c>
      <c r="C27" s="2">
        <f t="shared" si="0"/>
        <v>-2</v>
      </c>
      <c r="D27" s="1">
        <f t="shared" si="1"/>
        <v>3.8298069140941151</v>
      </c>
      <c r="F27" s="5" t="s">
        <v>9</v>
      </c>
      <c r="G27" s="5"/>
    </row>
    <row r="28" spans="1:7" x14ac:dyDescent="0.25">
      <c r="A28" s="1">
        <v>3</v>
      </c>
      <c r="B28" s="1">
        <v>3</v>
      </c>
      <c r="C28" s="2">
        <f t="shared" si="0"/>
        <v>0</v>
      </c>
      <c r="D28" s="1">
        <f t="shared" si="1"/>
        <v>1.849924846803099E-3</v>
      </c>
      <c r="F28" t="s">
        <v>9</v>
      </c>
    </row>
    <row r="29" spans="1:7" x14ac:dyDescent="0.25">
      <c r="A29" s="1">
        <v>4</v>
      </c>
      <c r="B29" s="1">
        <v>4</v>
      </c>
      <c r="C29" s="2">
        <f t="shared" si="0"/>
        <v>0</v>
      </c>
      <c r="D29" s="1">
        <f t="shared" si="1"/>
        <v>1.849924846803099E-3</v>
      </c>
      <c r="F29" t="s">
        <v>15</v>
      </c>
      <c r="G29">
        <f>TTEST(A:A,B:B,2,1)</f>
        <v>0.80486509044783716</v>
      </c>
    </row>
    <row r="30" spans="1:7" x14ac:dyDescent="0.25">
      <c r="A30" s="1">
        <v>4</v>
      </c>
      <c r="B30" s="1">
        <v>1</v>
      </c>
      <c r="C30" s="2">
        <f t="shared" si="0"/>
        <v>-3</v>
      </c>
      <c r="D30" s="1">
        <f t="shared" si="1"/>
        <v>8.7437854087177715</v>
      </c>
      <c r="F30" t="s">
        <v>19</v>
      </c>
      <c r="G30">
        <f>TTEST(A:A,B:B,1,1)</f>
        <v>0.40243254522391858</v>
      </c>
    </row>
    <row r="31" spans="1:7" x14ac:dyDescent="0.25">
      <c r="A31" s="1">
        <v>5</v>
      </c>
      <c r="B31" s="1">
        <v>4</v>
      </c>
      <c r="C31" s="2">
        <f t="shared" si="0"/>
        <v>-1</v>
      </c>
      <c r="D31" s="1">
        <f t="shared" si="1"/>
        <v>0.91582841947045912</v>
      </c>
    </row>
    <row r="32" spans="1:7" x14ac:dyDescent="0.25">
      <c r="A32" s="1">
        <v>4</v>
      </c>
      <c r="B32" s="1">
        <v>3</v>
      </c>
      <c r="C32" s="2">
        <f t="shared" si="0"/>
        <v>-1</v>
      </c>
      <c r="D32" s="1">
        <f t="shared" si="1"/>
        <v>0.91582841947045912</v>
      </c>
    </row>
    <row r="33" spans="1:7" x14ac:dyDescent="0.25">
      <c r="A33" s="1">
        <v>1</v>
      </c>
      <c r="B33" s="1">
        <v>5</v>
      </c>
      <c r="C33" s="2">
        <f t="shared" si="0"/>
        <v>4</v>
      </c>
      <c r="D33" s="1">
        <f t="shared" si="1"/>
        <v>16.345935946352178</v>
      </c>
      <c r="F33" s="8" t="s">
        <v>12</v>
      </c>
      <c r="G33" s="8"/>
    </row>
    <row r="34" spans="1:7" x14ac:dyDescent="0.25">
      <c r="A34" s="1">
        <v>4</v>
      </c>
      <c r="B34" s="1">
        <v>2</v>
      </c>
      <c r="C34" s="2">
        <f t="shared" si="0"/>
        <v>-2</v>
      </c>
      <c r="D34" s="1">
        <f t="shared" si="1"/>
        <v>3.8298069140941151</v>
      </c>
    </row>
    <row r="35" spans="1:7" x14ac:dyDescent="0.25">
      <c r="A35" s="1">
        <v>3</v>
      </c>
      <c r="B35" s="1">
        <v>3</v>
      </c>
      <c r="C35" s="2">
        <f t="shared" si="0"/>
        <v>0</v>
      </c>
      <c r="D35" s="1">
        <f t="shared" si="1"/>
        <v>1.849924846803099E-3</v>
      </c>
      <c r="F35" t="s">
        <v>10</v>
      </c>
    </row>
    <row r="36" spans="1:7" x14ac:dyDescent="0.25">
      <c r="A36" s="1">
        <v>3</v>
      </c>
      <c r="B36" s="1">
        <v>4</v>
      </c>
      <c r="C36" s="2">
        <f t="shared" si="0"/>
        <v>1</v>
      </c>
      <c r="D36" s="1">
        <f t="shared" si="1"/>
        <v>1.0878714302231471</v>
      </c>
      <c r="F36" t="s">
        <v>11</v>
      </c>
    </row>
    <row r="37" spans="1:7" x14ac:dyDescent="0.25">
      <c r="A37" s="1">
        <v>4</v>
      </c>
      <c r="B37" s="1">
        <v>5</v>
      </c>
      <c r="C37" s="2">
        <f t="shared" si="0"/>
        <v>1</v>
      </c>
      <c r="D37" s="1">
        <f t="shared" si="1"/>
        <v>1.0878714302231471</v>
      </c>
    </row>
    <row r="38" spans="1:7" x14ac:dyDescent="0.25">
      <c r="A38" s="1">
        <v>1</v>
      </c>
      <c r="B38" s="1">
        <v>3</v>
      </c>
      <c r="C38" s="2">
        <f t="shared" si="0"/>
        <v>2</v>
      </c>
      <c r="D38" s="1">
        <f t="shared" si="1"/>
        <v>4.1738929355994907</v>
      </c>
    </row>
    <row r="39" spans="1:7" x14ac:dyDescent="0.25">
      <c r="A39" s="1">
        <v>1</v>
      </c>
      <c r="B39" s="1">
        <v>3</v>
      </c>
      <c r="C39" s="2">
        <f t="shared" si="0"/>
        <v>2</v>
      </c>
      <c r="D39" s="1">
        <f t="shared" si="1"/>
        <v>4.1738929355994907</v>
      </c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1.849924846803099E-3</v>
      </c>
      <c r="F40" t="s">
        <v>14</v>
      </c>
    </row>
    <row r="41" spans="1:7" x14ac:dyDescent="0.25">
      <c r="A41" s="1">
        <v>3</v>
      </c>
      <c r="B41" s="1">
        <v>1</v>
      </c>
      <c r="C41" s="2">
        <f t="shared" si="0"/>
        <v>-2</v>
      </c>
      <c r="D41" s="1">
        <f t="shared" si="1"/>
        <v>3.8298069140941151</v>
      </c>
      <c r="F41" t="str">
        <f>"Dos Colas: Si t calculado ("&amp;G12&amp;") &gt; a t critico  ("&amp;G23&amp;") (de tabla) ---&gt; Se rechaza la hipotesis nula"</f>
        <v>Dos Colas: Si t calculado (-0.247769261894768) &gt; a t critico  (1.98608631695113) (de tabla) ---&gt; Se rechaza la hipotesis nula</v>
      </c>
    </row>
    <row r="42" spans="1:7" x14ac:dyDescent="0.25">
      <c r="A42" s="1">
        <v>4</v>
      </c>
      <c r="B42" s="1">
        <v>5</v>
      </c>
      <c r="C42" s="2">
        <f t="shared" si="0"/>
        <v>1</v>
      </c>
      <c r="D42" s="1">
        <f t="shared" si="1"/>
        <v>1.0878714302231471</v>
      </c>
      <c r="F42" t="str">
        <f>"Una Cola: Si t calculado ("&amp;G12&amp;") &gt; a t critico  ("&amp;G24&amp;") (de tabla) ---&gt; Se rechaza la hipotesis nula"</f>
        <v>Una Cola: Si t calculado (-0.247769261894768) &gt; a t critico  (-1.66158539690323) (de tabla) ---&gt; Se rechaza la hipotesis nula</v>
      </c>
    </row>
    <row r="43" spans="1:7" x14ac:dyDescent="0.25">
      <c r="A43" s="1">
        <v>4</v>
      </c>
      <c r="B43" s="1">
        <v>4</v>
      </c>
      <c r="C43" s="2">
        <f t="shared" si="0"/>
        <v>0</v>
      </c>
      <c r="D43" s="1">
        <f t="shared" si="1"/>
        <v>1.849924846803099E-3</v>
      </c>
    </row>
    <row r="44" spans="1:7" x14ac:dyDescent="0.25">
      <c r="A44" s="1">
        <v>5</v>
      </c>
      <c r="B44" s="1">
        <v>1</v>
      </c>
      <c r="C44" s="2">
        <f t="shared" si="0"/>
        <v>-4</v>
      </c>
      <c r="D44" s="1">
        <f t="shared" si="1"/>
        <v>15.657763903341428</v>
      </c>
    </row>
    <row r="45" spans="1:7" x14ac:dyDescent="0.25">
      <c r="A45" s="1">
        <v>3</v>
      </c>
      <c r="B45" s="1">
        <v>4</v>
      </c>
      <c r="C45" s="2">
        <f t="shared" si="0"/>
        <v>1</v>
      </c>
      <c r="D45" s="1">
        <f t="shared" si="1"/>
        <v>1.0878714302231471</v>
      </c>
    </row>
    <row r="46" spans="1:7" x14ac:dyDescent="0.25">
      <c r="A46" s="1">
        <v>3</v>
      </c>
      <c r="B46" s="1">
        <v>3</v>
      </c>
      <c r="C46" s="2">
        <f t="shared" si="0"/>
        <v>0</v>
      </c>
      <c r="D46" s="1">
        <f t="shared" si="1"/>
        <v>1.849924846803099E-3</v>
      </c>
      <c r="F46" t="s">
        <v>21</v>
      </c>
    </row>
    <row r="47" spans="1:7" x14ac:dyDescent="0.25">
      <c r="A47" s="1">
        <v>5</v>
      </c>
      <c r="B47" s="1">
        <v>4</v>
      </c>
      <c r="C47" s="2">
        <f t="shared" si="0"/>
        <v>-1</v>
      </c>
      <c r="D47" s="1">
        <f t="shared" si="1"/>
        <v>0.91582841947045912</v>
      </c>
      <c r="F47" t="str">
        <f>"Dos Colas: Si p valor ("&amp;G29&amp;") &lt; Nivel Significancia ("&amp;G17&amp;") ---&gt; Se rechaza la hipotesis nula"</f>
        <v>Dos Colas: Si p valor (0.804865090447837) &lt; Nivel Significancia (0.05) ---&gt; Se rechaza la hipotesis nula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1.849924846803099E-3</v>
      </c>
      <c r="F48" t="str">
        <f>"Una Cola: Si p valor ("&amp;G30&amp;") &lt; Nivel Significancia ("&amp;G17&amp;") ---&gt; Se rechaza la hipotesis nula"</f>
        <v>Una Cola: Si p valor (0.402432545223919) &lt; Nivel Significancia (0.05) ---&gt; Se rechaza la hipotesis nula</v>
      </c>
    </row>
    <row r="49" spans="1:4" x14ac:dyDescent="0.25">
      <c r="A49" s="1">
        <v>2</v>
      </c>
      <c r="B49" s="1">
        <v>1</v>
      </c>
      <c r="C49" s="2">
        <f t="shared" si="0"/>
        <v>-1</v>
      </c>
      <c r="D49" s="1">
        <f t="shared" si="1"/>
        <v>0.91582841947045912</v>
      </c>
    </row>
    <row r="50" spans="1:4" x14ac:dyDescent="0.25">
      <c r="A50" s="1">
        <v>4</v>
      </c>
      <c r="B50" s="1">
        <v>4</v>
      </c>
      <c r="C50" s="2">
        <f t="shared" si="0"/>
        <v>0</v>
      </c>
      <c r="D50" s="1">
        <f t="shared" si="1"/>
        <v>1.849924846803099E-3</v>
      </c>
    </row>
    <row r="51" spans="1:4" x14ac:dyDescent="0.25">
      <c r="A51" s="1">
        <v>5</v>
      </c>
      <c r="B51" s="1">
        <v>2</v>
      </c>
      <c r="C51" s="2">
        <f t="shared" si="0"/>
        <v>-3</v>
      </c>
      <c r="D51" s="1">
        <f t="shared" si="1"/>
        <v>8.7437854087177715</v>
      </c>
    </row>
    <row r="52" spans="1:4" x14ac:dyDescent="0.25">
      <c r="A52" s="1">
        <v>3</v>
      </c>
      <c r="B52" s="1">
        <v>4</v>
      </c>
      <c r="C52" s="2">
        <f t="shared" si="0"/>
        <v>1</v>
      </c>
      <c r="D52" s="1">
        <f t="shared" si="1"/>
        <v>1.0878714302231471</v>
      </c>
    </row>
    <row r="53" spans="1:4" x14ac:dyDescent="0.25">
      <c r="A53" s="1">
        <v>1</v>
      </c>
      <c r="B53" s="1">
        <v>4</v>
      </c>
      <c r="C53" s="2">
        <f t="shared" si="0"/>
        <v>3</v>
      </c>
      <c r="D53" s="1">
        <f t="shared" si="1"/>
        <v>9.2599144409758356</v>
      </c>
    </row>
    <row r="54" spans="1:4" x14ac:dyDescent="0.25">
      <c r="A54" s="1">
        <v>4</v>
      </c>
      <c r="B54" s="1">
        <v>5</v>
      </c>
      <c r="C54" s="2">
        <f t="shared" si="0"/>
        <v>1</v>
      </c>
      <c r="D54" s="1">
        <f t="shared" si="1"/>
        <v>1.0878714302231471</v>
      </c>
    </row>
    <row r="55" spans="1:4" x14ac:dyDescent="0.25">
      <c r="A55" s="1">
        <v>3</v>
      </c>
      <c r="B55" s="1">
        <v>3</v>
      </c>
      <c r="C55" s="2">
        <f t="shared" si="0"/>
        <v>0</v>
      </c>
      <c r="D55" s="1">
        <f t="shared" si="1"/>
        <v>1.849924846803099E-3</v>
      </c>
    </row>
    <row r="56" spans="1:4" x14ac:dyDescent="0.25">
      <c r="A56" s="1">
        <v>3</v>
      </c>
      <c r="B56" s="1">
        <v>4</v>
      </c>
      <c r="C56" s="2">
        <f t="shared" si="0"/>
        <v>1</v>
      </c>
      <c r="D56" s="1">
        <f t="shared" si="1"/>
        <v>1.0878714302231471</v>
      </c>
    </row>
    <row r="57" spans="1:4" x14ac:dyDescent="0.25">
      <c r="A57" s="1">
        <v>4</v>
      </c>
      <c r="B57" s="1">
        <v>2</v>
      </c>
      <c r="C57" s="2">
        <f t="shared" si="0"/>
        <v>-2</v>
      </c>
      <c r="D57" s="1">
        <f t="shared" si="1"/>
        <v>3.8298069140941151</v>
      </c>
    </row>
    <row r="58" spans="1:4" x14ac:dyDescent="0.25">
      <c r="A58" s="1">
        <v>3</v>
      </c>
      <c r="B58" s="1">
        <v>3</v>
      </c>
      <c r="C58" s="2">
        <f t="shared" si="0"/>
        <v>0</v>
      </c>
      <c r="D58" s="1">
        <f t="shared" si="1"/>
        <v>1.849924846803099E-3</v>
      </c>
    </row>
    <row r="59" spans="1:4" x14ac:dyDescent="0.25">
      <c r="A59" s="1">
        <v>4</v>
      </c>
      <c r="B59" s="1">
        <v>1</v>
      </c>
      <c r="C59" s="2">
        <f t="shared" si="0"/>
        <v>-3</v>
      </c>
      <c r="D59" s="1">
        <f t="shared" si="1"/>
        <v>8.7437854087177715</v>
      </c>
    </row>
    <row r="60" spans="1:4" x14ac:dyDescent="0.25">
      <c r="A60" s="1">
        <v>3</v>
      </c>
      <c r="B60" s="1">
        <v>5</v>
      </c>
      <c r="C60" s="2">
        <f t="shared" si="0"/>
        <v>2</v>
      </c>
      <c r="D60" s="1">
        <f t="shared" si="1"/>
        <v>4.1738929355994907</v>
      </c>
    </row>
    <row r="61" spans="1:4" x14ac:dyDescent="0.25">
      <c r="A61" s="1">
        <v>3</v>
      </c>
      <c r="B61" s="1">
        <v>2</v>
      </c>
      <c r="C61" s="2">
        <f t="shared" si="0"/>
        <v>-1</v>
      </c>
      <c r="D61" s="1">
        <f t="shared" si="1"/>
        <v>0.91582841947045912</v>
      </c>
    </row>
    <row r="62" spans="1:4" x14ac:dyDescent="0.25">
      <c r="A62" s="1">
        <v>3</v>
      </c>
      <c r="B62" s="1">
        <v>2</v>
      </c>
      <c r="C62" s="2">
        <f t="shared" si="0"/>
        <v>-1</v>
      </c>
      <c r="D62" s="1">
        <f t="shared" si="1"/>
        <v>0.91582841947045912</v>
      </c>
    </row>
    <row r="63" spans="1:4" x14ac:dyDescent="0.25">
      <c r="A63" s="1">
        <v>5</v>
      </c>
      <c r="B63" s="1">
        <v>2</v>
      </c>
      <c r="C63" s="2">
        <f t="shared" si="0"/>
        <v>-3</v>
      </c>
      <c r="D63" s="1">
        <f t="shared" si="1"/>
        <v>8.7437854087177715</v>
      </c>
    </row>
    <row r="64" spans="1:4" x14ac:dyDescent="0.25">
      <c r="A64" s="1">
        <v>2</v>
      </c>
      <c r="B64" s="1">
        <v>2</v>
      </c>
      <c r="C64" s="2">
        <f t="shared" si="0"/>
        <v>0</v>
      </c>
      <c r="D64" s="1">
        <f t="shared" si="1"/>
        <v>1.849924846803099E-3</v>
      </c>
    </row>
    <row r="65" spans="1:4" x14ac:dyDescent="0.25">
      <c r="A65" s="1">
        <v>4</v>
      </c>
      <c r="B65" s="1">
        <v>2</v>
      </c>
      <c r="C65" s="2">
        <f t="shared" si="0"/>
        <v>-2</v>
      </c>
      <c r="D65" s="1">
        <f t="shared" si="1"/>
        <v>3.8298069140941151</v>
      </c>
    </row>
    <row r="66" spans="1:4" x14ac:dyDescent="0.25">
      <c r="A66" s="1">
        <v>4</v>
      </c>
      <c r="B66" s="1">
        <v>3</v>
      </c>
      <c r="C66" s="2">
        <f t="shared" si="0"/>
        <v>-1</v>
      </c>
      <c r="D66" s="1">
        <f t="shared" si="1"/>
        <v>0.91582841947045912</v>
      </c>
    </row>
    <row r="67" spans="1:4" x14ac:dyDescent="0.25">
      <c r="A67" s="1">
        <v>5</v>
      </c>
      <c r="B67" s="1">
        <v>5</v>
      </c>
      <c r="C67" s="2">
        <f t="shared" ref="C67:C94" si="2">B67-A67</f>
        <v>0</v>
      </c>
      <c r="D67" s="1">
        <f t="shared" si="1"/>
        <v>1.849924846803099E-3</v>
      </c>
    </row>
    <row r="68" spans="1:4" x14ac:dyDescent="0.25">
      <c r="A68" s="1">
        <v>3</v>
      </c>
      <c r="B68" s="1">
        <v>5</v>
      </c>
      <c r="C68" s="2">
        <f t="shared" si="2"/>
        <v>2</v>
      </c>
      <c r="D68" s="1">
        <f t="shared" si="1"/>
        <v>4.1738929355994907</v>
      </c>
    </row>
    <row r="69" spans="1:4" x14ac:dyDescent="0.25">
      <c r="A69" s="1">
        <v>3</v>
      </c>
      <c r="B69" s="1">
        <v>1</v>
      </c>
      <c r="C69" s="2">
        <f t="shared" si="2"/>
        <v>-2</v>
      </c>
      <c r="D69" s="1">
        <f t="shared" ref="D69:D94" si="3">(C69-$G$6)^2</f>
        <v>3.8298069140941151</v>
      </c>
    </row>
    <row r="70" spans="1:4" x14ac:dyDescent="0.25">
      <c r="A70" s="1">
        <v>5</v>
      </c>
      <c r="B70" s="1">
        <v>3</v>
      </c>
      <c r="C70" s="2">
        <f t="shared" si="2"/>
        <v>-2</v>
      </c>
      <c r="D70" s="1">
        <f t="shared" si="3"/>
        <v>3.8298069140941151</v>
      </c>
    </row>
    <row r="71" spans="1:4" x14ac:dyDescent="0.25">
      <c r="A71" s="1">
        <v>3</v>
      </c>
      <c r="B71" s="1">
        <v>2</v>
      </c>
      <c r="C71" s="2">
        <f t="shared" si="2"/>
        <v>-1</v>
      </c>
      <c r="D71" s="1">
        <f t="shared" si="3"/>
        <v>0.91582841947045912</v>
      </c>
    </row>
    <row r="72" spans="1:4" x14ac:dyDescent="0.25">
      <c r="A72" s="1">
        <v>4</v>
      </c>
      <c r="B72" s="1">
        <v>3</v>
      </c>
      <c r="C72" s="2">
        <f t="shared" si="2"/>
        <v>-1</v>
      </c>
      <c r="D72" s="1">
        <f t="shared" si="3"/>
        <v>0.91582841947045912</v>
      </c>
    </row>
    <row r="73" spans="1:4" x14ac:dyDescent="0.25">
      <c r="A73" s="1">
        <v>3</v>
      </c>
      <c r="B73" s="1">
        <v>5</v>
      </c>
      <c r="C73" s="2">
        <f t="shared" si="2"/>
        <v>2</v>
      </c>
      <c r="D73" s="1">
        <f t="shared" si="3"/>
        <v>4.1738929355994907</v>
      </c>
    </row>
    <row r="74" spans="1:4" x14ac:dyDescent="0.25">
      <c r="A74" s="1">
        <v>4</v>
      </c>
      <c r="B74" s="1">
        <v>5</v>
      </c>
      <c r="C74" s="2">
        <f t="shared" si="2"/>
        <v>1</v>
      </c>
      <c r="D74" s="1">
        <f t="shared" si="3"/>
        <v>1.0878714302231471</v>
      </c>
    </row>
    <row r="75" spans="1:4" x14ac:dyDescent="0.25">
      <c r="A75" s="1">
        <v>3</v>
      </c>
      <c r="B75" s="1">
        <v>3</v>
      </c>
      <c r="C75" s="2">
        <f t="shared" si="2"/>
        <v>0</v>
      </c>
      <c r="D75" s="1">
        <f t="shared" si="3"/>
        <v>1.849924846803099E-3</v>
      </c>
    </row>
    <row r="76" spans="1:4" x14ac:dyDescent="0.25">
      <c r="A76" s="1">
        <v>4</v>
      </c>
      <c r="B76" s="1">
        <v>4</v>
      </c>
      <c r="C76" s="2">
        <f t="shared" si="2"/>
        <v>0</v>
      </c>
      <c r="D76" s="1">
        <f>(C76-$G$6)^2</f>
        <v>1.849924846803099E-3</v>
      </c>
    </row>
    <row r="77" spans="1:4" x14ac:dyDescent="0.25">
      <c r="A77" s="1">
        <v>1</v>
      </c>
      <c r="B77" s="1">
        <v>4</v>
      </c>
      <c r="C77" s="2">
        <f t="shared" si="2"/>
        <v>3</v>
      </c>
      <c r="D77" s="1">
        <f>(C77-$G$6)^2</f>
        <v>9.2599144409758356</v>
      </c>
    </row>
    <row r="78" spans="1:4" x14ac:dyDescent="0.25">
      <c r="A78" s="1">
        <v>5</v>
      </c>
      <c r="B78" s="1">
        <v>3</v>
      </c>
      <c r="C78" s="2">
        <f t="shared" si="2"/>
        <v>-2</v>
      </c>
      <c r="D78" s="1">
        <f>(C78-$G$6)^2</f>
        <v>3.8298069140941151</v>
      </c>
    </row>
    <row r="79" spans="1:4" x14ac:dyDescent="0.25">
      <c r="A79" s="1">
        <v>4</v>
      </c>
      <c r="B79" s="1">
        <v>5</v>
      </c>
      <c r="C79" s="2">
        <f t="shared" si="2"/>
        <v>1</v>
      </c>
      <c r="D79" s="1">
        <f>(C79-$G$6)^2</f>
        <v>1.0878714302231471</v>
      </c>
    </row>
    <row r="80" spans="1:4" x14ac:dyDescent="0.25">
      <c r="A80" s="1">
        <v>5</v>
      </c>
      <c r="B80" s="1">
        <v>3</v>
      </c>
      <c r="C80" s="2">
        <f t="shared" si="2"/>
        <v>-2</v>
      </c>
      <c r="D80" s="1">
        <f t="shared" si="3"/>
        <v>3.8298069140941151</v>
      </c>
    </row>
    <row r="81" spans="1:6" x14ac:dyDescent="0.25">
      <c r="A81" s="1">
        <v>2</v>
      </c>
      <c r="B81" s="1">
        <v>4</v>
      </c>
      <c r="C81" s="2">
        <f t="shared" si="2"/>
        <v>2</v>
      </c>
      <c r="D81" s="1">
        <f t="shared" si="3"/>
        <v>4.1738929355994907</v>
      </c>
    </row>
    <row r="82" spans="1:6" x14ac:dyDescent="0.25">
      <c r="A82" s="1">
        <v>2</v>
      </c>
      <c r="B82" s="1">
        <v>2</v>
      </c>
      <c r="C82" s="2">
        <f t="shared" si="2"/>
        <v>0</v>
      </c>
      <c r="D82" s="1">
        <f t="shared" si="3"/>
        <v>1.849924846803099E-3</v>
      </c>
    </row>
    <row r="83" spans="1:6" x14ac:dyDescent="0.25">
      <c r="A83" s="1">
        <v>4</v>
      </c>
      <c r="B83" s="1">
        <v>4</v>
      </c>
      <c r="C83" s="2">
        <f t="shared" si="2"/>
        <v>0</v>
      </c>
      <c r="D83" s="1">
        <f>(C83-$G$6)^2</f>
        <v>1.849924846803099E-3</v>
      </c>
    </row>
    <row r="84" spans="1:6" x14ac:dyDescent="0.25">
      <c r="A84" s="1">
        <v>3</v>
      </c>
      <c r="B84" s="1">
        <v>3</v>
      </c>
      <c r="C84" s="2">
        <f t="shared" si="2"/>
        <v>0</v>
      </c>
      <c r="D84" s="1">
        <f t="shared" si="3"/>
        <v>1.849924846803099E-3</v>
      </c>
    </row>
    <row r="85" spans="1:6" x14ac:dyDescent="0.25">
      <c r="A85" s="1">
        <v>2</v>
      </c>
      <c r="B85" s="1">
        <v>5</v>
      </c>
      <c r="C85" s="2">
        <f t="shared" si="2"/>
        <v>3</v>
      </c>
      <c r="D85" s="1">
        <f t="shared" si="3"/>
        <v>9.2599144409758356</v>
      </c>
    </row>
    <row r="86" spans="1:6" x14ac:dyDescent="0.25">
      <c r="A86" s="1">
        <v>3</v>
      </c>
      <c r="B86" s="1">
        <v>5</v>
      </c>
      <c r="C86" s="2">
        <f t="shared" si="2"/>
        <v>2</v>
      </c>
      <c r="D86" s="1">
        <f t="shared" si="3"/>
        <v>4.1738929355994907</v>
      </c>
    </row>
    <row r="87" spans="1:6" x14ac:dyDescent="0.25">
      <c r="A87" s="1">
        <v>3</v>
      </c>
      <c r="B87" s="1">
        <v>4</v>
      </c>
      <c r="C87" s="2">
        <f t="shared" si="2"/>
        <v>1</v>
      </c>
      <c r="D87" s="1">
        <f t="shared" si="3"/>
        <v>1.0878714302231471</v>
      </c>
    </row>
    <row r="88" spans="1:6" x14ac:dyDescent="0.25">
      <c r="A88" s="1">
        <v>4</v>
      </c>
      <c r="B88" s="1">
        <v>3</v>
      </c>
      <c r="C88" s="2">
        <f t="shared" si="2"/>
        <v>-1</v>
      </c>
      <c r="D88" s="1">
        <f t="shared" si="3"/>
        <v>0.91582841947045912</v>
      </c>
    </row>
    <row r="89" spans="1:6" x14ac:dyDescent="0.25">
      <c r="A89" s="1">
        <v>5</v>
      </c>
      <c r="B89" s="1">
        <v>3</v>
      </c>
      <c r="C89" s="2">
        <f t="shared" si="2"/>
        <v>-2</v>
      </c>
      <c r="D89" s="1">
        <f t="shared" si="3"/>
        <v>3.8298069140941151</v>
      </c>
    </row>
    <row r="90" spans="1:6" x14ac:dyDescent="0.25">
      <c r="A90" s="1">
        <v>2</v>
      </c>
      <c r="B90" s="1">
        <v>4</v>
      </c>
      <c r="C90" s="2">
        <f t="shared" si="2"/>
        <v>2</v>
      </c>
      <c r="D90" s="1">
        <f t="shared" si="3"/>
        <v>4.1738929355994907</v>
      </c>
    </row>
    <row r="91" spans="1:6" x14ac:dyDescent="0.25">
      <c r="A91" s="1">
        <v>2</v>
      </c>
      <c r="B91" s="1">
        <v>3</v>
      </c>
      <c r="C91" s="2">
        <f t="shared" si="2"/>
        <v>1</v>
      </c>
      <c r="D91" s="1">
        <f t="shared" si="3"/>
        <v>1.0878714302231471</v>
      </c>
    </row>
    <row r="92" spans="1:6" x14ac:dyDescent="0.25">
      <c r="A92" s="1">
        <v>3</v>
      </c>
      <c r="B92" s="1">
        <v>2</v>
      </c>
      <c r="C92" s="2">
        <f t="shared" si="2"/>
        <v>-1</v>
      </c>
      <c r="D92" s="1">
        <f t="shared" si="3"/>
        <v>0.91582841947045912</v>
      </c>
    </row>
    <row r="93" spans="1:6" x14ac:dyDescent="0.25">
      <c r="A93" s="1">
        <v>4</v>
      </c>
      <c r="B93" s="1">
        <v>2</v>
      </c>
      <c r="C93" s="2">
        <f t="shared" si="2"/>
        <v>-2</v>
      </c>
      <c r="D93" s="1">
        <f t="shared" si="3"/>
        <v>3.8298069140941151</v>
      </c>
      <c r="F93" s="6"/>
    </row>
    <row r="94" spans="1:6" x14ac:dyDescent="0.25">
      <c r="A94" s="1">
        <v>4</v>
      </c>
      <c r="B94" s="1">
        <v>5</v>
      </c>
      <c r="C94" s="2">
        <f t="shared" si="2"/>
        <v>1</v>
      </c>
      <c r="D94" s="1">
        <f t="shared" si="3"/>
        <v>1.0878714302231471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145" zoomScaleNormal="145" workbookViewId="0">
      <selection sqref="A1:B1"/>
    </sheetView>
  </sheetViews>
  <sheetFormatPr baseColWidth="10" defaultColWidth="9.140625" defaultRowHeight="15" x14ac:dyDescent="0.25"/>
  <cols>
    <col min="1" max="1" width="25" style="1" bestFit="1" customWidth="1"/>
    <col min="2" max="2" width="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24</v>
      </c>
      <c r="B1" s="7" t="s">
        <v>34</v>
      </c>
      <c r="C1" s="4" t="s">
        <v>0</v>
      </c>
      <c r="D1" s="4"/>
    </row>
    <row r="2" spans="1:7" x14ac:dyDescent="0.25">
      <c r="A2" s="1">
        <v>5</v>
      </c>
      <c r="B2" s="1">
        <v>3</v>
      </c>
      <c r="C2" s="2">
        <f>B2-A2</f>
        <v>-2</v>
      </c>
      <c r="D2" s="1">
        <f>(C2-$G$6)^2</f>
        <v>4.5327783558792918</v>
      </c>
    </row>
    <row r="3" spans="1:7" x14ac:dyDescent="0.25">
      <c r="A3" s="1">
        <v>5</v>
      </c>
      <c r="B3" s="1">
        <v>3</v>
      </c>
      <c r="C3" s="2">
        <f t="shared" ref="C3:C66" si="0">B3-A3</f>
        <v>-2</v>
      </c>
      <c r="D3" s="1">
        <f>(C3-$G$6)^2</f>
        <v>4.5327783558792918</v>
      </c>
      <c r="F3" s="5" t="s">
        <v>13</v>
      </c>
      <c r="G3" s="5"/>
    </row>
    <row r="4" spans="1:7" x14ac:dyDescent="0.25">
      <c r="A4" s="1">
        <v>2</v>
      </c>
      <c r="B4" s="1">
        <v>3</v>
      </c>
      <c r="C4" s="2">
        <f t="shared" si="0"/>
        <v>1</v>
      </c>
      <c r="D4" s="1">
        <f>(C4-$G$6)^2</f>
        <v>0.75858480749219559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3</v>
      </c>
      <c r="C5" s="2">
        <f t="shared" si="0"/>
        <v>0</v>
      </c>
      <c r="D5" s="1">
        <f t="shared" ref="D5:D68" si="1">(C5-$G$6)^2</f>
        <v>1.6649323621227886E-2</v>
      </c>
      <c r="F5" t="s">
        <v>2</v>
      </c>
      <c r="G5">
        <f>SUM(C:C)</f>
        <v>12</v>
      </c>
    </row>
    <row r="6" spans="1:7" x14ac:dyDescent="0.25">
      <c r="A6" s="1">
        <v>5</v>
      </c>
      <c r="B6" s="1">
        <v>5</v>
      </c>
      <c r="C6" s="2">
        <f t="shared" si="0"/>
        <v>0</v>
      </c>
      <c r="D6" s="1">
        <f t="shared" si="1"/>
        <v>1.6649323621227886E-2</v>
      </c>
      <c r="F6" t="s">
        <v>1</v>
      </c>
      <c r="G6">
        <f>G5/G4</f>
        <v>0.12903225806451613</v>
      </c>
    </row>
    <row r="7" spans="1:7" x14ac:dyDescent="0.25">
      <c r="A7" s="1">
        <v>5</v>
      </c>
      <c r="B7" s="1">
        <v>4</v>
      </c>
      <c r="C7" s="2">
        <f t="shared" si="0"/>
        <v>-1</v>
      </c>
      <c r="D7" s="1">
        <f t="shared" si="1"/>
        <v>1.27471383975026</v>
      </c>
      <c r="F7" t="s">
        <v>18</v>
      </c>
      <c r="G7">
        <f>SUM(D:D)</f>
        <v>242.45161290322588</v>
      </c>
    </row>
    <row r="8" spans="1:7" x14ac:dyDescent="0.25">
      <c r="A8" s="1">
        <v>3</v>
      </c>
      <c r="B8" s="1">
        <v>3</v>
      </c>
      <c r="C8" s="2">
        <f t="shared" si="0"/>
        <v>0</v>
      </c>
      <c r="D8" s="1">
        <f t="shared" si="1"/>
        <v>1.6649323621227886E-2</v>
      </c>
      <c r="F8" t="s">
        <v>4</v>
      </c>
      <c r="G8">
        <f>SQRT(G7/(G4-1))</f>
        <v>1.6233741461885256</v>
      </c>
    </row>
    <row r="9" spans="1:7" x14ac:dyDescent="0.25">
      <c r="A9" s="1">
        <v>5</v>
      </c>
      <c r="B9" s="1">
        <v>5</v>
      </c>
      <c r="C9" s="2">
        <f t="shared" si="0"/>
        <v>0</v>
      </c>
      <c r="D9" s="1">
        <f t="shared" si="1"/>
        <v>1.6649323621227886E-2</v>
      </c>
    </row>
    <row r="10" spans="1:7" x14ac:dyDescent="0.25">
      <c r="A10" s="1">
        <v>5</v>
      </c>
      <c r="B10" s="1">
        <v>4</v>
      </c>
      <c r="C10" s="2">
        <f t="shared" si="0"/>
        <v>-1</v>
      </c>
      <c r="D10" s="1">
        <f t="shared" si="1"/>
        <v>1.27471383975026</v>
      </c>
    </row>
    <row r="11" spans="1:7" x14ac:dyDescent="0.25">
      <c r="A11" s="1">
        <v>3</v>
      </c>
      <c r="B11" s="1">
        <v>5</v>
      </c>
      <c r="C11" s="2">
        <f t="shared" si="0"/>
        <v>2</v>
      </c>
      <c r="D11" s="1">
        <f t="shared" si="1"/>
        <v>3.5005202913631637</v>
      </c>
    </row>
    <row r="12" spans="1:7" x14ac:dyDescent="0.25">
      <c r="A12" s="1">
        <v>3</v>
      </c>
      <c r="B12" s="1">
        <v>5</v>
      </c>
      <c r="C12" s="2">
        <f t="shared" si="0"/>
        <v>2</v>
      </c>
      <c r="D12" s="1">
        <f t="shared" si="1"/>
        <v>3.5005202913631637</v>
      </c>
      <c r="F12" t="s">
        <v>8</v>
      </c>
      <c r="G12">
        <f>G6/(G8/SQRT(G4))</f>
        <v>0.76651586240797653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0.75858480749219559</v>
      </c>
    </row>
    <row r="14" spans="1:7" x14ac:dyDescent="0.25">
      <c r="A14" s="1">
        <v>4</v>
      </c>
      <c r="B14" s="1">
        <v>5</v>
      </c>
      <c r="C14" s="2">
        <f t="shared" si="0"/>
        <v>1</v>
      </c>
      <c r="D14" s="1">
        <f t="shared" si="1"/>
        <v>0.75858480749219559</v>
      </c>
    </row>
    <row r="15" spans="1:7" x14ac:dyDescent="0.25">
      <c r="A15" s="1">
        <v>3</v>
      </c>
      <c r="B15" s="1">
        <v>3</v>
      </c>
      <c r="C15" s="2">
        <f t="shared" si="0"/>
        <v>0</v>
      </c>
      <c r="D15" s="1">
        <f t="shared" si="1"/>
        <v>1.6649323621227886E-2</v>
      </c>
    </row>
    <row r="16" spans="1:7" x14ac:dyDescent="0.25">
      <c r="A16" s="1">
        <v>4</v>
      </c>
      <c r="B16" s="1">
        <v>3</v>
      </c>
      <c r="C16" s="2">
        <f t="shared" si="0"/>
        <v>-1</v>
      </c>
      <c r="D16" s="1">
        <f t="shared" si="1"/>
        <v>1.27471383975026</v>
      </c>
    </row>
    <row r="17" spans="1:7" x14ac:dyDescent="0.25">
      <c r="A17" s="1">
        <v>4</v>
      </c>
      <c r="B17" s="1">
        <v>2</v>
      </c>
      <c r="C17" s="2">
        <f t="shared" si="0"/>
        <v>-2</v>
      </c>
      <c r="D17" s="1">
        <f t="shared" si="1"/>
        <v>4.5327783558792918</v>
      </c>
      <c r="F17" t="s">
        <v>5</v>
      </c>
      <c r="G17">
        <v>0.05</v>
      </c>
    </row>
    <row r="18" spans="1:7" x14ac:dyDescent="0.25">
      <c r="A18" s="1">
        <v>3</v>
      </c>
      <c r="B18" s="1">
        <v>4</v>
      </c>
      <c r="C18" s="2">
        <f t="shared" si="0"/>
        <v>1</v>
      </c>
      <c r="D18" s="1">
        <f t="shared" si="1"/>
        <v>0.75858480749219559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5</v>
      </c>
      <c r="C19" s="2">
        <f t="shared" si="0"/>
        <v>2</v>
      </c>
      <c r="D19" s="1">
        <f t="shared" si="1"/>
        <v>3.5005202913631637</v>
      </c>
    </row>
    <row r="20" spans="1:7" x14ac:dyDescent="0.25">
      <c r="A20" s="1">
        <v>2</v>
      </c>
      <c r="B20" s="1">
        <v>5</v>
      </c>
      <c r="C20" s="2">
        <f t="shared" si="0"/>
        <v>3</v>
      </c>
      <c r="D20" s="1">
        <f t="shared" si="1"/>
        <v>8.2424557752341325</v>
      </c>
    </row>
    <row r="21" spans="1:7" x14ac:dyDescent="0.25">
      <c r="A21" s="1">
        <v>3</v>
      </c>
      <c r="B21" s="1">
        <v>3</v>
      </c>
      <c r="C21" s="2">
        <f t="shared" si="0"/>
        <v>0</v>
      </c>
      <c r="D21" s="1">
        <f t="shared" si="1"/>
        <v>1.6649323621227886E-2</v>
      </c>
    </row>
    <row r="22" spans="1:7" x14ac:dyDescent="0.25">
      <c r="A22" s="1">
        <v>3</v>
      </c>
      <c r="B22" s="1">
        <v>3</v>
      </c>
      <c r="C22" s="2">
        <f t="shared" si="0"/>
        <v>0</v>
      </c>
      <c r="D22" s="1">
        <f t="shared" si="1"/>
        <v>1.6649323621227886E-2</v>
      </c>
      <c r="F22" s="5" t="s">
        <v>7</v>
      </c>
      <c r="G22" s="5"/>
    </row>
    <row r="23" spans="1:7" x14ac:dyDescent="0.25">
      <c r="A23" s="1">
        <v>5</v>
      </c>
      <c r="B23" s="1">
        <v>5</v>
      </c>
      <c r="C23" s="2">
        <f t="shared" si="0"/>
        <v>0</v>
      </c>
      <c r="D23" s="1">
        <f t="shared" si="1"/>
        <v>1.6649323621227886E-2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2</v>
      </c>
      <c r="C24" s="2">
        <f t="shared" si="0"/>
        <v>-2</v>
      </c>
      <c r="D24" s="1">
        <f t="shared" si="1"/>
        <v>4.5327783558792918</v>
      </c>
      <c r="F24" t="s">
        <v>17</v>
      </c>
      <c r="G24">
        <f>_xlfn.T.INV(G17,G18)</f>
        <v>-1.6615853969032315</v>
      </c>
    </row>
    <row r="25" spans="1:7" x14ac:dyDescent="0.25">
      <c r="A25" s="1">
        <v>4</v>
      </c>
      <c r="B25" s="1">
        <v>5</v>
      </c>
      <c r="C25" s="2">
        <f t="shared" si="0"/>
        <v>1</v>
      </c>
      <c r="D25" s="1">
        <f t="shared" si="1"/>
        <v>0.75858480749219559</v>
      </c>
    </row>
    <row r="26" spans="1:7" x14ac:dyDescent="0.25">
      <c r="A26" s="1">
        <v>4</v>
      </c>
      <c r="B26" s="1">
        <v>3</v>
      </c>
      <c r="C26" s="2">
        <f t="shared" si="0"/>
        <v>-1</v>
      </c>
      <c r="D26" s="1">
        <f t="shared" si="1"/>
        <v>1.27471383975026</v>
      </c>
    </row>
    <row r="27" spans="1:7" x14ac:dyDescent="0.25">
      <c r="A27" s="1">
        <v>1</v>
      </c>
      <c r="B27" s="1">
        <v>3</v>
      </c>
      <c r="C27" s="2">
        <f t="shared" si="0"/>
        <v>2</v>
      </c>
      <c r="D27" s="1">
        <f t="shared" si="1"/>
        <v>3.5005202913631637</v>
      </c>
      <c r="F27" s="5" t="s">
        <v>9</v>
      </c>
      <c r="G27" s="5"/>
    </row>
    <row r="28" spans="1:7" x14ac:dyDescent="0.25">
      <c r="A28" s="1">
        <v>4</v>
      </c>
      <c r="B28" s="1">
        <v>2</v>
      </c>
      <c r="C28" s="2">
        <f t="shared" si="0"/>
        <v>-2</v>
      </c>
      <c r="D28" s="1">
        <f t="shared" si="1"/>
        <v>4.5327783558792918</v>
      </c>
      <c r="F28" t="s">
        <v>9</v>
      </c>
    </row>
    <row r="29" spans="1:7" x14ac:dyDescent="0.25">
      <c r="A29" s="1">
        <v>2</v>
      </c>
      <c r="B29" s="1">
        <v>3</v>
      </c>
      <c r="C29" s="2">
        <f t="shared" si="0"/>
        <v>1</v>
      </c>
      <c r="D29" s="1">
        <f t="shared" si="1"/>
        <v>0.75858480749219559</v>
      </c>
      <c r="F29" t="s">
        <v>15</v>
      </c>
      <c r="G29">
        <f>TTEST(A:A,B:B,2,1)</f>
        <v>0.4453318311017026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1.27471383975026</v>
      </c>
      <c r="F30" t="s">
        <v>19</v>
      </c>
      <c r="G30">
        <f>TTEST(A:A,B:B,1,1)</f>
        <v>0.2226659155508513</v>
      </c>
    </row>
    <row r="31" spans="1:7" x14ac:dyDescent="0.25">
      <c r="A31" s="1">
        <v>2</v>
      </c>
      <c r="B31" s="1">
        <v>4</v>
      </c>
      <c r="C31" s="2">
        <f t="shared" si="0"/>
        <v>2</v>
      </c>
      <c r="D31" s="1">
        <f t="shared" si="1"/>
        <v>3.5005202913631637</v>
      </c>
    </row>
    <row r="32" spans="1:7" x14ac:dyDescent="0.25">
      <c r="A32" s="1">
        <v>3</v>
      </c>
      <c r="B32" s="1">
        <v>2</v>
      </c>
      <c r="C32" s="2">
        <f t="shared" si="0"/>
        <v>-1</v>
      </c>
      <c r="D32" s="1">
        <f t="shared" si="1"/>
        <v>1.27471383975026</v>
      </c>
    </row>
    <row r="33" spans="1:7" x14ac:dyDescent="0.25">
      <c r="A33" s="1">
        <v>3</v>
      </c>
      <c r="B33" s="1">
        <v>5</v>
      </c>
      <c r="C33" s="2">
        <f t="shared" si="0"/>
        <v>2</v>
      </c>
      <c r="D33" s="1">
        <f t="shared" si="1"/>
        <v>3.5005202913631637</v>
      </c>
      <c r="F33" s="8" t="s">
        <v>12</v>
      </c>
      <c r="G33" s="8"/>
    </row>
    <row r="34" spans="1:7" x14ac:dyDescent="0.25">
      <c r="A34" s="1">
        <v>3</v>
      </c>
      <c r="B34" s="1">
        <v>2</v>
      </c>
      <c r="C34" s="2">
        <f t="shared" si="0"/>
        <v>-1</v>
      </c>
      <c r="D34" s="1">
        <f t="shared" si="1"/>
        <v>1.27471383975026</v>
      </c>
    </row>
    <row r="35" spans="1:7" x14ac:dyDescent="0.25">
      <c r="A35" s="1">
        <v>4</v>
      </c>
      <c r="B35" s="1">
        <v>3</v>
      </c>
      <c r="C35" s="2">
        <f t="shared" si="0"/>
        <v>-1</v>
      </c>
      <c r="D35" s="1">
        <f t="shared" si="1"/>
        <v>1.27471383975026</v>
      </c>
      <c r="F35" t="s">
        <v>10</v>
      </c>
    </row>
    <row r="36" spans="1:7" x14ac:dyDescent="0.25">
      <c r="A36" s="1">
        <v>3</v>
      </c>
      <c r="B36" s="1">
        <v>2</v>
      </c>
      <c r="C36" s="2">
        <f t="shared" si="0"/>
        <v>-1</v>
      </c>
      <c r="D36" s="1">
        <f t="shared" si="1"/>
        <v>1.27471383975026</v>
      </c>
      <c r="F36" t="s">
        <v>11</v>
      </c>
    </row>
    <row r="37" spans="1:7" x14ac:dyDescent="0.25">
      <c r="A37" s="1">
        <v>4</v>
      </c>
      <c r="B37" s="1">
        <v>3</v>
      </c>
      <c r="C37" s="2">
        <f t="shared" si="0"/>
        <v>-1</v>
      </c>
      <c r="D37" s="1">
        <f t="shared" si="1"/>
        <v>1.27471383975026</v>
      </c>
    </row>
    <row r="38" spans="1:7" x14ac:dyDescent="0.25">
      <c r="A38" s="1">
        <v>5</v>
      </c>
      <c r="B38" s="1">
        <v>3</v>
      </c>
      <c r="C38" s="2">
        <f t="shared" si="0"/>
        <v>-2</v>
      </c>
      <c r="D38" s="1">
        <f t="shared" si="1"/>
        <v>4.5327783558792918</v>
      </c>
    </row>
    <row r="39" spans="1:7" x14ac:dyDescent="0.25">
      <c r="A39" s="1">
        <v>3</v>
      </c>
      <c r="B39" s="1">
        <v>3</v>
      </c>
      <c r="C39" s="2">
        <f t="shared" si="0"/>
        <v>0</v>
      </c>
      <c r="D39" s="1">
        <f t="shared" si="1"/>
        <v>1.6649323621227886E-2</v>
      </c>
    </row>
    <row r="40" spans="1:7" x14ac:dyDescent="0.25">
      <c r="A40" s="1">
        <v>5</v>
      </c>
      <c r="B40" s="1">
        <v>3</v>
      </c>
      <c r="C40" s="2">
        <f t="shared" si="0"/>
        <v>-2</v>
      </c>
      <c r="D40" s="1">
        <f t="shared" si="1"/>
        <v>4.5327783558792918</v>
      </c>
      <c r="F40" t="s">
        <v>14</v>
      </c>
    </row>
    <row r="41" spans="1:7" x14ac:dyDescent="0.25">
      <c r="A41" s="1">
        <v>1</v>
      </c>
      <c r="B41" s="1">
        <v>5</v>
      </c>
      <c r="C41" s="2">
        <f t="shared" si="0"/>
        <v>4</v>
      </c>
      <c r="D41" s="1">
        <f t="shared" si="1"/>
        <v>14.984391259105101</v>
      </c>
      <c r="F41" t="str">
        <f>"Dos Colas: Si t calculado ("&amp;G12&amp;") &gt; a t critico  ("&amp;G23&amp;") (de tabla) ---&gt; Se rechaza la hipotesis nula"</f>
        <v>Dos Colas: Si t calculado (0.766515862407977) &gt; a t critico  (1.98608631695113) (de tabla) ---&gt; Se rechaza la hipotesis nula</v>
      </c>
    </row>
    <row r="42" spans="1:7" x14ac:dyDescent="0.25">
      <c r="A42" s="1">
        <v>1</v>
      </c>
      <c r="B42" s="1">
        <v>5</v>
      </c>
      <c r="C42" s="2">
        <f t="shared" si="0"/>
        <v>4</v>
      </c>
      <c r="D42" s="1">
        <f t="shared" si="1"/>
        <v>14.984391259105101</v>
      </c>
      <c r="F42" t="str">
        <f>"Una Cola: Si t calculado ("&amp;G12&amp;") &gt; a t critico  ("&amp;G24&amp;") (de tabla) ---&gt; Se rechaza la hipotesis nula"</f>
        <v>Una Cola: Si t calculado (0.766515862407977) &gt; a t critico  (-1.66158539690323) (de tabla) ---&gt; Se rechaza la hipotesis nula</v>
      </c>
    </row>
    <row r="43" spans="1:7" x14ac:dyDescent="0.25">
      <c r="A43" s="1">
        <v>2</v>
      </c>
      <c r="B43" s="1">
        <v>4</v>
      </c>
      <c r="C43" s="2">
        <f t="shared" si="0"/>
        <v>2</v>
      </c>
      <c r="D43" s="1">
        <f t="shared" si="1"/>
        <v>3.5005202913631637</v>
      </c>
    </row>
    <row r="44" spans="1:7" x14ac:dyDescent="0.25">
      <c r="A44" s="1">
        <v>4</v>
      </c>
      <c r="B44" s="1">
        <v>5</v>
      </c>
      <c r="C44" s="2">
        <f t="shared" si="0"/>
        <v>1</v>
      </c>
      <c r="D44" s="1">
        <f t="shared" si="1"/>
        <v>0.75858480749219559</v>
      </c>
    </row>
    <row r="45" spans="1:7" x14ac:dyDescent="0.25">
      <c r="A45" s="1">
        <v>5</v>
      </c>
      <c r="B45" s="1">
        <v>2</v>
      </c>
      <c r="C45" s="2">
        <f t="shared" si="0"/>
        <v>-3</v>
      </c>
      <c r="D45" s="1">
        <f t="shared" si="1"/>
        <v>9.7908428720083247</v>
      </c>
    </row>
    <row r="46" spans="1:7" x14ac:dyDescent="0.25">
      <c r="A46" s="1">
        <v>1</v>
      </c>
      <c r="B46" s="1">
        <v>4</v>
      </c>
      <c r="C46" s="2">
        <f t="shared" si="0"/>
        <v>3</v>
      </c>
      <c r="D46" s="1">
        <f t="shared" si="1"/>
        <v>8.2424557752341325</v>
      </c>
      <c r="F46" t="s">
        <v>21</v>
      </c>
    </row>
    <row r="47" spans="1:7" x14ac:dyDescent="0.25">
      <c r="A47" s="1">
        <v>4</v>
      </c>
      <c r="B47" s="1">
        <v>1</v>
      </c>
      <c r="C47" s="2">
        <f t="shared" si="0"/>
        <v>-3</v>
      </c>
      <c r="D47" s="1">
        <f t="shared" si="1"/>
        <v>9.7908428720083247</v>
      </c>
      <c r="F47" t="str">
        <f>"Dos Colas: Si p valor ("&amp;G29&amp;") &lt; Nivel Significancia ("&amp;G17&amp;") ---&gt; Se rechaza la hipotesis nula"</f>
        <v>Dos Colas: Si p valor (0.445331831101703) &lt; Nivel Significancia (0.05) ---&gt; Se rechaza la hipotesis nula</v>
      </c>
    </row>
    <row r="48" spans="1:7" x14ac:dyDescent="0.25">
      <c r="A48" s="1">
        <v>1</v>
      </c>
      <c r="B48" s="1">
        <v>4</v>
      </c>
      <c r="C48" s="2">
        <f t="shared" si="0"/>
        <v>3</v>
      </c>
      <c r="D48" s="1">
        <f t="shared" si="1"/>
        <v>8.2424557752341325</v>
      </c>
      <c r="F48" t="str">
        <f>"Una Cola: Si p valor ("&amp;G30&amp;") &lt; Nivel Significancia ("&amp;G17&amp;") ---&gt; Se rechaza la hipotesis nula"</f>
        <v>Una Cola: Si p valor (0.222665915550851) &lt; Nivel Significancia (0.05) ---&gt; Se rechaza la hipotesis nula</v>
      </c>
    </row>
    <row r="49" spans="1:4" x14ac:dyDescent="0.25">
      <c r="A49" s="1">
        <v>1</v>
      </c>
      <c r="B49" s="1">
        <v>5</v>
      </c>
      <c r="C49" s="2">
        <f t="shared" si="0"/>
        <v>4</v>
      </c>
      <c r="D49" s="1">
        <f t="shared" si="1"/>
        <v>14.984391259105101</v>
      </c>
    </row>
    <row r="50" spans="1:4" x14ac:dyDescent="0.25">
      <c r="A50" s="1">
        <v>2</v>
      </c>
      <c r="B50" s="1">
        <v>2</v>
      </c>
      <c r="C50" s="2">
        <f t="shared" si="0"/>
        <v>0</v>
      </c>
      <c r="D50" s="1">
        <f t="shared" si="1"/>
        <v>1.6649323621227886E-2</v>
      </c>
    </row>
    <row r="51" spans="1:4" x14ac:dyDescent="0.25">
      <c r="A51" s="1">
        <v>4</v>
      </c>
      <c r="B51" s="1">
        <v>3</v>
      </c>
      <c r="C51" s="2">
        <f t="shared" si="0"/>
        <v>-1</v>
      </c>
      <c r="D51" s="1">
        <f t="shared" si="1"/>
        <v>1.27471383975026</v>
      </c>
    </row>
    <row r="52" spans="1:4" x14ac:dyDescent="0.25">
      <c r="A52" s="1">
        <v>4</v>
      </c>
      <c r="B52" s="1">
        <v>3</v>
      </c>
      <c r="C52" s="2">
        <f t="shared" si="0"/>
        <v>-1</v>
      </c>
      <c r="D52" s="1">
        <f t="shared" si="1"/>
        <v>1.27471383975026</v>
      </c>
    </row>
    <row r="53" spans="1:4" x14ac:dyDescent="0.25">
      <c r="A53" s="1">
        <v>2</v>
      </c>
      <c r="B53" s="1">
        <v>3</v>
      </c>
      <c r="C53" s="2">
        <f t="shared" si="0"/>
        <v>1</v>
      </c>
      <c r="D53" s="1">
        <f t="shared" si="1"/>
        <v>0.75858480749219559</v>
      </c>
    </row>
    <row r="54" spans="1:4" x14ac:dyDescent="0.25">
      <c r="A54" s="1">
        <v>4</v>
      </c>
      <c r="B54" s="1">
        <v>3</v>
      </c>
      <c r="C54" s="2">
        <f t="shared" si="0"/>
        <v>-1</v>
      </c>
      <c r="D54" s="1">
        <f t="shared" si="1"/>
        <v>1.27471383975026</v>
      </c>
    </row>
    <row r="55" spans="1:4" x14ac:dyDescent="0.25">
      <c r="A55" s="1">
        <v>5</v>
      </c>
      <c r="B55" s="1">
        <v>4</v>
      </c>
      <c r="C55" s="2">
        <f t="shared" si="0"/>
        <v>-1</v>
      </c>
      <c r="D55" s="1">
        <f t="shared" si="1"/>
        <v>1.27471383975026</v>
      </c>
    </row>
    <row r="56" spans="1:4" x14ac:dyDescent="0.25">
      <c r="A56" s="1">
        <v>3</v>
      </c>
      <c r="B56" s="1">
        <v>1</v>
      </c>
      <c r="C56" s="2">
        <f t="shared" si="0"/>
        <v>-2</v>
      </c>
      <c r="D56" s="1">
        <f t="shared" si="1"/>
        <v>4.5327783558792918</v>
      </c>
    </row>
    <row r="57" spans="1:4" x14ac:dyDescent="0.25">
      <c r="A57" s="1">
        <v>1</v>
      </c>
      <c r="B57" s="1">
        <v>1</v>
      </c>
      <c r="C57" s="2">
        <f t="shared" si="0"/>
        <v>0</v>
      </c>
      <c r="D57" s="1">
        <f t="shared" si="1"/>
        <v>1.6649323621227886E-2</v>
      </c>
    </row>
    <row r="58" spans="1:4" x14ac:dyDescent="0.25">
      <c r="A58" s="1">
        <v>3</v>
      </c>
      <c r="B58" s="1">
        <v>3</v>
      </c>
      <c r="C58" s="2">
        <f t="shared" si="0"/>
        <v>0</v>
      </c>
      <c r="D58" s="1">
        <f t="shared" si="1"/>
        <v>1.6649323621227886E-2</v>
      </c>
    </row>
    <row r="59" spans="1:4" x14ac:dyDescent="0.25">
      <c r="A59" s="1">
        <v>3</v>
      </c>
      <c r="B59" s="1">
        <v>4</v>
      </c>
      <c r="C59" s="2">
        <f t="shared" si="0"/>
        <v>1</v>
      </c>
      <c r="D59" s="1">
        <f t="shared" si="1"/>
        <v>0.75858480749219559</v>
      </c>
    </row>
    <row r="60" spans="1:4" x14ac:dyDescent="0.25">
      <c r="A60" s="1">
        <v>5</v>
      </c>
      <c r="B60" s="1">
        <v>3</v>
      </c>
      <c r="C60" s="2">
        <f t="shared" si="0"/>
        <v>-2</v>
      </c>
      <c r="D60" s="1">
        <f t="shared" si="1"/>
        <v>4.5327783558792918</v>
      </c>
    </row>
    <row r="61" spans="1:4" x14ac:dyDescent="0.25">
      <c r="A61" s="1">
        <v>3</v>
      </c>
      <c r="B61" s="1">
        <v>5</v>
      </c>
      <c r="C61" s="2">
        <f t="shared" si="0"/>
        <v>2</v>
      </c>
      <c r="D61" s="1">
        <f t="shared" si="1"/>
        <v>3.5005202913631637</v>
      </c>
    </row>
    <row r="62" spans="1:4" x14ac:dyDescent="0.25">
      <c r="A62" s="1">
        <v>1</v>
      </c>
      <c r="B62" s="1">
        <v>5</v>
      </c>
      <c r="C62" s="2">
        <f t="shared" si="0"/>
        <v>4</v>
      </c>
      <c r="D62" s="1">
        <f t="shared" si="1"/>
        <v>14.984391259105101</v>
      </c>
    </row>
    <row r="63" spans="1:4" x14ac:dyDescent="0.25">
      <c r="A63" s="1">
        <v>5</v>
      </c>
      <c r="B63" s="1">
        <v>4</v>
      </c>
      <c r="C63" s="2">
        <f t="shared" si="0"/>
        <v>-1</v>
      </c>
      <c r="D63" s="1">
        <f t="shared" si="1"/>
        <v>1.27471383975026</v>
      </c>
    </row>
    <row r="64" spans="1:4" x14ac:dyDescent="0.25">
      <c r="A64" s="1">
        <v>3</v>
      </c>
      <c r="B64" s="1">
        <v>3</v>
      </c>
      <c r="C64" s="2">
        <f t="shared" si="0"/>
        <v>0</v>
      </c>
      <c r="D64" s="1">
        <f t="shared" si="1"/>
        <v>1.6649323621227886E-2</v>
      </c>
    </row>
    <row r="65" spans="1:6" x14ac:dyDescent="0.25">
      <c r="A65" s="1">
        <v>2</v>
      </c>
      <c r="B65" s="1">
        <v>2</v>
      </c>
      <c r="C65" s="2">
        <f t="shared" si="0"/>
        <v>0</v>
      </c>
      <c r="D65" s="1">
        <f t="shared" si="1"/>
        <v>1.6649323621227886E-2</v>
      </c>
    </row>
    <row r="66" spans="1:6" x14ac:dyDescent="0.25">
      <c r="A66" s="1">
        <v>3</v>
      </c>
      <c r="B66" s="1">
        <v>3</v>
      </c>
      <c r="C66" s="2">
        <f t="shared" si="0"/>
        <v>0</v>
      </c>
      <c r="D66" s="1">
        <f t="shared" si="1"/>
        <v>1.6649323621227886E-2</v>
      </c>
    </row>
    <row r="67" spans="1:6" x14ac:dyDescent="0.25">
      <c r="A67" s="1">
        <v>3</v>
      </c>
      <c r="B67" s="1">
        <v>3</v>
      </c>
      <c r="C67" s="2">
        <f t="shared" ref="C67:C94" si="2">B67-A67</f>
        <v>0</v>
      </c>
      <c r="D67" s="1">
        <f t="shared" si="1"/>
        <v>1.6649323621227886E-2</v>
      </c>
    </row>
    <row r="68" spans="1:6" x14ac:dyDescent="0.25">
      <c r="A68" s="1">
        <v>3</v>
      </c>
      <c r="B68" s="1">
        <v>4</v>
      </c>
      <c r="C68" s="2">
        <f t="shared" si="2"/>
        <v>1</v>
      </c>
      <c r="D68" s="1">
        <f t="shared" si="1"/>
        <v>0.75858480749219559</v>
      </c>
    </row>
    <row r="69" spans="1:6" x14ac:dyDescent="0.25">
      <c r="A69" s="1">
        <v>4</v>
      </c>
      <c r="B69" s="1">
        <v>4</v>
      </c>
      <c r="C69" s="2">
        <f t="shared" si="2"/>
        <v>0</v>
      </c>
      <c r="D69" s="1">
        <f t="shared" ref="D69:D94" si="3">(C69-$G$6)^2</f>
        <v>1.6649323621227886E-2</v>
      </c>
    </row>
    <row r="70" spans="1:6" x14ac:dyDescent="0.25">
      <c r="A70" s="1">
        <v>4</v>
      </c>
      <c r="B70" s="1">
        <v>4</v>
      </c>
      <c r="C70" s="2">
        <f t="shared" si="2"/>
        <v>0</v>
      </c>
      <c r="D70" s="1">
        <f t="shared" si="3"/>
        <v>1.6649323621227886E-2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1.27471383975026</v>
      </c>
    </row>
    <row r="72" spans="1:6" x14ac:dyDescent="0.25">
      <c r="A72" s="1">
        <v>2</v>
      </c>
      <c r="B72" s="1">
        <v>5</v>
      </c>
      <c r="C72" s="2">
        <f t="shared" si="2"/>
        <v>3</v>
      </c>
      <c r="D72" s="1">
        <f t="shared" si="3"/>
        <v>8.2424557752341325</v>
      </c>
    </row>
    <row r="73" spans="1:6" x14ac:dyDescent="0.25">
      <c r="A73" s="1">
        <v>2</v>
      </c>
      <c r="B73" s="1">
        <v>2</v>
      </c>
      <c r="C73" s="2">
        <f t="shared" si="2"/>
        <v>0</v>
      </c>
      <c r="D73" s="1">
        <f t="shared" si="3"/>
        <v>1.6649323621227886E-2</v>
      </c>
    </row>
    <row r="74" spans="1:6" x14ac:dyDescent="0.25">
      <c r="A74" s="1">
        <v>2</v>
      </c>
      <c r="B74" s="1">
        <v>3</v>
      </c>
      <c r="C74" s="2">
        <f t="shared" si="2"/>
        <v>1</v>
      </c>
      <c r="D74" s="1">
        <f t="shared" si="3"/>
        <v>0.75858480749219559</v>
      </c>
    </row>
    <row r="75" spans="1:6" x14ac:dyDescent="0.25">
      <c r="A75" s="1">
        <v>3</v>
      </c>
      <c r="B75" s="1">
        <v>4</v>
      </c>
      <c r="C75" s="2">
        <f t="shared" si="2"/>
        <v>1</v>
      </c>
      <c r="D75" s="1">
        <f t="shared" si="3"/>
        <v>0.75858480749219559</v>
      </c>
    </row>
    <row r="76" spans="1:6" x14ac:dyDescent="0.25">
      <c r="A76" s="1">
        <v>3</v>
      </c>
      <c r="B76" s="1">
        <v>3</v>
      </c>
      <c r="C76" s="2">
        <f t="shared" si="2"/>
        <v>0</v>
      </c>
      <c r="D76" s="1">
        <f t="shared" si="3"/>
        <v>1.6649323621227886E-2</v>
      </c>
    </row>
    <row r="77" spans="1:6" x14ac:dyDescent="0.25">
      <c r="A77" s="1">
        <v>2</v>
      </c>
      <c r="B77" s="1">
        <v>3</v>
      </c>
      <c r="C77" s="2">
        <f t="shared" si="2"/>
        <v>1</v>
      </c>
      <c r="D77" s="1">
        <f t="shared" si="3"/>
        <v>0.75858480749219559</v>
      </c>
    </row>
    <row r="78" spans="1:6" x14ac:dyDescent="0.25">
      <c r="A78" s="1">
        <v>3</v>
      </c>
      <c r="B78" s="1">
        <v>2</v>
      </c>
      <c r="C78" s="2">
        <f t="shared" si="2"/>
        <v>-1</v>
      </c>
      <c r="D78" s="1">
        <f t="shared" si="3"/>
        <v>1.27471383975026</v>
      </c>
    </row>
    <row r="79" spans="1:6" x14ac:dyDescent="0.25">
      <c r="A79" s="1">
        <v>3</v>
      </c>
      <c r="B79" s="1">
        <v>2</v>
      </c>
      <c r="C79" s="2">
        <f t="shared" si="2"/>
        <v>-1</v>
      </c>
      <c r="D79" s="1">
        <f t="shared" si="3"/>
        <v>1.27471383975026</v>
      </c>
      <c r="F79" s="6"/>
    </row>
    <row r="80" spans="1:6" x14ac:dyDescent="0.25">
      <c r="A80" s="1">
        <v>2</v>
      </c>
      <c r="B80" s="1">
        <v>4</v>
      </c>
      <c r="C80" s="2">
        <f t="shared" si="2"/>
        <v>2</v>
      </c>
      <c r="D80" s="1">
        <f t="shared" si="3"/>
        <v>3.5005202913631637</v>
      </c>
    </row>
    <row r="81" spans="1:6" x14ac:dyDescent="0.25">
      <c r="A81" s="1">
        <v>2</v>
      </c>
      <c r="B81" s="1">
        <v>4</v>
      </c>
      <c r="C81" s="2">
        <f t="shared" si="2"/>
        <v>2</v>
      </c>
      <c r="D81" s="1">
        <f t="shared" si="3"/>
        <v>3.5005202913631637</v>
      </c>
    </row>
    <row r="82" spans="1:6" x14ac:dyDescent="0.25">
      <c r="A82" s="1">
        <v>4</v>
      </c>
      <c r="B82" s="1">
        <v>3</v>
      </c>
      <c r="C82" s="2">
        <f t="shared" si="2"/>
        <v>-1</v>
      </c>
      <c r="D82" s="1">
        <f t="shared" si="3"/>
        <v>1.27471383975026</v>
      </c>
    </row>
    <row r="83" spans="1:6" x14ac:dyDescent="0.25">
      <c r="A83" s="1">
        <v>4</v>
      </c>
      <c r="B83" s="1">
        <v>2</v>
      </c>
      <c r="C83" s="2">
        <f t="shared" si="2"/>
        <v>-2</v>
      </c>
      <c r="D83" s="1">
        <f t="shared" si="3"/>
        <v>4.5327783558792918</v>
      </c>
    </row>
    <row r="84" spans="1:6" x14ac:dyDescent="0.25">
      <c r="A84" s="1">
        <v>5</v>
      </c>
      <c r="B84" s="1">
        <v>4</v>
      </c>
      <c r="C84" s="2">
        <f t="shared" si="2"/>
        <v>-1</v>
      </c>
      <c r="D84" s="1">
        <f t="shared" si="3"/>
        <v>1.27471383975026</v>
      </c>
    </row>
    <row r="85" spans="1:6" x14ac:dyDescent="0.25">
      <c r="A85" s="1">
        <v>3</v>
      </c>
      <c r="B85" s="1">
        <v>3</v>
      </c>
      <c r="C85" s="2">
        <f t="shared" si="2"/>
        <v>0</v>
      </c>
      <c r="D85" s="1">
        <f t="shared" si="3"/>
        <v>1.6649323621227886E-2</v>
      </c>
    </row>
    <row r="86" spans="1:6" x14ac:dyDescent="0.25">
      <c r="A86" s="1">
        <v>5</v>
      </c>
      <c r="B86" s="1">
        <v>3</v>
      </c>
      <c r="C86" s="2">
        <f t="shared" si="2"/>
        <v>-2</v>
      </c>
      <c r="D86" s="1">
        <f t="shared" si="3"/>
        <v>4.5327783558792918</v>
      </c>
    </row>
    <row r="87" spans="1:6" x14ac:dyDescent="0.25">
      <c r="A87" s="1">
        <v>3</v>
      </c>
      <c r="B87" s="1">
        <v>3</v>
      </c>
      <c r="C87" s="2">
        <f t="shared" si="2"/>
        <v>0</v>
      </c>
      <c r="D87" s="1">
        <f t="shared" si="3"/>
        <v>1.6649323621227886E-2</v>
      </c>
    </row>
    <row r="88" spans="1:6" x14ac:dyDescent="0.25">
      <c r="A88" s="1">
        <v>3</v>
      </c>
      <c r="B88" s="1">
        <v>5</v>
      </c>
      <c r="C88" s="2">
        <f t="shared" si="2"/>
        <v>2</v>
      </c>
      <c r="D88" s="1">
        <f t="shared" si="3"/>
        <v>3.5005202913631637</v>
      </c>
    </row>
    <row r="89" spans="1:6" x14ac:dyDescent="0.25">
      <c r="A89" s="1">
        <v>4</v>
      </c>
      <c r="B89" s="1">
        <v>3</v>
      </c>
      <c r="C89" s="2">
        <f t="shared" si="2"/>
        <v>-1</v>
      </c>
      <c r="D89" s="1">
        <f t="shared" si="3"/>
        <v>1.27471383975026</v>
      </c>
    </row>
    <row r="90" spans="1:6" x14ac:dyDescent="0.25">
      <c r="A90" s="1">
        <v>3</v>
      </c>
      <c r="B90" s="1">
        <v>2</v>
      </c>
      <c r="C90" s="2">
        <f t="shared" si="2"/>
        <v>-1</v>
      </c>
      <c r="D90" s="1">
        <f t="shared" si="3"/>
        <v>1.27471383975026</v>
      </c>
    </row>
    <row r="91" spans="1:6" x14ac:dyDescent="0.25">
      <c r="A91" s="1">
        <v>5</v>
      </c>
      <c r="B91" s="1">
        <v>5</v>
      </c>
      <c r="C91" s="2">
        <f t="shared" si="2"/>
        <v>0</v>
      </c>
      <c r="D91" s="1">
        <f t="shared" si="3"/>
        <v>1.6649323621227886E-2</v>
      </c>
    </row>
    <row r="92" spans="1:6" x14ac:dyDescent="0.25">
      <c r="A92" s="1">
        <v>5</v>
      </c>
      <c r="B92" s="1">
        <v>4</v>
      </c>
      <c r="C92" s="2">
        <f t="shared" si="2"/>
        <v>-1</v>
      </c>
      <c r="D92" s="1">
        <f t="shared" si="3"/>
        <v>1.27471383975026</v>
      </c>
    </row>
    <row r="93" spans="1:6" x14ac:dyDescent="0.25">
      <c r="A93" s="1">
        <v>2</v>
      </c>
      <c r="B93" s="1">
        <v>1</v>
      </c>
      <c r="C93" s="2">
        <f t="shared" si="2"/>
        <v>-1</v>
      </c>
      <c r="D93" s="1">
        <f t="shared" si="3"/>
        <v>1.27471383975026</v>
      </c>
      <c r="F93" s="6"/>
    </row>
    <row r="94" spans="1:6" x14ac:dyDescent="0.25">
      <c r="A94" s="1">
        <v>4</v>
      </c>
      <c r="B94" s="1">
        <v>5</v>
      </c>
      <c r="C94" s="2">
        <f t="shared" si="2"/>
        <v>1</v>
      </c>
      <c r="D94" s="1">
        <f t="shared" si="3"/>
        <v>0.75858480749219559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sqref="A1:B1"/>
    </sheetView>
  </sheetViews>
  <sheetFormatPr baseColWidth="10" defaultColWidth="9.140625" defaultRowHeight="15" x14ac:dyDescent="0.25"/>
  <cols>
    <col min="1" max="1" width="25.28515625" style="1" bestFit="1" customWidth="1"/>
    <col min="2" max="2" width="25.855468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23</v>
      </c>
      <c r="B1" s="9" t="s">
        <v>35</v>
      </c>
      <c r="C1" s="4" t="s">
        <v>0</v>
      </c>
      <c r="D1" s="4"/>
    </row>
    <row r="2" spans="1:7" x14ac:dyDescent="0.25">
      <c r="A2" s="1">
        <v>5</v>
      </c>
      <c r="B2" s="1">
        <v>3</v>
      </c>
      <c r="C2" s="2">
        <f>B2-A2</f>
        <v>-2</v>
      </c>
      <c r="D2" s="1">
        <f>(C2-$G$6)^2</f>
        <v>3.5814545034107992</v>
      </c>
    </row>
    <row r="3" spans="1:7" x14ac:dyDescent="0.25">
      <c r="A3" s="1">
        <v>5</v>
      </c>
      <c r="B3" s="1">
        <v>4</v>
      </c>
      <c r="C3" s="2">
        <f t="shared" ref="C3:C66" si="0">B3-A3</f>
        <v>-1</v>
      </c>
      <c r="D3" s="1">
        <f>(C3-$G$6)^2</f>
        <v>0.7965082668516591</v>
      </c>
      <c r="F3" s="5" t="s">
        <v>13</v>
      </c>
      <c r="G3" s="5"/>
    </row>
    <row r="4" spans="1:7" x14ac:dyDescent="0.25">
      <c r="A4" s="1">
        <v>3</v>
      </c>
      <c r="B4" s="1">
        <v>3</v>
      </c>
      <c r="C4" s="2">
        <f t="shared" si="0"/>
        <v>0</v>
      </c>
      <c r="D4" s="1">
        <f>(C4-$G$6)^2</f>
        <v>1.1562030292519367E-2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5</v>
      </c>
      <c r="C5" s="2">
        <f t="shared" si="0"/>
        <v>2</v>
      </c>
      <c r="D5" s="1">
        <f t="shared" ref="D5:D68" si="1">(C5-$G$6)^2</f>
        <v>4.4416695571742393</v>
      </c>
      <c r="F5" t="s">
        <v>2</v>
      </c>
      <c r="G5">
        <f>SUM(C:C)</f>
        <v>-10</v>
      </c>
    </row>
    <row r="6" spans="1:7" x14ac:dyDescent="0.25">
      <c r="A6" s="1">
        <v>3</v>
      </c>
      <c r="B6" s="1">
        <v>4</v>
      </c>
      <c r="C6" s="2">
        <f t="shared" si="0"/>
        <v>1</v>
      </c>
      <c r="D6" s="1">
        <f t="shared" si="1"/>
        <v>1.2266157937333795</v>
      </c>
      <c r="F6" t="s">
        <v>1</v>
      </c>
      <c r="G6">
        <f>G5/G4</f>
        <v>-0.10752688172043011</v>
      </c>
    </row>
    <row r="7" spans="1:7" x14ac:dyDescent="0.25">
      <c r="A7" s="1">
        <v>3</v>
      </c>
      <c r="B7" s="1">
        <v>1</v>
      </c>
      <c r="C7" s="2">
        <f t="shared" si="0"/>
        <v>-2</v>
      </c>
      <c r="D7" s="1">
        <f t="shared" si="1"/>
        <v>3.5814545034107992</v>
      </c>
      <c r="F7" t="s">
        <v>18</v>
      </c>
      <c r="G7">
        <f>SUM(D:D)</f>
        <v>274.9247311827956</v>
      </c>
    </row>
    <row r="8" spans="1:7" x14ac:dyDescent="0.25">
      <c r="A8" s="1">
        <v>1</v>
      </c>
      <c r="B8" s="1">
        <v>4</v>
      </c>
      <c r="C8" s="2">
        <f t="shared" si="0"/>
        <v>3</v>
      </c>
      <c r="D8" s="1">
        <f t="shared" si="1"/>
        <v>9.6567233206151002</v>
      </c>
      <c r="F8" t="s">
        <v>4</v>
      </c>
      <c r="G8">
        <f>SQRT(G7/(G4-1))</f>
        <v>1.7286735653283907</v>
      </c>
    </row>
    <row r="9" spans="1:7" x14ac:dyDescent="0.25">
      <c r="A9" s="1">
        <v>3</v>
      </c>
      <c r="B9" s="1">
        <v>3</v>
      </c>
      <c r="C9" s="2">
        <f t="shared" si="0"/>
        <v>0</v>
      </c>
      <c r="D9" s="1">
        <f t="shared" si="1"/>
        <v>1.1562030292519367E-2</v>
      </c>
    </row>
    <row r="10" spans="1:7" x14ac:dyDescent="0.25">
      <c r="A10" s="1">
        <v>4</v>
      </c>
      <c r="B10" s="1">
        <v>4</v>
      </c>
      <c r="C10" s="2">
        <f t="shared" si="0"/>
        <v>0</v>
      </c>
      <c r="D10" s="1">
        <f t="shared" si="1"/>
        <v>1.1562030292519367E-2</v>
      </c>
    </row>
    <row r="11" spans="1:7" x14ac:dyDescent="0.25">
      <c r="A11" s="1">
        <v>2</v>
      </c>
      <c r="B11" s="1">
        <v>2</v>
      </c>
      <c r="C11" s="2">
        <f t="shared" si="0"/>
        <v>0</v>
      </c>
      <c r="D11" s="1">
        <f t="shared" si="1"/>
        <v>1.1562030292519367E-2</v>
      </c>
    </row>
    <row r="12" spans="1:7" x14ac:dyDescent="0.25">
      <c r="A12" s="1">
        <v>4</v>
      </c>
      <c r="B12" s="1">
        <v>5</v>
      </c>
      <c r="C12" s="2">
        <f t="shared" si="0"/>
        <v>1</v>
      </c>
      <c r="D12" s="1">
        <f t="shared" si="1"/>
        <v>1.2266157937333795</v>
      </c>
      <c r="F12" t="s">
        <v>8</v>
      </c>
      <c r="G12">
        <f>G6/(G8/SQRT(G4))</f>
        <v>-0.59985396637533406</v>
      </c>
    </row>
    <row r="13" spans="1:7" x14ac:dyDescent="0.25">
      <c r="A13" s="1">
        <v>4</v>
      </c>
      <c r="B13" s="1">
        <v>1</v>
      </c>
      <c r="C13" s="2">
        <f t="shared" si="0"/>
        <v>-3</v>
      </c>
      <c r="D13" s="1">
        <f t="shared" si="1"/>
        <v>8.36640073996994</v>
      </c>
    </row>
    <row r="14" spans="1:7" x14ac:dyDescent="0.25">
      <c r="A14" s="1">
        <v>5</v>
      </c>
      <c r="B14" s="1">
        <v>4</v>
      </c>
      <c r="C14" s="2">
        <f t="shared" si="0"/>
        <v>-1</v>
      </c>
      <c r="D14" s="1">
        <f t="shared" si="1"/>
        <v>0.7965082668516591</v>
      </c>
    </row>
    <row r="15" spans="1:7" x14ac:dyDescent="0.25">
      <c r="A15" s="1">
        <v>5</v>
      </c>
      <c r="B15" s="1">
        <v>4</v>
      </c>
      <c r="C15" s="2">
        <f t="shared" si="0"/>
        <v>-1</v>
      </c>
      <c r="D15" s="1">
        <f t="shared" si="1"/>
        <v>0.7965082668516591</v>
      </c>
    </row>
    <row r="16" spans="1:7" x14ac:dyDescent="0.25">
      <c r="A16" s="1">
        <v>1</v>
      </c>
      <c r="B16" s="1">
        <v>5</v>
      </c>
      <c r="C16" s="2">
        <f t="shared" si="0"/>
        <v>4</v>
      </c>
      <c r="D16" s="1">
        <f t="shared" si="1"/>
        <v>16.87177708405596</v>
      </c>
    </row>
    <row r="17" spans="1:7" x14ac:dyDescent="0.25">
      <c r="A17" s="1">
        <v>2</v>
      </c>
      <c r="B17" s="1">
        <v>5</v>
      </c>
      <c r="C17" s="2">
        <f t="shared" si="0"/>
        <v>3</v>
      </c>
      <c r="D17" s="1">
        <f t="shared" si="1"/>
        <v>9.6567233206151002</v>
      </c>
      <c r="F17" t="s">
        <v>5</v>
      </c>
      <c r="G17">
        <v>0.05</v>
      </c>
    </row>
    <row r="18" spans="1:7" x14ac:dyDescent="0.25">
      <c r="A18" s="1">
        <v>3</v>
      </c>
      <c r="B18" s="1">
        <v>3</v>
      </c>
      <c r="C18" s="2">
        <f t="shared" si="0"/>
        <v>0</v>
      </c>
      <c r="D18" s="1">
        <f t="shared" si="1"/>
        <v>1.1562030292519367E-2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1.1562030292519367E-2</v>
      </c>
    </row>
    <row r="20" spans="1:7" x14ac:dyDescent="0.25">
      <c r="A20" s="1">
        <v>4</v>
      </c>
      <c r="B20" s="1">
        <v>2</v>
      </c>
      <c r="C20" s="2">
        <f t="shared" si="0"/>
        <v>-2</v>
      </c>
      <c r="D20" s="1">
        <f t="shared" si="1"/>
        <v>3.5814545034107992</v>
      </c>
    </row>
    <row r="21" spans="1:7" x14ac:dyDescent="0.25">
      <c r="A21" s="1">
        <v>5</v>
      </c>
      <c r="B21" s="1">
        <v>4</v>
      </c>
      <c r="C21" s="2">
        <f t="shared" si="0"/>
        <v>-1</v>
      </c>
      <c r="D21" s="1">
        <f t="shared" si="1"/>
        <v>0.7965082668516591</v>
      </c>
    </row>
    <row r="22" spans="1:7" x14ac:dyDescent="0.25">
      <c r="A22" s="1">
        <v>4</v>
      </c>
      <c r="B22" s="1">
        <v>4</v>
      </c>
      <c r="C22" s="2">
        <f t="shared" si="0"/>
        <v>0</v>
      </c>
      <c r="D22" s="1">
        <f t="shared" si="1"/>
        <v>1.1562030292519367E-2</v>
      </c>
      <c r="F22" s="5" t="s">
        <v>7</v>
      </c>
      <c r="G22" s="5"/>
    </row>
    <row r="23" spans="1:7" x14ac:dyDescent="0.25">
      <c r="A23" s="1">
        <v>3</v>
      </c>
      <c r="B23" s="1">
        <v>3</v>
      </c>
      <c r="C23" s="2">
        <f t="shared" si="0"/>
        <v>0</v>
      </c>
      <c r="D23" s="1">
        <f t="shared" si="1"/>
        <v>1.1562030292519367E-2</v>
      </c>
      <c r="F23" t="s">
        <v>16</v>
      </c>
      <c r="G23">
        <f>_xlfn.T.INV.2T(G17,G18)</f>
        <v>1.9860863169511298</v>
      </c>
    </row>
    <row r="24" spans="1:7" x14ac:dyDescent="0.25">
      <c r="A24" s="1">
        <v>3</v>
      </c>
      <c r="B24" s="1">
        <v>3</v>
      </c>
      <c r="C24" s="2">
        <f t="shared" si="0"/>
        <v>0</v>
      </c>
      <c r="D24" s="1">
        <f t="shared" si="1"/>
        <v>1.1562030292519367E-2</v>
      </c>
      <c r="F24" t="s">
        <v>17</v>
      </c>
      <c r="G24">
        <f>_xlfn.T.INV(G17,G18)</f>
        <v>-1.6615853969032315</v>
      </c>
    </row>
    <row r="25" spans="1:7" x14ac:dyDescent="0.25">
      <c r="A25" s="1">
        <v>3</v>
      </c>
      <c r="B25" s="1">
        <v>5</v>
      </c>
      <c r="C25" s="2">
        <f t="shared" si="0"/>
        <v>2</v>
      </c>
      <c r="D25" s="1">
        <f t="shared" si="1"/>
        <v>4.4416695571742393</v>
      </c>
    </row>
    <row r="26" spans="1:7" x14ac:dyDescent="0.25">
      <c r="A26" s="1">
        <v>4</v>
      </c>
      <c r="B26" s="1">
        <v>5</v>
      </c>
      <c r="C26" s="2">
        <f t="shared" si="0"/>
        <v>1</v>
      </c>
      <c r="D26" s="1">
        <f t="shared" si="1"/>
        <v>1.2266157937333795</v>
      </c>
    </row>
    <row r="27" spans="1:7" x14ac:dyDescent="0.25">
      <c r="A27" s="1">
        <v>1</v>
      </c>
      <c r="B27" s="1">
        <v>5</v>
      </c>
      <c r="C27" s="2">
        <f t="shared" si="0"/>
        <v>4</v>
      </c>
      <c r="D27" s="1">
        <f t="shared" si="1"/>
        <v>16.87177708405596</v>
      </c>
      <c r="F27" s="5" t="s">
        <v>9</v>
      </c>
      <c r="G27" s="5"/>
    </row>
    <row r="28" spans="1:7" x14ac:dyDescent="0.25">
      <c r="A28" s="1">
        <v>3</v>
      </c>
      <c r="B28" s="1">
        <v>3</v>
      </c>
      <c r="C28" s="2">
        <f t="shared" si="0"/>
        <v>0</v>
      </c>
      <c r="D28" s="1">
        <f t="shared" si="1"/>
        <v>1.1562030292519367E-2</v>
      </c>
      <c r="F28" t="s">
        <v>9</v>
      </c>
    </row>
    <row r="29" spans="1:7" x14ac:dyDescent="0.25">
      <c r="A29" s="1">
        <v>3</v>
      </c>
      <c r="B29" s="1">
        <v>3</v>
      </c>
      <c r="C29" s="2">
        <f t="shared" si="0"/>
        <v>0</v>
      </c>
      <c r="D29" s="1">
        <f t="shared" si="1"/>
        <v>1.1562030292519367E-2</v>
      </c>
      <c r="F29" t="s">
        <v>15</v>
      </c>
      <c r="G29">
        <f>TTEST(A:A,B:B,2,1)</f>
        <v>0.55007816352351346</v>
      </c>
    </row>
    <row r="30" spans="1:7" x14ac:dyDescent="0.25">
      <c r="A30" s="1">
        <v>3</v>
      </c>
      <c r="B30" s="1">
        <v>3</v>
      </c>
      <c r="C30" s="2">
        <f t="shared" si="0"/>
        <v>0</v>
      </c>
      <c r="D30" s="1">
        <f t="shared" si="1"/>
        <v>1.1562030292519367E-2</v>
      </c>
      <c r="F30" t="s">
        <v>19</v>
      </c>
      <c r="G30">
        <f>TTEST(A:A,B:B,1,1)</f>
        <v>0.27503908176175673</v>
      </c>
    </row>
    <row r="31" spans="1:7" x14ac:dyDescent="0.25">
      <c r="A31" s="1">
        <v>4</v>
      </c>
      <c r="B31" s="1">
        <v>2</v>
      </c>
      <c r="C31" s="2">
        <f t="shared" si="0"/>
        <v>-2</v>
      </c>
      <c r="D31" s="1">
        <f t="shared" si="1"/>
        <v>3.5814545034107992</v>
      </c>
    </row>
    <row r="32" spans="1:7" x14ac:dyDescent="0.25">
      <c r="A32" s="1">
        <v>4</v>
      </c>
      <c r="B32" s="1">
        <v>2</v>
      </c>
      <c r="C32" s="2">
        <f t="shared" si="0"/>
        <v>-2</v>
      </c>
      <c r="D32" s="1">
        <f t="shared" si="1"/>
        <v>3.5814545034107992</v>
      </c>
    </row>
    <row r="33" spans="1:7" x14ac:dyDescent="0.25">
      <c r="A33" s="1">
        <v>4</v>
      </c>
      <c r="B33" s="1">
        <v>3</v>
      </c>
      <c r="C33" s="2">
        <f t="shared" si="0"/>
        <v>-1</v>
      </c>
      <c r="D33" s="1">
        <f t="shared" si="1"/>
        <v>0.7965082668516591</v>
      </c>
      <c r="F33" s="8" t="s">
        <v>12</v>
      </c>
      <c r="G33" s="8"/>
    </row>
    <row r="34" spans="1:7" x14ac:dyDescent="0.25">
      <c r="A34" s="1">
        <v>3</v>
      </c>
      <c r="B34" s="1">
        <v>2</v>
      </c>
      <c r="C34" s="2">
        <f t="shared" si="0"/>
        <v>-1</v>
      </c>
      <c r="D34" s="1">
        <f t="shared" si="1"/>
        <v>0.7965082668516591</v>
      </c>
    </row>
    <row r="35" spans="1:7" x14ac:dyDescent="0.25">
      <c r="A35" s="1">
        <v>5</v>
      </c>
      <c r="B35" s="1">
        <v>4</v>
      </c>
      <c r="C35" s="2">
        <f t="shared" si="0"/>
        <v>-1</v>
      </c>
      <c r="D35" s="1">
        <f t="shared" si="1"/>
        <v>0.7965082668516591</v>
      </c>
      <c r="F35" t="s">
        <v>10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1.1562030292519367E-2</v>
      </c>
      <c r="F36" t="s">
        <v>11</v>
      </c>
    </row>
    <row r="37" spans="1:7" x14ac:dyDescent="0.25">
      <c r="A37" s="1">
        <v>5</v>
      </c>
      <c r="B37" s="1">
        <v>4</v>
      </c>
      <c r="C37" s="2">
        <f t="shared" si="0"/>
        <v>-1</v>
      </c>
      <c r="D37" s="1">
        <f t="shared" si="1"/>
        <v>0.7965082668516591</v>
      </c>
    </row>
    <row r="38" spans="1:7" x14ac:dyDescent="0.25">
      <c r="A38" s="1">
        <v>5</v>
      </c>
      <c r="B38" s="1">
        <v>5</v>
      </c>
      <c r="C38" s="2">
        <f t="shared" si="0"/>
        <v>0</v>
      </c>
      <c r="D38" s="1">
        <f t="shared" si="1"/>
        <v>1.1562030292519367E-2</v>
      </c>
    </row>
    <row r="39" spans="1:7" x14ac:dyDescent="0.25">
      <c r="A39" s="1">
        <v>2</v>
      </c>
      <c r="B39" s="1">
        <v>3</v>
      </c>
      <c r="C39" s="2">
        <f t="shared" si="0"/>
        <v>1</v>
      </c>
      <c r="D39" s="1">
        <f t="shared" si="1"/>
        <v>1.2266157937333795</v>
      </c>
    </row>
    <row r="40" spans="1:7" x14ac:dyDescent="0.25">
      <c r="A40" s="1">
        <v>3</v>
      </c>
      <c r="B40" s="1">
        <v>1</v>
      </c>
      <c r="C40" s="2">
        <f t="shared" si="0"/>
        <v>-2</v>
      </c>
      <c r="D40" s="1">
        <f t="shared" si="1"/>
        <v>3.5814545034107992</v>
      </c>
      <c r="F40" t="s">
        <v>14</v>
      </c>
    </row>
    <row r="41" spans="1:7" x14ac:dyDescent="0.25">
      <c r="A41" s="1">
        <v>3</v>
      </c>
      <c r="B41" s="1">
        <v>5</v>
      </c>
      <c r="C41" s="2">
        <f t="shared" si="0"/>
        <v>2</v>
      </c>
      <c r="D41" s="1">
        <f t="shared" si="1"/>
        <v>4.4416695571742393</v>
      </c>
      <c r="F41" t="str">
        <f>"Dos Colas: Si t calculado ("&amp;G12&amp;") &gt; a t critico  ("&amp;G23&amp;") (de tabla) ---&gt; Se rechaza la hipotesis nula"</f>
        <v>Dos Colas: Si t calculado (-0.599853966375334) &gt; a t critico  (1.98608631695113) (de tabla) ---&gt; Se rechaza la hipotesis nula</v>
      </c>
    </row>
    <row r="42" spans="1:7" x14ac:dyDescent="0.25">
      <c r="A42" s="1">
        <v>5</v>
      </c>
      <c r="B42" s="1">
        <v>5</v>
      </c>
      <c r="C42" s="2">
        <f t="shared" si="0"/>
        <v>0</v>
      </c>
      <c r="D42" s="1">
        <f t="shared" si="1"/>
        <v>1.1562030292519367E-2</v>
      </c>
      <c r="F42" t="str">
        <f>"Una Cola: Si t calculado ("&amp;G12&amp;") &gt; a t critico  ("&amp;G24&amp;") (de tabla) ---&gt; Se rechaza la hipotesis nula"</f>
        <v>Una Cola: Si t calculado (-0.599853966375334) &gt; a t critico  (-1.66158539690323) (de tabla) ---&gt; Se rechaza la hipotesis nula</v>
      </c>
    </row>
    <row r="43" spans="1:7" x14ac:dyDescent="0.25">
      <c r="A43" s="1">
        <v>3</v>
      </c>
      <c r="B43" s="1">
        <v>4</v>
      </c>
      <c r="C43" s="2">
        <f t="shared" si="0"/>
        <v>1</v>
      </c>
      <c r="D43" s="1">
        <f t="shared" si="1"/>
        <v>1.2266157937333795</v>
      </c>
    </row>
    <row r="44" spans="1:7" x14ac:dyDescent="0.25">
      <c r="A44" s="1">
        <v>3</v>
      </c>
      <c r="B44" s="1">
        <v>2</v>
      </c>
      <c r="C44" s="2">
        <f t="shared" si="0"/>
        <v>-1</v>
      </c>
      <c r="D44" s="1">
        <f t="shared" si="1"/>
        <v>0.7965082668516591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1.1562030292519367E-2</v>
      </c>
    </row>
    <row r="46" spans="1:7" x14ac:dyDescent="0.25">
      <c r="A46" s="1">
        <v>4</v>
      </c>
      <c r="B46" s="1">
        <v>3</v>
      </c>
      <c r="C46" s="2">
        <f t="shared" si="0"/>
        <v>-1</v>
      </c>
      <c r="D46" s="1">
        <f t="shared" si="1"/>
        <v>0.7965082668516591</v>
      </c>
      <c r="F46" t="s">
        <v>21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1.2266157937333795</v>
      </c>
      <c r="F47" t="str">
        <f>"Dos Colas: Si p valor ("&amp;G29&amp;") &lt; Nivel Significancia ("&amp;G17&amp;") ---&gt; Se rechaza la hipotesis nula"</f>
        <v>Dos Colas: Si p valor (0.550078163523513) &lt; Nivel Significancia (0.05) ---&gt; Se rechaza la hipotesis nula</v>
      </c>
    </row>
    <row r="48" spans="1:7" x14ac:dyDescent="0.25">
      <c r="A48" s="1">
        <v>3</v>
      </c>
      <c r="B48" s="1">
        <v>5</v>
      </c>
      <c r="C48" s="2">
        <f t="shared" si="0"/>
        <v>2</v>
      </c>
      <c r="D48" s="1">
        <f t="shared" si="1"/>
        <v>4.4416695571742393</v>
      </c>
      <c r="F48" t="str">
        <f>"Una Cola: Si p valor ("&amp;G30&amp;") &lt; Nivel Significancia ("&amp;G17&amp;") ---&gt; Se rechaza la hipotesis nula"</f>
        <v>Una Cola: Si p valor (0.275039081761757) &lt; Nivel Significancia (0.05) ---&gt; Se rechaza la hipotesis nula</v>
      </c>
    </row>
    <row r="49" spans="1:4" x14ac:dyDescent="0.25">
      <c r="A49" s="1">
        <v>3</v>
      </c>
      <c r="B49" s="1">
        <v>1</v>
      </c>
      <c r="C49" s="2">
        <f t="shared" si="0"/>
        <v>-2</v>
      </c>
      <c r="D49" s="1">
        <f t="shared" si="1"/>
        <v>3.5814545034107992</v>
      </c>
    </row>
    <row r="50" spans="1:4" x14ac:dyDescent="0.25">
      <c r="A50" s="1">
        <v>5</v>
      </c>
      <c r="B50" s="1">
        <v>1</v>
      </c>
      <c r="C50" s="2">
        <f t="shared" si="0"/>
        <v>-4</v>
      </c>
      <c r="D50" s="1">
        <f t="shared" si="1"/>
        <v>15.15134697652908</v>
      </c>
    </row>
    <row r="51" spans="1:4" x14ac:dyDescent="0.25">
      <c r="A51" s="1">
        <v>4</v>
      </c>
      <c r="B51" s="1">
        <v>5</v>
      </c>
      <c r="C51" s="2">
        <f t="shared" si="0"/>
        <v>1</v>
      </c>
      <c r="D51" s="1">
        <f t="shared" si="1"/>
        <v>1.2266157937333795</v>
      </c>
    </row>
    <row r="52" spans="1:4" x14ac:dyDescent="0.25">
      <c r="A52" s="1">
        <v>3</v>
      </c>
      <c r="B52" s="1">
        <v>1</v>
      </c>
      <c r="C52" s="2">
        <f t="shared" si="0"/>
        <v>-2</v>
      </c>
      <c r="D52" s="1">
        <f t="shared" si="1"/>
        <v>3.5814545034107992</v>
      </c>
    </row>
    <row r="53" spans="1:4" x14ac:dyDescent="0.25">
      <c r="A53" s="1">
        <v>3</v>
      </c>
      <c r="B53" s="1">
        <v>3</v>
      </c>
      <c r="C53" s="2">
        <f t="shared" si="0"/>
        <v>0</v>
      </c>
      <c r="D53" s="1">
        <f t="shared" si="1"/>
        <v>1.1562030292519367E-2</v>
      </c>
    </row>
    <row r="54" spans="1:4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1.1562030292519367E-2</v>
      </c>
    </row>
    <row r="55" spans="1:4" x14ac:dyDescent="0.25">
      <c r="A55" s="1">
        <v>3</v>
      </c>
      <c r="B55" s="1">
        <v>4</v>
      </c>
      <c r="C55" s="2">
        <f t="shared" si="0"/>
        <v>1</v>
      </c>
      <c r="D55" s="1">
        <f t="shared" si="1"/>
        <v>1.2266157937333795</v>
      </c>
    </row>
    <row r="56" spans="1:4" x14ac:dyDescent="0.25">
      <c r="A56" s="1">
        <v>4</v>
      </c>
      <c r="B56" s="1">
        <v>3</v>
      </c>
      <c r="C56" s="2">
        <f t="shared" si="0"/>
        <v>-1</v>
      </c>
      <c r="D56" s="1">
        <f t="shared" si="1"/>
        <v>0.7965082668516591</v>
      </c>
    </row>
    <row r="57" spans="1:4" x14ac:dyDescent="0.25">
      <c r="A57" s="1">
        <v>5</v>
      </c>
      <c r="B57" s="1">
        <v>3</v>
      </c>
      <c r="C57" s="2">
        <f t="shared" si="0"/>
        <v>-2</v>
      </c>
      <c r="D57" s="1">
        <f t="shared" si="1"/>
        <v>3.5814545034107992</v>
      </c>
    </row>
    <row r="58" spans="1:4" x14ac:dyDescent="0.25">
      <c r="A58" s="1">
        <v>3</v>
      </c>
      <c r="B58" s="1">
        <v>3</v>
      </c>
      <c r="C58" s="2">
        <f t="shared" si="0"/>
        <v>0</v>
      </c>
      <c r="D58" s="1">
        <f t="shared" si="1"/>
        <v>1.1562030292519367E-2</v>
      </c>
    </row>
    <row r="59" spans="1:4" x14ac:dyDescent="0.25">
      <c r="A59" s="1">
        <v>5</v>
      </c>
      <c r="B59" s="1">
        <v>5</v>
      </c>
      <c r="C59" s="2">
        <f t="shared" si="0"/>
        <v>0</v>
      </c>
      <c r="D59" s="1">
        <f t="shared" si="1"/>
        <v>1.1562030292519367E-2</v>
      </c>
    </row>
    <row r="60" spans="1:4" x14ac:dyDescent="0.25">
      <c r="A60" s="1">
        <v>3</v>
      </c>
      <c r="B60" s="1">
        <v>5</v>
      </c>
      <c r="C60" s="2">
        <f t="shared" si="0"/>
        <v>2</v>
      </c>
      <c r="D60" s="1">
        <f t="shared" si="1"/>
        <v>4.4416695571742393</v>
      </c>
    </row>
    <row r="61" spans="1:4" x14ac:dyDescent="0.25">
      <c r="A61" s="1">
        <v>1</v>
      </c>
      <c r="B61" s="1">
        <v>4</v>
      </c>
      <c r="C61" s="2">
        <f t="shared" si="0"/>
        <v>3</v>
      </c>
      <c r="D61" s="1">
        <f t="shared" si="1"/>
        <v>9.6567233206151002</v>
      </c>
    </row>
    <row r="62" spans="1:4" x14ac:dyDescent="0.25">
      <c r="A62" s="1">
        <v>3</v>
      </c>
      <c r="B62" s="1">
        <v>3</v>
      </c>
      <c r="C62" s="2">
        <f t="shared" si="0"/>
        <v>0</v>
      </c>
      <c r="D62" s="1">
        <f t="shared" si="1"/>
        <v>1.1562030292519367E-2</v>
      </c>
    </row>
    <row r="63" spans="1:4" x14ac:dyDescent="0.25">
      <c r="A63" s="1">
        <v>4</v>
      </c>
      <c r="B63" s="1">
        <v>4</v>
      </c>
      <c r="C63" s="2">
        <f t="shared" si="0"/>
        <v>0</v>
      </c>
      <c r="D63" s="1">
        <f t="shared" si="1"/>
        <v>1.1562030292519367E-2</v>
      </c>
    </row>
    <row r="64" spans="1:4" x14ac:dyDescent="0.25">
      <c r="A64" s="1">
        <v>3</v>
      </c>
      <c r="B64" s="1">
        <v>3</v>
      </c>
      <c r="C64" s="2">
        <f t="shared" si="0"/>
        <v>0</v>
      </c>
      <c r="D64" s="1">
        <f t="shared" si="1"/>
        <v>1.1562030292519367E-2</v>
      </c>
    </row>
    <row r="65" spans="1:4" x14ac:dyDescent="0.25">
      <c r="A65" s="1">
        <v>3</v>
      </c>
      <c r="B65" s="1">
        <v>1</v>
      </c>
      <c r="C65" s="2">
        <f t="shared" si="0"/>
        <v>-2</v>
      </c>
      <c r="D65" s="1">
        <f t="shared" si="1"/>
        <v>3.5814545034107992</v>
      </c>
    </row>
    <row r="66" spans="1:4" x14ac:dyDescent="0.25">
      <c r="A66" s="1">
        <v>3</v>
      </c>
      <c r="B66" s="1">
        <v>5</v>
      </c>
      <c r="C66" s="2">
        <f t="shared" si="0"/>
        <v>2</v>
      </c>
      <c r="D66" s="1">
        <f t="shared" si="1"/>
        <v>4.4416695571742393</v>
      </c>
    </row>
    <row r="67" spans="1:4" x14ac:dyDescent="0.25">
      <c r="A67" s="1">
        <v>1</v>
      </c>
      <c r="B67" s="1">
        <v>3</v>
      </c>
      <c r="C67" s="2">
        <f t="shared" ref="C67:C94" si="2">B67-A67</f>
        <v>2</v>
      </c>
      <c r="D67" s="1">
        <f t="shared" si="1"/>
        <v>4.4416695571742393</v>
      </c>
    </row>
    <row r="68" spans="1:4" x14ac:dyDescent="0.25">
      <c r="A68" s="1">
        <v>4</v>
      </c>
      <c r="B68" s="1">
        <v>4</v>
      </c>
      <c r="C68" s="2">
        <f t="shared" si="2"/>
        <v>0</v>
      </c>
      <c r="D68" s="1">
        <f t="shared" si="1"/>
        <v>1.1562030292519367E-2</v>
      </c>
    </row>
    <row r="69" spans="1:4" x14ac:dyDescent="0.25">
      <c r="A69" s="1">
        <v>1</v>
      </c>
      <c r="B69" s="1">
        <v>2</v>
      </c>
      <c r="C69" s="2">
        <f t="shared" si="2"/>
        <v>1</v>
      </c>
      <c r="D69" s="1">
        <f t="shared" ref="D69:D94" si="3">(C69-$G$6)^2</f>
        <v>1.2266157937333795</v>
      </c>
    </row>
    <row r="70" spans="1:4" x14ac:dyDescent="0.25">
      <c r="A70" s="1">
        <v>2</v>
      </c>
      <c r="B70" s="1">
        <v>5</v>
      </c>
      <c r="C70" s="2">
        <f t="shared" si="2"/>
        <v>3</v>
      </c>
      <c r="D70" s="1">
        <f t="shared" si="3"/>
        <v>9.6567233206151002</v>
      </c>
    </row>
    <row r="71" spans="1:4" x14ac:dyDescent="0.25">
      <c r="A71" s="1">
        <v>4</v>
      </c>
      <c r="B71" s="1">
        <v>3</v>
      </c>
      <c r="C71" s="2">
        <f t="shared" si="2"/>
        <v>-1</v>
      </c>
      <c r="D71" s="1">
        <f t="shared" si="3"/>
        <v>0.7965082668516591</v>
      </c>
    </row>
    <row r="72" spans="1:4" x14ac:dyDescent="0.25">
      <c r="A72" s="1">
        <v>5</v>
      </c>
      <c r="B72" s="1">
        <v>2</v>
      </c>
      <c r="C72" s="2">
        <f t="shared" si="2"/>
        <v>-3</v>
      </c>
      <c r="D72" s="1">
        <f t="shared" si="3"/>
        <v>8.36640073996994</v>
      </c>
    </row>
    <row r="73" spans="1:4" x14ac:dyDescent="0.25">
      <c r="A73" s="1">
        <v>5</v>
      </c>
      <c r="B73" s="1">
        <v>1</v>
      </c>
      <c r="C73" s="2">
        <f t="shared" si="2"/>
        <v>-4</v>
      </c>
      <c r="D73" s="1">
        <f t="shared" si="3"/>
        <v>15.15134697652908</v>
      </c>
    </row>
    <row r="74" spans="1:4" x14ac:dyDescent="0.25">
      <c r="A74" s="1">
        <v>5</v>
      </c>
      <c r="B74" s="1">
        <v>3</v>
      </c>
      <c r="C74" s="2">
        <f t="shared" si="2"/>
        <v>-2</v>
      </c>
      <c r="D74" s="1">
        <f t="shared" si="3"/>
        <v>3.5814545034107992</v>
      </c>
    </row>
    <row r="75" spans="1:4" x14ac:dyDescent="0.25">
      <c r="A75" s="1">
        <v>5</v>
      </c>
      <c r="B75" s="1">
        <v>3</v>
      </c>
      <c r="C75" s="2">
        <f t="shared" si="2"/>
        <v>-2</v>
      </c>
      <c r="D75" s="1">
        <f t="shared" si="3"/>
        <v>3.5814545034107992</v>
      </c>
    </row>
    <row r="76" spans="1:4" x14ac:dyDescent="0.25">
      <c r="A76" s="1">
        <v>3</v>
      </c>
      <c r="B76" s="1">
        <v>3</v>
      </c>
      <c r="C76" s="2">
        <f t="shared" si="2"/>
        <v>0</v>
      </c>
      <c r="D76" s="1">
        <f t="shared" si="3"/>
        <v>1.1562030292519367E-2</v>
      </c>
    </row>
    <row r="77" spans="1:4" x14ac:dyDescent="0.25">
      <c r="A77" s="1">
        <v>5</v>
      </c>
      <c r="B77" s="1">
        <v>2</v>
      </c>
      <c r="C77" s="2">
        <f t="shared" si="2"/>
        <v>-3</v>
      </c>
      <c r="D77" s="1">
        <f t="shared" si="3"/>
        <v>8.36640073996994</v>
      </c>
    </row>
    <row r="78" spans="1:4" x14ac:dyDescent="0.25">
      <c r="A78" s="1">
        <v>4</v>
      </c>
      <c r="B78" s="1">
        <v>3</v>
      </c>
      <c r="C78" s="2">
        <f t="shared" si="2"/>
        <v>-1</v>
      </c>
      <c r="D78" s="1">
        <f t="shared" si="3"/>
        <v>0.7965082668516591</v>
      </c>
    </row>
    <row r="79" spans="1:4" x14ac:dyDescent="0.25">
      <c r="A79" s="1">
        <v>2</v>
      </c>
      <c r="B79" s="1">
        <v>5</v>
      </c>
      <c r="C79" s="2">
        <f t="shared" si="2"/>
        <v>3</v>
      </c>
      <c r="D79" s="1">
        <f t="shared" si="3"/>
        <v>9.6567233206151002</v>
      </c>
    </row>
    <row r="80" spans="1:4" x14ac:dyDescent="0.25">
      <c r="A80" s="1">
        <v>5</v>
      </c>
      <c r="B80" s="1">
        <v>2</v>
      </c>
      <c r="C80" s="2">
        <f t="shared" si="2"/>
        <v>-3</v>
      </c>
      <c r="D80" s="1">
        <f t="shared" si="3"/>
        <v>8.36640073996994</v>
      </c>
    </row>
    <row r="81" spans="1:6" x14ac:dyDescent="0.25">
      <c r="A81" s="1">
        <v>2</v>
      </c>
      <c r="B81" s="1">
        <v>3</v>
      </c>
      <c r="C81" s="2">
        <f t="shared" si="2"/>
        <v>1</v>
      </c>
      <c r="D81" s="1">
        <f t="shared" si="3"/>
        <v>1.2266157937333795</v>
      </c>
    </row>
    <row r="82" spans="1:6" x14ac:dyDescent="0.25">
      <c r="A82" s="1">
        <v>4</v>
      </c>
      <c r="B82" s="1">
        <v>3</v>
      </c>
      <c r="C82" s="2">
        <f t="shared" si="2"/>
        <v>-1</v>
      </c>
      <c r="D82" s="1">
        <f t="shared" si="3"/>
        <v>0.7965082668516591</v>
      </c>
    </row>
    <row r="83" spans="1:6" x14ac:dyDescent="0.25">
      <c r="A83" s="1">
        <v>5</v>
      </c>
      <c r="B83" s="1">
        <v>4</v>
      </c>
      <c r="C83" s="2">
        <f t="shared" si="2"/>
        <v>-1</v>
      </c>
      <c r="D83" s="1">
        <f t="shared" si="3"/>
        <v>0.7965082668516591</v>
      </c>
    </row>
    <row r="84" spans="1:6" x14ac:dyDescent="0.25">
      <c r="A84" s="1">
        <v>3</v>
      </c>
      <c r="B84" s="1">
        <v>3</v>
      </c>
      <c r="C84" s="2">
        <f t="shared" si="2"/>
        <v>0</v>
      </c>
      <c r="D84" s="1">
        <f t="shared" si="3"/>
        <v>1.1562030292519367E-2</v>
      </c>
    </row>
    <row r="85" spans="1:6" x14ac:dyDescent="0.25">
      <c r="A85" s="1">
        <v>3</v>
      </c>
      <c r="B85" s="1">
        <v>4</v>
      </c>
      <c r="C85" s="2">
        <f t="shared" si="2"/>
        <v>1</v>
      </c>
      <c r="D85" s="1">
        <f t="shared" si="3"/>
        <v>1.2266157937333795</v>
      </c>
    </row>
    <row r="86" spans="1:6" x14ac:dyDescent="0.25">
      <c r="A86" s="1">
        <v>2</v>
      </c>
      <c r="B86" s="1">
        <v>3</v>
      </c>
      <c r="C86" s="2">
        <f t="shared" si="2"/>
        <v>1</v>
      </c>
      <c r="D86" s="1">
        <f t="shared" si="3"/>
        <v>1.2266157937333795</v>
      </c>
    </row>
    <row r="87" spans="1:6" x14ac:dyDescent="0.25">
      <c r="A87" s="1">
        <v>3</v>
      </c>
      <c r="B87" s="1">
        <v>5</v>
      </c>
      <c r="C87" s="2">
        <f t="shared" si="2"/>
        <v>2</v>
      </c>
      <c r="D87" s="1">
        <f t="shared" si="3"/>
        <v>4.4416695571742393</v>
      </c>
    </row>
    <row r="88" spans="1:6" x14ac:dyDescent="0.25">
      <c r="A88" s="1">
        <v>2</v>
      </c>
      <c r="B88" s="1">
        <v>3</v>
      </c>
      <c r="C88" s="2">
        <f t="shared" si="2"/>
        <v>1</v>
      </c>
      <c r="D88" s="1">
        <f t="shared" si="3"/>
        <v>1.2266157937333795</v>
      </c>
    </row>
    <row r="89" spans="1:6" x14ac:dyDescent="0.25">
      <c r="A89" s="1">
        <v>4</v>
      </c>
      <c r="B89" s="1">
        <v>1</v>
      </c>
      <c r="C89" s="2">
        <f t="shared" si="2"/>
        <v>-3</v>
      </c>
      <c r="D89" s="1">
        <f t="shared" si="3"/>
        <v>8.36640073996994</v>
      </c>
    </row>
    <row r="90" spans="1:6" x14ac:dyDescent="0.25">
      <c r="A90" s="1">
        <v>4</v>
      </c>
      <c r="B90" s="1">
        <v>5</v>
      </c>
      <c r="C90" s="2">
        <f t="shared" si="2"/>
        <v>1</v>
      </c>
      <c r="D90" s="1">
        <f t="shared" si="3"/>
        <v>1.2266157937333795</v>
      </c>
    </row>
    <row r="91" spans="1:6" x14ac:dyDescent="0.25">
      <c r="A91" s="1">
        <v>3</v>
      </c>
      <c r="B91" s="1">
        <v>1</v>
      </c>
      <c r="C91" s="2">
        <f t="shared" si="2"/>
        <v>-2</v>
      </c>
      <c r="D91" s="1">
        <f t="shared" si="3"/>
        <v>3.5814545034107992</v>
      </c>
    </row>
    <row r="92" spans="1:6" x14ac:dyDescent="0.25">
      <c r="A92" s="1">
        <v>2</v>
      </c>
      <c r="B92" s="1">
        <v>4</v>
      </c>
      <c r="C92" s="2">
        <f t="shared" si="2"/>
        <v>2</v>
      </c>
      <c r="D92" s="1">
        <f t="shared" si="3"/>
        <v>4.4416695571742393</v>
      </c>
    </row>
    <row r="93" spans="1:6" x14ac:dyDescent="0.25">
      <c r="A93" s="1">
        <v>1</v>
      </c>
      <c r="B93" s="1">
        <v>2</v>
      </c>
      <c r="C93" s="2">
        <f t="shared" si="2"/>
        <v>1</v>
      </c>
      <c r="D93" s="1">
        <f t="shared" si="3"/>
        <v>1.2266157937333795</v>
      </c>
      <c r="F93" s="6"/>
    </row>
    <row r="94" spans="1:6" x14ac:dyDescent="0.25">
      <c r="A94" s="1">
        <v>4</v>
      </c>
      <c r="B94" s="1">
        <v>2</v>
      </c>
      <c r="C94" s="2">
        <f t="shared" si="2"/>
        <v>-2</v>
      </c>
      <c r="D94" s="1">
        <f t="shared" si="3"/>
        <v>3.5814545034107992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16" zoomScale="130" zoomScaleNormal="130" workbookViewId="0">
      <selection sqref="A1:B1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25</v>
      </c>
      <c r="B1" s="7" t="s">
        <v>36</v>
      </c>
      <c r="C1" s="4" t="s">
        <v>0</v>
      </c>
      <c r="D1" s="4"/>
    </row>
    <row r="2" spans="1:7" x14ac:dyDescent="0.25">
      <c r="A2" s="1">
        <v>4</v>
      </c>
      <c r="B2" s="1">
        <v>3</v>
      </c>
      <c r="C2" s="2">
        <f>B2-A2</f>
        <v>-1</v>
      </c>
      <c r="D2" s="1">
        <f>(C2-$G$6)^2</f>
        <v>1.4763556480517979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4.6248121170077469E-2</v>
      </c>
      <c r="F3" s="5" t="s">
        <v>13</v>
      </c>
      <c r="G3" s="5"/>
    </row>
    <row r="4" spans="1:7" x14ac:dyDescent="0.25">
      <c r="A4" s="1">
        <v>2</v>
      </c>
      <c r="B4" s="1">
        <v>3</v>
      </c>
      <c r="C4" s="2">
        <f t="shared" si="0"/>
        <v>1</v>
      </c>
      <c r="D4" s="1">
        <f>(C4-$G$6)^2</f>
        <v>0.61614059428835699</v>
      </c>
      <c r="F4" t="s">
        <v>3</v>
      </c>
      <c r="G4">
        <f>COUNT(A:A)</f>
        <v>93</v>
      </c>
    </row>
    <row r="5" spans="1:7" x14ac:dyDescent="0.25">
      <c r="A5" s="1">
        <v>5</v>
      </c>
      <c r="B5" s="1">
        <v>3</v>
      </c>
      <c r="C5" s="2">
        <f t="shared" si="0"/>
        <v>-2</v>
      </c>
      <c r="D5" s="1">
        <f t="shared" ref="D5:D68" si="1">(C5-$G$6)^2</f>
        <v>4.9064631749335179</v>
      </c>
      <c r="F5" t="s">
        <v>2</v>
      </c>
      <c r="G5">
        <f>SUM(C:C)</f>
        <v>20</v>
      </c>
    </row>
    <row r="6" spans="1:7" x14ac:dyDescent="0.25">
      <c r="A6" s="1">
        <v>2</v>
      </c>
      <c r="B6" s="1">
        <v>4</v>
      </c>
      <c r="C6" s="2">
        <f t="shared" si="0"/>
        <v>2</v>
      </c>
      <c r="D6" s="1">
        <f t="shared" si="1"/>
        <v>3.1860330674066364</v>
      </c>
      <c r="F6" t="s">
        <v>1</v>
      </c>
      <c r="G6">
        <f>G5/G4</f>
        <v>0.21505376344086022</v>
      </c>
    </row>
    <row r="7" spans="1:7" x14ac:dyDescent="0.25">
      <c r="A7" s="1">
        <v>3</v>
      </c>
      <c r="B7" s="1">
        <v>2</v>
      </c>
      <c r="C7" s="2">
        <f t="shared" si="0"/>
        <v>-1</v>
      </c>
      <c r="D7" s="1">
        <f t="shared" si="1"/>
        <v>1.4763556480517979</v>
      </c>
      <c r="F7" t="s">
        <v>18</v>
      </c>
      <c r="G7">
        <f>SUM(D:D)</f>
        <v>271.6989247311829</v>
      </c>
    </row>
    <row r="8" spans="1:7" x14ac:dyDescent="0.25">
      <c r="A8" s="1">
        <v>2</v>
      </c>
      <c r="B8" s="1">
        <v>5</v>
      </c>
      <c r="C8" s="2">
        <f t="shared" si="0"/>
        <v>3</v>
      </c>
      <c r="D8" s="1">
        <f t="shared" si="1"/>
        <v>7.7559255405249177</v>
      </c>
      <c r="F8" t="s">
        <v>4</v>
      </c>
      <c r="G8">
        <f>SQRT(G7/(G4-1))</f>
        <v>1.7185020168334642</v>
      </c>
    </row>
    <row r="9" spans="1:7" x14ac:dyDescent="0.25">
      <c r="A9" s="1">
        <v>4</v>
      </c>
      <c r="B9" s="1">
        <v>3</v>
      </c>
      <c r="C9" s="2">
        <f t="shared" si="0"/>
        <v>-1</v>
      </c>
      <c r="D9" s="1">
        <f t="shared" si="1"/>
        <v>1.4763556480517979</v>
      </c>
    </row>
    <row r="10" spans="1:7" x14ac:dyDescent="0.25">
      <c r="A10" s="1">
        <v>2</v>
      </c>
      <c r="B10" s="1">
        <v>5</v>
      </c>
      <c r="C10" s="2">
        <f t="shared" si="0"/>
        <v>3</v>
      </c>
      <c r="D10" s="1">
        <f t="shared" si="1"/>
        <v>7.7559255405249177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4.6248121170077469E-2</v>
      </c>
    </row>
    <row r="12" spans="1:7" x14ac:dyDescent="0.25">
      <c r="A12" s="1">
        <v>5</v>
      </c>
      <c r="B12" s="1">
        <v>4</v>
      </c>
      <c r="C12" s="2">
        <f t="shared" si="0"/>
        <v>-1</v>
      </c>
      <c r="D12" s="1">
        <f t="shared" si="1"/>
        <v>1.4763556480517979</v>
      </c>
      <c r="F12" t="s">
        <v>8</v>
      </c>
      <c r="G12">
        <f>G6/(G8/SQRT(G4))</f>
        <v>1.2068088190447714</v>
      </c>
    </row>
    <row r="13" spans="1:7" x14ac:dyDescent="0.25">
      <c r="A13" s="1">
        <v>2</v>
      </c>
      <c r="B13" s="1">
        <v>4</v>
      </c>
      <c r="C13" s="2">
        <f t="shared" si="0"/>
        <v>2</v>
      </c>
      <c r="D13" s="1">
        <f t="shared" si="1"/>
        <v>3.1860330674066364</v>
      </c>
    </row>
    <row r="14" spans="1:7" x14ac:dyDescent="0.25">
      <c r="A14" s="1">
        <v>5</v>
      </c>
      <c r="B14" s="1">
        <v>3</v>
      </c>
      <c r="C14" s="2">
        <f t="shared" si="0"/>
        <v>-2</v>
      </c>
      <c r="D14" s="1">
        <f t="shared" si="1"/>
        <v>4.9064631749335179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4.6248121170077469E-2</v>
      </c>
    </row>
    <row r="16" spans="1:7" x14ac:dyDescent="0.25">
      <c r="A16" s="1">
        <v>1</v>
      </c>
      <c r="B16" s="1">
        <v>4</v>
      </c>
      <c r="C16" s="2">
        <f t="shared" si="0"/>
        <v>3</v>
      </c>
      <c r="D16" s="1">
        <f t="shared" si="1"/>
        <v>7.7559255405249177</v>
      </c>
    </row>
    <row r="17" spans="1:7" x14ac:dyDescent="0.25">
      <c r="A17" s="1">
        <v>1</v>
      </c>
      <c r="B17" s="1">
        <v>4</v>
      </c>
      <c r="C17" s="2">
        <f t="shared" si="0"/>
        <v>3</v>
      </c>
      <c r="D17" s="1">
        <f t="shared" si="1"/>
        <v>7.7559255405249177</v>
      </c>
      <c r="F17" t="s">
        <v>5</v>
      </c>
      <c r="G17">
        <v>0.05</v>
      </c>
    </row>
    <row r="18" spans="1:7" x14ac:dyDescent="0.25">
      <c r="A18" s="1">
        <v>3</v>
      </c>
      <c r="B18" s="1">
        <v>4</v>
      </c>
      <c r="C18" s="2">
        <f t="shared" si="0"/>
        <v>1</v>
      </c>
      <c r="D18" s="1">
        <f t="shared" si="1"/>
        <v>0.61614059428835699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4</v>
      </c>
      <c r="C19" s="2">
        <f t="shared" si="0"/>
        <v>1</v>
      </c>
      <c r="D19" s="1">
        <f t="shared" si="1"/>
        <v>0.61614059428835699</v>
      </c>
    </row>
    <row r="20" spans="1:7" x14ac:dyDescent="0.25">
      <c r="A20" s="1">
        <v>3</v>
      </c>
      <c r="B20" s="1">
        <v>5</v>
      </c>
      <c r="C20" s="2">
        <f t="shared" si="0"/>
        <v>2</v>
      </c>
      <c r="D20" s="1">
        <f t="shared" si="1"/>
        <v>3.1860330674066364</v>
      </c>
    </row>
    <row r="21" spans="1:7" x14ac:dyDescent="0.25">
      <c r="A21" s="1">
        <v>4</v>
      </c>
      <c r="B21" s="1">
        <v>3</v>
      </c>
      <c r="C21" s="2">
        <f t="shared" si="0"/>
        <v>-1</v>
      </c>
      <c r="D21" s="1">
        <f t="shared" si="1"/>
        <v>1.4763556480517979</v>
      </c>
    </row>
    <row r="22" spans="1:7" x14ac:dyDescent="0.25">
      <c r="A22" s="1">
        <v>4</v>
      </c>
      <c r="B22" s="1">
        <v>3</v>
      </c>
      <c r="C22" s="2">
        <f t="shared" si="0"/>
        <v>-1</v>
      </c>
      <c r="D22" s="1">
        <f t="shared" si="1"/>
        <v>1.4763556480517979</v>
      </c>
      <c r="F22" s="5" t="s">
        <v>7</v>
      </c>
      <c r="G22" s="5"/>
    </row>
    <row r="23" spans="1:7" x14ac:dyDescent="0.25">
      <c r="A23" s="1">
        <v>3</v>
      </c>
      <c r="B23" s="1">
        <v>3</v>
      </c>
      <c r="C23" s="2">
        <f t="shared" si="0"/>
        <v>0</v>
      </c>
      <c r="D23" s="1">
        <f t="shared" si="1"/>
        <v>4.6248121170077469E-2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4</v>
      </c>
      <c r="C24" s="2">
        <f t="shared" si="0"/>
        <v>2</v>
      </c>
      <c r="D24" s="1">
        <f t="shared" si="1"/>
        <v>3.1860330674066364</v>
      </c>
      <c r="F24" t="s">
        <v>17</v>
      </c>
      <c r="G24">
        <f>_xlfn.T.INV(G17,G18)</f>
        <v>-1.6615853969032315</v>
      </c>
    </row>
    <row r="25" spans="1:7" x14ac:dyDescent="0.25">
      <c r="A25" s="1">
        <v>2</v>
      </c>
      <c r="B25" s="1">
        <v>4</v>
      </c>
      <c r="C25" s="2">
        <f t="shared" si="0"/>
        <v>2</v>
      </c>
      <c r="D25" s="1">
        <f t="shared" si="1"/>
        <v>3.1860330674066364</v>
      </c>
    </row>
    <row r="26" spans="1:7" x14ac:dyDescent="0.25">
      <c r="A26" s="1">
        <v>2</v>
      </c>
      <c r="B26" s="1">
        <v>2</v>
      </c>
      <c r="C26" s="2">
        <f t="shared" si="0"/>
        <v>0</v>
      </c>
      <c r="D26" s="1">
        <f t="shared" si="1"/>
        <v>4.6248121170077469E-2</v>
      </c>
    </row>
    <row r="27" spans="1:7" x14ac:dyDescent="0.25">
      <c r="A27" s="1">
        <v>5</v>
      </c>
      <c r="B27" s="1">
        <v>3</v>
      </c>
      <c r="C27" s="2">
        <f t="shared" si="0"/>
        <v>-2</v>
      </c>
      <c r="D27" s="1">
        <f t="shared" si="1"/>
        <v>4.9064631749335179</v>
      </c>
      <c r="F27" s="5" t="s">
        <v>9</v>
      </c>
      <c r="G27" s="5"/>
    </row>
    <row r="28" spans="1:7" x14ac:dyDescent="0.25">
      <c r="A28" s="1">
        <v>3</v>
      </c>
      <c r="B28" s="1">
        <v>3</v>
      </c>
      <c r="C28" s="2">
        <f t="shared" si="0"/>
        <v>0</v>
      </c>
      <c r="D28" s="1">
        <f t="shared" si="1"/>
        <v>4.6248121170077469E-2</v>
      </c>
      <c r="F28" t="s">
        <v>9</v>
      </c>
    </row>
    <row r="29" spans="1:7" x14ac:dyDescent="0.25">
      <c r="A29" s="1">
        <v>5</v>
      </c>
      <c r="B29" s="1">
        <v>5</v>
      </c>
      <c r="C29" s="2">
        <f t="shared" si="0"/>
        <v>0</v>
      </c>
      <c r="D29" s="1">
        <f t="shared" si="1"/>
        <v>4.6248121170077469E-2</v>
      </c>
      <c r="F29" t="s">
        <v>15</v>
      </c>
      <c r="G29">
        <f>TTEST(A:A,B:B,2,1)</f>
        <v>0.23059966059024695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0.61614059428835699</v>
      </c>
      <c r="F30" t="s">
        <v>19</v>
      </c>
      <c r="G30">
        <f>TTEST(A:A,B:B,1,1)</f>
        <v>0.11529983029512347</v>
      </c>
    </row>
    <row r="31" spans="1:7" x14ac:dyDescent="0.25">
      <c r="A31" s="1">
        <v>4</v>
      </c>
      <c r="B31" s="1">
        <v>4</v>
      </c>
      <c r="C31" s="2">
        <f t="shared" si="0"/>
        <v>0</v>
      </c>
      <c r="D31" s="1">
        <f t="shared" si="1"/>
        <v>4.6248121170077469E-2</v>
      </c>
    </row>
    <row r="32" spans="1:7" x14ac:dyDescent="0.25">
      <c r="A32" s="1">
        <v>2</v>
      </c>
      <c r="B32" s="1">
        <v>4</v>
      </c>
      <c r="C32" s="2">
        <f t="shared" si="0"/>
        <v>2</v>
      </c>
      <c r="D32" s="1">
        <f t="shared" si="1"/>
        <v>3.1860330674066364</v>
      </c>
    </row>
    <row r="33" spans="1:7" x14ac:dyDescent="0.25">
      <c r="A33" s="1">
        <v>4</v>
      </c>
      <c r="B33" s="1">
        <v>3</v>
      </c>
      <c r="C33" s="2">
        <f t="shared" si="0"/>
        <v>-1</v>
      </c>
      <c r="D33" s="1">
        <f t="shared" si="1"/>
        <v>1.4763556480517979</v>
      </c>
      <c r="F33" s="8" t="s">
        <v>12</v>
      </c>
      <c r="G33" s="8"/>
    </row>
    <row r="34" spans="1:7" x14ac:dyDescent="0.25">
      <c r="A34" s="1">
        <v>5</v>
      </c>
      <c r="B34" s="1">
        <v>3</v>
      </c>
      <c r="C34" s="2">
        <f t="shared" si="0"/>
        <v>-2</v>
      </c>
      <c r="D34" s="1">
        <f t="shared" si="1"/>
        <v>4.9064631749335179</v>
      </c>
    </row>
    <row r="35" spans="1:7" x14ac:dyDescent="0.25">
      <c r="A35" s="1">
        <v>5</v>
      </c>
      <c r="B35" s="1">
        <v>3</v>
      </c>
      <c r="C35" s="2">
        <f t="shared" si="0"/>
        <v>-2</v>
      </c>
      <c r="D35" s="1">
        <f t="shared" si="1"/>
        <v>4.9064631749335179</v>
      </c>
      <c r="F35" t="s">
        <v>10</v>
      </c>
    </row>
    <row r="36" spans="1:7" x14ac:dyDescent="0.25">
      <c r="A36" s="1">
        <v>2</v>
      </c>
      <c r="B36" s="1">
        <v>3</v>
      </c>
      <c r="C36" s="2">
        <f t="shared" si="0"/>
        <v>1</v>
      </c>
      <c r="D36" s="1">
        <f t="shared" si="1"/>
        <v>0.61614059428835699</v>
      </c>
      <c r="F36" t="s">
        <v>11</v>
      </c>
    </row>
    <row r="37" spans="1:7" x14ac:dyDescent="0.25">
      <c r="A37" s="1">
        <v>3</v>
      </c>
      <c r="B37" s="1">
        <v>2</v>
      </c>
      <c r="C37" s="2">
        <f t="shared" si="0"/>
        <v>-1</v>
      </c>
      <c r="D37" s="1">
        <f t="shared" si="1"/>
        <v>1.4763556480517979</v>
      </c>
    </row>
    <row r="38" spans="1:7" x14ac:dyDescent="0.25">
      <c r="A38" s="1">
        <v>5</v>
      </c>
      <c r="B38" s="1">
        <v>3</v>
      </c>
      <c r="C38" s="2">
        <f t="shared" si="0"/>
        <v>-2</v>
      </c>
      <c r="D38" s="1">
        <f t="shared" si="1"/>
        <v>4.9064631749335179</v>
      </c>
    </row>
    <row r="39" spans="1:7" x14ac:dyDescent="0.25">
      <c r="A39" s="1">
        <v>5</v>
      </c>
      <c r="B39" s="1">
        <v>1</v>
      </c>
      <c r="C39" s="2">
        <f t="shared" si="0"/>
        <v>-4</v>
      </c>
      <c r="D39" s="1">
        <f t="shared" si="1"/>
        <v>17.766678228696957</v>
      </c>
    </row>
    <row r="40" spans="1:7" x14ac:dyDescent="0.25">
      <c r="A40" s="1">
        <v>3</v>
      </c>
      <c r="B40" s="1">
        <v>5</v>
      </c>
      <c r="C40" s="2">
        <f t="shared" si="0"/>
        <v>2</v>
      </c>
      <c r="D40" s="1">
        <f t="shared" si="1"/>
        <v>3.1860330674066364</v>
      </c>
      <c r="F40" t="s">
        <v>14</v>
      </c>
    </row>
    <row r="41" spans="1:7" x14ac:dyDescent="0.25">
      <c r="A41" s="1">
        <v>5</v>
      </c>
      <c r="B41" s="1">
        <v>4</v>
      </c>
      <c r="C41" s="2">
        <f t="shared" si="0"/>
        <v>-1</v>
      </c>
      <c r="D41" s="1">
        <f t="shared" si="1"/>
        <v>1.4763556480517979</v>
      </c>
      <c r="F41" t="str">
        <f>"Dos Colas: Si t calculado ("&amp;G12&amp;") &gt; a t critico  ("&amp;G23&amp;") (de tabla) ---&gt; Se rechaza la hipotesis nula"</f>
        <v>Dos Colas: Si t calculado (1.20680881904477) &gt; a t critico  (1.98608631695113) (de tabla) ---&gt; Se rechaza la hipotesis nula</v>
      </c>
    </row>
    <row r="42" spans="1:7" x14ac:dyDescent="0.25">
      <c r="A42" s="1">
        <v>2</v>
      </c>
      <c r="B42" s="1">
        <v>5</v>
      </c>
      <c r="C42" s="2">
        <f t="shared" si="0"/>
        <v>3</v>
      </c>
      <c r="D42" s="1">
        <f t="shared" si="1"/>
        <v>7.7559255405249177</v>
      </c>
      <c r="F42" t="str">
        <f>"Una Cola: Si t calculado ("&amp;G12&amp;") &gt; a t critico  ("&amp;G24&amp;") (de tabla) ---&gt; Se rechaza la hipotesis nula"</f>
        <v>Una Cola: Si t calculado (1.20680881904477) &gt; a t critico  (-1.66158539690323) (de tabla) ---&gt; Se rechaza la hipotesis nula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4.6248121170077469E-2</v>
      </c>
    </row>
    <row r="44" spans="1:7" x14ac:dyDescent="0.25">
      <c r="A44" s="1">
        <v>5</v>
      </c>
      <c r="B44" s="1">
        <v>2</v>
      </c>
      <c r="C44" s="2">
        <f t="shared" si="0"/>
        <v>-3</v>
      </c>
      <c r="D44" s="1">
        <f t="shared" si="1"/>
        <v>10.336570701815237</v>
      </c>
    </row>
    <row r="45" spans="1:7" x14ac:dyDescent="0.25">
      <c r="A45" s="1">
        <v>5</v>
      </c>
      <c r="B45" s="1">
        <v>4</v>
      </c>
      <c r="C45" s="2">
        <f t="shared" si="0"/>
        <v>-1</v>
      </c>
      <c r="D45" s="1">
        <f t="shared" si="1"/>
        <v>1.4763556480517979</v>
      </c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0.61614059428835699</v>
      </c>
      <c r="F46" t="s">
        <v>21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0.61614059428835699</v>
      </c>
      <c r="F47" t="str">
        <f>"Dos Colas: Si p valor ("&amp;G29&amp;") &lt; Nivel Significancia ("&amp;G17&amp;") ---&gt; Se rechaza la hipotesis nula"</f>
        <v>Dos Colas: Si p valor (0.230599660590247) &lt; Nivel Significancia (0.05) ---&gt; Se rechaza la hipotesis nula</v>
      </c>
    </row>
    <row r="48" spans="1:7" x14ac:dyDescent="0.25">
      <c r="A48" s="1">
        <v>4</v>
      </c>
      <c r="B48" s="1">
        <v>2</v>
      </c>
      <c r="C48" s="2">
        <f t="shared" si="0"/>
        <v>-2</v>
      </c>
      <c r="D48" s="1">
        <f t="shared" si="1"/>
        <v>4.9064631749335179</v>
      </c>
      <c r="F48" t="str">
        <f>"Una Cola: Si p valor ("&amp;G30&amp;") &lt; Nivel Significancia ("&amp;G17&amp;") ---&gt; Se rechaza la hipotesis nula"</f>
        <v>Una Cola: Si p valor (0.115299830295123) &lt; Nivel Significancia (0.05) ---&gt; Se rechaza la hipotesis nula</v>
      </c>
    </row>
    <row r="49" spans="1:4" x14ac:dyDescent="0.25">
      <c r="A49" s="1">
        <v>2</v>
      </c>
      <c r="B49" s="1">
        <v>4</v>
      </c>
      <c r="C49" s="2">
        <f t="shared" si="0"/>
        <v>2</v>
      </c>
      <c r="D49" s="1">
        <f t="shared" si="1"/>
        <v>3.1860330674066364</v>
      </c>
    </row>
    <row r="50" spans="1:4" x14ac:dyDescent="0.25">
      <c r="A50" s="1">
        <v>1</v>
      </c>
      <c r="B50" s="1">
        <v>5</v>
      </c>
      <c r="C50" s="2">
        <f t="shared" si="0"/>
        <v>4</v>
      </c>
      <c r="D50" s="1">
        <f t="shared" si="1"/>
        <v>14.325818013643197</v>
      </c>
    </row>
    <row r="51" spans="1:4" x14ac:dyDescent="0.25">
      <c r="A51" s="1">
        <v>1</v>
      </c>
      <c r="B51" s="1">
        <v>3</v>
      </c>
      <c r="C51" s="2">
        <f t="shared" si="0"/>
        <v>2</v>
      </c>
      <c r="D51" s="1">
        <f t="shared" si="1"/>
        <v>3.1860330674066364</v>
      </c>
    </row>
    <row r="52" spans="1:4" x14ac:dyDescent="0.25">
      <c r="A52" s="1">
        <v>2</v>
      </c>
      <c r="B52" s="1">
        <v>4</v>
      </c>
      <c r="C52" s="2">
        <f t="shared" si="0"/>
        <v>2</v>
      </c>
      <c r="D52" s="1">
        <f t="shared" si="1"/>
        <v>3.1860330674066364</v>
      </c>
    </row>
    <row r="53" spans="1:4" x14ac:dyDescent="0.25">
      <c r="A53" s="1">
        <v>4</v>
      </c>
      <c r="B53" s="1">
        <v>4</v>
      </c>
      <c r="C53" s="2">
        <f t="shared" si="0"/>
        <v>0</v>
      </c>
      <c r="D53" s="1">
        <f t="shared" si="1"/>
        <v>4.6248121170077469E-2</v>
      </c>
    </row>
    <row r="54" spans="1:4" x14ac:dyDescent="0.25">
      <c r="A54" s="1">
        <v>5</v>
      </c>
      <c r="B54" s="1">
        <v>4</v>
      </c>
      <c r="C54" s="2">
        <f t="shared" si="0"/>
        <v>-1</v>
      </c>
      <c r="D54" s="1">
        <f t="shared" si="1"/>
        <v>1.4763556480517979</v>
      </c>
    </row>
    <row r="55" spans="1:4" x14ac:dyDescent="0.25">
      <c r="A55" s="1">
        <v>2</v>
      </c>
      <c r="B55" s="1">
        <v>2</v>
      </c>
      <c r="C55" s="2">
        <f t="shared" si="0"/>
        <v>0</v>
      </c>
      <c r="D55" s="1">
        <f t="shared" si="1"/>
        <v>4.6248121170077469E-2</v>
      </c>
    </row>
    <row r="56" spans="1:4" x14ac:dyDescent="0.25">
      <c r="A56" s="1">
        <v>3</v>
      </c>
      <c r="B56" s="1">
        <v>3</v>
      </c>
      <c r="C56" s="2">
        <f t="shared" si="0"/>
        <v>0</v>
      </c>
      <c r="D56" s="1">
        <f t="shared" si="1"/>
        <v>4.6248121170077469E-2</v>
      </c>
    </row>
    <row r="57" spans="1:4" x14ac:dyDescent="0.25">
      <c r="A57" s="1">
        <v>4</v>
      </c>
      <c r="B57" s="1">
        <v>4</v>
      </c>
      <c r="C57" s="2">
        <f t="shared" si="0"/>
        <v>0</v>
      </c>
      <c r="D57" s="1">
        <f t="shared" si="1"/>
        <v>4.6248121170077469E-2</v>
      </c>
    </row>
    <row r="58" spans="1:4" x14ac:dyDescent="0.25">
      <c r="A58" s="1">
        <v>2</v>
      </c>
      <c r="B58" s="1">
        <v>3</v>
      </c>
      <c r="C58" s="2">
        <f t="shared" si="0"/>
        <v>1</v>
      </c>
      <c r="D58" s="1">
        <f t="shared" si="1"/>
        <v>0.61614059428835699</v>
      </c>
    </row>
    <row r="59" spans="1:4" x14ac:dyDescent="0.25">
      <c r="A59" s="1">
        <v>5</v>
      </c>
      <c r="B59" s="1">
        <v>3</v>
      </c>
      <c r="C59" s="2">
        <f t="shared" si="0"/>
        <v>-2</v>
      </c>
      <c r="D59" s="1">
        <f t="shared" si="1"/>
        <v>4.9064631749335179</v>
      </c>
    </row>
    <row r="60" spans="1:4" x14ac:dyDescent="0.25">
      <c r="A60" s="1">
        <v>3</v>
      </c>
      <c r="B60" s="1">
        <v>4</v>
      </c>
      <c r="C60" s="2">
        <f t="shared" si="0"/>
        <v>1</v>
      </c>
      <c r="D60" s="1">
        <f t="shared" si="1"/>
        <v>0.61614059428835699</v>
      </c>
    </row>
    <row r="61" spans="1:4" x14ac:dyDescent="0.25">
      <c r="A61" s="1">
        <v>5</v>
      </c>
      <c r="B61" s="1">
        <v>4</v>
      </c>
      <c r="C61" s="2">
        <f t="shared" si="0"/>
        <v>-1</v>
      </c>
      <c r="D61" s="1">
        <f t="shared" si="1"/>
        <v>1.4763556480517979</v>
      </c>
    </row>
    <row r="62" spans="1:4" x14ac:dyDescent="0.25">
      <c r="A62" s="1">
        <v>3</v>
      </c>
      <c r="B62" s="1">
        <v>5</v>
      </c>
      <c r="C62" s="2">
        <f t="shared" si="0"/>
        <v>2</v>
      </c>
      <c r="D62" s="1">
        <f t="shared" si="1"/>
        <v>3.1860330674066364</v>
      </c>
    </row>
    <row r="63" spans="1:4" x14ac:dyDescent="0.25">
      <c r="A63" s="1">
        <v>5</v>
      </c>
      <c r="B63" s="1">
        <v>4</v>
      </c>
      <c r="C63" s="2">
        <f t="shared" si="0"/>
        <v>-1</v>
      </c>
      <c r="D63" s="1">
        <f t="shared" si="1"/>
        <v>1.4763556480517979</v>
      </c>
    </row>
    <row r="64" spans="1:4" x14ac:dyDescent="0.25">
      <c r="A64" s="1">
        <v>5</v>
      </c>
      <c r="B64" s="1">
        <v>3</v>
      </c>
      <c r="C64" s="2">
        <f t="shared" si="0"/>
        <v>-2</v>
      </c>
      <c r="D64" s="1">
        <f t="shared" si="1"/>
        <v>4.9064631749335179</v>
      </c>
    </row>
    <row r="65" spans="1:4" x14ac:dyDescent="0.25">
      <c r="A65" s="1">
        <v>5</v>
      </c>
      <c r="B65" s="1">
        <v>4</v>
      </c>
      <c r="C65" s="2">
        <f t="shared" si="0"/>
        <v>-1</v>
      </c>
      <c r="D65" s="1">
        <f t="shared" si="1"/>
        <v>1.4763556480517979</v>
      </c>
    </row>
    <row r="66" spans="1:4" x14ac:dyDescent="0.25">
      <c r="A66" s="1">
        <v>3</v>
      </c>
      <c r="B66" s="1">
        <v>3</v>
      </c>
      <c r="C66" s="2">
        <f t="shared" si="0"/>
        <v>0</v>
      </c>
      <c r="D66" s="1">
        <f t="shared" si="1"/>
        <v>4.6248121170077469E-2</v>
      </c>
    </row>
    <row r="67" spans="1:4" x14ac:dyDescent="0.25">
      <c r="A67" s="1">
        <v>2</v>
      </c>
      <c r="B67" s="1">
        <v>3</v>
      </c>
      <c r="C67" s="2">
        <f t="shared" ref="C67:C94" si="2">B67-A67</f>
        <v>1</v>
      </c>
      <c r="D67" s="1">
        <f t="shared" si="1"/>
        <v>0.61614059428835699</v>
      </c>
    </row>
    <row r="68" spans="1:4" x14ac:dyDescent="0.25">
      <c r="A68" s="1">
        <v>3</v>
      </c>
      <c r="B68" s="1">
        <v>5</v>
      </c>
      <c r="C68" s="2">
        <f t="shared" si="2"/>
        <v>2</v>
      </c>
      <c r="D68" s="1">
        <f t="shared" si="1"/>
        <v>3.1860330674066364</v>
      </c>
    </row>
    <row r="69" spans="1:4" x14ac:dyDescent="0.25">
      <c r="A69" s="1">
        <v>1</v>
      </c>
      <c r="B69" s="1">
        <v>3</v>
      </c>
      <c r="C69" s="2">
        <f t="shared" si="2"/>
        <v>2</v>
      </c>
      <c r="D69" s="1">
        <f t="shared" ref="D69:D94" si="3">(C69-$G$6)^2</f>
        <v>3.1860330674066364</v>
      </c>
    </row>
    <row r="70" spans="1:4" x14ac:dyDescent="0.25">
      <c r="A70" s="1">
        <v>4</v>
      </c>
      <c r="B70" s="1">
        <v>4</v>
      </c>
      <c r="C70" s="2">
        <f t="shared" si="2"/>
        <v>0</v>
      </c>
      <c r="D70" s="1">
        <f t="shared" si="3"/>
        <v>4.6248121170077469E-2</v>
      </c>
    </row>
    <row r="71" spans="1:4" x14ac:dyDescent="0.25">
      <c r="A71" s="1">
        <v>4</v>
      </c>
      <c r="B71" s="1">
        <v>1</v>
      </c>
      <c r="C71" s="2">
        <f t="shared" si="2"/>
        <v>-3</v>
      </c>
      <c r="D71" s="1">
        <f t="shared" si="3"/>
        <v>10.336570701815237</v>
      </c>
    </row>
    <row r="72" spans="1:4" x14ac:dyDescent="0.25">
      <c r="A72" s="1">
        <v>2</v>
      </c>
      <c r="B72" s="1">
        <v>3</v>
      </c>
      <c r="C72" s="2">
        <f t="shared" si="2"/>
        <v>1</v>
      </c>
      <c r="D72" s="1">
        <f t="shared" si="3"/>
        <v>0.61614059428835699</v>
      </c>
    </row>
    <row r="73" spans="1:4" x14ac:dyDescent="0.25">
      <c r="A73" s="1">
        <v>4</v>
      </c>
      <c r="B73" s="1">
        <v>2</v>
      </c>
      <c r="C73" s="2">
        <f t="shared" si="2"/>
        <v>-2</v>
      </c>
      <c r="D73" s="1">
        <f t="shared" si="3"/>
        <v>4.9064631749335179</v>
      </c>
    </row>
    <row r="74" spans="1:4" x14ac:dyDescent="0.25">
      <c r="A74" s="1">
        <v>1</v>
      </c>
      <c r="B74" s="1">
        <v>3</v>
      </c>
      <c r="C74" s="2">
        <f t="shared" si="2"/>
        <v>2</v>
      </c>
      <c r="D74" s="1">
        <f t="shared" si="3"/>
        <v>3.1860330674066364</v>
      </c>
    </row>
    <row r="75" spans="1:4" x14ac:dyDescent="0.25">
      <c r="A75" s="1">
        <v>5</v>
      </c>
      <c r="B75" s="1">
        <v>5</v>
      </c>
      <c r="C75" s="2">
        <f t="shared" si="2"/>
        <v>0</v>
      </c>
      <c r="D75" s="1">
        <f t="shared" si="3"/>
        <v>4.6248121170077469E-2</v>
      </c>
    </row>
    <row r="76" spans="1:4" x14ac:dyDescent="0.25">
      <c r="A76" s="1">
        <v>1</v>
      </c>
      <c r="B76" s="1">
        <v>3</v>
      </c>
      <c r="C76" s="2">
        <f t="shared" si="2"/>
        <v>2</v>
      </c>
      <c r="D76" s="1">
        <f t="shared" si="3"/>
        <v>3.1860330674066364</v>
      </c>
    </row>
    <row r="77" spans="1:4" x14ac:dyDescent="0.25">
      <c r="A77" s="1">
        <v>5</v>
      </c>
      <c r="B77" s="1">
        <v>1</v>
      </c>
      <c r="C77" s="2">
        <f t="shared" si="2"/>
        <v>-4</v>
      </c>
      <c r="D77" s="1">
        <f t="shared" si="3"/>
        <v>17.766678228696957</v>
      </c>
    </row>
    <row r="78" spans="1:4" x14ac:dyDescent="0.25">
      <c r="A78" s="1">
        <v>2</v>
      </c>
      <c r="B78" s="1">
        <v>3</v>
      </c>
      <c r="C78" s="2">
        <f t="shared" si="2"/>
        <v>1</v>
      </c>
      <c r="D78" s="1">
        <f t="shared" si="3"/>
        <v>0.61614059428835699</v>
      </c>
    </row>
    <row r="79" spans="1:4" x14ac:dyDescent="0.25">
      <c r="A79" s="1">
        <v>3</v>
      </c>
      <c r="B79" s="1">
        <v>2</v>
      </c>
      <c r="C79" s="2">
        <f t="shared" si="2"/>
        <v>-1</v>
      </c>
      <c r="D79" s="1">
        <f t="shared" si="3"/>
        <v>1.4763556480517979</v>
      </c>
    </row>
    <row r="80" spans="1:4" x14ac:dyDescent="0.25">
      <c r="A80" s="1">
        <v>1</v>
      </c>
      <c r="B80" s="1">
        <v>2</v>
      </c>
      <c r="C80" s="2">
        <f t="shared" si="2"/>
        <v>1</v>
      </c>
      <c r="D80" s="1">
        <f t="shared" si="3"/>
        <v>0.61614059428835699</v>
      </c>
    </row>
    <row r="81" spans="1:6" x14ac:dyDescent="0.25">
      <c r="A81" s="1">
        <v>5</v>
      </c>
      <c r="B81" s="1">
        <v>4</v>
      </c>
      <c r="C81" s="2">
        <f t="shared" si="2"/>
        <v>-1</v>
      </c>
      <c r="D81" s="1">
        <f t="shared" si="3"/>
        <v>1.4763556480517979</v>
      </c>
    </row>
    <row r="82" spans="1:6" x14ac:dyDescent="0.25">
      <c r="A82" s="1">
        <v>3</v>
      </c>
      <c r="B82" s="1">
        <v>4</v>
      </c>
      <c r="C82" s="2">
        <f t="shared" si="2"/>
        <v>1</v>
      </c>
      <c r="D82" s="1">
        <f t="shared" si="3"/>
        <v>0.61614059428835699</v>
      </c>
    </row>
    <row r="83" spans="1:6" x14ac:dyDescent="0.25">
      <c r="A83" s="1">
        <v>1</v>
      </c>
      <c r="B83" s="1">
        <v>3</v>
      </c>
      <c r="C83" s="2">
        <f t="shared" si="2"/>
        <v>2</v>
      </c>
      <c r="D83" s="1">
        <f t="shared" si="3"/>
        <v>3.1860330674066364</v>
      </c>
    </row>
    <row r="84" spans="1:6" x14ac:dyDescent="0.25">
      <c r="A84" s="1">
        <v>3</v>
      </c>
      <c r="B84" s="1">
        <v>4</v>
      </c>
      <c r="C84" s="2">
        <f t="shared" si="2"/>
        <v>1</v>
      </c>
      <c r="D84" s="1">
        <f t="shared" si="3"/>
        <v>0.61614059428835699</v>
      </c>
    </row>
    <row r="85" spans="1:6" x14ac:dyDescent="0.25">
      <c r="A85" s="1">
        <v>3</v>
      </c>
      <c r="B85" s="1">
        <v>2</v>
      </c>
      <c r="C85" s="2">
        <f t="shared" si="2"/>
        <v>-1</v>
      </c>
      <c r="D85" s="1">
        <f t="shared" si="3"/>
        <v>1.4763556480517979</v>
      </c>
    </row>
    <row r="86" spans="1:6" x14ac:dyDescent="0.25">
      <c r="A86" s="1">
        <v>3</v>
      </c>
      <c r="B86" s="1">
        <v>2</v>
      </c>
      <c r="C86" s="2">
        <f t="shared" si="2"/>
        <v>-1</v>
      </c>
      <c r="D86" s="1">
        <f t="shared" si="3"/>
        <v>1.4763556480517979</v>
      </c>
    </row>
    <row r="87" spans="1:6" x14ac:dyDescent="0.25">
      <c r="A87" s="1">
        <v>3</v>
      </c>
      <c r="B87" s="1">
        <v>4</v>
      </c>
      <c r="C87" s="2">
        <f t="shared" si="2"/>
        <v>1</v>
      </c>
      <c r="D87" s="1">
        <f t="shared" si="3"/>
        <v>0.61614059428835699</v>
      </c>
    </row>
    <row r="88" spans="1:6" x14ac:dyDescent="0.25">
      <c r="A88" s="1">
        <v>3</v>
      </c>
      <c r="B88" s="1">
        <v>4</v>
      </c>
      <c r="C88" s="2">
        <f t="shared" si="2"/>
        <v>1</v>
      </c>
      <c r="D88" s="1">
        <f t="shared" si="3"/>
        <v>0.61614059428835699</v>
      </c>
    </row>
    <row r="89" spans="1:6" x14ac:dyDescent="0.25">
      <c r="A89" s="1">
        <v>3</v>
      </c>
      <c r="B89" s="1">
        <v>3</v>
      </c>
      <c r="C89" s="2">
        <f t="shared" si="2"/>
        <v>0</v>
      </c>
      <c r="D89" s="1">
        <f t="shared" si="3"/>
        <v>4.6248121170077469E-2</v>
      </c>
    </row>
    <row r="90" spans="1:6" x14ac:dyDescent="0.25">
      <c r="A90" s="1">
        <v>2</v>
      </c>
      <c r="B90" s="1">
        <v>4</v>
      </c>
      <c r="C90" s="2">
        <f t="shared" si="2"/>
        <v>2</v>
      </c>
      <c r="D90" s="1">
        <f t="shared" si="3"/>
        <v>3.1860330674066364</v>
      </c>
    </row>
    <row r="91" spans="1:6" x14ac:dyDescent="0.25">
      <c r="A91" s="1">
        <v>5</v>
      </c>
      <c r="B91" s="1">
        <v>2</v>
      </c>
      <c r="C91" s="2">
        <f t="shared" si="2"/>
        <v>-3</v>
      </c>
      <c r="D91" s="1">
        <f t="shared" si="3"/>
        <v>10.336570701815237</v>
      </c>
    </row>
    <row r="92" spans="1:6" x14ac:dyDescent="0.25">
      <c r="A92" s="1">
        <v>4</v>
      </c>
      <c r="B92" s="1">
        <v>4</v>
      </c>
      <c r="C92" s="2">
        <f t="shared" si="2"/>
        <v>0</v>
      </c>
      <c r="D92" s="1">
        <f t="shared" si="3"/>
        <v>4.6248121170077469E-2</v>
      </c>
    </row>
    <row r="93" spans="1:6" x14ac:dyDescent="0.25">
      <c r="A93" s="1">
        <v>1</v>
      </c>
      <c r="B93" s="1">
        <v>3</v>
      </c>
      <c r="C93" s="2">
        <f t="shared" si="2"/>
        <v>2</v>
      </c>
      <c r="D93" s="1">
        <f t="shared" si="3"/>
        <v>3.1860330674066364</v>
      </c>
      <c r="F93" s="6"/>
    </row>
    <row r="94" spans="1:6" x14ac:dyDescent="0.25">
      <c r="A94" s="1">
        <v>2</v>
      </c>
      <c r="B94" s="1">
        <v>5</v>
      </c>
      <c r="C94" s="2">
        <f t="shared" si="2"/>
        <v>3</v>
      </c>
      <c r="D94" s="1">
        <f t="shared" si="3"/>
        <v>7.7559255405249177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130" zoomScaleNormal="130" workbookViewId="0">
      <selection sqref="A1:B1"/>
    </sheetView>
  </sheetViews>
  <sheetFormatPr baseColWidth="10" defaultColWidth="9.140625" defaultRowHeight="15" x14ac:dyDescent="0.25"/>
  <cols>
    <col min="1" max="1" width="27.85546875" style="1" bestFit="1" customWidth="1"/>
    <col min="2" max="2" width="27.855468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26</v>
      </c>
      <c r="B1" s="9" t="s">
        <v>37</v>
      </c>
      <c r="C1" s="4" t="s">
        <v>0</v>
      </c>
      <c r="D1" s="4"/>
    </row>
    <row r="2" spans="1:7" x14ac:dyDescent="0.25">
      <c r="A2" s="1">
        <v>4</v>
      </c>
      <c r="B2" s="1">
        <v>2</v>
      </c>
      <c r="C2" s="2">
        <f>B2-A2</f>
        <v>-2</v>
      </c>
      <c r="D2" s="1">
        <f>(C2-$G$6)^2</f>
        <v>4.7177708405596013</v>
      </c>
    </row>
    <row r="3" spans="1:7" x14ac:dyDescent="0.25">
      <c r="A3" s="1">
        <v>3</v>
      </c>
      <c r="B3" s="1">
        <v>4</v>
      </c>
      <c r="C3" s="2">
        <f>B3-A3</f>
        <v>1</v>
      </c>
      <c r="D3" s="1">
        <f>(C3-$G$6)^2</f>
        <v>0.68551277604347316</v>
      </c>
      <c r="F3" s="5" t="s">
        <v>13</v>
      </c>
      <c r="G3" s="5"/>
    </row>
    <row r="4" spans="1:7" x14ac:dyDescent="0.25">
      <c r="A4" s="1">
        <v>5</v>
      </c>
      <c r="B4" s="1">
        <v>5</v>
      </c>
      <c r="C4" s="2">
        <f t="shared" ref="C4:C66" si="0">B4-A4</f>
        <v>0</v>
      </c>
      <c r="D4" s="1">
        <f>(C4-$G$6)^2</f>
        <v>2.9598797548849583E-2</v>
      </c>
      <c r="F4" t="s">
        <v>3</v>
      </c>
      <c r="G4">
        <f>COUNT(A:A)</f>
        <v>93</v>
      </c>
    </row>
    <row r="5" spans="1:7" x14ac:dyDescent="0.25">
      <c r="A5" s="1">
        <v>1</v>
      </c>
      <c r="B5" s="1">
        <v>5</v>
      </c>
      <c r="C5" s="2">
        <f t="shared" si="0"/>
        <v>4</v>
      </c>
      <c r="D5" s="1">
        <f t="shared" ref="D5:D68" si="1">(C5-$G$6)^2</f>
        <v>14.653254711527346</v>
      </c>
      <c r="F5" t="s">
        <v>2</v>
      </c>
      <c r="G5">
        <f>SUM(C:C)</f>
        <v>16</v>
      </c>
    </row>
    <row r="6" spans="1:7" x14ac:dyDescent="0.25">
      <c r="A6" s="1">
        <v>1</v>
      </c>
      <c r="B6" s="1">
        <v>3</v>
      </c>
      <c r="C6" s="2">
        <f t="shared" si="0"/>
        <v>2</v>
      </c>
      <c r="D6" s="1">
        <f t="shared" si="1"/>
        <v>3.3414267545380967</v>
      </c>
      <c r="F6" t="s">
        <v>1</v>
      </c>
      <c r="G6">
        <f>G5/G4</f>
        <v>0.17204301075268819</v>
      </c>
    </row>
    <row r="7" spans="1:7" x14ac:dyDescent="0.25">
      <c r="A7" s="1">
        <v>3</v>
      </c>
      <c r="B7" s="1">
        <v>3</v>
      </c>
      <c r="C7" s="2">
        <f t="shared" si="0"/>
        <v>0</v>
      </c>
      <c r="D7" s="1">
        <f t="shared" si="1"/>
        <v>2.9598797548849583E-2</v>
      </c>
      <c r="F7" t="s">
        <v>18</v>
      </c>
      <c r="G7">
        <f>SUM(D:D)</f>
        <v>279.24731182795722</v>
      </c>
    </row>
    <row r="8" spans="1:7" x14ac:dyDescent="0.25">
      <c r="A8" s="1">
        <v>3</v>
      </c>
      <c r="B8" s="1">
        <v>3</v>
      </c>
      <c r="C8" s="2">
        <f t="shared" si="0"/>
        <v>0</v>
      </c>
      <c r="D8" s="1">
        <f t="shared" si="1"/>
        <v>2.9598797548849583E-2</v>
      </c>
      <c r="F8" t="s">
        <v>4</v>
      </c>
      <c r="G8">
        <f>SQRT(G7/(G4-1))</f>
        <v>1.7422103396820909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2.9598797548849583E-2</v>
      </c>
    </row>
    <row r="10" spans="1:7" x14ac:dyDescent="0.25">
      <c r="A10" s="1">
        <v>2</v>
      </c>
      <c r="B10" s="1">
        <v>4</v>
      </c>
      <c r="C10" s="2">
        <f t="shared" si="0"/>
        <v>2</v>
      </c>
      <c r="D10" s="1">
        <f t="shared" si="1"/>
        <v>3.3414267545380967</v>
      </c>
    </row>
    <row r="11" spans="1:7" x14ac:dyDescent="0.25">
      <c r="A11" s="1">
        <v>3</v>
      </c>
      <c r="B11" s="1">
        <v>3</v>
      </c>
      <c r="C11" s="2">
        <f t="shared" si="0"/>
        <v>0</v>
      </c>
      <c r="D11" s="1">
        <f t="shared" si="1"/>
        <v>2.9598797548849583E-2</v>
      </c>
    </row>
    <row r="12" spans="1:7" x14ac:dyDescent="0.25">
      <c r="A12" s="1">
        <v>5</v>
      </c>
      <c r="B12" s="1">
        <v>3</v>
      </c>
      <c r="C12" s="2">
        <f t="shared" si="0"/>
        <v>-2</v>
      </c>
      <c r="D12" s="1">
        <f t="shared" si="1"/>
        <v>4.7177708405596013</v>
      </c>
      <c r="F12" t="s">
        <v>8</v>
      </c>
      <c r="G12">
        <f>G6/(G8/SQRT(G4))</f>
        <v>0.9523090718606505</v>
      </c>
    </row>
    <row r="13" spans="1:7" x14ac:dyDescent="0.25">
      <c r="A13" s="1">
        <v>2</v>
      </c>
      <c r="B13" s="1">
        <v>1</v>
      </c>
      <c r="C13" s="2">
        <f t="shared" si="0"/>
        <v>-1</v>
      </c>
      <c r="D13" s="1">
        <f t="shared" si="1"/>
        <v>1.3736848190542261</v>
      </c>
    </row>
    <row r="14" spans="1:7" x14ac:dyDescent="0.25">
      <c r="A14" s="1">
        <v>2</v>
      </c>
      <c r="B14" s="1">
        <v>5</v>
      </c>
      <c r="C14" s="2">
        <f t="shared" si="0"/>
        <v>3</v>
      </c>
      <c r="D14" s="1">
        <f t="shared" si="1"/>
        <v>7.9973407330327211</v>
      </c>
    </row>
    <row r="15" spans="1:7" x14ac:dyDescent="0.25">
      <c r="A15" s="1">
        <v>1</v>
      </c>
      <c r="B15" s="1">
        <v>3</v>
      </c>
      <c r="C15" s="2">
        <f t="shared" si="0"/>
        <v>2</v>
      </c>
      <c r="D15" s="1">
        <f t="shared" si="1"/>
        <v>3.3414267545380967</v>
      </c>
    </row>
    <row r="16" spans="1:7" x14ac:dyDescent="0.25">
      <c r="A16" s="1">
        <v>3</v>
      </c>
      <c r="B16" s="1">
        <v>4</v>
      </c>
      <c r="C16" s="2">
        <f t="shared" si="0"/>
        <v>1</v>
      </c>
      <c r="D16" s="1">
        <f t="shared" si="1"/>
        <v>0.68551277604347316</v>
      </c>
    </row>
    <row r="17" spans="1:7" x14ac:dyDescent="0.25">
      <c r="A17" s="1">
        <v>3</v>
      </c>
      <c r="B17" s="1">
        <v>4</v>
      </c>
      <c r="C17" s="2">
        <f t="shared" si="0"/>
        <v>1</v>
      </c>
      <c r="D17" s="1">
        <f t="shared" si="1"/>
        <v>0.68551277604347316</v>
      </c>
      <c r="F17" t="s">
        <v>5</v>
      </c>
      <c r="G17">
        <v>0.05</v>
      </c>
    </row>
    <row r="18" spans="1:7" x14ac:dyDescent="0.25">
      <c r="A18" s="1">
        <v>4</v>
      </c>
      <c r="B18" s="1">
        <v>3</v>
      </c>
      <c r="C18" s="2">
        <f t="shared" si="0"/>
        <v>-1</v>
      </c>
      <c r="D18" s="1">
        <f t="shared" si="1"/>
        <v>1.3736848190542261</v>
      </c>
      <c r="F18" t="s">
        <v>6</v>
      </c>
      <c r="G18">
        <f>G4-1</f>
        <v>92</v>
      </c>
    </row>
    <row r="19" spans="1:7" x14ac:dyDescent="0.25">
      <c r="A19" s="1">
        <v>1</v>
      </c>
      <c r="B19" s="1">
        <v>3</v>
      </c>
      <c r="C19" s="2">
        <f t="shared" si="0"/>
        <v>2</v>
      </c>
      <c r="D19" s="1">
        <f t="shared" si="1"/>
        <v>3.3414267545380967</v>
      </c>
    </row>
    <row r="20" spans="1:7" x14ac:dyDescent="0.25">
      <c r="A20" s="1">
        <v>2</v>
      </c>
      <c r="B20" s="1">
        <v>1</v>
      </c>
      <c r="C20" s="2">
        <f t="shared" si="0"/>
        <v>-1</v>
      </c>
      <c r="D20" s="1">
        <f t="shared" si="1"/>
        <v>1.3736848190542261</v>
      </c>
    </row>
    <row r="21" spans="1:7" x14ac:dyDescent="0.25">
      <c r="A21" s="1">
        <v>5</v>
      </c>
      <c r="B21" s="1">
        <v>5</v>
      </c>
      <c r="C21" s="2">
        <f t="shared" si="0"/>
        <v>0</v>
      </c>
      <c r="D21" s="1">
        <f t="shared" si="1"/>
        <v>2.9598797548849583E-2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2.9598797548849583E-2</v>
      </c>
      <c r="F22" s="5" t="s">
        <v>7</v>
      </c>
      <c r="G22" s="5"/>
    </row>
    <row r="23" spans="1:7" x14ac:dyDescent="0.25">
      <c r="A23" s="1">
        <v>4</v>
      </c>
      <c r="B23" s="1">
        <v>3</v>
      </c>
      <c r="C23" s="2">
        <f t="shared" si="0"/>
        <v>-1</v>
      </c>
      <c r="D23" s="1">
        <f t="shared" si="1"/>
        <v>1.3736848190542261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3</v>
      </c>
      <c r="C24" s="2">
        <f t="shared" si="0"/>
        <v>1</v>
      </c>
      <c r="D24" s="1">
        <f t="shared" si="1"/>
        <v>0.68551277604347316</v>
      </c>
      <c r="F24" t="s">
        <v>17</v>
      </c>
      <c r="G24">
        <f>_xlfn.T.INV(G17,G18)</f>
        <v>-1.6615853969032315</v>
      </c>
    </row>
    <row r="25" spans="1:7" x14ac:dyDescent="0.25">
      <c r="A25" s="1">
        <v>1</v>
      </c>
      <c r="B25" s="1">
        <v>4</v>
      </c>
      <c r="C25" s="2">
        <f t="shared" si="0"/>
        <v>3</v>
      </c>
      <c r="D25" s="1">
        <f t="shared" si="1"/>
        <v>7.9973407330327211</v>
      </c>
    </row>
    <row r="26" spans="1:7" x14ac:dyDescent="0.25">
      <c r="A26" s="1">
        <v>5</v>
      </c>
      <c r="B26" s="1">
        <v>5</v>
      </c>
      <c r="C26" s="2">
        <f t="shared" si="0"/>
        <v>0</v>
      </c>
      <c r="D26" s="1">
        <f t="shared" si="1"/>
        <v>2.9598797548849583E-2</v>
      </c>
    </row>
    <row r="27" spans="1:7" x14ac:dyDescent="0.25">
      <c r="A27" s="1">
        <v>3</v>
      </c>
      <c r="B27" s="1">
        <v>5</v>
      </c>
      <c r="C27" s="2">
        <f t="shared" si="0"/>
        <v>2</v>
      </c>
      <c r="D27" s="1">
        <f t="shared" si="1"/>
        <v>3.3414267545380967</v>
      </c>
      <c r="F27" s="5" t="s">
        <v>9</v>
      </c>
      <c r="G27" s="5"/>
    </row>
    <row r="28" spans="1:7" x14ac:dyDescent="0.25">
      <c r="A28" s="1">
        <v>4</v>
      </c>
      <c r="B28" s="1">
        <v>2</v>
      </c>
      <c r="C28" s="2">
        <f t="shared" si="0"/>
        <v>-2</v>
      </c>
      <c r="D28" s="1">
        <f t="shared" si="1"/>
        <v>4.7177708405596013</v>
      </c>
      <c r="F28" t="s">
        <v>9</v>
      </c>
    </row>
    <row r="29" spans="1:7" x14ac:dyDescent="0.25">
      <c r="A29" s="1">
        <v>1</v>
      </c>
      <c r="B29" s="1">
        <v>4</v>
      </c>
      <c r="C29" s="2">
        <f t="shared" si="0"/>
        <v>3</v>
      </c>
      <c r="D29" s="1">
        <f t="shared" si="1"/>
        <v>7.9973407330327211</v>
      </c>
      <c r="F29" t="s">
        <v>15</v>
      </c>
      <c r="G29">
        <f>TTEST(A:A,B:B,2,1)</f>
        <v>0.34343555916632418</v>
      </c>
    </row>
    <row r="30" spans="1:7" x14ac:dyDescent="0.25">
      <c r="A30" s="1">
        <v>2</v>
      </c>
      <c r="B30" s="1">
        <v>4</v>
      </c>
      <c r="C30" s="2">
        <f t="shared" si="0"/>
        <v>2</v>
      </c>
      <c r="D30" s="1">
        <f t="shared" si="1"/>
        <v>3.3414267545380967</v>
      </c>
      <c r="F30" t="s">
        <v>19</v>
      </c>
      <c r="G30">
        <f>TTEST(A:A,B:B,1,1)</f>
        <v>0.17171777958316209</v>
      </c>
    </row>
    <row r="31" spans="1:7" x14ac:dyDescent="0.25">
      <c r="A31" s="1">
        <v>2</v>
      </c>
      <c r="B31" s="1">
        <v>4</v>
      </c>
      <c r="C31" s="2">
        <f t="shared" si="0"/>
        <v>2</v>
      </c>
      <c r="D31" s="1">
        <f t="shared" si="1"/>
        <v>3.3414267545380967</v>
      </c>
    </row>
    <row r="32" spans="1:7" x14ac:dyDescent="0.25">
      <c r="A32" s="1">
        <v>4</v>
      </c>
      <c r="B32" s="1">
        <v>4</v>
      </c>
      <c r="C32" s="2">
        <f t="shared" si="0"/>
        <v>0</v>
      </c>
      <c r="D32" s="1">
        <f t="shared" si="1"/>
        <v>2.9598797548849583E-2</v>
      </c>
    </row>
    <row r="33" spans="1:7" x14ac:dyDescent="0.25">
      <c r="A33" s="1">
        <v>4</v>
      </c>
      <c r="B33" s="1">
        <v>5</v>
      </c>
      <c r="C33" s="2">
        <f t="shared" si="0"/>
        <v>1</v>
      </c>
      <c r="D33" s="1">
        <f t="shared" si="1"/>
        <v>0.68551277604347316</v>
      </c>
      <c r="F33" s="8" t="s">
        <v>12</v>
      </c>
      <c r="G33" s="8"/>
    </row>
    <row r="34" spans="1:7" x14ac:dyDescent="0.25">
      <c r="A34" s="1">
        <v>4</v>
      </c>
      <c r="B34" s="1">
        <v>3</v>
      </c>
      <c r="C34" s="2">
        <f t="shared" si="0"/>
        <v>-1</v>
      </c>
      <c r="D34" s="1">
        <f t="shared" si="1"/>
        <v>1.3736848190542261</v>
      </c>
    </row>
    <row r="35" spans="1:7" x14ac:dyDescent="0.25">
      <c r="A35" s="1">
        <v>5</v>
      </c>
      <c r="B35" s="1">
        <v>5</v>
      </c>
      <c r="C35" s="2">
        <f t="shared" si="0"/>
        <v>0</v>
      </c>
      <c r="D35" s="1">
        <f t="shared" si="1"/>
        <v>2.9598797548849583E-2</v>
      </c>
      <c r="F35" t="s">
        <v>10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2.9598797548849583E-2</v>
      </c>
      <c r="F36" t="s">
        <v>11</v>
      </c>
    </row>
    <row r="37" spans="1:7" x14ac:dyDescent="0.25">
      <c r="A37" s="1">
        <v>2</v>
      </c>
      <c r="B37" s="1">
        <v>4</v>
      </c>
      <c r="C37" s="2">
        <f t="shared" si="0"/>
        <v>2</v>
      </c>
      <c r="D37" s="1">
        <f t="shared" si="1"/>
        <v>3.3414267545380967</v>
      </c>
    </row>
    <row r="38" spans="1:7" x14ac:dyDescent="0.25">
      <c r="A38" s="1">
        <v>1</v>
      </c>
      <c r="B38" s="1">
        <v>3</v>
      </c>
      <c r="C38" s="2">
        <f t="shared" si="0"/>
        <v>2</v>
      </c>
      <c r="D38" s="1">
        <f t="shared" si="1"/>
        <v>3.3414267545380967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0.68551277604347316</v>
      </c>
    </row>
    <row r="40" spans="1:7" x14ac:dyDescent="0.25">
      <c r="A40" s="1">
        <v>3</v>
      </c>
      <c r="B40" s="1">
        <v>3</v>
      </c>
      <c r="C40" s="2">
        <f t="shared" si="0"/>
        <v>0</v>
      </c>
      <c r="D40" s="1">
        <f t="shared" si="1"/>
        <v>2.9598797548849583E-2</v>
      </c>
      <c r="F40" t="s">
        <v>14</v>
      </c>
    </row>
    <row r="41" spans="1:7" x14ac:dyDescent="0.25">
      <c r="A41" s="1">
        <v>3</v>
      </c>
      <c r="B41" s="1">
        <v>3</v>
      </c>
      <c r="C41" s="2">
        <f t="shared" si="0"/>
        <v>0</v>
      </c>
      <c r="D41" s="1">
        <f t="shared" si="1"/>
        <v>2.9598797548849583E-2</v>
      </c>
      <c r="F41" t="str">
        <f>"Dos Colas: Si t calculado ("&amp;G12&amp;") &gt; a t critico  ("&amp;G23&amp;") (de tabla) ---&gt; Se rechaza la hipotesis nula"</f>
        <v>Dos Colas: Si t calculado (0.952309071860651) &gt; a t critico  (1.98608631695113) (de tabla) ---&gt; Se rechaza la hipotesis nula</v>
      </c>
    </row>
    <row r="42" spans="1:7" x14ac:dyDescent="0.25">
      <c r="A42" s="1">
        <v>1</v>
      </c>
      <c r="B42" s="1">
        <v>4</v>
      </c>
      <c r="C42" s="2">
        <f t="shared" si="0"/>
        <v>3</v>
      </c>
      <c r="D42" s="1">
        <f t="shared" si="1"/>
        <v>7.9973407330327211</v>
      </c>
      <c r="F42" t="str">
        <f>"Una Cola: Si t calculado ("&amp;G12&amp;") &gt; a t critico  ("&amp;G24&amp;") (de tabla) ---&gt; Se rechaza la hipotesis nula"</f>
        <v>Una Cola: Si t calculado (0.952309071860651) &gt; a t critico  (-1.66158539690323) (de tabla) ---&gt; Se rechaza la hipotesis nula</v>
      </c>
    </row>
    <row r="43" spans="1:7" x14ac:dyDescent="0.25">
      <c r="A43" s="1">
        <v>2</v>
      </c>
      <c r="B43" s="1">
        <v>4</v>
      </c>
      <c r="C43" s="2">
        <f t="shared" si="0"/>
        <v>2</v>
      </c>
      <c r="D43" s="1">
        <f t="shared" si="1"/>
        <v>3.3414267545380967</v>
      </c>
    </row>
    <row r="44" spans="1:7" x14ac:dyDescent="0.25">
      <c r="A44" s="1">
        <v>4</v>
      </c>
      <c r="B44" s="1">
        <v>3</v>
      </c>
      <c r="C44" s="2">
        <f t="shared" si="0"/>
        <v>-1</v>
      </c>
      <c r="D44" s="1">
        <f t="shared" si="1"/>
        <v>1.3736848190542261</v>
      </c>
    </row>
    <row r="45" spans="1:7" x14ac:dyDescent="0.25">
      <c r="A45" s="1">
        <v>4</v>
      </c>
      <c r="B45" s="1">
        <v>1</v>
      </c>
      <c r="C45" s="2">
        <f t="shared" si="0"/>
        <v>-3</v>
      </c>
      <c r="D45" s="1">
        <f t="shared" si="1"/>
        <v>10.061856862064978</v>
      </c>
    </row>
    <row r="46" spans="1:7" x14ac:dyDescent="0.25">
      <c r="A46" s="1">
        <v>5</v>
      </c>
      <c r="B46" s="1">
        <v>3</v>
      </c>
      <c r="C46" s="2">
        <f t="shared" si="0"/>
        <v>-2</v>
      </c>
      <c r="D46" s="1">
        <f t="shared" si="1"/>
        <v>4.7177708405596013</v>
      </c>
      <c r="F46" t="s">
        <v>21</v>
      </c>
    </row>
    <row r="47" spans="1:7" x14ac:dyDescent="0.25">
      <c r="A47" s="1">
        <v>1</v>
      </c>
      <c r="B47" s="1">
        <v>3</v>
      </c>
      <c r="C47" s="2">
        <f t="shared" si="0"/>
        <v>2</v>
      </c>
      <c r="D47" s="1">
        <f t="shared" si="1"/>
        <v>3.3414267545380967</v>
      </c>
      <c r="F47" t="str">
        <f>"Dos Colas: Si p valor ("&amp;G29&amp;") &lt; Nivel Significancia ("&amp;G17&amp;") ---&gt; Se rechaza la hipotesis nula"</f>
        <v>Dos Colas: Si p valor (0.343435559166324) &lt; Nivel Significancia (0.05) ---&gt; Se rechaza la hipotesis nula</v>
      </c>
    </row>
    <row r="48" spans="1:7" x14ac:dyDescent="0.25">
      <c r="A48" s="1">
        <v>3</v>
      </c>
      <c r="B48" s="1">
        <v>3</v>
      </c>
      <c r="C48" s="2">
        <f t="shared" si="0"/>
        <v>0</v>
      </c>
      <c r="D48" s="1">
        <f t="shared" si="1"/>
        <v>2.9598797548849583E-2</v>
      </c>
      <c r="F48" t="str">
        <f>"Una Cola: Si p valor ("&amp;G30&amp;") &lt; Nivel Significancia ("&amp;G17&amp;") ---&gt; Se rechaza la hipotesis nula"</f>
        <v>Una Cola: Si p valor (0.171717779583162) &lt; Nivel Significancia (0.05) ---&gt; Se rechaza la hipotesis nula</v>
      </c>
    </row>
    <row r="49" spans="1:4" x14ac:dyDescent="0.25">
      <c r="A49" s="1">
        <v>4</v>
      </c>
      <c r="B49" s="1">
        <v>3</v>
      </c>
      <c r="C49" s="2">
        <f t="shared" si="0"/>
        <v>-1</v>
      </c>
      <c r="D49" s="1">
        <f t="shared" si="1"/>
        <v>1.3736848190542261</v>
      </c>
    </row>
    <row r="50" spans="1:4" x14ac:dyDescent="0.25">
      <c r="A50" s="1">
        <v>3</v>
      </c>
      <c r="B50" s="1">
        <v>5</v>
      </c>
      <c r="C50" s="2">
        <f t="shared" si="0"/>
        <v>2</v>
      </c>
      <c r="D50" s="1">
        <f t="shared" si="1"/>
        <v>3.3414267545380967</v>
      </c>
    </row>
    <row r="51" spans="1:4" x14ac:dyDescent="0.25">
      <c r="A51" s="1">
        <v>3</v>
      </c>
      <c r="B51" s="1">
        <v>3</v>
      </c>
      <c r="C51" s="2">
        <f t="shared" si="0"/>
        <v>0</v>
      </c>
      <c r="D51" s="1">
        <f t="shared" si="1"/>
        <v>2.9598797548849583E-2</v>
      </c>
    </row>
    <row r="52" spans="1:4" x14ac:dyDescent="0.25">
      <c r="A52" s="1">
        <v>4</v>
      </c>
      <c r="B52" s="1">
        <v>1</v>
      </c>
      <c r="C52" s="2">
        <f t="shared" si="0"/>
        <v>-3</v>
      </c>
      <c r="D52" s="1">
        <f t="shared" si="1"/>
        <v>10.061856862064978</v>
      </c>
    </row>
    <row r="53" spans="1:4" x14ac:dyDescent="0.25">
      <c r="A53" s="1">
        <v>5</v>
      </c>
      <c r="B53" s="1">
        <v>5</v>
      </c>
      <c r="C53" s="2">
        <f t="shared" si="0"/>
        <v>0</v>
      </c>
      <c r="D53" s="1">
        <f t="shared" si="1"/>
        <v>2.9598797548849583E-2</v>
      </c>
    </row>
    <row r="54" spans="1:4" x14ac:dyDescent="0.25">
      <c r="A54" s="1">
        <v>3</v>
      </c>
      <c r="B54" s="1">
        <v>3</v>
      </c>
      <c r="C54" s="2">
        <f t="shared" si="0"/>
        <v>0</v>
      </c>
      <c r="D54" s="1">
        <f t="shared" si="1"/>
        <v>2.9598797548849583E-2</v>
      </c>
    </row>
    <row r="55" spans="1:4" x14ac:dyDescent="0.25">
      <c r="A55" s="1">
        <v>3</v>
      </c>
      <c r="B55" s="1">
        <v>4</v>
      </c>
      <c r="C55" s="2">
        <f t="shared" si="0"/>
        <v>1</v>
      </c>
      <c r="D55" s="1">
        <f t="shared" si="1"/>
        <v>0.68551277604347316</v>
      </c>
    </row>
    <row r="56" spans="1:4" x14ac:dyDescent="0.25">
      <c r="A56" s="1">
        <v>3</v>
      </c>
      <c r="B56" s="1">
        <v>3</v>
      </c>
      <c r="C56" s="2">
        <f t="shared" si="0"/>
        <v>0</v>
      </c>
      <c r="D56" s="1">
        <f t="shared" si="1"/>
        <v>2.9598797548849583E-2</v>
      </c>
    </row>
    <row r="57" spans="1:4" x14ac:dyDescent="0.25">
      <c r="A57" s="1">
        <v>3</v>
      </c>
      <c r="B57" s="1">
        <v>5</v>
      </c>
      <c r="C57" s="2">
        <f t="shared" si="0"/>
        <v>2</v>
      </c>
      <c r="D57" s="1">
        <f t="shared" si="1"/>
        <v>3.3414267545380967</v>
      </c>
    </row>
    <row r="58" spans="1:4" x14ac:dyDescent="0.25">
      <c r="A58" s="1">
        <v>2</v>
      </c>
      <c r="B58" s="1">
        <v>4</v>
      </c>
      <c r="C58" s="2">
        <f t="shared" si="0"/>
        <v>2</v>
      </c>
      <c r="D58" s="1">
        <f t="shared" si="1"/>
        <v>3.3414267545380967</v>
      </c>
    </row>
    <row r="59" spans="1:4" x14ac:dyDescent="0.25">
      <c r="A59" s="1">
        <v>3</v>
      </c>
      <c r="B59" s="1">
        <v>3</v>
      </c>
      <c r="C59" s="2">
        <f t="shared" si="0"/>
        <v>0</v>
      </c>
      <c r="D59" s="1">
        <f t="shared" si="1"/>
        <v>2.9598797548849583E-2</v>
      </c>
    </row>
    <row r="60" spans="1:4" x14ac:dyDescent="0.25">
      <c r="A60" s="1">
        <v>3</v>
      </c>
      <c r="B60" s="1">
        <v>4</v>
      </c>
      <c r="C60" s="2">
        <f t="shared" si="0"/>
        <v>1</v>
      </c>
      <c r="D60" s="1">
        <f t="shared" si="1"/>
        <v>0.68551277604347316</v>
      </c>
    </row>
    <row r="61" spans="1:4" x14ac:dyDescent="0.25">
      <c r="A61" s="1">
        <v>2</v>
      </c>
      <c r="B61" s="1">
        <v>3</v>
      </c>
      <c r="C61" s="2">
        <f t="shared" si="0"/>
        <v>1</v>
      </c>
      <c r="D61" s="1">
        <f t="shared" si="1"/>
        <v>0.68551277604347316</v>
      </c>
    </row>
    <row r="62" spans="1:4" x14ac:dyDescent="0.25">
      <c r="A62" s="1">
        <v>4</v>
      </c>
      <c r="B62" s="1">
        <v>2</v>
      </c>
      <c r="C62" s="2">
        <f t="shared" si="0"/>
        <v>-2</v>
      </c>
      <c r="D62" s="1">
        <f t="shared" si="1"/>
        <v>4.7177708405596013</v>
      </c>
    </row>
    <row r="63" spans="1:4" x14ac:dyDescent="0.25">
      <c r="A63" s="1">
        <v>5</v>
      </c>
      <c r="B63" s="1">
        <v>1</v>
      </c>
      <c r="C63" s="2">
        <f t="shared" si="0"/>
        <v>-4</v>
      </c>
      <c r="D63" s="1">
        <f t="shared" si="1"/>
        <v>17.405942883570354</v>
      </c>
    </row>
    <row r="64" spans="1:4" x14ac:dyDescent="0.25">
      <c r="A64" s="1">
        <v>5</v>
      </c>
      <c r="B64" s="1">
        <v>4</v>
      </c>
      <c r="C64" s="2">
        <f t="shared" si="0"/>
        <v>-1</v>
      </c>
      <c r="D64" s="1">
        <f t="shared" si="1"/>
        <v>1.3736848190542261</v>
      </c>
    </row>
    <row r="65" spans="1:4" x14ac:dyDescent="0.25">
      <c r="A65" s="1">
        <v>3</v>
      </c>
      <c r="B65" s="1">
        <v>4</v>
      </c>
      <c r="C65" s="2">
        <f t="shared" si="0"/>
        <v>1</v>
      </c>
      <c r="D65" s="1">
        <f t="shared" si="1"/>
        <v>0.68551277604347316</v>
      </c>
    </row>
    <row r="66" spans="1:4" x14ac:dyDescent="0.25">
      <c r="A66" s="1">
        <v>3</v>
      </c>
      <c r="B66" s="1">
        <v>5</v>
      </c>
      <c r="C66" s="2">
        <f t="shared" si="0"/>
        <v>2</v>
      </c>
      <c r="D66" s="1">
        <f t="shared" si="1"/>
        <v>3.3414267545380967</v>
      </c>
    </row>
    <row r="67" spans="1:4" x14ac:dyDescent="0.25">
      <c r="A67" s="1">
        <v>3</v>
      </c>
      <c r="B67" s="1">
        <v>1</v>
      </c>
      <c r="C67" s="2">
        <f t="shared" ref="C67:C94" si="2">B67-A67</f>
        <v>-2</v>
      </c>
      <c r="D67" s="1">
        <f t="shared" si="1"/>
        <v>4.7177708405596013</v>
      </c>
    </row>
    <row r="68" spans="1:4" x14ac:dyDescent="0.25">
      <c r="A68" s="1">
        <v>4</v>
      </c>
      <c r="B68" s="1">
        <v>1</v>
      </c>
      <c r="C68" s="2">
        <f t="shared" si="2"/>
        <v>-3</v>
      </c>
      <c r="D68" s="1">
        <f t="shared" si="1"/>
        <v>10.061856862064978</v>
      </c>
    </row>
    <row r="69" spans="1:4" x14ac:dyDescent="0.25">
      <c r="A69" s="1">
        <v>5</v>
      </c>
      <c r="B69" s="1">
        <v>3</v>
      </c>
      <c r="C69" s="2">
        <f t="shared" si="2"/>
        <v>-2</v>
      </c>
      <c r="D69" s="1">
        <f t="shared" ref="D69:D93" si="3">(C69-$G$6)^2</f>
        <v>4.7177708405596013</v>
      </c>
    </row>
    <row r="70" spans="1:4" x14ac:dyDescent="0.25">
      <c r="A70" s="1">
        <v>5</v>
      </c>
      <c r="B70" s="1">
        <v>2</v>
      </c>
      <c r="C70" s="2">
        <f t="shared" si="2"/>
        <v>-3</v>
      </c>
      <c r="D70" s="1">
        <f t="shared" si="3"/>
        <v>10.061856862064978</v>
      </c>
    </row>
    <row r="71" spans="1:4" x14ac:dyDescent="0.25">
      <c r="A71" s="1">
        <v>4</v>
      </c>
      <c r="B71" s="1">
        <v>3</v>
      </c>
      <c r="C71" s="2">
        <f t="shared" si="2"/>
        <v>-1</v>
      </c>
      <c r="D71" s="1">
        <f t="shared" si="3"/>
        <v>1.3736848190542261</v>
      </c>
    </row>
    <row r="72" spans="1:4" x14ac:dyDescent="0.25">
      <c r="A72" s="1">
        <v>3</v>
      </c>
      <c r="B72" s="1">
        <v>3</v>
      </c>
      <c r="C72" s="2">
        <f t="shared" si="2"/>
        <v>0</v>
      </c>
      <c r="D72" s="1">
        <f t="shared" si="3"/>
        <v>2.9598797548849583E-2</v>
      </c>
    </row>
    <row r="73" spans="1:4" x14ac:dyDescent="0.25">
      <c r="A73" s="1">
        <v>4</v>
      </c>
      <c r="B73" s="1">
        <v>5</v>
      </c>
      <c r="C73" s="2">
        <f t="shared" si="2"/>
        <v>1</v>
      </c>
      <c r="D73" s="1">
        <f t="shared" si="3"/>
        <v>0.68551277604347316</v>
      </c>
    </row>
    <row r="74" spans="1:4" x14ac:dyDescent="0.25">
      <c r="A74" s="1">
        <v>4</v>
      </c>
      <c r="B74" s="1">
        <v>3</v>
      </c>
      <c r="C74" s="2">
        <f t="shared" si="2"/>
        <v>-1</v>
      </c>
      <c r="D74" s="1">
        <f t="shared" si="3"/>
        <v>1.3736848190542261</v>
      </c>
    </row>
    <row r="75" spans="1:4" x14ac:dyDescent="0.25">
      <c r="A75" s="1">
        <v>2</v>
      </c>
      <c r="B75" s="1">
        <v>5</v>
      </c>
      <c r="C75" s="2">
        <f t="shared" si="2"/>
        <v>3</v>
      </c>
      <c r="D75" s="1">
        <f t="shared" si="3"/>
        <v>7.9973407330327211</v>
      </c>
    </row>
    <row r="76" spans="1:4" x14ac:dyDescent="0.25">
      <c r="A76" s="1">
        <v>4</v>
      </c>
      <c r="B76" s="1">
        <v>2</v>
      </c>
      <c r="C76" s="2">
        <f t="shared" si="2"/>
        <v>-2</v>
      </c>
      <c r="D76" s="1">
        <f t="shared" si="3"/>
        <v>4.7177708405596013</v>
      </c>
    </row>
    <row r="77" spans="1:4" x14ac:dyDescent="0.25">
      <c r="A77" s="1">
        <v>3</v>
      </c>
      <c r="B77" s="1">
        <v>3</v>
      </c>
      <c r="C77" s="2">
        <f t="shared" si="2"/>
        <v>0</v>
      </c>
      <c r="D77" s="1">
        <f t="shared" si="3"/>
        <v>2.9598797548849583E-2</v>
      </c>
    </row>
    <row r="78" spans="1:4" x14ac:dyDescent="0.25">
      <c r="A78" s="1">
        <v>3</v>
      </c>
      <c r="B78" s="1">
        <v>3</v>
      </c>
      <c r="C78" s="2">
        <f t="shared" si="2"/>
        <v>0</v>
      </c>
      <c r="D78" s="1">
        <f t="shared" si="3"/>
        <v>2.9598797548849583E-2</v>
      </c>
    </row>
    <row r="79" spans="1:4" x14ac:dyDescent="0.25">
      <c r="A79" s="1">
        <v>4</v>
      </c>
      <c r="B79" s="1">
        <v>5</v>
      </c>
      <c r="C79" s="2">
        <f t="shared" si="2"/>
        <v>1</v>
      </c>
      <c r="D79" s="1">
        <f t="shared" si="3"/>
        <v>0.68551277604347316</v>
      </c>
    </row>
    <row r="80" spans="1:4" x14ac:dyDescent="0.25">
      <c r="A80" s="1">
        <v>3</v>
      </c>
      <c r="B80" s="1">
        <v>4</v>
      </c>
      <c r="C80" s="2">
        <f t="shared" si="2"/>
        <v>1</v>
      </c>
      <c r="D80" s="1">
        <f t="shared" si="3"/>
        <v>0.68551277604347316</v>
      </c>
    </row>
    <row r="81" spans="1:6" x14ac:dyDescent="0.25">
      <c r="A81" s="1">
        <v>2</v>
      </c>
      <c r="B81" s="1">
        <v>4</v>
      </c>
      <c r="C81" s="2">
        <f t="shared" si="2"/>
        <v>2</v>
      </c>
      <c r="D81" s="1">
        <f t="shared" si="3"/>
        <v>3.3414267545380967</v>
      </c>
    </row>
    <row r="82" spans="1:6" x14ac:dyDescent="0.25">
      <c r="A82" s="1">
        <v>1</v>
      </c>
      <c r="B82" s="1">
        <v>4</v>
      </c>
      <c r="C82" s="2">
        <f t="shared" si="2"/>
        <v>3</v>
      </c>
      <c r="D82" s="1">
        <f t="shared" si="3"/>
        <v>7.9973407330327211</v>
      </c>
    </row>
    <row r="83" spans="1:6" x14ac:dyDescent="0.25">
      <c r="A83" s="1">
        <v>5</v>
      </c>
      <c r="B83" s="1">
        <v>5</v>
      </c>
      <c r="C83" s="2">
        <f t="shared" si="2"/>
        <v>0</v>
      </c>
      <c r="D83" s="1">
        <f t="shared" si="3"/>
        <v>2.9598797548849583E-2</v>
      </c>
    </row>
    <row r="84" spans="1:6" x14ac:dyDescent="0.25">
      <c r="A84" s="1">
        <v>2</v>
      </c>
      <c r="B84" s="1">
        <v>1</v>
      </c>
      <c r="C84" s="2">
        <f t="shared" si="2"/>
        <v>-1</v>
      </c>
      <c r="D84" s="1">
        <f t="shared" si="3"/>
        <v>1.3736848190542261</v>
      </c>
    </row>
    <row r="85" spans="1:6" x14ac:dyDescent="0.25">
      <c r="A85" s="1">
        <v>3</v>
      </c>
      <c r="B85" s="1">
        <v>3</v>
      </c>
      <c r="C85" s="2">
        <f t="shared" si="2"/>
        <v>0</v>
      </c>
      <c r="D85" s="1">
        <f t="shared" si="3"/>
        <v>2.9598797548849583E-2</v>
      </c>
    </row>
    <row r="86" spans="1:6" x14ac:dyDescent="0.25">
      <c r="A86" s="1">
        <v>4</v>
      </c>
      <c r="B86" s="1">
        <v>4</v>
      </c>
      <c r="C86" s="2">
        <f t="shared" si="2"/>
        <v>0</v>
      </c>
      <c r="D86" s="1">
        <f t="shared" si="3"/>
        <v>2.9598797548849583E-2</v>
      </c>
    </row>
    <row r="87" spans="1:6" x14ac:dyDescent="0.25">
      <c r="A87" s="1">
        <v>4</v>
      </c>
      <c r="B87" s="1">
        <v>4</v>
      </c>
      <c r="C87" s="2">
        <f t="shared" si="2"/>
        <v>0</v>
      </c>
      <c r="D87" s="1">
        <f t="shared" si="3"/>
        <v>2.9598797548849583E-2</v>
      </c>
    </row>
    <row r="88" spans="1:6" x14ac:dyDescent="0.25">
      <c r="A88" s="1">
        <v>1</v>
      </c>
      <c r="B88" s="1">
        <v>4</v>
      </c>
      <c r="C88" s="2">
        <f t="shared" si="2"/>
        <v>3</v>
      </c>
      <c r="D88" s="1">
        <f t="shared" si="3"/>
        <v>7.9973407330327211</v>
      </c>
    </row>
    <row r="89" spans="1:6" x14ac:dyDescent="0.25">
      <c r="A89" s="1">
        <v>3</v>
      </c>
      <c r="B89" s="1">
        <v>3</v>
      </c>
      <c r="C89" s="2">
        <f t="shared" si="2"/>
        <v>0</v>
      </c>
      <c r="D89" s="1">
        <f t="shared" si="3"/>
        <v>2.9598797548849583E-2</v>
      </c>
    </row>
    <row r="90" spans="1:6" x14ac:dyDescent="0.25">
      <c r="A90" s="1">
        <v>4</v>
      </c>
      <c r="B90" s="1">
        <v>3</v>
      </c>
      <c r="C90" s="2">
        <f>B90-A90</f>
        <v>-1</v>
      </c>
      <c r="D90" s="1">
        <f t="shared" si="3"/>
        <v>1.3736848190542261</v>
      </c>
    </row>
    <row r="91" spans="1:6" x14ac:dyDescent="0.25">
      <c r="A91" s="1">
        <v>3</v>
      </c>
      <c r="B91" s="1">
        <v>1</v>
      </c>
      <c r="C91" s="2">
        <f>B91-A91</f>
        <v>-2</v>
      </c>
      <c r="D91" s="1">
        <f t="shared" si="3"/>
        <v>4.7177708405596013</v>
      </c>
    </row>
    <row r="92" spans="1:6" x14ac:dyDescent="0.25">
      <c r="A92" s="1">
        <v>4</v>
      </c>
      <c r="B92" s="1">
        <v>3</v>
      </c>
      <c r="C92" s="2">
        <f>B92-A92</f>
        <v>-1</v>
      </c>
      <c r="D92" s="1">
        <f t="shared" si="3"/>
        <v>1.3736848190542261</v>
      </c>
    </row>
    <row r="93" spans="1:6" x14ac:dyDescent="0.25">
      <c r="A93" s="1">
        <v>5</v>
      </c>
      <c r="B93" s="1">
        <v>1</v>
      </c>
      <c r="C93" s="2">
        <f t="shared" si="2"/>
        <v>-4</v>
      </c>
      <c r="D93" s="1">
        <f t="shared" si="3"/>
        <v>17.405942883570354</v>
      </c>
      <c r="F93" s="6"/>
    </row>
    <row r="94" spans="1:6" x14ac:dyDescent="0.25">
      <c r="A94" s="1">
        <v>5</v>
      </c>
      <c r="B94" s="1">
        <v>2</v>
      </c>
      <c r="C94" s="2">
        <f t="shared" si="2"/>
        <v>-3</v>
      </c>
      <c r="D94" s="1">
        <f>(C94-$G$6)^2</f>
        <v>10.061856862064978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19"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35" x14ac:dyDescent="0.25">
      <c r="A1" s="3" t="s">
        <v>27</v>
      </c>
      <c r="B1" s="3" t="s">
        <v>38</v>
      </c>
      <c r="C1" s="4" t="s">
        <v>0</v>
      </c>
      <c r="D1" s="4"/>
    </row>
    <row r="2" spans="1:7" x14ac:dyDescent="0.25">
      <c r="A2" s="1">
        <v>4</v>
      </c>
      <c r="B2" s="1">
        <v>2</v>
      </c>
      <c r="C2" s="2">
        <f>B2-A2</f>
        <v>-2</v>
      </c>
      <c r="D2" s="1">
        <f>(C2-$G$6)^2</f>
        <v>3.5005202913631637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1.6649323621227886E-2</v>
      </c>
      <c r="F3" s="5" t="s">
        <v>13</v>
      </c>
      <c r="G3" s="5"/>
    </row>
    <row r="4" spans="1:7" x14ac:dyDescent="0.25">
      <c r="A4" s="1">
        <v>3</v>
      </c>
      <c r="B4" s="1">
        <v>2</v>
      </c>
      <c r="C4" s="2">
        <f t="shared" si="0"/>
        <v>-1</v>
      </c>
      <c r="D4" s="1">
        <f>(C4-$G$6)^2</f>
        <v>0.75858480749219559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2</v>
      </c>
      <c r="C5" s="2">
        <f t="shared" si="0"/>
        <v>-1</v>
      </c>
      <c r="D5" s="1">
        <f t="shared" ref="D5:D68" si="1">(C5-$G$6)^2</f>
        <v>0.75858480749219559</v>
      </c>
      <c r="F5" t="s">
        <v>2</v>
      </c>
      <c r="G5">
        <f>SUM(C:C)</f>
        <v>-12</v>
      </c>
    </row>
    <row r="6" spans="1:7" x14ac:dyDescent="0.25">
      <c r="A6" s="1">
        <v>4</v>
      </c>
      <c r="B6" s="1">
        <v>4</v>
      </c>
      <c r="C6" s="2">
        <f t="shared" si="0"/>
        <v>0</v>
      </c>
      <c r="D6" s="1">
        <f t="shared" si="1"/>
        <v>1.6649323621227886E-2</v>
      </c>
      <c r="F6" t="s">
        <v>1</v>
      </c>
      <c r="G6">
        <f>G5/G4</f>
        <v>-0.12903225806451613</v>
      </c>
    </row>
    <row r="7" spans="1:7" x14ac:dyDescent="0.25">
      <c r="A7" s="1">
        <v>4</v>
      </c>
      <c r="B7" s="1">
        <v>5</v>
      </c>
      <c r="C7" s="2">
        <f t="shared" si="0"/>
        <v>1</v>
      </c>
      <c r="D7" s="1">
        <f t="shared" si="1"/>
        <v>1.27471383975026</v>
      </c>
      <c r="F7" t="s">
        <v>18</v>
      </c>
      <c r="G7">
        <f>SUM(D:D)</f>
        <v>284.45161290322568</v>
      </c>
    </row>
    <row r="8" spans="1:7" x14ac:dyDescent="0.25">
      <c r="A8" s="1">
        <v>5</v>
      </c>
      <c r="B8" s="1">
        <v>4</v>
      </c>
      <c r="C8" s="2">
        <f t="shared" si="0"/>
        <v>-1</v>
      </c>
      <c r="D8" s="1">
        <f t="shared" si="1"/>
        <v>0.75858480749219559</v>
      </c>
      <c r="F8" t="s">
        <v>4</v>
      </c>
      <c r="G8">
        <f>SQRT(G7/(G4-1))</f>
        <v>1.7583700855177666</v>
      </c>
    </row>
    <row r="9" spans="1:7" x14ac:dyDescent="0.25">
      <c r="A9" s="1">
        <v>5</v>
      </c>
      <c r="B9" s="1">
        <v>4</v>
      </c>
      <c r="C9" s="2">
        <f t="shared" si="0"/>
        <v>-1</v>
      </c>
      <c r="D9" s="1">
        <f t="shared" si="1"/>
        <v>0.75858480749219559</v>
      </c>
    </row>
    <row r="10" spans="1:7" x14ac:dyDescent="0.25">
      <c r="A10" s="1">
        <v>4</v>
      </c>
      <c r="B10" s="1">
        <v>3</v>
      </c>
      <c r="C10" s="2">
        <f t="shared" si="0"/>
        <v>-1</v>
      </c>
      <c r="D10" s="1">
        <f t="shared" si="1"/>
        <v>0.75858480749219559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1.6649323621227886E-2</v>
      </c>
    </row>
    <row r="12" spans="1:7" x14ac:dyDescent="0.25">
      <c r="A12" s="1">
        <v>5</v>
      </c>
      <c r="B12" s="1">
        <v>1</v>
      </c>
      <c r="C12" s="2">
        <f t="shared" si="0"/>
        <v>-4</v>
      </c>
      <c r="D12" s="1">
        <f t="shared" si="1"/>
        <v>14.984391259105101</v>
      </c>
      <c r="F12" t="s">
        <v>8</v>
      </c>
      <c r="G12">
        <f>G6/(G8/SQRT(G4))</f>
        <v>-0.70766788170768014</v>
      </c>
    </row>
    <row r="13" spans="1:7" x14ac:dyDescent="0.25">
      <c r="A13" s="1">
        <v>5</v>
      </c>
      <c r="B13" s="1">
        <v>3</v>
      </c>
      <c r="C13" s="2">
        <f t="shared" si="0"/>
        <v>-2</v>
      </c>
      <c r="D13" s="1">
        <f t="shared" si="1"/>
        <v>3.5005202913631637</v>
      </c>
    </row>
    <row r="14" spans="1:7" x14ac:dyDescent="0.25">
      <c r="A14" s="1">
        <v>3</v>
      </c>
      <c r="B14" s="1">
        <v>2</v>
      </c>
      <c r="C14" s="2">
        <f t="shared" si="0"/>
        <v>-1</v>
      </c>
      <c r="D14" s="1">
        <f t="shared" si="1"/>
        <v>0.75858480749219559</v>
      </c>
    </row>
    <row r="15" spans="1:7" x14ac:dyDescent="0.25">
      <c r="A15" s="1">
        <v>4</v>
      </c>
      <c r="B15" s="1">
        <v>5</v>
      </c>
      <c r="C15" s="2">
        <f t="shared" si="0"/>
        <v>1</v>
      </c>
      <c r="D15" s="1">
        <f t="shared" si="1"/>
        <v>1.27471383975026</v>
      </c>
    </row>
    <row r="16" spans="1:7" x14ac:dyDescent="0.25">
      <c r="A16" s="1">
        <v>4</v>
      </c>
      <c r="B16" s="1">
        <v>2</v>
      </c>
      <c r="C16" s="2">
        <f t="shared" si="0"/>
        <v>-2</v>
      </c>
      <c r="D16" s="1">
        <f t="shared" si="1"/>
        <v>3.5005202913631637</v>
      </c>
    </row>
    <row r="17" spans="1:7" x14ac:dyDescent="0.25">
      <c r="A17" s="1">
        <v>3</v>
      </c>
      <c r="B17" s="1">
        <v>2</v>
      </c>
      <c r="C17" s="2">
        <f t="shared" si="0"/>
        <v>-1</v>
      </c>
      <c r="D17" s="1">
        <f t="shared" si="1"/>
        <v>0.75858480749219559</v>
      </c>
      <c r="F17" t="s">
        <v>5</v>
      </c>
      <c r="G17">
        <v>0.05</v>
      </c>
    </row>
    <row r="18" spans="1:7" x14ac:dyDescent="0.25">
      <c r="A18" s="1">
        <v>3</v>
      </c>
      <c r="B18" s="1">
        <v>3</v>
      </c>
      <c r="C18" s="2">
        <f t="shared" si="0"/>
        <v>0</v>
      </c>
      <c r="D18" s="1">
        <f t="shared" si="1"/>
        <v>1.6649323621227886E-2</v>
      </c>
      <c r="F18" t="s">
        <v>6</v>
      </c>
      <c r="G18">
        <f>G4-1</f>
        <v>92</v>
      </c>
    </row>
    <row r="19" spans="1:7" x14ac:dyDescent="0.25">
      <c r="A19" s="1">
        <v>5</v>
      </c>
      <c r="B19" s="1">
        <v>3</v>
      </c>
      <c r="C19" s="2">
        <f t="shared" si="0"/>
        <v>-2</v>
      </c>
      <c r="D19" s="1">
        <f t="shared" si="1"/>
        <v>3.5005202913631637</v>
      </c>
    </row>
    <row r="20" spans="1:7" x14ac:dyDescent="0.25">
      <c r="A20" s="1">
        <v>2</v>
      </c>
      <c r="B20" s="1">
        <v>3</v>
      </c>
      <c r="C20" s="2">
        <f t="shared" si="0"/>
        <v>1</v>
      </c>
      <c r="D20" s="1">
        <f t="shared" si="1"/>
        <v>1.27471383975026</v>
      </c>
    </row>
    <row r="21" spans="1:7" x14ac:dyDescent="0.25">
      <c r="A21" s="1">
        <v>3</v>
      </c>
      <c r="B21" s="1">
        <v>4</v>
      </c>
      <c r="C21" s="2">
        <f t="shared" si="0"/>
        <v>1</v>
      </c>
      <c r="D21" s="1">
        <f t="shared" si="1"/>
        <v>1.27471383975026</v>
      </c>
    </row>
    <row r="22" spans="1:7" x14ac:dyDescent="0.25">
      <c r="A22" s="1">
        <v>5</v>
      </c>
      <c r="B22" s="1">
        <v>3</v>
      </c>
      <c r="C22" s="2">
        <f t="shared" si="0"/>
        <v>-2</v>
      </c>
      <c r="D22" s="1">
        <f t="shared" si="1"/>
        <v>3.5005202913631637</v>
      </c>
      <c r="F22" s="5" t="s">
        <v>7</v>
      </c>
      <c r="G22" s="5"/>
    </row>
    <row r="23" spans="1:7" x14ac:dyDescent="0.25">
      <c r="A23" s="1">
        <v>2</v>
      </c>
      <c r="B23" s="1">
        <v>4</v>
      </c>
      <c r="C23" s="2">
        <f t="shared" si="0"/>
        <v>2</v>
      </c>
      <c r="D23" s="1">
        <f t="shared" si="1"/>
        <v>4.5327783558792918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5</v>
      </c>
      <c r="C24" s="2">
        <f t="shared" si="0"/>
        <v>3</v>
      </c>
      <c r="D24" s="1">
        <f t="shared" si="1"/>
        <v>9.7908428720083247</v>
      </c>
      <c r="F24" t="s">
        <v>17</v>
      </c>
      <c r="G24">
        <f>_xlfn.T.INV(G17,G18)</f>
        <v>-1.6615853969032315</v>
      </c>
    </row>
    <row r="25" spans="1:7" x14ac:dyDescent="0.25">
      <c r="A25" s="1">
        <v>5</v>
      </c>
      <c r="B25" s="1">
        <v>4</v>
      </c>
      <c r="C25" s="2">
        <f t="shared" si="0"/>
        <v>-1</v>
      </c>
      <c r="D25" s="1">
        <f t="shared" si="1"/>
        <v>0.75858480749219559</v>
      </c>
    </row>
    <row r="26" spans="1:7" x14ac:dyDescent="0.25">
      <c r="A26" s="1">
        <v>4</v>
      </c>
      <c r="B26" s="1">
        <v>5</v>
      </c>
      <c r="C26" s="2">
        <f t="shared" si="0"/>
        <v>1</v>
      </c>
      <c r="D26" s="1">
        <f t="shared" si="1"/>
        <v>1.27471383975026</v>
      </c>
    </row>
    <row r="27" spans="1:7" x14ac:dyDescent="0.25">
      <c r="A27" s="1">
        <v>2</v>
      </c>
      <c r="B27" s="1">
        <v>5</v>
      </c>
      <c r="C27" s="2">
        <f t="shared" si="0"/>
        <v>3</v>
      </c>
      <c r="D27" s="1">
        <f t="shared" si="1"/>
        <v>9.7908428720083247</v>
      </c>
      <c r="F27" s="5" t="s">
        <v>9</v>
      </c>
      <c r="G27" s="5"/>
    </row>
    <row r="28" spans="1:7" x14ac:dyDescent="0.25">
      <c r="A28" s="1">
        <v>3</v>
      </c>
      <c r="B28" s="1">
        <v>5</v>
      </c>
      <c r="C28" s="2">
        <f t="shared" si="0"/>
        <v>2</v>
      </c>
      <c r="D28" s="1">
        <f t="shared" si="1"/>
        <v>4.5327783558792918</v>
      </c>
      <c r="F28" t="s">
        <v>9</v>
      </c>
    </row>
    <row r="29" spans="1:7" x14ac:dyDescent="0.25">
      <c r="A29" s="1">
        <v>4</v>
      </c>
      <c r="B29" s="1">
        <v>1</v>
      </c>
      <c r="C29" s="2">
        <f t="shared" si="0"/>
        <v>-3</v>
      </c>
      <c r="D29" s="1">
        <f t="shared" si="1"/>
        <v>8.2424557752341325</v>
      </c>
      <c r="F29" t="s">
        <v>15</v>
      </c>
      <c r="G29">
        <f>TTEST(A:A,B:B,2,1)</f>
        <v>0.48094043882097282</v>
      </c>
    </row>
    <row r="30" spans="1:7" x14ac:dyDescent="0.25">
      <c r="A30" s="1">
        <v>4</v>
      </c>
      <c r="B30" s="1">
        <v>3</v>
      </c>
      <c r="C30" s="2">
        <f t="shared" si="0"/>
        <v>-1</v>
      </c>
      <c r="D30" s="1">
        <f t="shared" si="1"/>
        <v>0.75858480749219559</v>
      </c>
      <c r="F30" t="s">
        <v>19</v>
      </c>
      <c r="G30">
        <f>TTEST(A:A,B:B,1,1)</f>
        <v>0.24047021941048641</v>
      </c>
    </row>
    <row r="31" spans="1:7" x14ac:dyDescent="0.25">
      <c r="A31" s="1">
        <v>4</v>
      </c>
      <c r="B31" s="1">
        <v>1</v>
      </c>
      <c r="C31" s="2">
        <f t="shared" si="0"/>
        <v>-3</v>
      </c>
      <c r="D31" s="1">
        <f t="shared" si="1"/>
        <v>8.2424557752341325</v>
      </c>
    </row>
    <row r="32" spans="1:7" x14ac:dyDescent="0.25">
      <c r="A32" s="1">
        <v>3</v>
      </c>
      <c r="B32" s="1">
        <v>4</v>
      </c>
      <c r="C32" s="2">
        <f t="shared" si="0"/>
        <v>1</v>
      </c>
      <c r="D32" s="1">
        <f t="shared" si="1"/>
        <v>1.27471383975026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1.27471383975026</v>
      </c>
      <c r="F33" s="8" t="s">
        <v>12</v>
      </c>
      <c r="G33" s="8"/>
    </row>
    <row r="34" spans="1:7" x14ac:dyDescent="0.25">
      <c r="A34" s="1">
        <v>4</v>
      </c>
      <c r="B34" s="1">
        <v>3</v>
      </c>
      <c r="C34" s="2">
        <f t="shared" si="0"/>
        <v>-1</v>
      </c>
      <c r="D34" s="1">
        <f t="shared" si="1"/>
        <v>0.75858480749219559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1.27471383975026</v>
      </c>
      <c r="F35" t="s">
        <v>10</v>
      </c>
    </row>
    <row r="36" spans="1:7" x14ac:dyDescent="0.25">
      <c r="A36" s="1">
        <v>3</v>
      </c>
      <c r="B36" s="1">
        <v>5</v>
      </c>
      <c r="C36" s="2">
        <f t="shared" si="0"/>
        <v>2</v>
      </c>
      <c r="D36" s="1">
        <f t="shared" si="1"/>
        <v>4.5327783558792918</v>
      </c>
      <c r="F36" t="s">
        <v>11</v>
      </c>
    </row>
    <row r="37" spans="1:7" x14ac:dyDescent="0.25">
      <c r="A37" s="1">
        <v>5</v>
      </c>
      <c r="B37" s="1">
        <v>3</v>
      </c>
      <c r="C37" s="2">
        <f t="shared" si="0"/>
        <v>-2</v>
      </c>
      <c r="D37" s="1">
        <f t="shared" si="1"/>
        <v>3.5005202913631637</v>
      </c>
    </row>
    <row r="38" spans="1:7" x14ac:dyDescent="0.25">
      <c r="A38" s="1">
        <v>4</v>
      </c>
      <c r="B38" s="1">
        <v>4</v>
      </c>
      <c r="C38" s="2">
        <f t="shared" si="0"/>
        <v>0</v>
      </c>
      <c r="D38" s="1">
        <f t="shared" si="1"/>
        <v>1.6649323621227886E-2</v>
      </c>
    </row>
    <row r="39" spans="1:7" x14ac:dyDescent="0.25">
      <c r="A39" s="1">
        <v>3</v>
      </c>
      <c r="B39" s="1">
        <v>3</v>
      </c>
      <c r="C39" s="2">
        <f t="shared" si="0"/>
        <v>0</v>
      </c>
      <c r="D39" s="1">
        <f t="shared" si="1"/>
        <v>1.6649323621227886E-2</v>
      </c>
    </row>
    <row r="40" spans="1:7" x14ac:dyDescent="0.25">
      <c r="A40" s="1">
        <v>2</v>
      </c>
      <c r="B40" s="1">
        <v>3</v>
      </c>
      <c r="C40" s="2">
        <f t="shared" si="0"/>
        <v>1</v>
      </c>
      <c r="D40" s="1">
        <f t="shared" si="1"/>
        <v>1.27471383975026</v>
      </c>
      <c r="F40" t="s">
        <v>14</v>
      </c>
    </row>
    <row r="41" spans="1:7" x14ac:dyDescent="0.25">
      <c r="A41" s="1">
        <v>3</v>
      </c>
      <c r="B41" s="1">
        <v>5</v>
      </c>
      <c r="C41" s="2">
        <f t="shared" si="0"/>
        <v>2</v>
      </c>
      <c r="D41" s="1">
        <f t="shared" si="1"/>
        <v>4.5327783558792918</v>
      </c>
      <c r="F41" t="str">
        <f>"Dos Colas: Si t calculado ("&amp;G12&amp;") &gt; a t critico  ("&amp;G23&amp;") (de tabla) ---&gt; Se rechaza la hipotesis nula"</f>
        <v>Dos Colas: Si t calculado (-0.70766788170768) &gt; a t critico  (1.98608631695113) (de tabla) ---&gt; Se rechaza la hipotesis nula</v>
      </c>
    </row>
    <row r="42" spans="1:7" x14ac:dyDescent="0.25">
      <c r="A42" s="1">
        <v>3</v>
      </c>
      <c r="B42" s="1">
        <v>5</v>
      </c>
      <c r="C42" s="2">
        <f t="shared" si="0"/>
        <v>2</v>
      </c>
      <c r="D42" s="1">
        <f t="shared" si="1"/>
        <v>4.5327783558792918</v>
      </c>
      <c r="F42" t="str">
        <f>"Una Cola: Si t calculado ("&amp;G12&amp;") &gt; a t critico  ("&amp;G24&amp;") (de tabla) ---&gt; Se rechaza la hipotesis nula"</f>
        <v>Una Cola: Si t calculado (-0.70766788170768) &gt; a t critico  (-1.66158539690323) (de tabla) ---&gt; Se rechaza la hipotesis nula</v>
      </c>
    </row>
    <row r="43" spans="1:7" x14ac:dyDescent="0.25">
      <c r="A43" s="1">
        <v>5</v>
      </c>
      <c r="B43" s="1">
        <v>2</v>
      </c>
      <c r="C43" s="2">
        <f t="shared" si="0"/>
        <v>-3</v>
      </c>
      <c r="D43" s="1">
        <f t="shared" si="1"/>
        <v>8.2424557752341325</v>
      </c>
    </row>
    <row r="44" spans="1:7" x14ac:dyDescent="0.25">
      <c r="A44" s="1">
        <v>4</v>
      </c>
      <c r="B44" s="1">
        <v>4</v>
      </c>
      <c r="C44" s="2">
        <f t="shared" si="0"/>
        <v>0</v>
      </c>
      <c r="D44" s="1">
        <f t="shared" si="1"/>
        <v>1.6649323621227886E-2</v>
      </c>
    </row>
    <row r="45" spans="1:7" x14ac:dyDescent="0.25">
      <c r="A45" s="1">
        <v>3</v>
      </c>
      <c r="B45" s="1">
        <v>5</v>
      </c>
      <c r="C45" s="2">
        <f t="shared" si="0"/>
        <v>2</v>
      </c>
      <c r="D45" s="1">
        <f t="shared" si="1"/>
        <v>4.5327783558792918</v>
      </c>
    </row>
    <row r="46" spans="1:7" x14ac:dyDescent="0.25">
      <c r="A46" s="1">
        <v>4</v>
      </c>
      <c r="B46" s="1">
        <v>1</v>
      </c>
      <c r="C46" s="2">
        <f t="shared" si="0"/>
        <v>-3</v>
      </c>
      <c r="D46" s="1">
        <f t="shared" si="1"/>
        <v>8.2424557752341325</v>
      </c>
      <c r="F46" t="s">
        <v>21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1.27471383975026</v>
      </c>
      <c r="F47" t="str">
        <f>"Dos Colas: Si p valor ("&amp;G29&amp;") &lt; Nivel Significancia ("&amp;G17&amp;") ---&gt; Se rechaza la hipotesis nula"</f>
        <v>Dos Colas: Si p valor (0.480940438820973) &lt; Nivel Significancia (0.05) ---&gt; Se rechaza la hipotesis nula</v>
      </c>
    </row>
    <row r="48" spans="1:7" x14ac:dyDescent="0.25">
      <c r="A48" s="1">
        <v>4</v>
      </c>
      <c r="B48" s="1">
        <v>3</v>
      </c>
      <c r="C48" s="2">
        <f t="shared" si="0"/>
        <v>-1</v>
      </c>
      <c r="D48" s="1">
        <f t="shared" si="1"/>
        <v>0.75858480749219559</v>
      </c>
      <c r="F48" t="str">
        <f>"Una Cola: Si p valor ("&amp;G30&amp;") &lt; Nivel Significancia ("&amp;G17&amp;") ---&gt; Se rechaza la hipotesis nula"</f>
        <v>Una Cola: Si p valor (0.240470219410486) &lt; Nivel Significancia (0.05) ---&gt; Se rechaza la hipotesis nula</v>
      </c>
    </row>
    <row r="49" spans="1:4" x14ac:dyDescent="0.25">
      <c r="A49" s="1">
        <v>5</v>
      </c>
      <c r="B49" s="1">
        <v>1</v>
      </c>
      <c r="C49" s="2">
        <f t="shared" si="0"/>
        <v>-4</v>
      </c>
      <c r="D49" s="1">
        <f t="shared" si="1"/>
        <v>14.984391259105101</v>
      </c>
    </row>
    <row r="50" spans="1:4" x14ac:dyDescent="0.25">
      <c r="A50" s="1">
        <v>4</v>
      </c>
      <c r="B50" s="1">
        <v>4</v>
      </c>
      <c r="C50" s="2">
        <f t="shared" si="0"/>
        <v>0</v>
      </c>
      <c r="D50" s="1">
        <f t="shared" si="1"/>
        <v>1.6649323621227886E-2</v>
      </c>
    </row>
    <row r="51" spans="1:4" x14ac:dyDescent="0.25">
      <c r="A51" s="1">
        <v>4</v>
      </c>
      <c r="B51" s="1">
        <v>5</v>
      </c>
      <c r="C51" s="2">
        <f t="shared" si="0"/>
        <v>1</v>
      </c>
      <c r="D51" s="1">
        <f t="shared" si="1"/>
        <v>1.27471383975026</v>
      </c>
    </row>
    <row r="52" spans="1:4" x14ac:dyDescent="0.25">
      <c r="A52" s="1">
        <v>4</v>
      </c>
      <c r="B52" s="1">
        <v>5</v>
      </c>
      <c r="C52" s="2">
        <f t="shared" si="0"/>
        <v>1</v>
      </c>
      <c r="D52" s="1">
        <f t="shared" si="1"/>
        <v>1.27471383975026</v>
      </c>
    </row>
    <row r="53" spans="1:4" x14ac:dyDescent="0.25">
      <c r="A53" s="1">
        <v>5</v>
      </c>
      <c r="B53" s="1">
        <v>4</v>
      </c>
      <c r="C53" s="2">
        <f t="shared" si="0"/>
        <v>-1</v>
      </c>
      <c r="D53" s="1">
        <f t="shared" si="1"/>
        <v>0.75858480749219559</v>
      </c>
    </row>
    <row r="54" spans="1:4" x14ac:dyDescent="0.25">
      <c r="A54" s="1">
        <v>2</v>
      </c>
      <c r="B54" s="1">
        <v>5</v>
      </c>
      <c r="C54" s="2">
        <f t="shared" si="0"/>
        <v>3</v>
      </c>
      <c r="D54" s="1">
        <f t="shared" si="1"/>
        <v>9.7908428720083247</v>
      </c>
    </row>
    <row r="55" spans="1:4" x14ac:dyDescent="0.25">
      <c r="A55" s="1">
        <v>3</v>
      </c>
      <c r="B55" s="1">
        <v>3</v>
      </c>
      <c r="C55" s="2">
        <f t="shared" si="0"/>
        <v>0</v>
      </c>
      <c r="D55" s="1">
        <f t="shared" si="1"/>
        <v>1.6649323621227886E-2</v>
      </c>
    </row>
    <row r="56" spans="1:4" x14ac:dyDescent="0.25">
      <c r="A56" s="1">
        <v>3</v>
      </c>
      <c r="B56" s="1">
        <v>5</v>
      </c>
      <c r="C56" s="2">
        <f t="shared" si="0"/>
        <v>2</v>
      </c>
      <c r="D56" s="1">
        <f t="shared" si="1"/>
        <v>4.5327783558792918</v>
      </c>
    </row>
    <row r="57" spans="1:4" x14ac:dyDescent="0.25">
      <c r="A57" s="1">
        <v>2</v>
      </c>
      <c r="B57" s="1">
        <v>3</v>
      </c>
      <c r="C57" s="2">
        <f t="shared" si="0"/>
        <v>1</v>
      </c>
      <c r="D57" s="1">
        <f t="shared" si="1"/>
        <v>1.27471383975026</v>
      </c>
    </row>
    <row r="58" spans="1:4" x14ac:dyDescent="0.25">
      <c r="A58" s="1">
        <v>3</v>
      </c>
      <c r="B58" s="1">
        <v>1</v>
      </c>
      <c r="C58" s="2">
        <f t="shared" si="0"/>
        <v>-2</v>
      </c>
      <c r="D58" s="1">
        <f t="shared" si="1"/>
        <v>3.5005202913631637</v>
      </c>
    </row>
    <row r="59" spans="1:4" x14ac:dyDescent="0.25">
      <c r="A59" s="1">
        <v>5</v>
      </c>
      <c r="B59" s="1">
        <v>2</v>
      </c>
      <c r="C59" s="2">
        <f t="shared" si="0"/>
        <v>-3</v>
      </c>
      <c r="D59" s="1">
        <f t="shared" si="1"/>
        <v>8.2424557752341325</v>
      </c>
    </row>
    <row r="60" spans="1:4" x14ac:dyDescent="0.25">
      <c r="A60" s="1">
        <v>3</v>
      </c>
      <c r="B60" s="1">
        <v>3</v>
      </c>
      <c r="C60" s="2">
        <f t="shared" si="0"/>
        <v>0</v>
      </c>
      <c r="D60" s="1">
        <f t="shared" si="1"/>
        <v>1.6649323621227886E-2</v>
      </c>
    </row>
    <row r="61" spans="1:4" x14ac:dyDescent="0.25">
      <c r="A61" s="1">
        <v>3</v>
      </c>
      <c r="B61" s="1">
        <v>4</v>
      </c>
      <c r="C61" s="2">
        <f t="shared" si="0"/>
        <v>1</v>
      </c>
      <c r="D61" s="1">
        <f t="shared" si="1"/>
        <v>1.27471383975026</v>
      </c>
    </row>
    <row r="62" spans="1:4" x14ac:dyDescent="0.25">
      <c r="A62" s="1">
        <v>3</v>
      </c>
      <c r="B62" s="1">
        <v>3</v>
      </c>
      <c r="C62" s="2">
        <f t="shared" si="0"/>
        <v>0</v>
      </c>
      <c r="D62" s="1">
        <f t="shared" si="1"/>
        <v>1.6649323621227886E-2</v>
      </c>
    </row>
    <row r="63" spans="1:4" x14ac:dyDescent="0.25">
      <c r="A63" s="1">
        <v>4</v>
      </c>
      <c r="B63" s="1">
        <v>3</v>
      </c>
      <c r="C63" s="2">
        <f t="shared" si="0"/>
        <v>-1</v>
      </c>
      <c r="D63" s="1">
        <f t="shared" si="1"/>
        <v>0.75858480749219559</v>
      </c>
    </row>
    <row r="64" spans="1:4" x14ac:dyDescent="0.25">
      <c r="A64" s="1">
        <v>5</v>
      </c>
      <c r="B64" s="1">
        <v>4</v>
      </c>
      <c r="C64" s="2">
        <f t="shared" si="0"/>
        <v>-1</v>
      </c>
      <c r="D64" s="1">
        <f t="shared" si="1"/>
        <v>0.75858480749219559</v>
      </c>
    </row>
    <row r="65" spans="1:4" x14ac:dyDescent="0.25">
      <c r="A65" s="1">
        <v>4</v>
      </c>
      <c r="B65" s="1">
        <v>5</v>
      </c>
      <c r="C65" s="2">
        <f t="shared" si="0"/>
        <v>1</v>
      </c>
      <c r="D65" s="1">
        <f t="shared" si="1"/>
        <v>1.27471383975026</v>
      </c>
    </row>
    <row r="66" spans="1:4" x14ac:dyDescent="0.25">
      <c r="A66" s="1">
        <v>4</v>
      </c>
      <c r="B66" s="1">
        <v>2</v>
      </c>
      <c r="C66" s="2">
        <f t="shared" si="0"/>
        <v>-2</v>
      </c>
      <c r="D66" s="1">
        <f t="shared" si="1"/>
        <v>3.5005202913631637</v>
      </c>
    </row>
    <row r="67" spans="1:4" x14ac:dyDescent="0.25">
      <c r="A67" s="1">
        <v>3</v>
      </c>
      <c r="B67" s="1">
        <v>4</v>
      </c>
      <c r="C67" s="2">
        <f t="shared" ref="C67:C94" si="2">B67-A67</f>
        <v>1</v>
      </c>
      <c r="D67" s="1">
        <f t="shared" si="1"/>
        <v>1.27471383975026</v>
      </c>
    </row>
    <row r="68" spans="1:4" x14ac:dyDescent="0.25">
      <c r="A68" s="1">
        <v>3</v>
      </c>
      <c r="B68" s="1">
        <v>4</v>
      </c>
      <c r="C68" s="2">
        <f t="shared" si="2"/>
        <v>1</v>
      </c>
      <c r="D68" s="1">
        <f t="shared" si="1"/>
        <v>1.27471383975026</v>
      </c>
    </row>
    <row r="69" spans="1:4" x14ac:dyDescent="0.25">
      <c r="A69" s="1">
        <v>4</v>
      </c>
      <c r="B69" s="1">
        <v>4</v>
      </c>
      <c r="C69" s="2">
        <f t="shared" si="2"/>
        <v>0</v>
      </c>
      <c r="D69" s="1">
        <f t="shared" ref="D69:D94" si="3">(C69-$G$6)^2</f>
        <v>1.6649323621227886E-2</v>
      </c>
    </row>
    <row r="70" spans="1:4" x14ac:dyDescent="0.25">
      <c r="A70" s="1">
        <v>1</v>
      </c>
      <c r="B70" s="1">
        <v>4</v>
      </c>
      <c r="C70" s="2">
        <f t="shared" si="2"/>
        <v>3</v>
      </c>
      <c r="D70" s="1">
        <f t="shared" si="3"/>
        <v>9.7908428720083247</v>
      </c>
    </row>
    <row r="71" spans="1:4" x14ac:dyDescent="0.25">
      <c r="A71" s="1">
        <v>3</v>
      </c>
      <c r="B71" s="1">
        <v>2</v>
      </c>
      <c r="C71" s="2">
        <f t="shared" si="2"/>
        <v>-1</v>
      </c>
      <c r="D71" s="1">
        <f t="shared" si="3"/>
        <v>0.75858480749219559</v>
      </c>
    </row>
    <row r="72" spans="1:4" x14ac:dyDescent="0.25">
      <c r="A72" s="1">
        <v>4</v>
      </c>
      <c r="B72" s="1">
        <v>3</v>
      </c>
      <c r="C72" s="2">
        <f t="shared" si="2"/>
        <v>-1</v>
      </c>
      <c r="D72" s="1">
        <f t="shared" si="3"/>
        <v>0.75858480749219559</v>
      </c>
    </row>
    <row r="73" spans="1:4" x14ac:dyDescent="0.25">
      <c r="A73" s="1">
        <v>5</v>
      </c>
      <c r="B73" s="1">
        <v>2</v>
      </c>
      <c r="C73" s="2">
        <f t="shared" si="2"/>
        <v>-3</v>
      </c>
      <c r="D73" s="1">
        <f t="shared" si="3"/>
        <v>8.2424557752341325</v>
      </c>
    </row>
    <row r="74" spans="1:4" x14ac:dyDescent="0.25">
      <c r="A74" s="1">
        <v>5</v>
      </c>
      <c r="B74" s="1">
        <v>5</v>
      </c>
      <c r="C74" s="2">
        <f t="shared" si="2"/>
        <v>0</v>
      </c>
      <c r="D74" s="1">
        <f t="shared" si="3"/>
        <v>1.6649323621227886E-2</v>
      </c>
    </row>
    <row r="75" spans="1:4" x14ac:dyDescent="0.25">
      <c r="A75" s="1">
        <v>4</v>
      </c>
      <c r="B75" s="1">
        <v>4</v>
      </c>
      <c r="C75" s="2">
        <f t="shared" si="2"/>
        <v>0</v>
      </c>
      <c r="D75" s="1">
        <f t="shared" si="3"/>
        <v>1.6649323621227886E-2</v>
      </c>
    </row>
    <row r="76" spans="1:4" x14ac:dyDescent="0.25">
      <c r="A76" s="1">
        <v>5</v>
      </c>
      <c r="B76" s="1">
        <v>3</v>
      </c>
      <c r="C76" s="2">
        <f t="shared" si="2"/>
        <v>-2</v>
      </c>
      <c r="D76" s="1">
        <f t="shared" si="3"/>
        <v>3.5005202913631637</v>
      </c>
    </row>
    <row r="77" spans="1:4" x14ac:dyDescent="0.25">
      <c r="A77" s="1">
        <v>4</v>
      </c>
      <c r="B77" s="1">
        <v>5</v>
      </c>
      <c r="C77" s="2">
        <f t="shared" si="2"/>
        <v>1</v>
      </c>
      <c r="D77" s="1">
        <f t="shared" si="3"/>
        <v>1.27471383975026</v>
      </c>
    </row>
    <row r="78" spans="1:4" x14ac:dyDescent="0.25">
      <c r="A78" s="1">
        <v>4</v>
      </c>
      <c r="B78" s="1">
        <v>4</v>
      </c>
      <c r="C78" s="2">
        <f t="shared" si="2"/>
        <v>0</v>
      </c>
      <c r="D78" s="1">
        <f t="shared" si="3"/>
        <v>1.6649323621227886E-2</v>
      </c>
    </row>
    <row r="79" spans="1:4" x14ac:dyDescent="0.25">
      <c r="A79" s="1">
        <v>4</v>
      </c>
      <c r="B79" s="1">
        <v>3</v>
      </c>
      <c r="C79" s="2">
        <f t="shared" si="2"/>
        <v>-1</v>
      </c>
      <c r="D79" s="1">
        <f t="shared" si="3"/>
        <v>0.75858480749219559</v>
      </c>
    </row>
    <row r="80" spans="1:4" x14ac:dyDescent="0.25">
      <c r="A80" s="1">
        <v>2</v>
      </c>
      <c r="B80" s="1">
        <v>5</v>
      </c>
      <c r="C80" s="2">
        <f t="shared" si="2"/>
        <v>3</v>
      </c>
      <c r="D80" s="1">
        <f t="shared" si="3"/>
        <v>9.7908428720083247</v>
      </c>
    </row>
    <row r="81" spans="1:6" x14ac:dyDescent="0.25">
      <c r="A81" s="1">
        <v>5</v>
      </c>
      <c r="B81" s="1">
        <v>3</v>
      </c>
      <c r="C81" s="2">
        <f t="shared" si="2"/>
        <v>-2</v>
      </c>
      <c r="D81" s="1">
        <f t="shared" si="3"/>
        <v>3.5005202913631637</v>
      </c>
    </row>
    <row r="82" spans="1:6" x14ac:dyDescent="0.25">
      <c r="A82" s="1">
        <v>3</v>
      </c>
      <c r="B82" s="1">
        <v>4</v>
      </c>
      <c r="C82" s="2">
        <f t="shared" si="2"/>
        <v>1</v>
      </c>
      <c r="D82" s="1">
        <f t="shared" si="3"/>
        <v>1.27471383975026</v>
      </c>
    </row>
    <row r="83" spans="1:6" x14ac:dyDescent="0.25">
      <c r="A83" s="1">
        <v>4</v>
      </c>
      <c r="B83" s="1">
        <v>5</v>
      </c>
      <c r="C83" s="2">
        <f t="shared" si="2"/>
        <v>1</v>
      </c>
      <c r="D83" s="1">
        <f t="shared" si="3"/>
        <v>1.27471383975026</v>
      </c>
    </row>
    <row r="84" spans="1:6" x14ac:dyDescent="0.25">
      <c r="A84" s="1">
        <v>1</v>
      </c>
      <c r="B84" s="1">
        <v>4</v>
      </c>
      <c r="C84" s="2">
        <f t="shared" si="2"/>
        <v>3</v>
      </c>
      <c r="D84" s="1">
        <f t="shared" si="3"/>
        <v>9.7908428720083247</v>
      </c>
    </row>
    <row r="85" spans="1:6" x14ac:dyDescent="0.25">
      <c r="A85" s="1">
        <v>5</v>
      </c>
      <c r="B85" s="1">
        <v>1</v>
      </c>
      <c r="C85" s="2">
        <f t="shared" si="2"/>
        <v>-4</v>
      </c>
      <c r="D85" s="1">
        <f t="shared" si="3"/>
        <v>14.984391259105101</v>
      </c>
    </row>
    <row r="86" spans="1:6" x14ac:dyDescent="0.25">
      <c r="A86" s="1">
        <v>4</v>
      </c>
      <c r="B86" s="1">
        <v>2</v>
      </c>
      <c r="C86" s="2">
        <f t="shared" si="2"/>
        <v>-2</v>
      </c>
      <c r="D86" s="1">
        <f t="shared" si="3"/>
        <v>3.5005202913631637</v>
      </c>
    </row>
    <row r="87" spans="1:6" x14ac:dyDescent="0.25">
      <c r="A87" s="1">
        <v>1</v>
      </c>
      <c r="B87" s="1">
        <v>1</v>
      </c>
      <c r="C87" s="2">
        <f t="shared" si="2"/>
        <v>0</v>
      </c>
      <c r="D87" s="1">
        <f t="shared" si="3"/>
        <v>1.6649323621227886E-2</v>
      </c>
    </row>
    <row r="88" spans="1:6" x14ac:dyDescent="0.25">
      <c r="A88" s="1">
        <v>2</v>
      </c>
      <c r="B88" s="1">
        <v>3</v>
      </c>
      <c r="C88" s="2">
        <f t="shared" si="2"/>
        <v>1</v>
      </c>
      <c r="D88" s="1">
        <f t="shared" si="3"/>
        <v>1.27471383975026</v>
      </c>
    </row>
    <row r="89" spans="1:6" x14ac:dyDescent="0.25">
      <c r="A89" s="1">
        <v>2</v>
      </c>
      <c r="B89" s="1">
        <v>5</v>
      </c>
      <c r="C89" s="2">
        <f t="shared" si="2"/>
        <v>3</v>
      </c>
      <c r="D89" s="1">
        <f t="shared" si="3"/>
        <v>9.7908428720083247</v>
      </c>
    </row>
    <row r="90" spans="1:6" x14ac:dyDescent="0.25">
      <c r="A90" s="1">
        <v>4</v>
      </c>
      <c r="B90" s="1">
        <v>3</v>
      </c>
      <c r="C90" s="2">
        <f t="shared" si="2"/>
        <v>-1</v>
      </c>
      <c r="D90" s="1">
        <f t="shared" si="3"/>
        <v>0.75858480749219559</v>
      </c>
    </row>
    <row r="91" spans="1:6" x14ac:dyDescent="0.25">
      <c r="A91" s="1">
        <v>4</v>
      </c>
      <c r="B91" s="1">
        <v>4</v>
      </c>
      <c r="C91" s="2">
        <f t="shared" si="2"/>
        <v>0</v>
      </c>
      <c r="D91" s="1">
        <f t="shared" si="3"/>
        <v>1.6649323621227886E-2</v>
      </c>
    </row>
    <row r="92" spans="1:6" x14ac:dyDescent="0.25">
      <c r="A92" s="1">
        <v>3</v>
      </c>
      <c r="B92" s="1">
        <v>2</v>
      </c>
      <c r="C92" s="2">
        <f t="shared" si="2"/>
        <v>-1</v>
      </c>
      <c r="D92" s="1">
        <f t="shared" si="3"/>
        <v>0.75858480749219559</v>
      </c>
    </row>
    <row r="93" spans="1:6" x14ac:dyDescent="0.25">
      <c r="A93" s="1">
        <v>2</v>
      </c>
      <c r="B93" s="1">
        <v>5</v>
      </c>
      <c r="C93" s="2">
        <f t="shared" si="2"/>
        <v>3</v>
      </c>
      <c r="D93" s="1">
        <f t="shared" si="3"/>
        <v>9.7908428720083247</v>
      </c>
      <c r="F93" s="6"/>
    </row>
    <row r="94" spans="1:6" x14ac:dyDescent="0.25">
      <c r="A94" s="1">
        <v>3</v>
      </c>
      <c r="B94" s="1">
        <v>3</v>
      </c>
      <c r="C94" s="2">
        <f t="shared" si="2"/>
        <v>0</v>
      </c>
      <c r="D94" s="1">
        <f t="shared" si="3"/>
        <v>1.6649323621227886E-2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115" zoomScaleNormal="115" workbookViewId="0">
      <selection sqref="A1:B1"/>
    </sheetView>
  </sheetViews>
  <sheetFormatPr baseColWidth="10" defaultColWidth="9.140625" defaultRowHeight="15" x14ac:dyDescent="0.25"/>
  <cols>
    <col min="1" max="1" width="27" style="1" customWidth="1"/>
    <col min="2" max="2" width="27.855468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28</v>
      </c>
      <c r="B1" s="7" t="s">
        <v>28</v>
      </c>
      <c r="C1" s="4" t="s">
        <v>0</v>
      </c>
      <c r="D1" s="4"/>
    </row>
    <row r="2" spans="1:7" x14ac:dyDescent="0.25">
      <c r="A2" s="1">
        <v>4</v>
      </c>
      <c r="B2" s="1">
        <v>4</v>
      </c>
      <c r="C2" s="2">
        <f>B2-A2</f>
        <v>0</v>
      </c>
      <c r="D2" s="1">
        <f>(C2-$G$6)^2</f>
        <v>2.2661579373337959E-2</v>
      </c>
    </row>
    <row r="3" spans="1:7" x14ac:dyDescent="0.25">
      <c r="A3" s="1">
        <v>3</v>
      </c>
      <c r="B3" s="1">
        <v>3</v>
      </c>
      <c r="C3" s="2">
        <f t="shared" ref="C3:C66" si="0">B3-A3</f>
        <v>0</v>
      </c>
      <c r="D3" s="1">
        <f>(C3-$G$6)^2</f>
        <v>2.2661579373337959E-2</v>
      </c>
      <c r="F3" s="5" t="s">
        <v>13</v>
      </c>
      <c r="G3" s="5"/>
    </row>
    <row r="4" spans="1:7" x14ac:dyDescent="0.25">
      <c r="A4" s="1">
        <v>4</v>
      </c>
      <c r="B4" s="1">
        <v>2</v>
      </c>
      <c r="C4" s="2">
        <f t="shared" si="0"/>
        <v>-2</v>
      </c>
      <c r="D4" s="1">
        <f>(C4-$G$6)^2</f>
        <v>3.4205110417389291</v>
      </c>
      <c r="F4" t="s">
        <v>3</v>
      </c>
      <c r="G4">
        <f>COUNT(A:A)</f>
        <v>93</v>
      </c>
    </row>
    <row r="5" spans="1:7" x14ac:dyDescent="0.25">
      <c r="A5" s="1">
        <v>5</v>
      </c>
      <c r="B5" s="1">
        <v>2</v>
      </c>
      <c r="C5" s="2">
        <f t="shared" si="0"/>
        <v>-3</v>
      </c>
      <c r="D5" s="1">
        <f t="shared" ref="D5:D68" si="1">(C5-$G$6)^2</f>
        <v>8.1194357729217259</v>
      </c>
      <c r="F5" t="s">
        <v>2</v>
      </c>
      <c r="G5">
        <f>SUM(C:C)</f>
        <v>-14</v>
      </c>
    </row>
    <row r="6" spans="1:7" x14ac:dyDescent="0.25">
      <c r="A6" s="1">
        <v>3</v>
      </c>
      <c r="B6" s="1">
        <v>1</v>
      </c>
      <c r="C6" s="2">
        <f t="shared" si="0"/>
        <v>-2</v>
      </c>
      <c r="D6" s="1">
        <f t="shared" si="1"/>
        <v>3.4205110417389291</v>
      </c>
      <c r="F6" t="s">
        <v>1</v>
      </c>
      <c r="G6">
        <f>G5/G4</f>
        <v>-0.15053763440860216</v>
      </c>
    </row>
    <row r="7" spans="1:7" x14ac:dyDescent="0.25">
      <c r="A7" s="1">
        <v>4</v>
      </c>
      <c r="B7" s="1">
        <v>2</v>
      </c>
      <c r="C7" s="2">
        <f t="shared" si="0"/>
        <v>-2</v>
      </c>
      <c r="D7" s="1">
        <f t="shared" si="1"/>
        <v>3.4205110417389291</v>
      </c>
      <c r="F7" t="s">
        <v>18</v>
      </c>
      <c r="G7">
        <f>SUM(D:D)</f>
        <v>269.89247311827927</v>
      </c>
    </row>
    <row r="8" spans="1:7" x14ac:dyDescent="0.25">
      <c r="A8" s="1">
        <v>3</v>
      </c>
      <c r="B8" s="1">
        <v>4</v>
      </c>
      <c r="C8" s="2">
        <f t="shared" si="0"/>
        <v>1</v>
      </c>
      <c r="D8" s="1">
        <f t="shared" si="1"/>
        <v>1.3237368481905425</v>
      </c>
      <c r="F8" t="s">
        <v>4</v>
      </c>
      <c r="G8">
        <f>SQRT(G7/(G4-1))</f>
        <v>1.7127795649884916</v>
      </c>
    </row>
    <row r="9" spans="1:7" x14ac:dyDescent="0.25">
      <c r="A9" s="1">
        <v>5</v>
      </c>
      <c r="B9" s="1">
        <v>3</v>
      </c>
      <c r="C9" s="2">
        <f t="shared" si="0"/>
        <v>-2</v>
      </c>
      <c r="D9" s="1">
        <f t="shared" si="1"/>
        <v>3.4205110417389291</v>
      </c>
    </row>
    <row r="10" spans="1:7" x14ac:dyDescent="0.25">
      <c r="A10" s="1">
        <v>3</v>
      </c>
      <c r="B10" s="1">
        <v>4</v>
      </c>
      <c r="C10" s="2">
        <f t="shared" si="0"/>
        <v>1</v>
      </c>
      <c r="D10" s="1">
        <f t="shared" si="1"/>
        <v>1.3237368481905425</v>
      </c>
    </row>
    <row r="11" spans="1:7" x14ac:dyDescent="0.25">
      <c r="A11" s="1">
        <v>3</v>
      </c>
      <c r="B11" s="1">
        <v>4</v>
      </c>
      <c r="C11" s="2">
        <f t="shared" si="0"/>
        <v>1</v>
      </c>
      <c r="D11" s="1">
        <f t="shared" si="1"/>
        <v>1.3237368481905425</v>
      </c>
    </row>
    <row r="12" spans="1:7" x14ac:dyDescent="0.25">
      <c r="A12" s="1">
        <v>5</v>
      </c>
      <c r="B12" s="1">
        <v>2</v>
      </c>
      <c r="C12" s="2">
        <f t="shared" si="0"/>
        <v>-3</v>
      </c>
      <c r="D12" s="1">
        <f t="shared" si="1"/>
        <v>8.1194357729217259</v>
      </c>
      <c r="F12" t="s">
        <v>8</v>
      </c>
      <c r="G12">
        <f>G6/(G8/SQRT(G4))</f>
        <v>-0.84758856440020036</v>
      </c>
    </row>
    <row r="13" spans="1:7" x14ac:dyDescent="0.25">
      <c r="A13" s="1">
        <v>4</v>
      </c>
      <c r="B13" s="1">
        <v>5</v>
      </c>
      <c r="C13" s="2">
        <f t="shared" si="0"/>
        <v>1</v>
      </c>
      <c r="D13" s="1">
        <f t="shared" si="1"/>
        <v>1.3237368481905425</v>
      </c>
    </row>
    <row r="14" spans="1:7" x14ac:dyDescent="0.25">
      <c r="A14" s="1">
        <v>5</v>
      </c>
      <c r="B14" s="1">
        <v>2</v>
      </c>
      <c r="C14" s="2">
        <f t="shared" si="0"/>
        <v>-3</v>
      </c>
      <c r="D14" s="1">
        <f t="shared" si="1"/>
        <v>8.1194357729217259</v>
      </c>
    </row>
    <row r="15" spans="1:7" x14ac:dyDescent="0.25">
      <c r="A15" s="1">
        <v>5</v>
      </c>
      <c r="B15" s="1">
        <v>3</v>
      </c>
      <c r="C15" s="2">
        <f t="shared" si="0"/>
        <v>-2</v>
      </c>
      <c r="D15" s="1">
        <f t="shared" si="1"/>
        <v>3.4205110417389291</v>
      </c>
    </row>
    <row r="16" spans="1:7" x14ac:dyDescent="0.25">
      <c r="A16" s="1">
        <v>1</v>
      </c>
      <c r="B16" s="1">
        <v>3</v>
      </c>
      <c r="C16" s="2">
        <f t="shared" si="0"/>
        <v>2</v>
      </c>
      <c r="D16" s="1">
        <f t="shared" si="1"/>
        <v>4.6248121170077461</v>
      </c>
    </row>
    <row r="17" spans="1:7" x14ac:dyDescent="0.25">
      <c r="A17" s="1">
        <v>4</v>
      </c>
      <c r="B17" s="1">
        <v>3</v>
      </c>
      <c r="C17" s="2">
        <f t="shared" si="0"/>
        <v>-1</v>
      </c>
      <c r="D17" s="1">
        <f t="shared" si="1"/>
        <v>0.72158631055613365</v>
      </c>
      <c r="F17" t="s">
        <v>5</v>
      </c>
      <c r="G17">
        <v>0.05</v>
      </c>
    </row>
    <row r="18" spans="1:7" x14ac:dyDescent="0.25">
      <c r="A18" s="1">
        <v>2</v>
      </c>
      <c r="B18" s="1">
        <v>2</v>
      </c>
      <c r="C18" s="2">
        <f t="shared" si="0"/>
        <v>0</v>
      </c>
      <c r="D18" s="1">
        <f t="shared" si="1"/>
        <v>2.2661579373337959E-2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3</v>
      </c>
      <c r="C19" s="2">
        <f t="shared" si="0"/>
        <v>-1</v>
      </c>
      <c r="D19" s="1">
        <f t="shared" si="1"/>
        <v>0.72158631055613365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2.2661579373337959E-2</v>
      </c>
    </row>
    <row r="21" spans="1:7" x14ac:dyDescent="0.25">
      <c r="A21" s="1">
        <v>3</v>
      </c>
      <c r="B21" s="1">
        <v>5</v>
      </c>
      <c r="C21" s="2">
        <f t="shared" si="0"/>
        <v>2</v>
      </c>
      <c r="D21" s="1">
        <f t="shared" si="1"/>
        <v>4.6248121170077461</v>
      </c>
    </row>
    <row r="22" spans="1:7" x14ac:dyDescent="0.25">
      <c r="A22" s="1">
        <v>3</v>
      </c>
      <c r="B22" s="1">
        <v>3</v>
      </c>
      <c r="C22" s="2">
        <f t="shared" si="0"/>
        <v>0</v>
      </c>
      <c r="D22" s="1">
        <f t="shared" si="1"/>
        <v>2.2661579373337959E-2</v>
      </c>
      <c r="F22" s="5" t="s">
        <v>7</v>
      </c>
      <c r="G22" s="5"/>
    </row>
    <row r="23" spans="1:7" x14ac:dyDescent="0.25">
      <c r="A23" s="1">
        <v>3</v>
      </c>
      <c r="B23" s="1">
        <v>5</v>
      </c>
      <c r="C23" s="2">
        <f t="shared" si="0"/>
        <v>2</v>
      </c>
      <c r="D23" s="1">
        <f t="shared" si="1"/>
        <v>4.6248121170077461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3</v>
      </c>
      <c r="C24" s="2">
        <f t="shared" si="0"/>
        <v>-1</v>
      </c>
      <c r="D24" s="1">
        <f t="shared" si="1"/>
        <v>0.72158631055613365</v>
      </c>
      <c r="F24" t="s">
        <v>17</v>
      </c>
      <c r="G24">
        <f>_xlfn.T.INV(G17,G18)</f>
        <v>-1.6615853969032315</v>
      </c>
    </row>
    <row r="25" spans="1:7" x14ac:dyDescent="0.25">
      <c r="A25" s="1">
        <v>4</v>
      </c>
      <c r="B25" s="1">
        <v>3</v>
      </c>
      <c r="C25" s="2">
        <f t="shared" si="0"/>
        <v>-1</v>
      </c>
      <c r="D25" s="1">
        <f t="shared" si="1"/>
        <v>0.72158631055613365</v>
      </c>
    </row>
    <row r="26" spans="1:7" x14ac:dyDescent="0.25">
      <c r="A26" s="1">
        <v>2</v>
      </c>
      <c r="B26" s="1">
        <v>3</v>
      </c>
      <c r="C26" s="2">
        <f t="shared" si="0"/>
        <v>1</v>
      </c>
      <c r="D26" s="1">
        <f t="shared" si="1"/>
        <v>1.3237368481905425</v>
      </c>
    </row>
    <row r="27" spans="1:7" x14ac:dyDescent="0.25">
      <c r="A27" s="1">
        <v>2</v>
      </c>
      <c r="B27" s="1">
        <v>5</v>
      </c>
      <c r="C27" s="2">
        <f t="shared" si="0"/>
        <v>3</v>
      </c>
      <c r="D27" s="1">
        <f t="shared" si="1"/>
        <v>9.9258873858249501</v>
      </c>
      <c r="F27" s="5" t="s">
        <v>9</v>
      </c>
      <c r="G27" s="5"/>
    </row>
    <row r="28" spans="1:7" x14ac:dyDescent="0.25">
      <c r="A28" s="1">
        <v>1</v>
      </c>
      <c r="B28" s="1">
        <v>5</v>
      </c>
      <c r="C28" s="2">
        <f t="shared" si="0"/>
        <v>4</v>
      </c>
      <c r="D28" s="1">
        <f t="shared" si="1"/>
        <v>17.226962654642154</v>
      </c>
      <c r="F28" t="s">
        <v>9</v>
      </c>
    </row>
    <row r="29" spans="1:7" x14ac:dyDescent="0.25">
      <c r="A29" s="1">
        <v>5</v>
      </c>
      <c r="B29" s="1">
        <v>3</v>
      </c>
      <c r="C29" s="2">
        <f t="shared" si="0"/>
        <v>-2</v>
      </c>
      <c r="D29" s="1">
        <f t="shared" si="1"/>
        <v>3.4205110417389291</v>
      </c>
      <c r="F29" t="s">
        <v>15</v>
      </c>
      <c r="G29">
        <f>TTEST(A:A,B:B,2,1)</f>
        <v>0.39886681582080263</v>
      </c>
    </row>
    <row r="30" spans="1:7" x14ac:dyDescent="0.25">
      <c r="A30" s="1">
        <v>3</v>
      </c>
      <c r="B30" s="1">
        <v>5</v>
      </c>
      <c r="C30" s="2">
        <f t="shared" si="0"/>
        <v>2</v>
      </c>
      <c r="D30" s="1">
        <f t="shared" si="1"/>
        <v>4.6248121170077461</v>
      </c>
      <c r="F30" t="s">
        <v>19</v>
      </c>
      <c r="G30">
        <f>TTEST(A:A,B:B,1,1)</f>
        <v>0.19943340791040132</v>
      </c>
    </row>
    <row r="31" spans="1:7" x14ac:dyDescent="0.25">
      <c r="A31" s="1">
        <v>2</v>
      </c>
      <c r="B31" s="1">
        <v>5</v>
      </c>
      <c r="C31" s="2">
        <f t="shared" si="0"/>
        <v>3</v>
      </c>
      <c r="D31" s="1">
        <f t="shared" si="1"/>
        <v>9.9258873858249501</v>
      </c>
    </row>
    <row r="32" spans="1:7" x14ac:dyDescent="0.25">
      <c r="A32" s="1">
        <v>5</v>
      </c>
      <c r="B32" s="1">
        <v>5</v>
      </c>
      <c r="C32" s="2">
        <f t="shared" si="0"/>
        <v>0</v>
      </c>
      <c r="D32" s="1">
        <f t="shared" si="1"/>
        <v>2.2661579373337959E-2</v>
      </c>
    </row>
    <row r="33" spans="1:7" x14ac:dyDescent="0.25">
      <c r="A33" s="1">
        <v>5</v>
      </c>
      <c r="B33" s="1">
        <v>1</v>
      </c>
      <c r="C33" s="2">
        <f t="shared" si="0"/>
        <v>-4</v>
      </c>
      <c r="D33" s="1">
        <f t="shared" si="1"/>
        <v>14.818360504104522</v>
      </c>
      <c r="F33" s="8" t="s">
        <v>12</v>
      </c>
      <c r="G33" s="8"/>
    </row>
    <row r="34" spans="1:7" x14ac:dyDescent="0.25">
      <c r="A34" s="1">
        <v>3</v>
      </c>
      <c r="B34" s="1">
        <v>3</v>
      </c>
      <c r="C34" s="2">
        <f t="shared" si="0"/>
        <v>0</v>
      </c>
      <c r="D34" s="1">
        <f t="shared" si="1"/>
        <v>2.2661579373337959E-2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1.3237368481905425</v>
      </c>
      <c r="F35" t="s">
        <v>10</v>
      </c>
    </row>
    <row r="36" spans="1:7" x14ac:dyDescent="0.25">
      <c r="A36" s="1">
        <v>2</v>
      </c>
      <c r="B36" s="1">
        <v>4</v>
      </c>
      <c r="C36" s="2">
        <f t="shared" si="0"/>
        <v>2</v>
      </c>
      <c r="D36" s="1">
        <f t="shared" si="1"/>
        <v>4.6248121170077461</v>
      </c>
      <c r="F36" t="s">
        <v>11</v>
      </c>
    </row>
    <row r="37" spans="1:7" x14ac:dyDescent="0.25">
      <c r="A37" s="1">
        <v>5</v>
      </c>
      <c r="B37" s="1">
        <v>4</v>
      </c>
      <c r="C37" s="2">
        <f t="shared" si="0"/>
        <v>-1</v>
      </c>
      <c r="D37" s="1">
        <f t="shared" si="1"/>
        <v>0.72158631055613365</v>
      </c>
    </row>
    <row r="38" spans="1:7" x14ac:dyDescent="0.25">
      <c r="A38" s="1">
        <v>3</v>
      </c>
      <c r="B38" s="1">
        <v>3</v>
      </c>
      <c r="C38" s="2">
        <f t="shared" si="0"/>
        <v>0</v>
      </c>
      <c r="D38" s="1">
        <f t="shared" si="1"/>
        <v>2.2661579373337959E-2</v>
      </c>
    </row>
    <row r="39" spans="1:7" x14ac:dyDescent="0.25">
      <c r="A39" s="1">
        <v>4</v>
      </c>
      <c r="B39" s="1">
        <v>3</v>
      </c>
      <c r="C39" s="2">
        <f t="shared" si="0"/>
        <v>-1</v>
      </c>
      <c r="D39" s="1">
        <f t="shared" si="1"/>
        <v>0.72158631055613365</v>
      </c>
    </row>
    <row r="40" spans="1:7" x14ac:dyDescent="0.25">
      <c r="A40" s="1">
        <v>5</v>
      </c>
      <c r="B40" s="1">
        <v>4</v>
      </c>
      <c r="C40" s="2">
        <f t="shared" si="0"/>
        <v>-1</v>
      </c>
      <c r="D40" s="1">
        <f t="shared" si="1"/>
        <v>0.72158631055613365</v>
      </c>
      <c r="F40" t="s">
        <v>14</v>
      </c>
    </row>
    <row r="41" spans="1:7" x14ac:dyDescent="0.25">
      <c r="A41" s="1">
        <v>5</v>
      </c>
      <c r="B41" s="1">
        <v>4</v>
      </c>
      <c r="C41" s="2">
        <f t="shared" si="0"/>
        <v>-1</v>
      </c>
      <c r="D41" s="1">
        <f t="shared" si="1"/>
        <v>0.72158631055613365</v>
      </c>
      <c r="F41" t="str">
        <f>"Dos Colas: Si t calculado ("&amp;G12&amp;") &gt; a t critico  ("&amp;G23&amp;") (de tabla) ---&gt; Se rechaza la hipotesis nula"</f>
        <v>Dos Colas: Si t calculado (-0.8475885644002) &gt; a t critico  (1.98608631695113) (de tabla) ---&gt; Se rechaza la hipotesis nula</v>
      </c>
    </row>
    <row r="42" spans="1:7" x14ac:dyDescent="0.25">
      <c r="A42" s="1">
        <v>2</v>
      </c>
      <c r="B42" s="1">
        <v>5</v>
      </c>
      <c r="C42" s="2">
        <f t="shared" si="0"/>
        <v>3</v>
      </c>
      <c r="D42" s="1">
        <f t="shared" si="1"/>
        <v>9.9258873858249501</v>
      </c>
      <c r="F42" t="str">
        <f>"Una Cola: Si t calculado ("&amp;G12&amp;") &gt; a t critico  ("&amp;G24&amp;") (de tabla) ---&gt; Se rechaza la hipotesis nula"</f>
        <v>Una Cola: Si t calculado (-0.8475885644002) &gt; a t critico  (-1.66158539690323) (de tabla) ---&gt; Se rechaza la hipotesis nula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2.2661579373337959E-2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2.2661579373337959E-2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2.2661579373337959E-2</v>
      </c>
    </row>
    <row r="46" spans="1:7" x14ac:dyDescent="0.25">
      <c r="A46" s="1">
        <v>2</v>
      </c>
      <c r="B46" s="1">
        <v>5</v>
      </c>
      <c r="C46" s="2">
        <f t="shared" si="0"/>
        <v>3</v>
      </c>
      <c r="D46" s="1">
        <f t="shared" si="1"/>
        <v>9.9258873858249501</v>
      </c>
      <c r="F46" t="s">
        <v>21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1.3237368481905425</v>
      </c>
      <c r="F47" t="str">
        <f>"Dos Colas: Si p valor ("&amp;G29&amp;") &lt; Nivel Significancia ("&amp;G17&amp;") ---&gt; Se rechaza la hipotesis nula"</f>
        <v>Dos Colas: Si p valor (0.398866815820803) &lt; Nivel Significancia (0.05) ---&gt; Se rechaza la hipotesis nula</v>
      </c>
    </row>
    <row r="48" spans="1:7" x14ac:dyDescent="0.25">
      <c r="A48" s="1">
        <v>2</v>
      </c>
      <c r="B48" s="1">
        <v>1</v>
      </c>
      <c r="C48" s="2">
        <f t="shared" si="0"/>
        <v>-1</v>
      </c>
      <c r="D48" s="1">
        <f t="shared" si="1"/>
        <v>0.72158631055613365</v>
      </c>
      <c r="F48" t="str">
        <f>"Una Cola: Si p valor ("&amp;G30&amp;") &lt; Nivel Significancia ("&amp;G17&amp;") ---&gt; Se rechaza la hipotesis nula"</f>
        <v>Una Cola: Si p valor (0.199433407910401) &lt; Nivel Significancia (0.05) ---&gt; Se rechaza la hipotesis nula</v>
      </c>
    </row>
    <row r="49" spans="1:4" x14ac:dyDescent="0.25">
      <c r="A49" s="1">
        <v>4</v>
      </c>
      <c r="B49" s="1">
        <v>4</v>
      </c>
      <c r="C49" s="2">
        <f t="shared" si="0"/>
        <v>0</v>
      </c>
      <c r="D49" s="1">
        <f t="shared" si="1"/>
        <v>2.2661579373337959E-2</v>
      </c>
    </row>
    <row r="50" spans="1:4" x14ac:dyDescent="0.25">
      <c r="A50" s="1">
        <v>4</v>
      </c>
      <c r="B50" s="1">
        <v>3</v>
      </c>
      <c r="C50" s="2">
        <f t="shared" si="0"/>
        <v>-1</v>
      </c>
      <c r="D50" s="1">
        <f t="shared" si="1"/>
        <v>0.72158631055613365</v>
      </c>
    </row>
    <row r="51" spans="1:4" x14ac:dyDescent="0.25">
      <c r="A51" s="1">
        <v>3</v>
      </c>
      <c r="B51" s="1">
        <v>3</v>
      </c>
      <c r="C51" s="2">
        <f t="shared" si="0"/>
        <v>0</v>
      </c>
      <c r="D51" s="1">
        <f t="shared" si="1"/>
        <v>2.2661579373337959E-2</v>
      </c>
    </row>
    <row r="52" spans="1:4" x14ac:dyDescent="0.25">
      <c r="A52" s="1">
        <v>4</v>
      </c>
      <c r="B52" s="1">
        <v>4</v>
      </c>
      <c r="C52" s="2">
        <f t="shared" si="0"/>
        <v>0</v>
      </c>
      <c r="D52" s="1">
        <f t="shared" si="1"/>
        <v>2.2661579373337959E-2</v>
      </c>
    </row>
    <row r="53" spans="1:4" x14ac:dyDescent="0.25">
      <c r="A53" s="1">
        <v>3</v>
      </c>
      <c r="B53" s="1">
        <v>4</v>
      </c>
      <c r="C53" s="2">
        <f t="shared" si="0"/>
        <v>1</v>
      </c>
      <c r="D53" s="1">
        <f t="shared" si="1"/>
        <v>1.3237368481905425</v>
      </c>
    </row>
    <row r="54" spans="1:4" x14ac:dyDescent="0.25">
      <c r="A54" s="1">
        <v>3</v>
      </c>
      <c r="B54" s="1">
        <v>5</v>
      </c>
      <c r="C54" s="2">
        <f t="shared" si="0"/>
        <v>2</v>
      </c>
      <c r="D54" s="1">
        <f t="shared" si="1"/>
        <v>4.6248121170077461</v>
      </c>
    </row>
    <row r="55" spans="1:4" x14ac:dyDescent="0.25">
      <c r="A55" s="1">
        <v>4</v>
      </c>
      <c r="B55" s="1">
        <v>3</v>
      </c>
      <c r="C55" s="2">
        <f t="shared" si="0"/>
        <v>-1</v>
      </c>
      <c r="D55" s="1">
        <f t="shared" si="1"/>
        <v>0.72158631055613365</v>
      </c>
    </row>
    <row r="56" spans="1:4" x14ac:dyDescent="0.25">
      <c r="A56" s="1">
        <v>2</v>
      </c>
      <c r="B56" s="1">
        <v>3</v>
      </c>
      <c r="C56" s="2">
        <f t="shared" si="0"/>
        <v>1</v>
      </c>
      <c r="D56" s="1">
        <f t="shared" si="1"/>
        <v>1.3237368481905425</v>
      </c>
    </row>
    <row r="57" spans="1:4" x14ac:dyDescent="0.25">
      <c r="A57" s="1">
        <v>4</v>
      </c>
      <c r="B57" s="1">
        <v>3</v>
      </c>
      <c r="C57" s="2">
        <f t="shared" si="0"/>
        <v>-1</v>
      </c>
      <c r="D57" s="1">
        <f t="shared" si="1"/>
        <v>0.72158631055613365</v>
      </c>
    </row>
    <row r="58" spans="1:4" x14ac:dyDescent="0.25">
      <c r="A58" s="1">
        <v>3</v>
      </c>
      <c r="B58" s="1">
        <v>3</v>
      </c>
      <c r="C58" s="2">
        <f t="shared" si="0"/>
        <v>0</v>
      </c>
      <c r="D58" s="1">
        <f t="shared" si="1"/>
        <v>2.2661579373337959E-2</v>
      </c>
    </row>
    <row r="59" spans="1:4" x14ac:dyDescent="0.25">
      <c r="A59" s="1">
        <v>2</v>
      </c>
      <c r="B59" s="1">
        <v>5</v>
      </c>
      <c r="C59" s="2">
        <f t="shared" si="0"/>
        <v>3</v>
      </c>
      <c r="D59" s="1">
        <f t="shared" si="1"/>
        <v>9.9258873858249501</v>
      </c>
    </row>
    <row r="60" spans="1:4" x14ac:dyDescent="0.25">
      <c r="A60" s="1">
        <v>3</v>
      </c>
      <c r="B60" s="1">
        <v>1</v>
      </c>
      <c r="C60" s="2">
        <f t="shared" si="0"/>
        <v>-2</v>
      </c>
      <c r="D60" s="1">
        <f t="shared" si="1"/>
        <v>3.4205110417389291</v>
      </c>
    </row>
    <row r="61" spans="1:4" x14ac:dyDescent="0.25">
      <c r="A61" s="1">
        <v>5</v>
      </c>
      <c r="B61" s="1">
        <v>2</v>
      </c>
      <c r="C61" s="2">
        <f t="shared" si="0"/>
        <v>-3</v>
      </c>
      <c r="D61" s="1">
        <f t="shared" si="1"/>
        <v>8.1194357729217259</v>
      </c>
    </row>
    <row r="62" spans="1:4" x14ac:dyDescent="0.25">
      <c r="A62" s="1">
        <v>1</v>
      </c>
      <c r="B62" s="1">
        <v>4</v>
      </c>
      <c r="C62" s="2">
        <f t="shared" si="0"/>
        <v>3</v>
      </c>
      <c r="D62" s="1">
        <f t="shared" si="1"/>
        <v>9.9258873858249501</v>
      </c>
    </row>
    <row r="63" spans="1:4" x14ac:dyDescent="0.25">
      <c r="A63" s="1">
        <v>3</v>
      </c>
      <c r="B63" s="1">
        <v>1</v>
      </c>
      <c r="C63" s="2">
        <f t="shared" si="0"/>
        <v>-2</v>
      </c>
      <c r="D63" s="1">
        <f t="shared" si="1"/>
        <v>3.4205110417389291</v>
      </c>
    </row>
    <row r="64" spans="1:4" x14ac:dyDescent="0.25">
      <c r="A64" s="1">
        <v>4</v>
      </c>
      <c r="B64" s="1">
        <v>3</v>
      </c>
      <c r="C64" s="2">
        <f t="shared" si="0"/>
        <v>-1</v>
      </c>
      <c r="D64" s="1">
        <f t="shared" si="1"/>
        <v>0.72158631055613365</v>
      </c>
    </row>
    <row r="65" spans="1:4" x14ac:dyDescent="0.25">
      <c r="A65" s="1">
        <v>5</v>
      </c>
      <c r="B65" s="1">
        <v>3</v>
      </c>
      <c r="C65" s="2">
        <f t="shared" si="0"/>
        <v>-2</v>
      </c>
      <c r="D65" s="1">
        <f t="shared" si="1"/>
        <v>3.4205110417389291</v>
      </c>
    </row>
    <row r="66" spans="1:4" x14ac:dyDescent="0.25">
      <c r="A66" s="1">
        <v>3</v>
      </c>
      <c r="B66" s="1">
        <v>3</v>
      </c>
      <c r="C66" s="2">
        <f t="shared" si="0"/>
        <v>0</v>
      </c>
      <c r="D66" s="1">
        <f t="shared" si="1"/>
        <v>2.2661579373337959E-2</v>
      </c>
    </row>
    <row r="67" spans="1:4" x14ac:dyDescent="0.25">
      <c r="A67" s="1">
        <v>3</v>
      </c>
      <c r="B67" s="1">
        <v>2</v>
      </c>
      <c r="C67" s="2">
        <f t="shared" ref="C67:C94" si="2">B67-A67</f>
        <v>-1</v>
      </c>
      <c r="D67" s="1">
        <f t="shared" si="1"/>
        <v>0.72158631055613365</v>
      </c>
    </row>
    <row r="68" spans="1:4" x14ac:dyDescent="0.25">
      <c r="A68" s="1">
        <v>3</v>
      </c>
      <c r="B68" s="1">
        <v>3</v>
      </c>
      <c r="C68" s="2">
        <f t="shared" si="2"/>
        <v>0</v>
      </c>
      <c r="D68" s="1">
        <f t="shared" si="1"/>
        <v>2.2661579373337959E-2</v>
      </c>
    </row>
    <row r="69" spans="1:4" x14ac:dyDescent="0.25">
      <c r="A69" s="1">
        <v>2</v>
      </c>
      <c r="B69" s="1">
        <v>5</v>
      </c>
      <c r="C69" s="2">
        <f t="shared" si="2"/>
        <v>3</v>
      </c>
      <c r="D69" s="1">
        <f t="shared" ref="D69:D94" si="3">(C69-$G$6)^2</f>
        <v>9.9258873858249501</v>
      </c>
    </row>
    <row r="70" spans="1:4" x14ac:dyDescent="0.25">
      <c r="A70" s="1">
        <v>3</v>
      </c>
      <c r="B70" s="1">
        <v>4</v>
      </c>
      <c r="C70" s="2">
        <f t="shared" si="2"/>
        <v>1</v>
      </c>
      <c r="D70" s="1">
        <f t="shared" si="3"/>
        <v>1.3237368481905425</v>
      </c>
    </row>
    <row r="71" spans="1:4" x14ac:dyDescent="0.25">
      <c r="A71" s="1">
        <v>5</v>
      </c>
      <c r="B71" s="1">
        <v>2</v>
      </c>
      <c r="C71" s="2">
        <f t="shared" si="2"/>
        <v>-3</v>
      </c>
      <c r="D71" s="1">
        <f t="shared" si="3"/>
        <v>8.1194357729217259</v>
      </c>
    </row>
    <row r="72" spans="1:4" x14ac:dyDescent="0.25">
      <c r="A72" s="1">
        <v>4</v>
      </c>
      <c r="B72" s="1">
        <v>4</v>
      </c>
      <c r="C72" s="2">
        <f t="shared" si="2"/>
        <v>0</v>
      </c>
      <c r="D72" s="1">
        <f t="shared" si="3"/>
        <v>2.2661579373337959E-2</v>
      </c>
    </row>
    <row r="73" spans="1:4" x14ac:dyDescent="0.25">
      <c r="A73" s="1">
        <v>4</v>
      </c>
      <c r="B73" s="1">
        <v>4</v>
      </c>
      <c r="C73" s="2">
        <f t="shared" si="2"/>
        <v>0</v>
      </c>
      <c r="D73" s="1">
        <f t="shared" si="3"/>
        <v>2.2661579373337959E-2</v>
      </c>
    </row>
    <row r="74" spans="1:4" x14ac:dyDescent="0.25">
      <c r="A74" s="1">
        <v>3</v>
      </c>
      <c r="B74" s="1">
        <v>4</v>
      </c>
      <c r="C74" s="2">
        <f t="shared" si="2"/>
        <v>1</v>
      </c>
      <c r="D74" s="1">
        <f t="shared" si="3"/>
        <v>1.3237368481905425</v>
      </c>
    </row>
    <row r="75" spans="1:4" x14ac:dyDescent="0.25">
      <c r="A75" s="1">
        <v>5</v>
      </c>
      <c r="B75" s="1">
        <v>4</v>
      </c>
      <c r="C75" s="2">
        <f t="shared" si="2"/>
        <v>-1</v>
      </c>
      <c r="D75" s="1">
        <f t="shared" si="3"/>
        <v>0.72158631055613365</v>
      </c>
    </row>
    <row r="76" spans="1:4" x14ac:dyDescent="0.25">
      <c r="A76" s="1">
        <v>3</v>
      </c>
      <c r="B76" s="1">
        <v>3</v>
      </c>
      <c r="C76" s="2">
        <f t="shared" si="2"/>
        <v>0</v>
      </c>
      <c r="D76" s="1">
        <f t="shared" si="3"/>
        <v>2.2661579373337959E-2</v>
      </c>
    </row>
    <row r="77" spans="1:4" x14ac:dyDescent="0.25">
      <c r="A77" s="1">
        <v>3</v>
      </c>
      <c r="B77" s="1">
        <v>1</v>
      </c>
      <c r="C77" s="2">
        <f t="shared" si="2"/>
        <v>-2</v>
      </c>
      <c r="D77" s="1">
        <f t="shared" si="3"/>
        <v>3.4205110417389291</v>
      </c>
    </row>
    <row r="78" spans="1:4" x14ac:dyDescent="0.25">
      <c r="A78" s="1">
        <v>2</v>
      </c>
      <c r="B78" s="1">
        <v>4</v>
      </c>
      <c r="C78" s="2">
        <f t="shared" si="2"/>
        <v>2</v>
      </c>
      <c r="D78" s="1">
        <f t="shared" si="3"/>
        <v>4.6248121170077461</v>
      </c>
    </row>
    <row r="79" spans="1:4" x14ac:dyDescent="0.25">
      <c r="A79" s="1">
        <v>4</v>
      </c>
      <c r="B79" s="1">
        <v>5</v>
      </c>
      <c r="C79" s="2">
        <f t="shared" si="2"/>
        <v>1</v>
      </c>
      <c r="D79" s="1">
        <f t="shared" si="3"/>
        <v>1.3237368481905425</v>
      </c>
    </row>
    <row r="80" spans="1:4" x14ac:dyDescent="0.25">
      <c r="A80" s="1">
        <v>2</v>
      </c>
      <c r="B80" s="1">
        <v>4</v>
      </c>
      <c r="C80" s="2">
        <f t="shared" si="2"/>
        <v>2</v>
      </c>
      <c r="D80" s="1">
        <f t="shared" si="3"/>
        <v>4.6248121170077461</v>
      </c>
    </row>
    <row r="81" spans="1:6" x14ac:dyDescent="0.25">
      <c r="A81" s="1">
        <v>5</v>
      </c>
      <c r="B81" s="1">
        <v>2</v>
      </c>
      <c r="C81" s="2">
        <f t="shared" si="2"/>
        <v>-3</v>
      </c>
      <c r="D81" s="1">
        <f t="shared" si="3"/>
        <v>8.1194357729217259</v>
      </c>
    </row>
    <row r="82" spans="1:6" x14ac:dyDescent="0.25">
      <c r="A82" s="1">
        <v>2</v>
      </c>
      <c r="B82" s="1">
        <v>3</v>
      </c>
      <c r="C82" s="2">
        <f t="shared" si="2"/>
        <v>1</v>
      </c>
      <c r="D82" s="1">
        <f t="shared" si="3"/>
        <v>1.3237368481905425</v>
      </c>
    </row>
    <row r="83" spans="1:6" x14ac:dyDescent="0.25">
      <c r="A83" s="1">
        <v>5</v>
      </c>
      <c r="B83" s="1">
        <v>4</v>
      </c>
      <c r="C83" s="2">
        <f t="shared" si="2"/>
        <v>-1</v>
      </c>
      <c r="D83" s="1">
        <f t="shared" si="3"/>
        <v>0.72158631055613365</v>
      </c>
    </row>
    <row r="84" spans="1:6" x14ac:dyDescent="0.25">
      <c r="A84" s="1">
        <v>4</v>
      </c>
      <c r="B84" s="1">
        <v>2</v>
      </c>
      <c r="C84" s="2">
        <f t="shared" si="2"/>
        <v>-2</v>
      </c>
      <c r="D84" s="1">
        <f t="shared" si="3"/>
        <v>3.4205110417389291</v>
      </c>
    </row>
    <row r="85" spans="1:6" x14ac:dyDescent="0.25">
      <c r="A85" s="1">
        <v>3</v>
      </c>
      <c r="B85" s="1">
        <v>2</v>
      </c>
      <c r="C85" s="2">
        <f t="shared" si="2"/>
        <v>-1</v>
      </c>
      <c r="D85" s="1">
        <f t="shared" si="3"/>
        <v>0.72158631055613365</v>
      </c>
    </row>
    <row r="86" spans="1:6" x14ac:dyDescent="0.25">
      <c r="A86" s="1">
        <v>5</v>
      </c>
      <c r="B86" s="1">
        <v>2</v>
      </c>
      <c r="C86" s="2">
        <f t="shared" si="2"/>
        <v>-3</v>
      </c>
      <c r="D86" s="1">
        <f t="shared" si="3"/>
        <v>8.1194357729217259</v>
      </c>
    </row>
    <row r="87" spans="1:6" x14ac:dyDescent="0.25">
      <c r="A87" s="1">
        <v>4</v>
      </c>
      <c r="B87" s="1">
        <v>2</v>
      </c>
      <c r="C87" s="2">
        <f t="shared" si="2"/>
        <v>-2</v>
      </c>
      <c r="D87" s="1">
        <f t="shared" si="3"/>
        <v>3.4205110417389291</v>
      </c>
    </row>
    <row r="88" spans="1:6" x14ac:dyDescent="0.25">
      <c r="A88" s="1">
        <v>3</v>
      </c>
      <c r="B88" s="1">
        <v>4</v>
      </c>
      <c r="C88" s="2">
        <f t="shared" si="2"/>
        <v>1</v>
      </c>
      <c r="D88" s="1">
        <f t="shared" si="3"/>
        <v>1.3237368481905425</v>
      </c>
    </row>
    <row r="89" spans="1:6" x14ac:dyDescent="0.25">
      <c r="A89" s="1">
        <v>3</v>
      </c>
      <c r="B89" s="1">
        <v>3</v>
      </c>
      <c r="C89" s="2">
        <f t="shared" si="2"/>
        <v>0</v>
      </c>
      <c r="D89" s="1">
        <f t="shared" si="3"/>
        <v>2.2661579373337959E-2</v>
      </c>
    </row>
    <row r="90" spans="1:6" x14ac:dyDescent="0.25">
      <c r="A90" s="1">
        <v>3</v>
      </c>
      <c r="B90" s="1">
        <v>3</v>
      </c>
      <c r="C90" s="2">
        <f t="shared" si="2"/>
        <v>0</v>
      </c>
      <c r="D90" s="1">
        <f t="shared" si="3"/>
        <v>2.2661579373337959E-2</v>
      </c>
    </row>
    <row r="91" spans="1:6" x14ac:dyDescent="0.25">
      <c r="A91" s="1">
        <v>3</v>
      </c>
      <c r="B91" s="1">
        <v>2</v>
      </c>
      <c r="C91" s="2">
        <f t="shared" si="2"/>
        <v>-1</v>
      </c>
      <c r="D91" s="1">
        <f t="shared" si="3"/>
        <v>0.72158631055613365</v>
      </c>
    </row>
    <row r="92" spans="1:6" x14ac:dyDescent="0.25">
      <c r="A92" s="1">
        <v>3</v>
      </c>
      <c r="B92" s="1">
        <v>3</v>
      </c>
      <c r="C92" s="2">
        <f t="shared" si="2"/>
        <v>0</v>
      </c>
      <c r="D92" s="1">
        <f t="shared" si="3"/>
        <v>2.2661579373337959E-2</v>
      </c>
    </row>
    <row r="93" spans="1:6" x14ac:dyDescent="0.25">
      <c r="A93" s="1">
        <v>4</v>
      </c>
      <c r="B93" s="1">
        <v>3</v>
      </c>
      <c r="C93" s="2">
        <f t="shared" si="2"/>
        <v>-1</v>
      </c>
      <c r="D93" s="1">
        <f t="shared" si="3"/>
        <v>0.72158631055613365</v>
      </c>
      <c r="F93" s="6"/>
    </row>
    <row r="94" spans="1:6" x14ac:dyDescent="0.25">
      <c r="A94" s="1">
        <v>4</v>
      </c>
      <c r="B94" s="1">
        <v>3</v>
      </c>
      <c r="C94" s="2">
        <f t="shared" si="2"/>
        <v>-1</v>
      </c>
      <c r="D94" s="1">
        <f t="shared" si="3"/>
        <v>0.72158631055613365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115" zoomScaleNormal="115" workbookViewId="0">
      <selection sqref="A1:B1"/>
    </sheetView>
  </sheetViews>
  <sheetFormatPr baseColWidth="10" defaultColWidth="9.140625" defaultRowHeight="15" x14ac:dyDescent="0.25"/>
  <cols>
    <col min="1" max="1" width="27.42578125" style="1" customWidth="1"/>
    <col min="2" max="2" width="29.5703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29</v>
      </c>
      <c r="B1" s="9" t="s">
        <v>39</v>
      </c>
      <c r="C1" s="4" t="s">
        <v>0</v>
      </c>
      <c r="D1" s="4"/>
    </row>
    <row r="2" spans="1:7" x14ac:dyDescent="0.25">
      <c r="A2" s="1">
        <v>1</v>
      </c>
      <c r="B2" s="1">
        <v>4</v>
      </c>
      <c r="C2" s="2">
        <f>B2-A2</f>
        <v>3</v>
      </c>
      <c r="D2" s="1">
        <f>(C2-$G$6)^2</f>
        <v>9.8582495086137119</v>
      </c>
    </row>
    <row r="3" spans="1:7" x14ac:dyDescent="0.25">
      <c r="A3" s="1">
        <v>5</v>
      </c>
      <c r="B3" s="1">
        <v>5</v>
      </c>
      <c r="C3" s="2">
        <f t="shared" ref="C3:C66" si="0">B3-A3</f>
        <v>0</v>
      </c>
      <c r="D3" s="1">
        <f>(C3-$G$6)^2</f>
        <v>1.9539831194357725E-2</v>
      </c>
      <c r="F3" s="5" t="s">
        <v>13</v>
      </c>
      <c r="G3" s="5"/>
    </row>
    <row r="4" spans="1:7" x14ac:dyDescent="0.25">
      <c r="A4" s="1">
        <v>3</v>
      </c>
      <c r="B4" s="1">
        <v>3</v>
      </c>
      <c r="C4" s="2">
        <f t="shared" si="0"/>
        <v>0</v>
      </c>
      <c r="D4" s="1">
        <f>(C4-$G$6)^2</f>
        <v>1.9539831194357725E-2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2</v>
      </c>
      <c r="C5" s="2">
        <f t="shared" si="0"/>
        <v>-1</v>
      </c>
      <c r="D5" s="1">
        <f t="shared" ref="D5:D68" si="1">(C5-$G$6)^2</f>
        <v>0.73996993872123951</v>
      </c>
      <c r="F5" t="s">
        <v>2</v>
      </c>
      <c r="G5">
        <f>SUM(C:C)</f>
        <v>-13</v>
      </c>
    </row>
    <row r="6" spans="1:7" x14ac:dyDescent="0.25">
      <c r="A6" s="1">
        <v>3</v>
      </c>
      <c r="B6" s="1">
        <v>4</v>
      </c>
      <c r="C6" s="2">
        <f t="shared" si="0"/>
        <v>1</v>
      </c>
      <c r="D6" s="1">
        <f t="shared" si="1"/>
        <v>1.2991097236674758</v>
      </c>
      <c r="F6" t="s">
        <v>1</v>
      </c>
      <c r="G6">
        <f>G5/G4</f>
        <v>-0.13978494623655913</v>
      </c>
    </row>
    <row r="7" spans="1:7" x14ac:dyDescent="0.25">
      <c r="A7" s="1">
        <v>5</v>
      </c>
      <c r="B7" s="1">
        <v>3</v>
      </c>
      <c r="C7" s="2">
        <f t="shared" si="0"/>
        <v>-2</v>
      </c>
      <c r="D7" s="1">
        <f t="shared" si="1"/>
        <v>3.4604000462481217</v>
      </c>
      <c r="F7" t="s">
        <v>18</v>
      </c>
      <c r="G7">
        <f>SUM(D:D)</f>
        <v>225.18279569892445</v>
      </c>
    </row>
    <row r="8" spans="1:7" x14ac:dyDescent="0.25">
      <c r="A8" s="1">
        <v>2</v>
      </c>
      <c r="B8" s="1">
        <v>2</v>
      </c>
      <c r="C8" s="2">
        <f t="shared" si="0"/>
        <v>0</v>
      </c>
      <c r="D8" s="1">
        <f t="shared" si="1"/>
        <v>1.9539831194357725E-2</v>
      </c>
      <c r="F8" t="s">
        <v>4</v>
      </c>
      <c r="G8">
        <f>SQRT(G7/(G4-1))</f>
        <v>1.5644932354228833</v>
      </c>
    </row>
    <row r="9" spans="1:7" x14ac:dyDescent="0.25">
      <c r="A9" s="1">
        <v>2</v>
      </c>
      <c r="B9" s="1">
        <v>3</v>
      </c>
      <c r="C9" s="2">
        <f t="shared" si="0"/>
        <v>1</v>
      </c>
      <c r="D9" s="1">
        <f t="shared" si="1"/>
        <v>1.2991097236674758</v>
      </c>
    </row>
    <row r="10" spans="1:7" x14ac:dyDescent="0.25">
      <c r="A10" s="1">
        <v>3</v>
      </c>
      <c r="B10" s="1">
        <v>3</v>
      </c>
      <c r="C10" s="2">
        <f t="shared" si="0"/>
        <v>0</v>
      </c>
      <c r="D10" s="1">
        <f t="shared" si="1"/>
        <v>1.9539831194357725E-2</v>
      </c>
    </row>
    <row r="11" spans="1:7" x14ac:dyDescent="0.25">
      <c r="A11" s="1">
        <v>3</v>
      </c>
      <c r="B11" s="1">
        <v>3</v>
      </c>
      <c r="C11" s="2">
        <f t="shared" si="0"/>
        <v>0</v>
      </c>
      <c r="D11" s="1">
        <f t="shared" si="1"/>
        <v>1.9539831194357725E-2</v>
      </c>
    </row>
    <row r="12" spans="1:7" x14ac:dyDescent="0.25">
      <c r="A12" s="1">
        <v>2</v>
      </c>
      <c r="B12" s="1">
        <v>3</v>
      </c>
      <c r="C12" s="2">
        <f t="shared" si="0"/>
        <v>1</v>
      </c>
      <c r="D12" s="1">
        <f t="shared" si="1"/>
        <v>1.2991097236674758</v>
      </c>
      <c r="F12" t="s">
        <v>8</v>
      </c>
      <c r="G12">
        <f>G6/(G8/SQRT(G4))</f>
        <v>-0.86164463522603696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1.2991097236674758</v>
      </c>
    </row>
    <row r="14" spans="1:7" x14ac:dyDescent="0.25">
      <c r="A14" s="1">
        <v>5</v>
      </c>
      <c r="B14" s="1">
        <v>3</v>
      </c>
      <c r="C14" s="2">
        <f t="shared" si="0"/>
        <v>-2</v>
      </c>
      <c r="D14" s="1">
        <f t="shared" si="1"/>
        <v>3.4604000462481217</v>
      </c>
    </row>
    <row r="15" spans="1:7" x14ac:dyDescent="0.25">
      <c r="A15" s="1">
        <v>3</v>
      </c>
      <c r="B15" s="1">
        <v>3</v>
      </c>
      <c r="C15" s="2">
        <f t="shared" si="0"/>
        <v>0</v>
      </c>
      <c r="D15" s="1">
        <f t="shared" si="1"/>
        <v>1.9539831194357725E-2</v>
      </c>
    </row>
    <row r="16" spans="1:7" x14ac:dyDescent="0.25">
      <c r="A16" s="1">
        <v>3</v>
      </c>
      <c r="B16" s="1">
        <v>2</v>
      </c>
      <c r="C16" s="2">
        <f t="shared" si="0"/>
        <v>-1</v>
      </c>
      <c r="D16" s="1">
        <f t="shared" si="1"/>
        <v>0.73996993872123951</v>
      </c>
    </row>
    <row r="17" spans="1:7" x14ac:dyDescent="0.25">
      <c r="A17" s="1">
        <v>4</v>
      </c>
      <c r="B17" s="1">
        <v>3</v>
      </c>
      <c r="C17" s="2">
        <f t="shared" si="0"/>
        <v>-1</v>
      </c>
      <c r="D17" s="1">
        <f t="shared" si="1"/>
        <v>0.73996993872123951</v>
      </c>
      <c r="F17" t="s">
        <v>5</v>
      </c>
      <c r="G17">
        <v>0.05</v>
      </c>
    </row>
    <row r="18" spans="1:7" x14ac:dyDescent="0.25">
      <c r="A18" s="1">
        <v>3</v>
      </c>
      <c r="B18" s="1">
        <v>3</v>
      </c>
      <c r="C18" s="2">
        <f t="shared" si="0"/>
        <v>0</v>
      </c>
      <c r="D18" s="1">
        <f t="shared" si="1"/>
        <v>1.9539831194357725E-2</v>
      </c>
      <c r="F18" t="s">
        <v>6</v>
      </c>
      <c r="G18">
        <f>G4-1</f>
        <v>92</v>
      </c>
    </row>
    <row r="19" spans="1:7" x14ac:dyDescent="0.25">
      <c r="A19" s="1">
        <v>1</v>
      </c>
      <c r="B19" s="1">
        <v>4</v>
      </c>
      <c r="C19" s="2">
        <f t="shared" si="0"/>
        <v>3</v>
      </c>
      <c r="D19" s="1">
        <f t="shared" si="1"/>
        <v>9.8582495086137119</v>
      </c>
    </row>
    <row r="20" spans="1:7" x14ac:dyDescent="0.25">
      <c r="A20" s="1">
        <v>2</v>
      </c>
      <c r="B20" s="1">
        <v>3</v>
      </c>
      <c r="C20" s="2">
        <f t="shared" si="0"/>
        <v>1</v>
      </c>
      <c r="D20" s="1">
        <f t="shared" si="1"/>
        <v>1.2991097236674758</v>
      </c>
    </row>
    <row r="21" spans="1:7" x14ac:dyDescent="0.25">
      <c r="A21" s="1">
        <v>4</v>
      </c>
      <c r="B21" s="1">
        <v>5</v>
      </c>
      <c r="C21" s="2">
        <f t="shared" si="0"/>
        <v>1</v>
      </c>
      <c r="D21" s="1">
        <f t="shared" si="1"/>
        <v>1.2991097236674758</v>
      </c>
    </row>
    <row r="22" spans="1:7" x14ac:dyDescent="0.25">
      <c r="A22" s="1">
        <v>5</v>
      </c>
      <c r="B22" s="1">
        <v>4</v>
      </c>
      <c r="C22" s="2">
        <f t="shared" si="0"/>
        <v>-1</v>
      </c>
      <c r="D22" s="1">
        <f t="shared" si="1"/>
        <v>0.73996993872123951</v>
      </c>
      <c r="F22" s="5" t="s">
        <v>7</v>
      </c>
      <c r="G22" s="5"/>
    </row>
    <row r="23" spans="1:7" x14ac:dyDescent="0.25">
      <c r="A23" s="1">
        <v>1</v>
      </c>
      <c r="B23" s="1">
        <v>3</v>
      </c>
      <c r="C23" s="2">
        <f t="shared" si="0"/>
        <v>2</v>
      </c>
      <c r="D23" s="1">
        <f t="shared" si="1"/>
        <v>4.5786796161405938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0.73996993872123951</v>
      </c>
      <c r="F24" t="s">
        <v>17</v>
      </c>
      <c r="G24">
        <f>_xlfn.T.INV(G17,G18)</f>
        <v>-1.6615853969032315</v>
      </c>
    </row>
    <row r="25" spans="1:7" x14ac:dyDescent="0.25">
      <c r="A25" s="1">
        <v>5</v>
      </c>
      <c r="B25" s="1">
        <v>5</v>
      </c>
      <c r="C25" s="2">
        <f t="shared" si="0"/>
        <v>0</v>
      </c>
      <c r="D25" s="1">
        <f t="shared" si="1"/>
        <v>1.9539831194357725E-2</v>
      </c>
    </row>
    <row r="26" spans="1:7" x14ac:dyDescent="0.25">
      <c r="A26" s="1">
        <v>2</v>
      </c>
      <c r="B26" s="1">
        <v>4</v>
      </c>
      <c r="C26" s="2">
        <f t="shared" si="0"/>
        <v>2</v>
      </c>
      <c r="D26" s="1">
        <f t="shared" si="1"/>
        <v>4.5786796161405938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1.9539831194357725E-2</v>
      </c>
      <c r="F27" s="5" t="s">
        <v>9</v>
      </c>
      <c r="G27" s="5"/>
    </row>
    <row r="28" spans="1:7" x14ac:dyDescent="0.25">
      <c r="A28" s="1">
        <v>3</v>
      </c>
      <c r="B28" s="1">
        <v>4</v>
      </c>
      <c r="C28" s="2">
        <f t="shared" si="0"/>
        <v>1</v>
      </c>
      <c r="D28" s="1">
        <f t="shared" si="1"/>
        <v>1.2991097236674758</v>
      </c>
      <c r="F28" t="s">
        <v>9</v>
      </c>
    </row>
    <row r="29" spans="1:7" x14ac:dyDescent="0.25">
      <c r="A29" s="1">
        <v>3</v>
      </c>
      <c r="B29" s="1">
        <v>3</v>
      </c>
      <c r="C29" s="2">
        <f t="shared" si="0"/>
        <v>0</v>
      </c>
      <c r="D29" s="1">
        <f t="shared" si="1"/>
        <v>1.9539831194357725E-2</v>
      </c>
      <c r="F29" t="s">
        <v>15</v>
      </c>
      <c r="G29">
        <f>TTEST(A:A,B:B,2,1)</f>
        <v>0.39112336782592638</v>
      </c>
    </row>
    <row r="30" spans="1:7" x14ac:dyDescent="0.25">
      <c r="A30" s="1">
        <v>4</v>
      </c>
      <c r="B30" s="1">
        <v>3</v>
      </c>
      <c r="C30" s="2">
        <f t="shared" si="0"/>
        <v>-1</v>
      </c>
      <c r="D30" s="1">
        <f t="shared" si="1"/>
        <v>0.73996993872123951</v>
      </c>
      <c r="F30" t="s">
        <v>19</v>
      </c>
      <c r="G30">
        <f>TTEST(A:A,B:B,1,1)</f>
        <v>0.19556168391296319</v>
      </c>
    </row>
    <row r="31" spans="1:7" x14ac:dyDescent="0.25">
      <c r="A31" s="1">
        <v>5</v>
      </c>
      <c r="B31" s="1">
        <v>3</v>
      </c>
      <c r="C31" s="2">
        <f t="shared" si="0"/>
        <v>-2</v>
      </c>
      <c r="D31" s="1">
        <f t="shared" si="1"/>
        <v>3.4604000462481217</v>
      </c>
    </row>
    <row r="32" spans="1:7" x14ac:dyDescent="0.25">
      <c r="A32" s="1">
        <v>4</v>
      </c>
      <c r="B32" s="1">
        <v>4</v>
      </c>
      <c r="C32" s="2">
        <f t="shared" si="0"/>
        <v>0</v>
      </c>
      <c r="D32" s="1">
        <f t="shared" si="1"/>
        <v>1.9539831194357725E-2</v>
      </c>
    </row>
    <row r="33" spans="1:7" x14ac:dyDescent="0.25">
      <c r="A33" s="1">
        <v>2</v>
      </c>
      <c r="B33" s="1">
        <v>4</v>
      </c>
      <c r="C33" s="2">
        <f t="shared" si="0"/>
        <v>2</v>
      </c>
      <c r="D33" s="1">
        <f t="shared" si="1"/>
        <v>4.5786796161405938</v>
      </c>
      <c r="F33" s="8" t="s">
        <v>12</v>
      </c>
      <c r="G33" s="8"/>
    </row>
    <row r="34" spans="1:7" x14ac:dyDescent="0.25">
      <c r="A34" s="1">
        <v>5</v>
      </c>
      <c r="B34" s="1">
        <v>2</v>
      </c>
      <c r="C34" s="2">
        <f t="shared" si="0"/>
        <v>-3</v>
      </c>
      <c r="D34" s="1">
        <f t="shared" si="1"/>
        <v>8.1808301537750037</v>
      </c>
    </row>
    <row r="35" spans="1:7" x14ac:dyDescent="0.25">
      <c r="A35" s="1">
        <v>4</v>
      </c>
      <c r="B35" s="1">
        <v>3</v>
      </c>
      <c r="C35" s="2">
        <f t="shared" si="0"/>
        <v>-1</v>
      </c>
      <c r="D35" s="1">
        <f t="shared" si="1"/>
        <v>0.73996993872123951</v>
      </c>
      <c r="F35" t="s">
        <v>10</v>
      </c>
    </row>
    <row r="36" spans="1:7" x14ac:dyDescent="0.25">
      <c r="A36" s="1">
        <v>4</v>
      </c>
      <c r="B36" s="1">
        <v>5</v>
      </c>
      <c r="C36" s="2">
        <f t="shared" si="0"/>
        <v>1</v>
      </c>
      <c r="D36" s="1">
        <f t="shared" si="1"/>
        <v>1.2991097236674758</v>
      </c>
      <c r="F36" t="s">
        <v>11</v>
      </c>
    </row>
    <row r="37" spans="1:7" x14ac:dyDescent="0.25">
      <c r="A37" s="1">
        <v>3</v>
      </c>
      <c r="B37" s="1">
        <v>3</v>
      </c>
      <c r="C37" s="2">
        <f t="shared" si="0"/>
        <v>0</v>
      </c>
      <c r="D37" s="1">
        <f t="shared" si="1"/>
        <v>1.9539831194357725E-2</v>
      </c>
    </row>
    <row r="38" spans="1:7" x14ac:dyDescent="0.25">
      <c r="A38" s="1">
        <v>2</v>
      </c>
      <c r="B38" s="1">
        <v>5</v>
      </c>
      <c r="C38" s="2">
        <f t="shared" si="0"/>
        <v>3</v>
      </c>
      <c r="D38" s="1">
        <f t="shared" si="1"/>
        <v>9.8582495086137119</v>
      </c>
    </row>
    <row r="39" spans="1:7" x14ac:dyDescent="0.25">
      <c r="A39" s="1">
        <v>4</v>
      </c>
      <c r="B39" s="1">
        <v>3</v>
      </c>
      <c r="C39" s="2">
        <f t="shared" si="0"/>
        <v>-1</v>
      </c>
      <c r="D39" s="1">
        <f t="shared" si="1"/>
        <v>0.73996993872123951</v>
      </c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1.9539831194357725E-2</v>
      </c>
      <c r="F40" t="s">
        <v>14</v>
      </c>
    </row>
    <row r="41" spans="1:7" x14ac:dyDescent="0.25">
      <c r="A41" s="1">
        <v>3</v>
      </c>
      <c r="B41" s="1">
        <v>1</v>
      </c>
      <c r="C41" s="2">
        <f t="shared" si="0"/>
        <v>-2</v>
      </c>
      <c r="D41" s="1">
        <f t="shared" si="1"/>
        <v>3.4604000462481217</v>
      </c>
      <c r="F41" t="str">
        <f>"Dos Colas: Si t calculado ("&amp;G12&amp;") &gt; a t critico  ("&amp;G23&amp;") (de tabla) ---&gt; Se rechaza la hipotesis nula"</f>
        <v>Dos Colas: Si t calculado (-0.861644635226037) &gt; a t critico  (1.98608631695113) (de tabla) ---&gt; Se rechaza la hipotesis nula</v>
      </c>
    </row>
    <row r="42" spans="1:7" x14ac:dyDescent="0.25">
      <c r="A42" s="1">
        <v>4</v>
      </c>
      <c r="B42" s="1">
        <v>4</v>
      </c>
      <c r="C42" s="2">
        <f t="shared" si="0"/>
        <v>0</v>
      </c>
      <c r="D42" s="1">
        <f t="shared" si="1"/>
        <v>1.9539831194357725E-2</v>
      </c>
      <c r="F42" t="str">
        <f>"Una Cola: Si t calculado ("&amp;G12&amp;") &gt; a t critico  ("&amp;G24&amp;") (de tabla) ---&gt; Se rechaza la hipotesis nula"</f>
        <v>Una Cola: Si t calculado (-0.861644635226037) &gt; a t critico  (-1.66158539690323) (de tabla) ---&gt; Se rechaza la hipotesis nula</v>
      </c>
    </row>
    <row r="43" spans="1:7" x14ac:dyDescent="0.25">
      <c r="A43" s="1">
        <v>4</v>
      </c>
      <c r="B43" s="1">
        <v>4</v>
      </c>
      <c r="C43" s="2">
        <f t="shared" si="0"/>
        <v>0</v>
      </c>
      <c r="D43" s="1">
        <f t="shared" si="1"/>
        <v>1.9539831194357725E-2</v>
      </c>
    </row>
    <row r="44" spans="1:7" x14ac:dyDescent="0.25">
      <c r="A44" s="1">
        <v>4</v>
      </c>
      <c r="B44" s="1">
        <v>5</v>
      </c>
      <c r="C44" s="2">
        <f t="shared" si="0"/>
        <v>1</v>
      </c>
      <c r="D44" s="1">
        <f t="shared" si="1"/>
        <v>1.2991097236674758</v>
      </c>
    </row>
    <row r="45" spans="1:7" x14ac:dyDescent="0.25">
      <c r="A45" s="1">
        <v>5</v>
      </c>
      <c r="B45" s="1">
        <v>4</v>
      </c>
      <c r="C45" s="2">
        <f t="shared" si="0"/>
        <v>-1</v>
      </c>
      <c r="D45" s="1">
        <f t="shared" si="1"/>
        <v>0.73996993872123951</v>
      </c>
    </row>
    <row r="46" spans="1:7" x14ac:dyDescent="0.25">
      <c r="A46" s="1">
        <v>4</v>
      </c>
      <c r="B46" s="1">
        <v>2</v>
      </c>
      <c r="C46" s="2">
        <f t="shared" si="0"/>
        <v>-2</v>
      </c>
      <c r="D46" s="1">
        <f t="shared" si="1"/>
        <v>3.4604000462481217</v>
      </c>
      <c r="F46" t="s">
        <v>21</v>
      </c>
    </row>
    <row r="47" spans="1:7" x14ac:dyDescent="0.25">
      <c r="A47" s="1">
        <v>3</v>
      </c>
      <c r="B47" s="1">
        <v>1</v>
      </c>
      <c r="C47" s="2">
        <f t="shared" si="0"/>
        <v>-2</v>
      </c>
      <c r="D47" s="1">
        <f t="shared" si="1"/>
        <v>3.4604000462481217</v>
      </c>
      <c r="F47" t="str">
        <f>"Dos Colas: Si p valor ("&amp;G29&amp;") &lt; Nivel Significancia ("&amp;G17&amp;") ---&gt; Se rechaza la hipotesis nula"</f>
        <v>Dos Colas: Si p valor (0.391123367825926) &lt; Nivel Significancia (0.05) ---&gt; Se rechaza la hipotesis nula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1.9539831194357725E-2</v>
      </c>
      <c r="F48" t="str">
        <f>"Una Cola: Si p valor ("&amp;G30&amp;") &lt; Nivel Significancia ("&amp;G17&amp;") ---&gt; Se rechaza la hipotesis nula"</f>
        <v>Una Cola: Si p valor (0.195561683912963) &lt; Nivel Significancia (0.05) ---&gt; Se rechaza la hipotesis nula</v>
      </c>
    </row>
    <row r="49" spans="1:4" x14ac:dyDescent="0.25">
      <c r="A49" s="1">
        <v>2</v>
      </c>
      <c r="B49" s="1">
        <v>3</v>
      </c>
      <c r="C49" s="2">
        <f t="shared" si="0"/>
        <v>1</v>
      </c>
      <c r="D49" s="1">
        <f t="shared" si="1"/>
        <v>1.2991097236674758</v>
      </c>
    </row>
    <row r="50" spans="1:4" x14ac:dyDescent="0.25">
      <c r="A50" s="1">
        <v>4</v>
      </c>
      <c r="B50" s="1">
        <v>3</v>
      </c>
      <c r="C50" s="2">
        <f t="shared" si="0"/>
        <v>-1</v>
      </c>
      <c r="D50" s="1">
        <f t="shared" si="1"/>
        <v>0.73996993872123951</v>
      </c>
    </row>
    <row r="51" spans="1:4" x14ac:dyDescent="0.25">
      <c r="A51" s="1">
        <v>3</v>
      </c>
      <c r="B51" s="1">
        <v>2</v>
      </c>
      <c r="C51" s="2">
        <f t="shared" si="0"/>
        <v>-1</v>
      </c>
      <c r="D51" s="1">
        <f t="shared" si="1"/>
        <v>0.73996993872123951</v>
      </c>
    </row>
    <row r="52" spans="1:4" x14ac:dyDescent="0.25">
      <c r="A52" s="1">
        <v>3</v>
      </c>
      <c r="B52" s="1">
        <v>3</v>
      </c>
      <c r="C52" s="2">
        <f t="shared" si="0"/>
        <v>0</v>
      </c>
      <c r="D52" s="1">
        <f t="shared" si="1"/>
        <v>1.9539831194357725E-2</v>
      </c>
    </row>
    <row r="53" spans="1:4" x14ac:dyDescent="0.25">
      <c r="A53" s="1">
        <v>5</v>
      </c>
      <c r="B53" s="1">
        <v>4</v>
      </c>
      <c r="C53" s="2">
        <f t="shared" si="0"/>
        <v>-1</v>
      </c>
      <c r="D53" s="1">
        <f t="shared" si="1"/>
        <v>0.73996993872123951</v>
      </c>
    </row>
    <row r="54" spans="1:4" x14ac:dyDescent="0.25">
      <c r="A54" s="1">
        <v>3</v>
      </c>
      <c r="B54" s="1">
        <v>4</v>
      </c>
      <c r="C54" s="2">
        <f t="shared" si="0"/>
        <v>1</v>
      </c>
      <c r="D54" s="1">
        <f t="shared" si="1"/>
        <v>1.2991097236674758</v>
      </c>
    </row>
    <row r="55" spans="1:4" x14ac:dyDescent="0.25">
      <c r="A55" s="1">
        <v>4</v>
      </c>
      <c r="B55" s="1">
        <v>3</v>
      </c>
      <c r="C55" s="2">
        <f t="shared" si="0"/>
        <v>-1</v>
      </c>
      <c r="D55" s="1">
        <f t="shared" si="1"/>
        <v>0.73996993872123951</v>
      </c>
    </row>
    <row r="56" spans="1:4" x14ac:dyDescent="0.25">
      <c r="A56" s="1">
        <v>1</v>
      </c>
      <c r="B56" s="1">
        <v>5</v>
      </c>
      <c r="C56" s="2">
        <f t="shared" si="0"/>
        <v>4</v>
      </c>
      <c r="D56" s="1">
        <f t="shared" si="1"/>
        <v>17.13781940108683</v>
      </c>
    </row>
    <row r="57" spans="1:4" x14ac:dyDescent="0.25">
      <c r="A57" s="1">
        <v>5</v>
      </c>
      <c r="B57" s="1">
        <v>3</v>
      </c>
      <c r="C57" s="2">
        <f t="shared" si="0"/>
        <v>-2</v>
      </c>
      <c r="D57" s="1">
        <f t="shared" si="1"/>
        <v>3.4604000462481217</v>
      </c>
    </row>
    <row r="58" spans="1:4" x14ac:dyDescent="0.25">
      <c r="A58" s="1">
        <v>4</v>
      </c>
      <c r="B58" s="1">
        <v>4</v>
      </c>
      <c r="C58" s="2">
        <f t="shared" si="0"/>
        <v>0</v>
      </c>
      <c r="D58" s="1">
        <f t="shared" si="1"/>
        <v>1.9539831194357725E-2</v>
      </c>
    </row>
    <row r="59" spans="1:4" x14ac:dyDescent="0.25">
      <c r="A59" s="1">
        <v>5</v>
      </c>
      <c r="B59" s="1">
        <v>2</v>
      </c>
      <c r="C59" s="2">
        <f t="shared" si="0"/>
        <v>-3</v>
      </c>
      <c r="D59" s="1">
        <f t="shared" si="1"/>
        <v>8.1808301537750037</v>
      </c>
    </row>
    <row r="60" spans="1:4" x14ac:dyDescent="0.25">
      <c r="A60" s="1">
        <v>1</v>
      </c>
      <c r="B60" s="1">
        <v>5</v>
      </c>
      <c r="C60" s="2">
        <f t="shared" si="0"/>
        <v>4</v>
      </c>
      <c r="D60" s="1">
        <f t="shared" si="1"/>
        <v>17.13781940108683</v>
      </c>
    </row>
    <row r="61" spans="1:4" x14ac:dyDescent="0.25">
      <c r="A61" s="1">
        <v>3</v>
      </c>
      <c r="B61" s="1">
        <v>3</v>
      </c>
      <c r="C61" s="2">
        <f t="shared" si="0"/>
        <v>0</v>
      </c>
      <c r="D61" s="1">
        <f t="shared" si="1"/>
        <v>1.9539831194357725E-2</v>
      </c>
    </row>
    <row r="62" spans="1:4" x14ac:dyDescent="0.25">
      <c r="A62" s="1">
        <v>3</v>
      </c>
      <c r="B62" s="1">
        <v>3</v>
      </c>
      <c r="C62" s="2">
        <f t="shared" si="0"/>
        <v>0</v>
      </c>
      <c r="D62" s="1">
        <f t="shared" si="1"/>
        <v>1.9539831194357725E-2</v>
      </c>
    </row>
    <row r="63" spans="1:4" x14ac:dyDescent="0.25">
      <c r="A63" s="1">
        <v>5</v>
      </c>
      <c r="B63" s="1">
        <v>3</v>
      </c>
      <c r="C63" s="2">
        <f t="shared" si="0"/>
        <v>-2</v>
      </c>
      <c r="D63" s="1">
        <f t="shared" si="1"/>
        <v>3.4604000462481217</v>
      </c>
    </row>
    <row r="64" spans="1:4" x14ac:dyDescent="0.25">
      <c r="A64" s="1">
        <v>3</v>
      </c>
      <c r="B64" s="1">
        <v>5</v>
      </c>
      <c r="C64" s="2">
        <f t="shared" si="0"/>
        <v>2</v>
      </c>
      <c r="D64" s="1">
        <f t="shared" si="1"/>
        <v>4.5786796161405938</v>
      </c>
    </row>
    <row r="65" spans="1:4" x14ac:dyDescent="0.25">
      <c r="A65" s="1">
        <v>4</v>
      </c>
      <c r="B65" s="1">
        <v>3</v>
      </c>
      <c r="C65" s="2">
        <f t="shared" si="0"/>
        <v>-1</v>
      </c>
      <c r="D65" s="1">
        <f t="shared" si="1"/>
        <v>0.73996993872123951</v>
      </c>
    </row>
    <row r="66" spans="1:4" x14ac:dyDescent="0.25">
      <c r="A66" s="1">
        <v>2</v>
      </c>
      <c r="B66" s="1">
        <v>3</v>
      </c>
      <c r="C66" s="2">
        <f t="shared" si="0"/>
        <v>1</v>
      </c>
      <c r="D66" s="1">
        <f t="shared" si="1"/>
        <v>1.2991097236674758</v>
      </c>
    </row>
    <row r="67" spans="1:4" x14ac:dyDescent="0.25">
      <c r="A67" s="1">
        <v>4</v>
      </c>
      <c r="B67" s="1">
        <v>3</v>
      </c>
      <c r="C67" s="2">
        <f t="shared" ref="C67:C94" si="2">B67-A67</f>
        <v>-1</v>
      </c>
      <c r="D67" s="1">
        <f t="shared" si="1"/>
        <v>0.73996993872123951</v>
      </c>
    </row>
    <row r="68" spans="1:4" x14ac:dyDescent="0.25">
      <c r="A68" s="1">
        <v>4</v>
      </c>
      <c r="B68" s="1">
        <v>3</v>
      </c>
      <c r="C68" s="2">
        <f t="shared" si="2"/>
        <v>-1</v>
      </c>
      <c r="D68" s="1">
        <f t="shared" si="1"/>
        <v>0.73996993872123951</v>
      </c>
    </row>
    <row r="69" spans="1:4" x14ac:dyDescent="0.25">
      <c r="A69" s="1">
        <v>5</v>
      </c>
      <c r="B69" s="1">
        <v>3</v>
      </c>
      <c r="C69" s="2">
        <f t="shared" si="2"/>
        <v>-2</v>
      </c>
      <c r="D69" s="1">
        <f t="shared" ref="D69:D94" si="3">(C69-$G$6)^2</f>
        <v>3.4604000462481217</v>
      </c>
    </row>
    <row r="70" spans="1:4" x14ac:dyDescent="0.25">
      <c r="A70" s="1">
        <v>3</v>
      </c>
      <c r="B70" s="1">
        <v>2</v>
      </c>
      <c r="C70" s="2">
        <f t="shared" si="2"/>
        <v>-1</v>
      </c>
      <c r="D70" s="1">
        <f t="shared" si="3"/>
        <v>0.73996993872123951</v>
      </c>
    </row>
    <row r="71" spans="1:4" x14ac:dyDescent="0.25">
      <c r="A71" s="1">
        <v>3</v>
      </c>
      <c r="B71" s="1">
        <v>4</v>
      </c>
      <c r="C71" s="2">
        <f t="shared" si="2"/>
        <v>1</v>
      </c>
      <c r="D71" s="1">
        <f t="shared" si="3"/>
        <v>1.2991097236674758</v>
      </c>
    </row>
    <row r="72" spans="1:4" x14ac:dyDescent="0.25">
      <c r="A72" s="1">
        <v>5</v>
      </c>
      <c r="B72" s="1">
        <v>2</v>
      </c>
      <c r="C72" s="2">
        <f t="shared" si="2"/>
        <v>-3</v>
      </c>
      <c r="D72" s="1">
        <f t="shared" si="3"/>
        <v>8.1808301537750037</v>
      </c>
    </row>
    <row r="73" spans="1:4" x14ac:dyDescent="0.25">
      <c r="A73" s="1">
        <v>3</v>
      </c>
      <c r="B73" s="1">
        <v>3</v>
      </c>
      <c r="C73" s="2">
        <f t="shared" si="2"/>
        <v>0</v>
      </c>
      <c r="D73" s="1">
        <f t="shared" si="3"/>
        <v>1.9539831194357725E-2</v>
      </c>
    </row>
    <row r="74" spans="1:4" x14ac:dyDescent="0.25">
      <c r="A74" s="1">
        <v>4</v>
      </c>
      <c r="B74" s="1">
        <v>5</v>
      </c>
      <c r="C74" s="2">
        <f t="shared" si="2"/>
        <v>1</v>
      </c>
      <c r="D74" s="1">
        <f t="shared" si="3"/>
        <v>1.2991097236674758</v>
      </c>
    </row>
    <row r="75" spans="1:4" x14ac:dyDescent="0.25">
      <c r="A75" s="1">
        <v>3</v>
      </c>
      <c r="B75" s="1">
        <v>5</v>
      </c>
      <c r="C75" s="2">
        <f t="shared" si="2"/>
        <v>2</v>
      </c>
      <c r="D75" s="1">
        <f t="shared" si="3"/>
        <v>4.5786796161405938</v>
      </c>
    </row>
    <row r="76" spans="1:4" x14ac:dyDescent="0.25">
      <c r="A76" s="1">
        <v>4</v>
      </c>
      <c r="B76" s="1">
        <v>4</v>
      </c>
      <c r="C76" s="2">
        <f t="shared" si="2"/>
        <v>0</v>
      </c>
      <c r="D76" s="1">
        <f t="shared" si="3"/>
        <v>1.9539831194357725E-2</v>
      </c>
    </row>
    <row r="77" spans="1:4" x14ac:dyDescent="0.25">
      <c r="A77" s="1">
        <v>4</v>
      </c>
      <c r="B77" s="1">
        <v>2</v>
      </c>
      <c r="C77" s="2">
        <f t="shared" si="2"/>
        <v>-2</v>
      </c>
      <c r="D77" s="1">
        <f t="shared" si="3"/>
        <v>3.4604000462481217</v>
      </c>
    </row>
    <row r="78" spans="1:4" x14ac:dyDescent="0.25">
      <c r="A78" s="1">
        <v>3</v>
      </c>
      <c r="B78" s="1">
        <v>3</v>
      </c>
      <c r="C78" s="2">
        <f t="shared" si="2"/>
        <v>0</v>
      </c>
      <c r="D78" s="1">
        <f t="shared" si="3"/>
        <v>1.9539831194357725E-2</v>
      </c>
    </row>
    <row r="79" spans="1:4" x14ac:dyDescent="0.25">
      <c r="A79" s="1">
        <v>5</v>
      </c>
      <c r="B79" s="1">
        <v>2</v>
      </c>
      <c r="C79" s="2">
        <f t="shared" si="2"/>
        <v>-3</v>
      </c>
      <c r="D79" s="1">
        <f t="shared" si="3"/>
        <v>8.1808301537750037</v>
      </c>
    </row>
    <row r="80" spans="1:4" x14ac:dyDescent="0.25">
      <c r="A80" s="1">
        <v>4</v>
      </c>
      <c r="B80" s="1">
        <v>3</v>
      </c>
      <c r="C80" s="2">
        <f t="shared" si="2"/>
        <v>-1</v>
      </c>
      <c r="D80" s="1">
        <f t="shared" si="3"/>
        <v>0.73996993872123951</v>
      </c>
    </row>
    <row r="81" spans="1:6" x14ac:dyDescent="0.25">
      <c r="A81" s="1">
        <v>2</v>
      </c>
      <c r="B81" s="1">
        <v>3</v>
      </c>
      <c r="C81" s="2">
        <f t="shared" si="2"/>
        <v>1</v>
      </c>
      <c r="D81" s="1">
        <f t="shared" si="3"/>
        <v>1.2991097236674758</v>
      </c>
    </row>
    <row r="82" spans="1:6" x14ac:dyDescent="0.25">
      <c r="A82" s="1">
        <v>1</v>
      </c>
      <c r="B82" s="1">
        <v>5</v>
      </c>
      <c r="C82" s="2">
        <f t="shared" si="2"/>
        <v>4</v>
      </c>
      <c r="D82" s="1">
        <f t="shared" si="3"/>
        <v>17.13781940108683</v>
      </c>
    </row>
    <row r="83" spans="1:6" x14ac:dyDescent="0.25">
      <c r="A83" s="1">
        <v>4</v>
      </c>
      <c r="B83" s="1">
        <v>4</v>
      </c>
      <c r="C83" s="2">
        <f t="shared" si="2"/>
        <v>0</v>
      </c>
      <c r="D83" s="1">
        <f t="shared" si="3"/>
        <v>1.9539831194357725E-2</v>
      </c>
    </row>
    <row r="84" spans="1:6" x14ac:dyDescent="0.25">
      <c r="A84" s="1">
        <v>4</v>
      </c>
      <c r="B84" s="1">
        <v>4</v>
      </c>
      <c r="C84" s="2">
        <f t="shared" si="2"/>
        <v>0</v>
      </c>
      <c r="D84" s="1">
        <f t="shared" si="3"/>
        <v>1.9539831194357725E-2</v>
      </c>
    </row>
    <row r="85" spans="1:6" x14ac:dyDescent="0.25">
      <c r="A85" s="1">
        <v>3</v>
      </c>
      <c r="B85" s="1">
        <v>5</v>
      </c>
      <c r="C85" s="2">
        <f t="shared" si="2"/>
        <v>2</v>
      </c>
      <c r="D85" s="1">
        <f t="shared" si="3"/>
        <v>4.5786796161405938</v>
      </c>
    </row>
    <row r="86" spans="1:6" x14ac:dyDescent="0.25">
      <c r="A86" s="1">
        <v>4</v>
      </c>
      <c r="B86" s="1">
        <v>4</v>
      </c>
      <c r="C86" s="2">
        <f t="shared" si="2"/>
        <v>0</v>
      </c>
      <c r="D86" s="1">
        <f t="shared" si="3"/>
        <v>1.9539831194357725E-2</v>
      </c>
    </row>
    <row r="87" spans="1:6" x14ac:dyDescent="0.25">
      <c r="A87" s="1">
        <v>5</v>
      </c>
      <c r="B87" s="1">
        <v>3</v>
      </c>
      <c r="C87" s="2">
        <f t="shared" si="2"/>
        <v>-2</v>
      </c>
      <c r="D87" s="1">
        <f t="shared" si="3"/>
        <v>3.4604000462481217</v>
      </c>
    </row>
    <row r="88" spans="1:6" x14ac:dyDescent="0.25">
      <c r="A88" s="1">
        <v>5</v>
      </c>
      <c r="B88" s="1">
        <v>3</v>
      </c>
      <c r="C88" s="2">
        <f t="shared" si="2"/>
        <v>-2</v>
      </c>
      <c r="D88" s="1">
        <f t="shared" si="3"/>
        <v>3.4604000462481217</v>
      </c>
    </row>
    <row r="89" spans="1:6" x14ac:dyDescent="0.25">
      <c r="A89" s="1">
        <v>3</v>
      </c>
      <c r="B89" s="1">
        <v>1</v>
      </c>
      <c r="C89" s="2">
        <f t="shared" si="2"/>
        <v>-2</v>
      </c>
      <c r="D89" s="1">
        <f t="shared" si="3"/>
        <v>3.4604000462481217</v>
      </c>
    </row>
    <row r="90" spans="1:6" x14ac:dyDescent="0.25">
      <c r="A90" s="1">
        <v>3</v>
      </c>
      <c r="B90" s="1">
        <v>2</v>
      </c>
      <c r="C90" s="2">
        <f t="shared" si="2"/>
        <v>-1</v>
      </c>
      <c r="D90" s="1">
        <f t="shared" si="3"/>
        <v>0.73996993872123951</v>
      </c>
    </row>
    <row r="91" spans="1:6" x14ac:dyDescent="0.25">
      <c r="A91" s="1">
        <v>5</v>
      </c>
      <c r="B91" s="1">
        <v>3</v>
      </c>
      <c r="C91" s="2">
        <f t="shared" si="2"/>
        <v>-2</v>
      </c>
      <c r="D91" s="1">
        <f t="shared" si="3"/>
        <v>3.4604000462481217</v>
      </c>
    </row>
    <row r="92" spans="1:6" x14ac:dyDescent="0.25">
      <c r="A92" s="1">
        <v>4</v>
      </c>
      <c r="B92" s="1">
        <v>4</v>
      </c>
      <c r="C92" s="2">
        <f t="shared" si="2"/>
        <v>0</v>
      </c>
      <c r="D92" s="1">
        <f t="shared" si="3"/>
        <v>1.9539831194357725E-2</v>
      </c>
    </row>
    <row r="93" spans="1:6" x14ac:dyDescent="0.25">
      <c r="A93" s="1">
        <v>4</v>
      </c>
      <c r="B93" s="1">
        <v>3</v>
      </c>
      <c r="C93" s="2">
        <f t="shared" si="2"/>
        <v>-1</v>
      </c>
      <c r="D93" s="1">
        <f t="shared" si="3"/>
        <v>0.73996993872123951</v>
      </c>
      <c r="F93" s="6"/>
    </row>
    <row r="94" spans="1:6" x14ac:dyDescent="0.25">
      <c r="A94" s="1">
        <v>3</v>
      </c>
      <c r="B94" s="1">
        <v>2</v>
      </c>
      <c r="C94" s="2">
        <f t="shared" si="2"/>
        <v>-1</v>
      </c>
      <c r="D94" s="1">
        <f t="shared" si="3"/>
        <v>0.73996993872123951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115" zoomScaleNormal="115" workbookViewId="0">
      <selection activeCell="I7" sqref="I7"/>
    </sheetView>
  </sheetViews>
  <sheetFormatPr baseColWidth="10" defaultColWidth="9.140625" defaultRowHeight="15" x14ac:dyDescent="0.25"/>
  <cols>
    <col min="1" max="1" width="25.42578125" style="1" customWidth="1"/>
    <col min="2" max="2" width="28.42578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35" x14ac:dyDescent="0.25">
      <c r="A1" s="7" t="s">
        <v>30</v>
      </c>
      <c r="B1" s="10" t="s">
        <v>40</v>
      </c>
      <c r="C1" s="4" t="s">
        <v>0</v>
      </c>
      <c r="D1" s="4"/>
    </row>
    <row r="2" spans="1:7" x14ac:dyDescent="0.25">
      <c r="A2" s="1">
        <v>4</v>
      </c>
      <c r="B2" s="1">
        <v>3</v>
      </c>
      <c r="C2" s="2">
        <f>B2-A2</f>
        <v>-1</v>
      </c>
      <c r="D2" s="1">
        <f>(C2-$G$6)^2</f>
        <v>0.8953636258526998</v>
      </c>
    </row>
    <row r="3" spans="1:7" x14ac:dyDescent="0.25">
      <c r="A3" s="1">
        <v>5</v>
      </c>
      <c r="B3" s="1">
        <v>4</v>
      </c>
      <c r="C3" s="2">
        <f t="shared" ref="C3:C66" si="0">B3-A3</f>
        <v>-1</v>
      </c>
      <c r="D3" s="1">
        <f>(C3-$G$6)^2</f>
        <v>0.8953636258526998</v>
      </c>
      <c r="F3" s="5" t="s">
        <v>13</v>
      </c>
      <c r="G3" s="5"/>
    </row>
    <row r="4" spans="1:7" x14ac:dyDescent="0.25">
      <c r="A4" s="1">
        <v>4</v>
      </c>
      <c r="B4" s="1">
        <v>4</v>
      </c>
      <c r="C4" s="2">
        <f t="shared" si="0"/>
        <v>0</v>
      </c>
      <c r="D4" s="1">
        <f>(C4-$G$6)^2</f>
        <v>2.8905075731298418E-3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4</v>
      </c>
      <c r="C5" s="2">
        <f t="shared" si="0"/>
        <v>1</v>
      </c>
      <c r="D5" s="1">
        <f t="shared" ref="D5:D68" si="1">(C5-$G$6)^2</f>
        <v>1.1104173892935598</v>
      </c>
      <c r="F5" t="s">
        <v>2</v>
      </c>
      <c r="G5">
        <f>SUM(C:C)</f>
        <v>-5</v>
      </c>
    </row>
    <row r="6" spans="1:7" x14ac:dyDescent="0.25">
      <c r="A6" s="1">
        <v>2</v>
      </c>
      <c r="B6" s="1">
        <v>5</v>
      </c>
      <c r="C6" s="2">
        <f t="shared" si="0"/>
        <v>3</v>
      </c>
      <c r="D6" s="1">
        <f t="shared" si="1"/>
        <v>9.3254711527344192</v>
      </c>
      <c r="F6" t="s">
        <v>1</v>
      </c>
      <c r="G6">
        <f>G5/G4</f>
        <v>-5.3763440860215055E-2</v>
      </c>
    </row>
    <row r="7" spans="1:7" x14ac:dyDescent="0.25">
      <c r="A7" s="1">
        <v>2</v>
      </c>
      <c r="B7" s="1">
        <v>5</v>
      </c>
      <c r="C7" s="2">
        <f t="shared" si="0"/>
        <v>3</v>
      </c>
      <c r="D7" s="1">
        <f t="shared" si="1"/>
        <v>9.3254711527344192</v>
      </c>
      <c r="F7" t="s">
        <v>18</v>
      </c>
      <c r="G7">
        <f>SUM(D:D)</f>
        <v>222.73118279569889</v>
      </c>
    </row>
    <row r="8" spans="1:7" x14ac:dyDescent="0.25">
      <c r="A8" s="1">
        <v>4</v>
      </c>
      <c r="B8" s="1">
        <v>2</v>
      </c>
      <c r="C8" s="2">
        <f t="shared" si="0"/>
        <v>-2</v>
      </c>
      <c r="D8" s="1">
        <f t="shared" si="1"/>
        <v>3.78783674413227</v>
      </c>
      <c r="F8" t="s">
        <v>4</v>
      </c>
      <c r="G8">
        <f>SQRT(G7/(G4-1))</f>
        <v>1.5559534431802748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1.1104173892935598</v>
      </c>
    </row>
    <row r="10" spans="1:7" x14ac:dyDescent="0.25">
      <c r="A10" s="1">
        <v>4</v>
      </c>
      <c r="B10" s="1">
        <v>3</v>
      </c>
      <c r="C10" s="2">
        <f t="shared" si="0"/>
        <v>-1</v>
      </c>
      <c r="D10" s="1">
        <f t="shared" si="1"/>
        <v>0.8953636258526998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2.8905075731298418E-3</v>
      </c>
    </row>
    <row r="12" spans="1:7" x14ac:dyDescent="0.25">
      <c r="A12" s="1">
        <v>2</v>
      </c>
      <c r="B12" s="1">
        <v>1</v>
      </c>
      <c r="C12" s="2">
        <f t="shared" si="0"/>
        <v>-1</v>
      </c>
      <c r="D12" s="1">
        <f t="shared" si="1"/>
        <v>0.8953636258526998</v>
      </c>
      <c r="F12" t="s">
        <v>8</v>
      </c>
      <c r="G12">
        <f>G6/(G8/SQRT(G4))</f>
        <v>-0.33322066906158793</v>
      </c>
    </row>
    <row r="13" spans="1:7" x14ac:dyDescent="0.25">
      <c r="A13" s="1">
        <v>5</v>
      </c>
      <c r="B13" s="1">
        <v>4</v>
      </c>
      <c r="C13" s="2">
        <f t="shared" si="0"/>
        <v>-1</v>
      </c>
      <c r="D13" s="1">
        <f t="shared" si="1"/>
        <v>0.8953636258526998</v>
      </c>
    </row>
    <row r="14" spans="1:7" x14ac:dyDescent="0.25">
      <c r="A14" s="1">
        <v>5</v>
      </c>
      <c r="B14" s="1">
        <v>4</v>
      </c>
      <c r="C14" s="2">
        <f t="shared" si="0"/>
        <v>-1</v>
      </c>
      <c r="D14" s="1">
        <f t="shared" si="1"/>
        <v>0.8953636258526998</v>
      </c>
    </row>
    <row r="15" spans="1:7" x14ac:dyDescent="0.25">
      <c r="A15" s="1">
        <v>4</v>
      </c>
      <c r="B15" s="1">
        <v>2</v>
      </c>
      <c r="C15" s="2">
        <f t="shared" si="0"/>
        <v>-2</v>
      </c>
      <c r="D15" s="1">
        <f t="shared" si="1"/>
        <v>3.78783674413227</v>
      </c>
    </row>
    <row r="16" spans="1:7" x14ac:dyDescent="0.25">
      <c r="A16" s="1">
        <v>5</v>
      </c>
      <c r="B16" s="1">
        <v>2</v>
      </c>
      <c r="C16" s="2">
        <f t="shared" si="0"/>
        <v>-3</v>
      </c>
      <c r="D16" s="1">
        <f t="shared" si="1"/>
        <v>8.6803098624118391</v>
      </c>
    </row>
    <row r="17" spans="1:7" x14ac:dyDescent="0.25">
      <c r="A17" s="1">
        <v>4</v>
      </c>
      <c r="B17" s="1">
        <v>4</v>
      </c>
      <c r="C17" s="2">
        <f t="shared" si="0"/>
        <v>0</v>
      </c>
      <c r="D17" s="1">
        <f t="shared" si="1"/>
        <v>2.8905075731298418E-3</v>
      </c>
      <c r="F17" t="s">
        <v>5</v>
      </c>
      <c r="G17">
        <v>0.05</v>
      </c>
    </row>
    <row r="18" spans="1:7" x14ac:dyDescent="0.25">
      <c r="A18" s="1">
        <v>3</v>
      </c>
      <c r="B18" s="1">
        <v>2</v>
      </c>
      <c r="C18" s="2">
        <f t="shared" si="0"/>
        <v>-1</v>
      </c>
      <c r="D18" s="1">
        <f t="shared" si="1"/>
        <v>0.8953636258526998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3</v>
      </c>
      <c r="C19" s="2">
        <f t="shared" si="0"/>
        <v>-1</v>
      </c>
      <c r="D19" s="1">
        <f t="shared" si="1"/>
        <v>0.8953636258526998</v>
      </c>
    </row>
    <row r="20" spans="1:7" x14ac:dyDescent="0.25">
      <c r="A20" s="1">
        <v>2</v>
      </c>
      <c r="B20" s="1">
        <v>3</v>
      </c>
      <c r="C20" s="2">
        <f t="shared" si="0"/>
        <v>1</v>
      </c>
      <c r="D20" s="1">
        <f t="shared" si="1"/>
        <v>1.1104173892935598</v>
      </c>
    </row>
    <row r="21" spans="1:7" x14ac:dyDescent="0.25">
      <c r="A21" s="1">
        <v>2</v>
      </c>
      <c r="B21" s="1">
        <v>5</v>
      </c>
      <c r="C21" s="2">
        <f t="shared" si="0"/>
        <v>3</v>
      </c>
      <c r="D21" s="1">
        <f t="shared" si="1"/>
        <v>9.3254711527344192</v>
      </c>
    </row>
    <row r="22" spans="1:7" x14ac:dyDescent="0.25">
      <c r="A22" s="1">
        <v>4</v>
      </c>
      <c r="B22" s="1">
        <v>5</v>
      </c>
      <c r="C22" s="2">
        <f t="shared" si="0"/>
        <v>1</v>
      </c>
      <c r="D22" s="1">
        <f t="shared" si="1"/>
        <v>1.1104173892935598</v>
      </c>
      <c r="F22" s="5" t="s">
        <v>7</v>
      </c>
      <c r="G22" s="5"/>
    </row>
    <row r="23" spans="1:7" x14ac:dyDescent="0.25">
      <c r="A23" s="1">
        <v>4</v>
      </c>
      <c r="B23" s="1">
        <v>3</v>
      </c>
      <c r="C23" s="2">
        <f t="shared" si="0"/>
        <v>-1</v>
      </c>
      <c r="D23" s="1">
        <f t="shared" si="1"/>
        <v>0.8953636258526998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3</v>
      </c>
      <c r="C24" s="2">
        <f t="shared" si="0"/>
        <v>-1</v>
      </c>
      <c r="D24" s="1">
        <f t="shared" si="1"/>
        <v>0.8953636258526998</v>
      </c>
      <c r="F24" t="s">
        <v>17</v>
      </c>
      <c r="G24">
        <f>_xlfn.T.INV(G17,G18)</f>
        <v>-1.6615853969032315</v>
      </c>
    </row>
    <row r="25" spans="1:7" x14ac:dyDescent="0.25">
      <c r="A25" s="1">
        <v>3</v>
      </c>
      <c r="B25" s="1">
        <v>3</v>
      </c>
      <c r="C25" s="2">
        <f t="shared" si="0"/>
        <v>0</v>
      </c>
      <c r="D25" s="1">
        <f t="shared" si="1"/>
        <v>2.8905075731298418E-3</v>
      </c>
    </row>
    <row r="26" spans="1:7" x14ac:dyDescent="0.25">
      <c r="A26" s="1">
        <v>4</v>
      </c>
      <c r="B26" s="1">
        <v>3</v>
      </c>
      <c r="C26" s="2">
        <f t="shared" si="0"/>
        <v>-1</v>
      </c>
      <c r="D26" s="1">
        <f t="shared" si="1"/>
        <v>0.8953636258526998</v>
      </c>
    </row>
    <row r="27" spans="1:7" x14ac:dyDescent="0.25">
      <c r="A27" s="1">
        <v>3</v>
      </c>
      <c r="B27" s="1">
        <v>3</v>
      </c>
      <c r="C27" s="2">
        <f t="shared" si="0"/>
        <v>0</v>
      </c>
      <c r="D27" s="1">
        <f t="shared" si="1"/>
        <v>2.8905075731298418E-3</v>
      </c>
      <c r="F27" s="5" t="s">
        <v>9</v>
      </c>
      <c r="G27" s="5"/>
    </row>
    <row r="28" spans="1:7" x14ac:dyDescent="0.25">
      <c r="A28" s="1">
        <v>4</v>
      </c>
      <c r="B28" s="1">
        <v>4</v>
      </c>
      <c r="C28" s="2">
        <f t="shared" si="0"/>
        <v>0</v>
      </c>
      <c r="D28" s="1">
        <f t="shared" si="1"/>
        <v>2.8905075731298418E-3</v>
      </c>
      <c r="F28" t="s">
        <v>9</v>
      </c>
    </row>
    <row r="29" spans="1:7" x14ac:dyDescent="0.25">
      <c r="A29" s="1">
        <v>3</v>
      </c>
      <c r="B29" s="1">
        <v>3</v>
      </c>
      <c r="C29" s="2">
        <f t="shared" si="0"/>
        <v>0</v>
      </c>
      <c r="D29" s="1">
        <f t="shared" si="1"/>
        <v>2.8905075731298418E-3</v>
      </c>
      <c r="F29" t="s">
        <v>15</v>
      </c>
      <c r="G29">
        <f>TTEST(A:A,B:B,2,1)</f>
        <v>0.73972592700272277</v>
      </c>
    </row>
    <row r="30" spans="1:7" x14ac:dyDescent="0.25">
      <c r="A30" s="1">
        <v>3</v>
      </c>
      <c r="B30" s="1">
        <v>5</v>
      </c>
      <c r="C30" s="2">
        <f t="shared" si="0"/>
        <v>2</v>
      </c>
      <c r="D30" s="1">
        <f t="shared" si="1"/>
        <v>4.2179442710139901</v>
      </c>
      <c r="F30" t="s">
        <v>19</v>
      </c>
      <c r="G30">
        <f>TTEST(A:A,B:B,1,1)</f>
        <v>0.36986296350136139</v>
      </c>
    </row>
    <row r="31" spans="1:7" x14ac:dyDescent="0.25">
      <c r="A31" s="1">
        <v>4</v>
      </c>
      <c r="B31" s="1">
        <v>3</v>
      </c>
      <c r="C31" s="2">
        <f t="shared" si="0"/>
        <v>-1</v>
      </c>
      <c r="D31" s="1">
        <f t="shared" si="1"/>
        <v>0.8953636258526998</v>
      </c>
    </row>
    <row r="32" spans="1:7" x14ac:dyDescent="0.25">
      <c r="A32" s="1">
        <v>1</v>
      </c>
      <c r="B32" s="1">
        <v>3</v>
      </c>
      <c r="C32" s="2">
        <f t="shared" si="0"/>
        <v>2</v>
      </c>
      <c r="D32" s="1">
        <f t="shared" si="1"/>
        <v>4.2179442710139901</v>
      </c>
    </row>
    <row r="33" spans="1:7" x14ac:dyDescent="0.25">
      <c r="A33" s="1">
        <v>3</v>
      </c>
      <c r="B33" s="1">
        <v>1</v>
      </c>
      <c r="C33" s="2">
        <f t="shared" si="0"/>
        <v>-2</v>
      </c>
      <c r="D33" s="1">
        <f t="shared" si="1"/>
        <v>3.78783674413227</v>
      </c>
      <c r="F33" s="8" t="s">
        <v>12</v>
      </c>
      <c r="G33" s="8"/>
    </row>
    <row r="34" spans="1:7" x14ac:dyDescent="0.25">
      <c r="A34" s="1">
        <v>5</v>
      </c>
      <c r="B34" s="1">
        <v>5</v>
      </c>
      <c r="C34" s="2">
        <f t="shared" si="0"/>
        <v>0</v>
      </c>
      <c r="D34" s="1">
        <f t="shared" si="1"/>
        <v>2.8905075731298418E-3</v>
      </c>
    </row>
    <row r="35" spans="1:7" x14ac:dyDescent="0.25">
      <c r="A35" s="1">
        <v>2</v>
      </c>
      <c r="B35" s="1">
        <v>5</v>
      </c>
      <c r="C35" s="2">
        <f t="shared" si="0"/>
        <v>3</v>
      </c>
      <c r="D35" s="1">
        <f t="shared" si="1"/>
        <v>9.3254711527344192</v>
      </c>
      <c r="F35" t="s">
        <v>10</v>
      </c>
    </row>
    <row r="36" spans="1:7" x14ac:dyDescent="0.25">
      <c r="A36" s="1">
        <v>3</v>
      </c>
      <c r="B36" s="1">
        <v>4</v>
      </c>
      <c r="C36" s="2">
        <f t="shared" si="0"/>
        <v>1</v>
      </c>
      <c r="D36" s="1">
        <f t="shared" si="1"/>
        <v>1.1104173892935598</v>
      </c>
      <c r="F36" t="s">
        <v>11</v>
      </c>
    </row>
    <row r="37" spans="1:7" x14ac:dyDescent="0.25">
      <c r="A37" s="1">
        <v>2</v>
      </c>
      <c r="B37" s="1">
        <v>4</v>
      </c>
      <c r="C37" s="2">
        <f t="shared" si="0"/>
        <v>2</v>
      </c>
      <c r="D37" s="1">
        <f t="shared" si="1"/>
        <v>4.2179442710139901</v>
      </c>
    </row>
    <row r="38" spans="1:7" x14ac:dyDescent="0.25">
      <c r="A38" s="1">
        <v>2</v>
      </c>
      <c r="B38" s="1">
        <v>4</v>
      </c>
      <c r="C38" s="2">
        <f t="shared" si="0"/>
        <v>2</v>
      </c>
      <c r="D38" s="1">
        <f t="shared" si="1"/>
        <v>4.2179442710139901</v>
      </c>
    </row>
    <row r="39" spans="1:7" x14ac:dyDescent="0.25">
      <c r="A39" s="1">
        <v>4</v>
      </c>
      <c r="B39" s="1">
        <v>2</v>
      </c>
      <c r="C39" s="2">
        <f t="shared" si="0"/>
        <v>-2</v>
      </c>
      <c r="D39" s="1">
        <f t="shared" si="1"/>
        <v>3.78783674413227</v>
      </c>
    </row>
    <row r="40" spans="1:7" x14ac:dyDescent="0.25">
      <c r="A40" s="1">
        <v>5</v>
      </c>
      <c r="B40" s="1">
        <v>4</v>
      </c>
      <c r="C40" s="2">
        <f t="shared" si="0"/>
        <v>-1</v>
      </c>
      <c r="D40" s="1">
        <f t="shared" si="1"/>
        <v>0.8953636258526998</v>
      </c>
      <c r="F40" t="s">
        <v>14</v>
      </c>
    </row>
    <row r="41" spans="1:7" x14ac:dyDescent="0.25">
      <c r="A41" s="1">
        <v>4</v>
      </c>
      <c r="B41" s="1">
        <v>4</v>
      </c>
      <c r="C41" s="2">
        <f t="shared" si="0"/>
        <v>0</v>
      </c>
      <c r="D41" s="1">
        <f t="shared" si="1"/>
        <v>2.8905075731298418E-3</v>
      </c>
      <c r="F41" t="str">
        <f>"Dos Colas: Si t calculado ("&amp;G12&amp;") &gt; a t critico  ("&amp;G23&amp;") (de tabla) ---&gt; Se rechaza la hipotesis nula"</f>
        <v>Dos Colas: Si t calculado (-0.333220669061588) &gt; a t critico  (1.98608631695113) (de tabla) ---&gt; Se rechaza la hipotesis nula</v>
      </c>
    </row>
    <row r="42" spans="1:7" x14ac:dyDescent="0.25">
      <c r="A42" s="1">
        <v>3</v>
      </c>
      <c r="B42" s="1">
        <v>3</v>
      </c>
      <c r="C42" s="2">
        <f t="shared" si="0"/>
        <v>0</v>
      </c>
      <c r="D42" s="1">
        <f t="shared" si="1"/>
        <v>2.8905075731298418E-3</v>
      </c>
      <c r="F42" t="str">
        <f>"Una Cola: Si t calculado ("&amp;G12&amp;") &gt; a t critico  ("&amp;G24&amp;") (de tabla) ---&gt; Se rechaza la hipotesis nula"</f>
        <v>Una Cola: Si t calculado (-0.333220669061588) &gt; a t critico  (-1.66158539690323) (de tabla) ---&gt; Se rechaza la hipotesis nula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2.8905075731298418E-3</v>
      </c>
    </row>
    <row r="44" spans="1:7" x14ac:dyDescent="0.25">
      <c r="A44" s="1">
        <v>4</v>
      </c>
      <c r="B44" s="1">
        <v>3</v>
      </c>
      <c r="C44" s="2">
        <f t="shared" si="0"/>
        <v>-1</v>
      </c>
      <c r="D44" s="1">
        <f t="shared" si="1"/>
        <v>0.8953636258526998</v>
      </c>
    </row>
    <row r="45" spans="1:7" x14ac:dyDescent="0.25">
      <c r="A45" s="1">
        <v>5</v>
      </c>
      <c r="B45" s="1">
        <v>5</v>
      </c>
      <c r="C45" s="2">
        <f t="shared" si="0"/>
        <v>0</v>
      </c>
      <c r="D45" s="1">
        <f t="shared" si="1"/>
        <v>2.8905075731298418E-3</v>
      </c>
    </row>
    <row r="46" spans="1:7" x14ac:dyDescent="0.25">
      <c r="A46" s="1">
        <v>2</v>
      </c>
      <c r="B46" s="1">
        <v>3</v>
      </c>
      <c r="C46" s="2">
        <f t="shared" si="0"/>
        <v>1</v>
      </c>
      <c r="D46" s="1">
        <f t="shared" si="1"/>
        <v>1.1104173892935598</v>
      </c>
      <c r="F46" t="s">
        <v>21</v>
      </c>
    </row>
    <row r="47" spans="1:7" x14ac:dyDescent="0.25">
      <c r="A47" s="1">
        <v>1</v>
      </c>
      <c r="B47" s="1">
        <v>5</v>
      </c>
      <c r="C47" s="2">
        <f t="shared" si="0"/>
        <v>4</v>
      </c>
      <c r="D47" s="1">
        <f t="shared" si="1"/>
        <v>16.432998034454851</v>
      </c>
      <c r="F47" t="str">
        <f>"Dos Colas: Si p valor ("&amp;G29&amp;") &lt; Nivel Significancia ("&amp;G17&amp;") ---&gt; Se rechaza la hipotesis nula"</f>
        <v>Dos Colas: Si p valor (0.739725927002723) &lt; Nivel Significancia (0.05) ---&gt; Se rechaza la hipotesis nula</v>
      </c>
    </row>
    <row r="48" spans="1:7" x14ac:dyDescent="0.25">
      <c r="A48" s="1">
        <v>3</v>
      </c>
      <c r="B48" s="1">
        <v>5</v>
      </c>
      <c r="C48" s="2">
        <f t="shared" si="0"/>
        <v>2</v>
      </c>
      <c r="D48" s="1">
        <f t="shared" si="1"/>
        <v>4.2179442710139901</v>
      </c>
      <c r="F48" t="str">
        <f>"Una Cola: Si p valor ("&amp;G30&amp;") &lt; Nivel Significancia ("&amp;G17&amp;") ---&gt; Se rechaza la hipotesis nula"</f>
        <v>Una Cola: Si p valor (0.369862963501361) &lt; Nivel Significancia (0.05) ---&gt; Se rechaza la hipotesis nula</v>
      </c>
    </row>
    <row r="49" spans="1:4" x14ac:dyDescent="0.25">
      <c r="A49" s="1">
        <v>4</v>
      </c>
      <c r="B49" s="1">
        <v>2</v>
      </c>
      <c r="C49" s="2">
        <f t="shared" si="0"/>
        <v>-2</v>
      </c>
      <c r="D49" s="1">
        <f t="shared" si="1"/>
        <v>3.78783674413227</v>
      </c>
    </row>
    <row r="50" spans="1:4" x14ac:dyDescent="0.25">
      <c r="A50" s="1">
        <v>4</v>
      </c>
      <c r="B50" s="1">
        <v>5</v>
      </c>
      <c r="C50" s="2">
        <f t="shared" si="0"/>
        <v>1</v>
      </c>
      <c r="D50" s="1">
        <f t="shared" si="1"/>
        <v>1.1104173892935598</v>
      </c>
    </row>
    <row r="51" spans="1:4" x14ac:dyDescent="0.25">
      <c r="A51" s="1">
        <v>5</v>
      </c>
      <c r="B51" s="1">
        <v>3</v>
      </c>
      <c r="C51" s="2">
        <f t="shared" si="0"/>
        <v>-2</v>
      </c>
      <c r="D51" s="1">
        <f t="shared" si="1"/>
        <v>3.78783674413227</v>
      </c>
    </row>
    <row r="52" spans="1:4" x14ac:dyDescent="0.25">
      <c r="A52" s="1">
        <v>2</v>
      </c>
      <c r="B52" s="1">
        <v>4</v>
      </c>
      <c r="C52" s="2">
        <f t="shared" si="0"/>
        <v>2</v>
      </c>
      <c r="D52" s="1">
        <f t="shared" si="1"/>
        <v>4.2179442710139901</v>
      </c>
    </row>
    <row r="53" spans="1:4" x14ac:dyDescent="0.25">
      <c r="A53" s="1">
        <v>5</v>
      </c>
      <c r="B53" s="1">
        <v>4</v>
      </c>
      <c r="C53" s="2">
        <f t="shared" si="0"/>
        <v>-1</v>
      </c>
      <c r="D53" s="1">
        <f t="shared" si="1"/>
        <v>0.8953636258526998</v>
      </c>
    </row>
    <row r="54" spans="1:4" x14ac:dyDescent="0.25">
      <c r="A54" s="1">
        <v>3</v>
      </c>
      <c r="B54" s="1">
        <v>2</v>
      </c>
      <c r="C54" s="2">
        <f t="shared" si="0"/>
        <v>-1</v>
      </c>
      <c r="D54" s="1">
        <f t="shared" si="1"/>
        <v>0.8953636258526998</v>
      </c>
    </row>
    <row r="55" spans="1:4" x14ac:dyDescent="0.25">
      <c r="A55" s="1">
        <v>4</v>
      </c>
      <c r="B55" s="1">
        <v>5</v>
      </c>
      <c r="C55" s="2">
        <f t="shared" si="0"/>
        <v>1</v>
      </c>
      <c r="D55" s="1">
        <f t="shared" si="1"/>
        <v>1.1104173892935598</v>
      </c>
    </row>
    <row r="56" spans="1:4" x14ac:dyDescent="0.25">
      <c r="A56" s="1">
        <v>3</v>
      </c>
      <c r="B56" s="1">
        <v>3</v>
      </c>
      <c r="C56" s="2">
        <f t="shared" si="0"/>
        <v>0</v>
      </c>
      <c r="D56" s="1">
        <f t="shared" si="1"/>
        <v>2.8905075731298418E-3</v>
      </c>
    </row>
    <row r="57" spans="1:4" x14ac:dyDescent="0.25">
      <c r="A57" s="1">
        <v>3</v>
      </c>
      <c r="B57" s="1">
        <v>1</v>
      </c>
      <c r="C57" s="2">
        <f t="shared" si="0"/>
        <v>-2</v>
      </c>
      <c r="D57" s="1">
        <f t="shared" si="1"/>
        <v>3.78783674413227</v>
      </c>
    </row>
    <row r="58" spans="1:4" x14ac:dyDescent="0.25">
      <c r="A58" s="1">
        <v>2</v>
      </c>
      <c r="B58" s="1">
        <v>3</v>
      </c>
      <c r="C58" s="2">
        <f t="shared" si="0"/>
        <v>1</v>
      </c>
      <c r="D58" s="1">
        <f t="shared" si="1"/>
        <v>1.1104173892935598</v>
      </c>
    </row>
    <row r="59" spans="1:4" x14ac:dyDescent="0.25">
      <c r="A59" s="1">
        <v>4</v>
      </c>
      <c r="B59" s="1">
        <v>1</v>
      </c>
      <c r="C59" s="2">
        <f t="shared" si="0"/>
        <v>-3</v>
      </c>
      <c r="D59" s="1">
        <f t="shared" si="1"/>
        <v>8.6803098624118391</v>
      </c>
    </row>
    <row r="60" spans="1:4" x14ac:dyDescent="0.25">
      <c r="A60" s="1">
        <v>5</v>
      </c>
      <c r="B60" s="1">
        <v>5</v>
      </c>
      <c r="C60" s="2">
        <f t="shared" si="0"/>
        <v>0</v>
      </c>
      <c r="D60" s="1">
        <f t="shared" si="1"/>
        <v>2.8905075731298418E-3</v>
      </c>
    </row>
    <row r="61" spans="1:4" x14ac:dyDescent="0.25">
      <c r="A61" s="1">
        <v>5</v>
      </c>
      <c r="B61" s="1">
        <v>4</v>
      </c>
      <c r="C61" s="2">
        <f t="shared" si="0"/>
        <v>-1</v>
      </c>
      <c r="D61" s="1">
        <f t="shared" si="1"/>
        <v>0.8953636258526998</v>
      </c>
    </row>
    <row r="62" spans="1:4" x14ac:dyDescent="0.25">
      <c r="A62" s="1">
        <v>2</v>
      </c>
      <c r="B62" s="1">
        <v>4</v>
      </c>
      <c r="C62" s="2">
        <f t="shared" si="0"/>
        <v>2</v>
      </c>
      <c r="D62" s="1">
        <f t="shared" si="1"/>
        <v>4.2179442710139901</v>
      </c>
    </row>
    <row r="63" spans="1:4" x14ac:dyDescent="0.25">
      <c r="A63" s="1">
        <v>2</v>
      </c>
      <c r="B63" s="1">
        <v>3</v>
      </c>
      <c r="C63" s="2">
        <f t="shared" si="0"/>
        <v>1</v>
      </c>
      <c r="D63" s="1">
        <f t="shared" si="1"/>
        <v>1.1104173892935598</v>
      </c>
    </row>
    <row r="64" spans="1:4" x14ac:dyDescent="0.25">
      <c r="A64" s="1">
        <v>3</v>
      </c>
      <c r="B64" s="1">
        <v>1</v>
      </c>
      <c r="C64" s="2">
        <f t="shared" si="0"/>
        <v>-2</v>
      </c>
      <c r="D64" s="1">
        <f t="shared" si="1"/>
        <v>3.78783674413227</v>
      </c>
    </row>
    <row r="65" spans="1:4" x14ac:dyDescent="0.25">
      <c r="A65" s="1">
        <v>3</v>
      </c>
      <c r="B65" s="1">
        <v>4</v>
      </c>
      <c r="C65" s="2">
        <f t="shared" si="0"/>
        <v>1</v>
      </c>
      <c r="D65" s="1">
        <f t="shared" si="1"/>
        <v>1.1104173892935598</v>
      </c>
    </row>
    <row r="66" spans="1:4" x14ac:dyDescent="0.25">
      <c r="A66" s="1">
        <v>3</v>
      </c>
      <c r="B66" s="1">
        <v>3</v>
      </c>
      <c r="C66" s="2">
        <f t="shared" si="0"/>
        <v>0</v>
      </c>
      <c r="D66" s="1">
        <f t="shared" si="1"/>
        <v>2.8905075731298418E-3</v>
      </c>
    </row>
    <row r="67" spans="1:4" x14ac:dyDescent="0.25">
      <c r="A67" s="1">
        <v>4</v>
      </c>
      <c r="B67" s="1">
        <v>4</v>
      </c>
      <c r="C67" s="2">
        <f t="shared" ref="C67:C94" si="2">B67-A67</f>
        <v>0</v>
      </c>
      <c r="D67" s="1">
        <f t="shared" si="1"/>
        <v>2.8905075731298418E-3</v>
      </c>
    </row>
    <row r="68" spans="1:4" x14ac:dyDescent="0.25">
      <c r="A68" s="1">
        <v>2</v>
      </c>
      <c r="B68" s="1">
        <v>3</v>
      </c>
      <c r="C68" s="2">
        <f t="shared" si="2"/>
        <v>1</v>
      </c>
      <c r="D68" s="1">
        <f t="shared" si="1"/>
        <v>1.1104173892935598</v>
      </c>
    </row>
    <row r="69" spans="1:4" x14ac:dyDescent="0.25">
      <c r="A69" s="1">
        <v>4</v>
      </c>
      <c r="B69" s="1">
        <v>3</v>
      </c>
      <c r="C69" s="2">
        <f t="shared" si="2"/>
        <v>-1</v>
      </c>
      <c r="D69" s="1">
        <f t="shared" ref="D69:D94" si="3">(C69-$G$6)^2</f>
        <v>0.8953636258526998</v>
      </c>
    </row>
    <row r="70" spans="1:4" x14ac:dyDescent="0.25">
      <c r="A70" s="1">
        <v>4</v>
      </c>
      <c r="B70" s="1">
        <v>1</v>
      </c>
      <c r="C70" s="2">
        <f t="shared" si="2"/>
        <v>-3</v>
      </c>
      <c r="D70" s="1">
        <f t="shared" si="3"/>
        <v>8.6803098624118391</v>
      </c>
    </row>
    <row r="71" spans="1:4" x14ac:dyDescent="0.25">
      <c r="A71" s="1">
        <v>3</v>
      </c>
      <c r="B71" s="1">
        <v>3</v>
      </c>
      <c r="C71" s="2">
        <f t="shared" si="2"/>
        <v>0</v>
      </c>
      <c r="D71" s="1">
        <f t="shared" si="3"/>
        <v>2.8905075731298418E-3</v>
      </c>
    </row>
    <row r="72" spans="1:4" x14ac:dyDescent="0.25">
      <c r="A72" s="1">
        <v>5</v>
      </c>
      <c r="B72" s="1">
        <v>4</v>
      </c>
      <c r="C72" s="2">
        <f t="shared" si="2"/>
        <v>-1</v>
      </c>
      <c r="D72" s="1">
        <f t="shared" si="3"/>
        <v>0.8953636258526998</v>
      </c>
    </row>
    <row r="73" spans="1:4" x14ac:dyDescent="0.25">
      <c r="A73" s="1">
        <v>4</v>
      </c>
      <c r="B73" s="1">
        <v>5</v>
      </c>
      <c r="C73" s="2">
        <f t="shared" si="2"/>
        <v>1</v>
      </c>
      <c r="D73" s="1">
        <f t="shared" si="3"/>
        <v>1.1104173892935598</v>
      </c>
    </row>
    <row r="74" spans="1:4" x14ac:dyDescent="0.25">
      <c r="A74" s="1">
        <v>3</v>
      </c>
      <c r="B74" s="1">
        <v>5</v>
      </c>
      <c r="C74" s="2">
        <f t="shared" si="2"/>
        <v>2</v>
      </c>
      <c r="D74" s="1">
        <f t="shared" si="3"/>
        <v>4.2179442710139901</v>
      </c>
    </row>
    <row r="75" spans="1:4" x14ac:dyDescent="0.25">
      <c r="A75" s="1">
        <v>5</v>
      </c>
      <c r="B75" s="1">
        <v>4</v>
      </c>
      <c r="C75" s="2">
        <f t="shared" si="2"/>
        <v>-1</v>
      </c>
      <c r="D75" s="1">
        <f t="shared" si="3"/>
        <v>0.8953636258526998</v>
      </c>
    </row>
    <row r="76" spans="1:4" x14ac:dyDescent="0.25">
      <c r="A76" s="1">
        <v>3</v>
      </c>
      <c r="B76" s="1">
        <v>4</v>
      </c>
      <c r="C76" s="2">
        <f t="shared" si="2"/>
        <v>1</v>
      </c>
      <c r="D76" s="1">
        <f t="shared" si="3"/>
        <v>1.1104173892935598</v>
      </c>
    </row>
    <row r="77" spans="1:4" x14ac:dyDescent="0.25">
      <c r="A77" s="1">
        <v>4</v>
      </c>
      <c r="B77" s="1">
        <v>2</v>
      </c>
      <c r="C77" s="2">
        <f t="shared" si="2"/>
        <v>-2</v>
      </c>
      <c r="D77" s="1">
        <f t="shared" si="3"/>
        <v>3.78783674413227</v>
      </c>
    </row>
    <row r="78" spans="1:4" x14ac:dyDescent="0.25">
      <c r="A78" s="1">
        <v>4</v>
      </c>
      <c r="B78" s="1">
        <v>3</v>
      </c>
      <c r="C78" s="2">
        <f t="shared" si="2"/>
        <v>-1</v>
      </c>
      <c r="D78" s="1">
        <f t="shared" si="3"/>
        <v>0.8953636258526998</v>
      </c>
    </row>
    <row r="79" spans="1:4" x14ac:dyDescent="0.25">
      <c r="A79" s="1">
        <v>4</v>
      </c>
      <c r="B79" s="1">
        <v>3</v>
      </c>
      <c r="C79" s="2">
        <f t="shared" si="2"/>
        <v>-1</v>
      </c>
      <c r="D79" s="1">
        <f t="shared" si="3"/>
        <v>0.8953636258526998</v>
      </c>
    </row>
    <row r="80" spans="1:4" x14ac:dyDescent="0.25">
      <c r="A80" s="1">
        <v>4</v>
      </c>
      <c r="B80" s="1">
        <v>5</v>
      </c>
      <c r="C80" s="2">
        <f t="shared" si="2"/>
        <v>1</v>
      </c>
      <c r="D80" s="1">
        <f t="shared" si="3"/>
        <v>1.1104173892935598</v>
      </c>
    </row>
    <row r="81" spans="1:6" x14ac:dyDescent="0.25">
      <c r="A81" s="1">
        <v>3</v>
      </c>
      <c r="B81" s="1">
        <v>2</v>
      </c>
      <c r="C81" s="2">
        <f t="shared" si="2"/>
        <v>-1</v>
      </c>
      <c r="D81" s="1">
        <f t="shared" si="3"/>
        <v>0.8953636258526998</v>
      </c>
    </row>
    <row r="82" spans="1:6" x14ac:dyDescent="0.25">
      <c r="A82" s="1">
        <v>4</v>
      </c>
      <c r="B82" s="1">
        <v>3</v>
      </c>
      <c r="C82" s="2">
        <f t="shared" si="2"/>
        <v>-1</v>
      </c>
      <c r="D82" s="1">
        <f t="shared" si="3"/>
        <v>0.8953636258526998</v>
      </c>
    </row>
    <row r="83" spans="1:6" x14ac:dyDescent="0.25">
      <c r="A83" s="1">
        <v>3</v>
      </c>
      <c r="B83" s="1">
        <v>5</v>
      </c>
      <c r="C83" s="2">
        <f t="shared" si="2"/>
        <v>2</v>
      </c>
      <c r="D83" s="1">
        <f t="shared" si="3"/>
        <v>4.2179442710139901</v>
      </c>
    </row>
    <row r="84" spans="1:6" x14ac:dyDescent="0.25">
      <c r="A84" s="1">
        <v>3</v>
      </c>
      <c r="B84" s="1">
        <v>3</v>
      </c>
      <c r="C84" s="2">
        <f t="shared" si="2"/>
        <v>0</v>
      </c>
      <c r="D84" s="1">
        <f t="shared" si="3"/>
        <v>2.8905075731298418E-3</v>
      </c>
    </row>
    <row r="85" spans="1:6" x14ac:dyDescent="0.25">
      <c r="A85" s="1">
        <v>3</v>
      </c>
      <c r="B85" s="1">
        <v>3</v>
      </c>
      <c r="C85" s="2">
        <f t="shared" si="2"/>
        <v>0</v>
      </c>
      <c r="D85" s="1">
        <f t="shared" si="3"/>
        <v>2.8905075731298418E-3</v>
      </c>
    </row>
    <row r="86" spans="1:6" x14ac:dyDescent="0.25">
      <c r="A86" s="1">
        <v>1</v>
      </c>
      <c r="B86" s="1">
        <v>5</v>
      </c>
      <c r="C86" s="2">
        <f t="shared" si="2"/>
        <v>4</v>
      </c>
      <c r="D86" s="1">
        <f t="shared" si="3"/>
        <v>16.432998034454851</v>
      </c>
    </row>
    <row r="87" spans="1:6" x14ac:dyDescent="0.25">
      <c r="A87" s="1">
        <v>3</v>
      </c>
      <c r="B87" s="1">
        <v>3</v>
      </c>
      <c r="C87" s="2">
        <f t="shared" si="2"/>
        <v>0</v>
      </c>
      <c r="D87" s="1">
        <f t="shared" si="3"/>
        <v>2.8905075731298418E-3</v>
      </c>
    </row>
    <row r="88" spans="1:6" x14ac:dyDescent="0.25">
      <c r="A88" s="1">
        <v>4</v>
      </c>
      <c r="B88" s="1">
        <v>3</v>
      </c>
      <c r="C88" s="2">
        <f t="shared" si="2"/>
        <v>-1</v>
      </c>
      <c r="D88" s="1">
        <f t="shared" si="3"/>
        <v>0.8953636258526998</v>
      </c>
    </row>
    <row r="89" spans="1:6" x14ac:dyDescent="0.25">
      <c r="A89" s="1">
        <v>5</v>
      </c>
      <c r="B89" s="1">
        <v>4</v>
      </c>
      <c r="C89" s="2">
        <f t="shared" si="2"/>
        <v>-1</v>
      </c>
      <c r="D89" s="1">
        <f t="shared" si="3"/>
        <v>0.8953636258526998</v>
      </c>
    </row>
    <row r="90" spans="1:6" x14ac:dyDescent="0.25">
      <c r="A90" s="1">
        <v>4</v>
      </c>
      <c r="B90" s="1">
        <v>1</v>
      </c>
      <c r="C90" s="2">
        <f t="shared" si="2"/>
        <v>-3</v>
      </c>
      <c r="D90" s="1">
        <f t="shared" si="3"/>
        <v>8.6803098624118391</v>
      </c>
    </row>
    <row r="91" spans="1:6" x14ac:dyDescent="0.25">
      <c r="A91" s="1">
        <v>3</v>
      </c>
      <c r="B91" s="1">
        <v>2</v>
      </c>
      <c r="C91" s="2">
        <f t="shared" si="2"/>
        <v>-1</v>
      </c>
      <c r="D91" s="1">
        <f t="shared" si="3"/>
        <v>0.8953636258526998</v>
      </c>
    </row>
    <row r="92" spans="1:6" x14ac:dyDescent="0.25">
      <c r="A92" s="1">
        <v>5</v>
      </c>
      <c r="B92" s="1">
        <v>3</v>
      </c>
      <c r="C92" s="2">
        <f t="shared" si="2"/>
        <v>-2</v>
      </c>
      <c r="D92" s="1">
        <f t="shared" si="3"/>
        <v>3.78783674413227</v>
      </c>
    </row>
    <row r="93" spans="1:6" x14ac:dyDescent="0.25">
      <c r="A93" s="1">
        <v>3</v>
      </c>
      <c r="B93" s="1">
        <v>3</v>
      </c>
      <c r="C93" s="2">
        <f t="shared" si="2"/>
        <v>0</v>
      </c>
      <c r="D93" s="1">
        <f t="shared" si="3"/>
        <v>2.8905075731298418E-3</v>
      </c>
      <c r="F93" s="6"/>
    </row>
    <row r="94" spans="1:6" x14ac:dyDescent="0.25">
      <c r="A94" s="1">
        <v>3</v>
      </c>
      <c r="B94" s="1">
        <v>4</v>
      </c>
      <c r="C94" s="2">
        <f t="shared" si="2"/>
        <v>1</v>
      </c>
      <c r="D94" s="1">
        <f t="shared" si="3"/>
        <v>1.1104173892935598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115" zoomScaleNormal="115" workbookViewId="0">
      <selection activeCell="I27" sqref="I27"/>
    </sheetView>
  </sheetViews>
  <sheetFormatPr baseColWidth="10" defaultColWidth="9.140625" defaultRowHeight="15" x14ac:dyDescent="0.25"/>
  <cols>
    <col min="1" max="1" width="29.140625" style="1" customWidth="1"/>
    <col min="2" max="2" width="30.5703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35" x14ac:dyDescent="0.25">
      <c r="A1" s="11" t="s">
        <v>31</v>
      </c>
      <c r="B1" s="10" t="s">
        <v>41</v>
      </c>
      <c r="C1" s="4" t="s">
        <v>0</v>
      </c>
      <c r="D1" s="4"/>
    </row>
    <row r="2" spans="1:7" x14ac:dyDescent="0.25">
      <c r="A2" s="1">
        <v>3</v>
      </c>
      <c r="B2" s="1">
        <v>4</v>
      </c>
      <c r="C2" s="2">
        <f>B2-A2</f>
        <v>1</v>
      </c>
      <c r="D2" s="1">
        <f>(C2-$G$6)^2</f>
        <v>0.85512776043473226</v>
      </c>
    </row>
    <row r="3" spans="1:7" x14ac:dyDescent="0.25">
      <c r="A3" s="1">
        <v>3</v>
      </c>
      <c r="B3" s="1">
        <v>5</v>
      </c>
      <c r="C3" s="2">
        <f t="shared" ref="C3:C66" si="0">B3-A3</f>
        <v>2</v>
      </c>
      <c r="D3" s="1">
        <f>(C3-$G$6)^2</f>
        <v>3.7045901260261305</v>
      </c>
      <c r="F3" s="5" t="s">
        <v>13</v>
      </c>
      <c r="G3" s="5"/>
    </row>
    <row r="4" spans="1:7" x14ac:dyDescent="0.25">
      <c r="A4" s="1">
        <v>4</v>
      </c>
      <c r="B4" s="1">
        <v>2</v>
      </c>
      <c r="C4" s="2">
        <f t="shared" si="0"/>
        <v>-2</v>
      </c>
      <c r="D4" s="1">
        <f>(C4-$G$6)^2</f>
        <v>4.3067406636605385</v>
      </c>
      <c r="F4" t="s">
        <v>3</v>
      </c>
      <c r="G4">
        <f>COUNT(A:A)</f>
        <v>93</v>
      </c>
    </row>
    <row r="5" spans="1:7" x14ac:dyDescent="0.25">
      <c r="A5" s="1">
        <v>4</v>
      </c>
      <c r="B5" s="1">
        <v>4</v>
      </c>
      <c r="C5" s="2">
        <f t="shared" si="0"/>
        <v>0</v>
      </c>
      <c r="D5" s="1">
        <f t="shared" ref="D5:D68" si="1">(C5-$G$6)^2</f>
        <v>5.6653948433344897E-3</v>
      </c>
      <c r="F5" t="s">
        <v>2</v>
      </c>
      <c r="G5">
        <f>SUM(C:C)</f>
        <v>7</v>
      </c>
    </row>
    <row r="6" spans="1:7" x14ac:dyDescent="0.25">
      <c r="A6" s="1">
        <v>2</v>
      </c>
      <c r="B6" s="1">
        <v>4</v>
      </c>
      <c r="C6" s="2">
        <f t="shared" si="0"/>
        <v>2</v>
      </c>
      <c r="D6" s="1">
        <f t="shared" si="1"/>
        <v>3.7045901260261305</v>
      </c>
      <c r="F6" t="s">
        <v>1</v>
      </c>
      <c r="G6">
        <f>G5/G4</f>
        <v>7.5268817204301078E-2</v>
      </c>
    </row>
    <row r="7" spans="1:7" x14ac:dyDescent="0.25">
      <c r="A7" s="1">
        <v>2</v>
      </c>
      <c r="B7" s="1">
        <v>5</v>
      </c>
      <c r="C7" s="2">
        <f t="shared" si="0"/>
        <v>3</v>
      </c>
      <c r="D7" s="1">
        <f t="shared" si="1"/>
        <v>8.5540524916175276</v>
      </c>
      <c r="F7" t="s">
        <v>18</v>
      </c>
      <c r="G7">
        <f>SUM(D:D)</f>
        <v>270.47311827956992</v>
      </c>
    </row>
    <row r="8" spans="1:7" x14ac:dyDescent="0.25">
      <c r="A8" s="1">
        <v>3</v>
      </c>
      <c r="B8" s="1">
        <v>4</v>
      </c>
      <c r="C8" s="2">
        <f t="shared" si="0"/>
        <v>1</v>
      </c>
      <c r="D8" s="1">
        <f t="shared" si="1"/>
        <v>0.85512776043473226</v>
      </c>
      <c r="F8" t="s">
        <v>4</v>
      </c>
      <c r="G8">
        <f>SQRT(G7/(G4-1))</f>
        <v>1.7146210073048147</v>
      </c>
    </row>
    <row r="9" spans="1:7" x14ac:dyDescent="0.25">
      <c r="A9" s="1">
        <v>4</v>
      </c>
      <c r="B9" s="1">
        <v>3</v>
      </c>
      <c r="C9" s="2">
        <f t="shared" si="0"/>
        <v>-1</v>
      </c>
      <c r="D9" s="1">
        <f t="shared" si="1"/>
        <v>1.1562030292519365</v>
      </c>
    </row>
    <row r="10" spans="1:7" x14ac:dyDescent="0.25">
      <c r="A10" s="1">
        <v>3</v>
      </c>
      <c r="B10" s="1">
        <v>3</v>
      </c>
      <c r="C10" s="2">
        <f t="shared" si="0"/>
        <v>0</v>
      </c>
      <c r="D10" s="1">
        <f t="shared" si="1"/>
        <v>5.6653948433344897E-3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5.6653948433344897E-3</v>
      </c>
    </row>
    <row r="12" spans="1:7" x14ac:dyDescent="0.25">
      <c r="A12" s="1">
        <v>5</v>
      </c>
      <c r="B12" s="1">
        <v>2</v>
      </c>
      <c r="C12" s="2">
        <f t="shared" si="0"/>
        <v>-3</v>
      </c>
      <c r="D12" s="1">
        <f t="shared" si="1"/>
        <v>9.4572782980691397</v>
      </c>
      <c r="F12" t="s">
        <v>8</v>
      </c>
      <c r="G12">
        <f>G6/(G8/SQRT(G4))</f>
        <v>0.42333914213046714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0.85512776043473226</v>
      </c>
    </row>
    <row r="14" spans="1:7" x14ac:dyDescent="0.25">
      <c r="A14" s="1">
        <v>5</v>
      </c>
      <c r="B14" s="1">
        <v>2</v>
      </c>
      <c r="C14" s="2">
        <f t="shared" si="0"/>
        <v>-3</v>
      </c>
      <c r="D14" s="1">
        <f t="shared" si="1"/>
        <v>9.4572782980691397</v>
      </c>
    </row>
    <row r="15" spans="1:7" x14ac:dyDescent="0.25">
      <c r="A15" s="1">
        <v>1</v>
      </c>
      <c r="B15" s="1">
        <v>4</v>
      </c>
      <c r="C15" s="2">
        <f t="shared" si="0"/>
        <v>3</v>
      </c>
      <c r="D15" s="1">
        <f t="shared" si="1"/>
        <v>8.5540524916175276</v>
      </c>
    </row>
    <row r="16" spans="1:7" x14ac:dyDescent="0.25">
      <c r="A16" s="1">
        <v>4</v>
      </c>
      <c r="B16" s="1">
        <v>4</v>
      </c>
      <c r="C16" s="2">
        <f t="shared" si="0"/>
        <v>0</v>
      </c>
      <c r="D16" s="1">
        <f t="shared" si="1"/>
        <v>5.6653948433344897E-3</v>
      </c>
    </row>
    <row r="17" spans="1:7" x14ac:dyDescent="0.25">
      <c r="A17" s="1">
        <v>4</v>
      </c>
      <c r="B17" s="1">
        <v>1</v>
      </c>
      <c r="C17" s="2">
        <f t="shared" si="0"/>
        <v>-3</v>
      </c>
      <c r="D17" s="1">
        <f t="shared" si="1"/>
        <v>9.4572782980691397</v>
      </c>
      <c r="F17" t="s">
        <v>5</v>
      </c>
      <c r="G17">
        <v>0.05</v>
      </c>
    </row>
    <row r="18" spans="1:7" x14ac:dyDescent="0.25">
      <c r="A18" s="1">
        <v>3</v>
      </c>
      <c r="B18" s="1">
        <v>2</v>
      </c>
      <c r="C18" s="2">
        <f t="shared" si="0"/>
        <v>-1</v>
      </c>
      <c r="D18" s="1">
        <f t="shared" si="1"/>
        <v>1.1562030292519365</v>
      </c>
      <c r="F18" t="s">
        <v>6</v>
      </c>
      <c r="G18">
        <f>G4-1</f>
        <v>92</v>
      </c>
    </row>
    <row r="19" spans="1:7" x14ac:dyDescent="0.25">
      <c r="A19" s="1">
        <v>2</v>
      </c>
      <c r="B19" s="1">
        <v>5</v>
      </c>
      <c r="C19" s="2">
        <f t="shared" si="0"/>
        <v>3</v>
      </c>
      <c r="D19" s="1">
        <f t="shared" si="1"/>
        <v>8.5540524916175276</v>
      </c>
    </row>
    <row r="20" spans="1:7" x14ac:dyDescent="0.25">
      <c r="A20" s="1">
        <v>3</v>
      </c>
      <c r="B20" s="1">
        <v>5</v>
      </c>
      <c r="C20" s="2">
        <f t="shared" si="0"/>
        <v>2</v>
      </c>
      <c r="D20" s="1">
        <f t="shared" si="1"/>
        <v>3.7045901260261305</v>
      </c>
    </row>
    <row r="21" spans="1:7" x14ac:dyDescent="0.25">
      <c r="A21" s="1">
        <v>2</v>
      </c>
      <c r="B21" s="1">
        <v>4</v>
      </c>
      <c r="C21" s="2">
        <f t="shared" si="0"/>
        <v>2</v>
      </c>
      <c r="D21" s="1">
        <f t="shared" si="1"/>
        <v>3.7045901260261305</v>
      </c>
    </row>
    <row r="22" spans="1:7" x14ac:dyDescent="0.25">
      <c r="A22" s="1">
        <v>3</v>
      </c>
      <c r="B22" s="1">
        <v>2</v>
      </c>
      <c r="C22" s="2">
        <f t="shared" si="0"/>
        <v>-1</v>
      </c>
      <c r="D22" s="1">
        <f t="shared" si="1"/>
        <v>1.1562030292519365</v>
      </c>
      <c r="F22" s="5" t="s">
        <v>7</v>
      </c>
      <c r="G22" s="5"/>
    </row>
    <row r="23" spans="1:7" x14ac:dyDescent="0.25">
      <c r="A23" s="1">
        <v>3</v>
      </c>
      <c r="B23" s="1">
        <v>3</v>
      </c>
      <c r="C23" s="2">
        <f t="shared" si="0"/>
        <v>0</v>
      </c>
      <c r="D23" s="1">
        <f t="shared" si="1"/>
        <v>5.6653948433344897E-3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3</v>
      </c>
      <c r="C24" s="2">
        <f t="shared" si="0"/>
        <v>1</v>
      </c>
      <c r="D24" s="1">
        <f t="shared" si="1"/>
        <v>0.85512776043473226</v>
      </c>
      <c r="F24" t="s">
        <v>17</v>
      </c>
      <c r="G24">
        <f>_xlfn.T.INV(G17,G18)</f>
        <v>-1.6615853969032315</v>
      </c>
    </row>
    <row r="25" spans="1:7" x14ac:dyDescent="0.25">
      <c r="A25" s="1">
        <v>4</v>
      </c>
      <c r="B25" s="1">
        <v>5</v>
      </c>
      <c r="C25" s="2">
        <f t="shared" si="0"/>
        <v>1</v>
      </c>
      <c r="D25" s="1">
        <f t="shared" si="1"/>
        <v>0.85512776043473226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5.6653948433344897E-3</v>
      </c>
    </row>
    <row r="27" spans="1:7" x14ac:dyDescent="0.25">
      <c r="A27" s="1">
        <v>4</v>
      </c>
      <c r="B27" s="1">
        <v>2</v>
      </c>
      <c r="C27" s="2">
        <f t="shared" si="0"/>
        <v>-2</v>
      </c>
      <c r="D27" s="1">
        <f t="shared" si="1"/>
        <v>4.3067406636605385</v>
      </c>
      <c r="F27" s="5" t="s">
        <v>9</v>
      </c>
      <c r="G27" s="5"/>
    </row>
    <row r="28" spans="1:7" x14ac:dyDescent="0.25">
      <c r="A28" s="1">
        <v>1</v>
      </c>
      <c r="B28" s="1">
        <v>4</v>
      </c>
      <c r="C28" s="2">
        <f t="shared" si="0"/>
        <v>3</v>
      </c>
      <c r="D28" s="1">
        <f t="shared" si="1"/>
        <v>8.5540524916175276</v>
      </c>
      <c r="F28" t="s">
        <v>9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0.85512776043473226</v>
      </c>
      <c r="F29" t="s">
        <v>15</v>
      </c>
      <c r="G29">
        <f>TTEST(A:A,B:B,2,1)</f>
        <v>0.67303586021921624</v>
      </c>
    </row>
    <row r="30" spans="1:7" x14ac:dyDescent="0.25">
      <c r="A30" s="1">
        <v>5</v>
      </c>
      <c r="B30" s="1">
        <v>1</v>
      </c>
      <c r="C30" s="2">
        <f t="shared" si="0"/>
        <v>-4</v>
      </c>
      <c r="D30" s="1">
        <f t="shared" si="1"/>
        <v>16.607815932477742</v>
      </c>
      <c r="F30" t="s">
        <v>19</v>
      </c>
      <c r="G30">
        <f>TTEST(A:A,B:B,1,1)</f>
        <v>0.33651793010960812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0.85512776043473226</v>
      </c>
    </row>
    <row r="32" spans="1:7" x14ac:dyDescent="0.25">
      <c r="A32" s="1">
        <v>1</v>
      </c>
      <c r="B32" s="1">
        <v>3</v>
      </c>
      <c r="C32" s="2">
        <f t="shared" si="0"/>
        <v>2</v>
      </c>
      <c r="D32" s="1">
        <f t="shared" si="1"/>
        <v>3.7045901260261305</v>
      </c>
    </row>
    <row r="33" spans="1:7" x14ac:dyDescent="0.25">
      <c r="A33" s="1">
        <v>4</v>
      </c>
      <c r="B33" s="1">
        <v>4</v>
      </c>
      <c r="C33" s="2">
        <f t="shared" si="0"/>
        <v>0</v>
      </c>
      <c r="D33" s="1">
        <f t="shared" si="1"/>
        <v>5.6653948433344897E-3</v>
      </c>
      <c r="F33" s="8" t="s">
        <v>12</v>
      </c>
      <c r="G33" s="8"/>
    </row>
    <row r="34" spans="1:7" x14ac:dyDescent="0.25">
      <c r="A34" s="1">
        <v>3</v>
      </c>
      <c r="B34" s="1">
        <v>2</v>
      </c>
      <c r="C34" s="2">
        <f t="shared" si="0"/>
        <v>-1</v>
      </c>
      <c r="D34" s="1">
        <f t="shared" si="1"/>
        <v>1.1562030292519365</v>
      </c>
    </row>
    <row r="35" spans="1:7" x14ac:dyDescent="0.25">
      <c r="A35" s="1">
        <v>1</v>
      </c>
      <c r="B35" s="1">
        <v>3</v>
      </c>
      <c r="C35" s="2">
        <f t="shared" si="0"/>
        <v>2</v>
      </c>
      <c r="D35" s="1">
        <f t="shared" si="1"/>
        <v>3.7045901260261305</v>
      </c>
      <c r="F35" t="s">
        <v>10</v>
      </c>
    </row>
    <row r="36" spans="1:7" x14ac:dyDescent="0.25">
      <c r="A36" s="1">
        <v>5</v>
      </c>
      <c r="B36" s="1">
        <v>3</v>
      </c>
      <c r="C36" s="2">
        <f t="shared" si="0"/>
        <v>-2</v>
      </c>
      <c r="D36" s="1">
        <f t="shared" si="1"/>
        <v>4.3067406636605385</v>
      </c>
      <c r="F36" t="s">
        <v>11</v>
      </c>
    </row>
    <row r="37" spans="1:7" x14ac:dyDescent="0.25">
      <c r="A37" s="1">
        <v>3</v>
      </c>
      <c r="B37" s="1">
        <v>2</v>
      </c>
      <c r="C37" s="2">
        <f t="shared" si="0"/>
        <v>-1</v>
      </c>
      <c r="D37" s="1">
        <f t="shared" si="1"/>
        <v>1.1562030292519365</v>
      </c>
    </row>
    <row r="38" spans="1:7" x14ac:dyDescent="0.25">
      <c r="A38" s="1">
        <v>4</v>
      </c>
      <c r="B38" s="1">
        <v>4</v>
      </c>
      <c r="C38" s="2">
        <f t="shared" si="0"/>
        <v>0</v>
      </c>
      <c r="D38" s="1">
        <f t="shared" si="1"/>
        <v>5.6653948433344897E-3</v>
      </c>
    </row>
    <row r="39" spans="1:7" x14ac:dyDescent="0.25">
      <c r="A39" s="1">
        <v>1</v>
      </c>
      <c r="B39" s="1">
        <v>1</v>
      </c>
      <c r="C39" s="2">
        <f t="shared" si="0"/>
        <v>0</v>
      </c>
      <c r="D39" s="1">
        <f t="shared" si="1"/>
        <v>5.6653948433344897E-3</v>
      </c>
    </row>
    <row r="40" spans="1:7" x14ac:dyDescent="0.25">
      <c r="A40" s="1">
        <v>1</v>
      </c>
      <c r="B40" s="1">
        <v>3</v>
      </c>
      <c r="C40" s="2">
        <f t="shared" si="0"/>
        <v>2</v>
      </c>
      <c r="D40" s="1">
        <f t="shared" si="1"/>
        <v>3.7045901260261305</v>
      </c>
      <c r="F40" t="s">
        <v>14</v>
      </c>
    </row>
    <row r="41" spans="1:7" x14ac:dyDescent="0.25">
      <c r="A41" s="1">
        <v>1</v>
      </c>
      <c r="B41" s="1">
        <v>5</v>
      </c>
      <c r="C41" s="2">
        <f t="shared" si="0"/>
        <v>4</v>
      </c>
      <c r="D41" s="1">
        <f t="shared" si="1"/>
        <v>15.403514857208926</v>
      </c>
      <c r="F41" t="str">
        <f>"Dos Colas: Si t calculado ("&amp;G12&amp;") &gt; a t critico  ("&amp;G23&amp;") (de tabla) ---&gt; Se rechaza la hipotesis nula"</f>
        <v>Dos Colas: Si t calculado (0.423339142130467) &gt; a t critico  (1.98608631695113) (de tabla) ---&gt; Se rechaza la hipotesis nula</v>
      </c>
    </row>
    <row r="42" spans="1:7" x14ac:dyDescent="0.25">
      <c r="A42" s="1">
        <v>4</v>
      </c>
      <c r="B42" s="1">
        <v>3</v>
      </c>
      <c r="C42" s="2">
        <f t="shared" si="0"/>
        <v>-1</v>
      </c>
      <c r="D42" s="1">
        <f t="shared" si="1"/>
        <v>1.1562030292519365</v>
      </c>
      <c r="F42" t="str">
        <f>"Una Cola: Si t calculado ("&amp;G12&amp;") &gt; a t critico  ("&amp;G24&amp;") (de tabla) ---&gt; Se rechaza la hipotesis nula"</f>
        <v>Una Cola: Si t calculado (0.423339142130467) &gt; a t critico  (-1.66158539690323) (de tabla) ---&gt; Se rechaza la hipotesis nula</v>
      </c>
    </row>
    <row r="43" spans="1:7" x14ac:dyDescent="0.25">
      <c r="A43" s="1">
        <v>2</v>
      </c>
      <c r="B43" s="1">
        <v>2</v>
      </c>
      <c r="C43" s="2">
        <f t="shared" si="0"/>
        <v>0</v>
      </c>
      <c r="D43" s="1">
        <f t="shared" si="1"/>
        <v>5.6653948433344897E-3</v>
      </c>
    </row>
    <row r="44" spans="1:7" x14ac:dyDescent="0.25">
      <c r="A44" s="1">
        <v>2</v>
      </c>
      <c r="B44" s="1">
        <v>4</v>
      </c>
      <c r="C44" s="2">
        <f t="shared" si="0"/>
        <v>2</v>
      </c>
      <c r="D44" s="1">
        <f t="shared" si="1"/>
        <v>3.7045901260261305</v>
      </c>
    </row>
    <row r="45" spans="1:7" x14ac:dyDescent="0.25">
      <c r="A45" s="1">
        <v>4</v>
      </c>
      <c r="B45" s="1">
        <v>2</v>
      </c>
      <c r="C45" s="2">
        <f t="shared" si="0"/>
        <v>-2</v>
      </c>
      <c r="D45" s="1">
        <f t="shared" si="1"/>
        <v>4.3067406636605385</v>
      </c>
    </row>
    <row r="46" spans="1:7" x14ac:dyDescent="0.25">
      <c r="A46" s="1">
        <v>2</v>
      </c>
      <c r="B46" s="1">
        <v>2</v>
      </c>
      <c r="C46" s="2">
        <f t="shared" si="0"/>
        <v>0</v>
      </c>
      <c r="D46" s="1">
        <f t="shared" si="1"/>
        <v>5.6653948433344897E-3</v>
      </c>
      <c r="F46" t="s">
        <v>21</v>
      </c>
    </row>
    <row r="47" spans="1:7" x14ac:dyDescent="0.25">
      <c r="A47" s="1">
        <v>5</v>
      </c>
      <c r="B47" s="1">
        <v>4</v>
      </c>
      <c r="C47" s="2">
        <f t="shared" si="0"/>
        <v>-1</v>
      </c>
      <c r="D47" s="1">
        <f t="shared" si="1"/>
        <v>1.1562030292519365</v>
      </c>
      <c r="F47" t="str">
        <f>"Dos Colas: Si p valor ("&amp;G29&amp;") &lt; Nivel Significancia ("&amp;G17&amp;") ---&gt; Se rechaza la hipotesis nula"</f>
        <v>Dos Colas: Si p valor (0.673035860219216) &lt; Nivel Significancia (0.05) ---&gt; Se rechaza la hipotesis nula</v>
      </c>
    </row>
    <row r="48" spans="1:7" x14ac:dyDescent="0.25">
      <c r="A48" s="1">
        <v>3</v>
      </c>
      <c r="B48" s="1">
        <v>1</v>
      </c>
      <c r="C48" s="2">
        <f t="shared" si="0"/>
        <v>-2</v>
      </c>
      <c r="D48" s="1">
        <f t="shared" si="1"/>
        <v>4.3067406636605385</v>
      </c>
      <c r="F48" t="str">
        <f>"Una Cola: Si p valor ("&amp;G30&amp;") &lt; Nivel Significancia ("&amp;G17&amp;") ---&gt; Se rechaza la hipotesis nula"</f>
        <v>Una Cola: Si p valor (0.336517930109608) &lt; Nivel Significancia (0.05) ---&gt; Se rechaza la hipotesis nula</v>
      </c>
    </row>
    <row r="49" spans="1:4" x14ac:dyDescent="0.25">
      <c r="A49" s="1">
        <v>4</v>
      </c>
      <c r="B49" s="1">
        <v>5</v>
      </c>
      <c r="C49" s="2">
        <f t="shared" si="0"/>
        <v>1</v>
      </c>
      <c r="D49" s="1">
        <f t="shared" si="1"/>
        <v>0.85512776043473226</v>
      </c>
    </row>
    <row r="50" spans="1:4" x14ac:dyDescent="0.25">
      <c r="A50" s="1">
        <v>5</v>
      </c>
      <c r="B50" s="1">
        <v>4</v>
      </c>
      <c r="C50" s="2">
        <f t="shared" si="0"/>
        <v>-1</v>
      </c>
      <c r="D50" s="1">
        <f t="shared" si="1"/>
        <v>1.1562030292519365</v>
      </c>
    </row>
    <row r="51" spans="1:4" x14ac:dyDescent="0.25">
      <c r="A51" s="1">
        <v>5</v>
      </c>
      <c r="B51" s="1">
        <v>5</v>
      </c>
      <c r="C51" s="2">
        <f t="shared" si="0"/>
        <v>0</v>
      </c>
      <c r="D51" s="1">
        <f t="shared" si="1"/>
        <v>5.6653948433344897E-3</v>
      </c>
    </row>
    <row r="52" spans="1:4" x14ac:dyDescent="0.25">
      <c r="A52" s="1">
        <v>3</v>
      </c>
      <c r="B52" s="1">
        <v>2</v>
      </c>
      <c r="C52" s="2">
        <f t="shared" si="0"/>
        <v>-1</v>
      </c>
      <c r="D52" s="1">
        <f t="shared" si="1"/>
        <v>1.1562030292519365</v>
      </c>
    </row>
    <row r="53" spans="1:4" x14ac:dyDescent="0.25">
      <c r="A53" s="1">
        <v>4</v>
      </c>
      <c r="B53" s="1">
        <v>3</v>
      </c>
      <c r="C53" s="2">
        <f t="shared" si="0"/>
        <v>-1</v>
      </c>
      <c r="D53" s="1">
        <f t="shared" si="1"/>
        <v>1.1562030292519365</v>
      </c>
    </row>
    <row r="54" spans="1:4" x14ac:dyDescent="0.25">
      <c r="A54" s="1">
        <v>3</v>
      </c>
      <c r="B54" s="1">
        <v>5</v>
      </c>
      <c r="C54" s="2">
        <f t="shared" si="0"/>
        <v>2</v>
      </c>
      <c r="D54" s="1">
        <f t="shared" si="1"/>
        <v>3.7045901260261305</v>
      </c>
    </row>
    <row r="55" spans="1:4" x14ac:dyDescent="0.25">
      <c r="A55" s="1">
        <v>5</v>
      </c>
      <c r="B55" s="1">
        <v>4</v>
      </c>
      <c r="C55" s="2">
        <f t="shared" si="0"/>
        <v>-1</v>
      </c>
      <c r="D55" s="1">
        <f t="shared" si="1"/>
        <v>1.1562030292519365</v>
      </c>
    </row>
    <row r="56" spans="1:4" x14ac:dyDescent="0.25">
      <c r="A56" s="1">
        <v>4</v>
      </c>
      <c r="B56" s="1">
        <v>3</v>
      </c>
      <c r="C56" s="2">
        <f t="shared" si="0"/>
        <v>-1</v>
      </c>
      <c r="D56" s="1">
        <f t="shared" si="1"/>
        <v>1.1562030292519365</v>
      </c>
    </row>
    <row r="57" spans="1:4" x14ac:dyDescent="0.25">
      <c r="A57" s="1">
        <v>3</v>
      </c>
      <c r="B57" s="1">
        <v>5</v>
      </c>
      <c r="C57" s="2">
        <f t="shared" si="0"/>
        <v>2</v>
      </c>
      <c r="D57" s="1">
        <f t="shared" si="1"/>
        <v>3.7045901260261305</v>
      </c>
    </row>
    <row r="58" spans="1:4" x14ac:dyDescent="0.25">
      <c r="A58" s="1">
        <v>2</v>
      </c>
      <c r="B58" s="1">
        <v>2</v>
      </c>
      <c r="C58" s="2">
        <f t="shared" si="0"/>
        <v>0</v>
      </c>
      <c r="D58" s="1">
        <f t="shared" si="1"/>
        <v>5.6653948433344897E-3</v>
      </c>
    </row>
    <row r="59" spans="1:4" x14ac:dyDescent="0.25">
      <c r="A59" s="1">
        <v>4</v>
      </c>
      <c r="B59" s="1">
        <v>2</v>
      </c>
      <c r="C59" s="2">
        <f t="shared" si="0"/>
        <v>-2</v>
      </c>
      <c r="D59" s="1">
        <f t="shared" si="1"/>
        <v>4.3067406636605385</v>
      </c>
    </row>
    <row r="60" spans="1:4" x14ac:dyDescent="0.25">
      <c r="A60" s="1">
        <v>3</v>
      </c>
      <c r="B60" s="1">
        <v>3</v>
      </c>
      <c r="C60" s="2">
        <f t="shared" si="0"/>
        <v>0</v>
      </c>
      <c r="D60" s="1">
        <f t="shared" si="1"/>
        <v>5.6653948433344897E-3</v>
      </c>
    </row>
    <row r="61" spans="1:4" x14ac:dyDescent="0.25">
      <c r="A61" s="1">
        <v>2</v>
      </c>
      <c r="B61" s="1">
        <v>1</v>
      </c>
      <c r="C61" s="2">
        <f t="shared" si="0"/>
        <v>-1</v>
      </c>
      <c r="D61" s="1">
        <f t="shared" si="1"/>
        <v>1.1562030292519365</v>
      </c>
    </row>
    <row r="62" spans="1:4" x14ac:dyDescent="0.25">
      <c r="A62" s="1">
        <v>3</v>
      </c>
      <c r="B62" s="1">
        <v>4</v>
      </c>
      <c r="C62" s="2">
        <f t="shared" si="0"/>
        <v>1</v>
      </c>
      <c r="D62" s="1">
        <f t="shared" si="1"/>
        <v>0.85512776043473226</v>
      </c>
    </row>
    <row r="63" spans="1:4" x14ac:dyDescent="0.25">
      <c r="A63" s="1">
        <v>4</v>
      </c>
      <c r="B63" s="1">
        <v>1</v>
      </c>
      <c r="C63" s="2">
        <f t="shared" si="0"/>
        <v>-3</v>
      </c>
      <c r="D63" s="1">
        <f t="shared" si="1"/>
        <v>9.4572782980691397</v>
      </c>
    </row>
    <row r="64" spans="1:4" x14ac:dyDescent="0.25">
      <c r="A64" s="1">
        <v>5</v>
      </c>
      <c r="B64" s="1">
        <v>3</v>
      </c>
      <c r="C64" s="2">
        <f t="shared" si="0"/>
        <v>-2</v>
      </c>
      <c r="D64" s="1">
        <f t="shared" si="1"/>
        <v>4.3067406636605385</v>
      </c>
    </row>
    <row r="65" spans="1:4" x14ac:dyDescent="0.25">
      <c r="A65" s="1">
        <v>2</v>
      </c>
      <c r="B65" s="1">
        <v>3</v>
      </c>
      <c r="C65" s="2">
        <f t="shared" si="0"/>
        <v>1</v>
      </c>
      <c r="D65" s="1">
        <f t="shared" si="1"/>
        <v>0.85512776043473226</v>
      </c>
    </row>
    <row r="66" spans="1:4" x14ac:dyDescent="0.25">
      <c r="A66" s="1">
        <v>5</v>
      </c>
      <c r="B66" s="1">
        <v>5</v>
      </c>
      <c r="C66" s="2">
        <f t="shared" si="0"/>
        <v>0</v>
      </c>
      <c r="D66" s="1">
        <f t="shared" si="1"/>
        <v>5.6653948433344897E-3</v>
      </c>
    </row>
    <row r="67" spans="1:4" x14ac:dyDescent="0.25">
      <c r="A67" s="1">
        <v>2</v>
      </c>
      <c r="B67" s="1">
        <v>2</v>
      </c>
      <c r="C67" s="2">
        <f t="shared" ref="C67:C94" si="2">B67-A67</f>
        <v>0</v>
      </c>
      <c r="D67" s="1">
        <f t="shared" si="1"/>
        <v>5.6653948433344897E-3</v>
      </c>
    </row>
    <row r="68" spans="1:4" x14ac:dyDescent="0.25">
      <c r="A68" s="1">
        <v>3</v>
      </c>
      <c r="B68" s="1">
        <v>4</v>
      </c>
      <c r="C68" s="2">
        <f t="shared" si="2"/>
        <v>1</v>
      </c>
      <c r="D68" s="1">
        <f t="shared" si="1"/>
        <v>0.85512776043473226</v>
      </c>
    </row>
    <row r="69" spans="1:4" x14ac:dyDescent="0.25">
      <c r="A69" s="1">
        <v>1</v>
      </c>
      <c r="B69" s="1">
        <v>5</v>
      </c>
      <c r="C69" s="2">
        <f t="shared" si="2"/>
        <v>4</v>
      </c>
      <c r="D69" s="1">
        <f t="shared" ref="D69:D94" si="3">(C69-$G$6)^2</f>
        <v>15.403514857208926</v>
      </c>
    </row>
    <row r="70" spans="1:4" x14ac:dyDescent="0.25">
      <c r="A70" s="1">
        <v>2</v>
      </c>
      <c r="B70" s="1">
        <v>5</v>
      </c>
      <c r="C70" s="2">
        <f t="shared" si="2"/>
        <v>3</v>
      </c>
      <c r="D70" s="1">
        <f t="shared" si="3"/>
        <v>8.5540524916175276</v>
      </c>
    </row>
    <row r="71" spans="1:4" x14ac:dyDescent="0.25">
      <c r="A71" s="1">
        <v>1</v>
      </c>
      <c r="B71" s="1">
        <v>3</v>
      </c>
      <c r="C71" s="2">
        <f t="shared" si="2"/>
        <v>2</v>
      </c>
      <c r="D71" s="1">
        <f t="shared" si="3"/>
        <v>3.7045901260261305</v>
      </c>
    </row>
    <row r="72" spans="1:4" x14ac:dyDescent="0.25">
      <c r="A72" s="1">
        <v>4</v>
      </c>
      <c r="B72" s="1">
        <v>3</v>
      </c>
      <c r="C72" s="2">
        <f t="shared" si="2"/>
        <v>-1</v>
      </c>
      <c r="D72" s="1">
        <f t="shared" si="3"/>
        <v>1.1562030292519365</v>
      </c>
    </row>
    <row r="73" spans="1:4" x14ac:dyDescent="0.25">
      <c r="A73" s="1">
        <v>3</v>
      </c>
      <c r="B73" s="1">
        <v>3</v>
      </c>
      <c r="C73" s="2">
        <f t="shared" si="2"/>
        <v>0</v>
      </c>
      <c r="D73" s="1">
        <f t="shared" si="3"/>
        <v>5.6653948433344897E-3</v>
      </c>
    </row>
    <row r="74" spans="1:4" x14ac:dyDescent="0.25">
      <c r="A74" s="1">
        <v>4</v>
      </c>
      <c r="B74" s="1">
        <v>2</v>
      </c>
      <c r="C74" s="2">
        <f t="shared" si="2"/>
        <v>-2</v>
      </c>
      <c r="D74" s="1">
        <f t="shared" si="3"/>
        <v>4.3067406636605385</v>
      </c>
    </row>
    <row r="75" spans="1:4" x14ac:dyDescent="0.25">
      <c r="A75" s="1">
        <v>4</v>
      </c>
      <c r="B75" s="1">
        <v>5</v>
      </c>
      <c r="C75" s="2">
        <f t="shared" si="2"/>
        <v>1</v>
      </c>
      <c r="D75" s="1">
        <f t="shared" si="3"/>
        <v>0.85512776043473226</v>
      </c>
    </row>
    <row r="76" spans="1:4" x14ac:dyDescent="0.25">
      <c r="A76" s="1">
        <v>3</v>
      </c>
      <c r="B76" s="1">
        <v>3</v>
      </c>
      <c r="C76" s="2">
        <f t="shared" si="2"/>
        <v>0</v>
      </c>
      <c r="D76" s="1">
        <f t="shared" si="3"/>
        <v>5.6653948433344897E-3</v>
      </c>
    </row>
    <row r="77" spans="1:4" x14ac:dyDescent="0.25">
      <c r="A77" s="1">
        <v>2</v>
      </c>
      <c r="B77" s="1">
        <v>5</v>
      </c>
      <c r="C77" s="2">
        <f t="shared" si="2"/>
        <v>3</v>
      </c>
      <c r="D77" s="1">
        <f t="shared" si="3"/>
        <v>8.5540524916175276</v>
      </c>
    </row>
    <row r="78" spans="1:4" x14ac:dyDescent="0.25">
      <c r="A78" s="1">
        <v>1</v>
      </c>
      <c r="B78" s="1">
        <v>2</v>
      </c>
      <c r="C78" s="2">
        <f t="shared" si="2"/>
        <v>1</v>
      </c>
      <c r="D78" s="1">
        <f t="shared" si="3"/>
        <v>0.85512776043473226</v>
      </c>
    </row>
    <row r="79" spans="1:4" x14ac:dyDescent="0.25">
      <c r="A79" s="1">
        <v>3</v>
      </c>
      <c r="B79" s="1">
        <v>2</v>
      </c>
      <c r="C79" s="2">
        <f t="shared" si="2"/>
        <v>-1</v>
      </c>
      <c r="D79" s="1">
        <f t="shared" si="3"/>
        <v>1.1562030292519365</v>
      </c>
    </row>
    <row r="80" spans="1:4" x14ac:dyDescent="0.25">
      <c r="A80" s="1">
        <v>4</v>
      </c>
      <c r="B80" s="1">
        <v>3</v>
      </c>
      <c r="C80" s="2">
        <f t="shared" si="2"/>
        <v>-1</v>
      </c>
      <c r="D80" s="1">
        <f t="shared" si="3"/>
        <v>1.1562030292519365</v>
      </c>
    </row>
    <row r="81" spans="1:6" x14ac:dyDescent="0.25">
      <c r="A81" s="1">
        <v>4</v>
      </c>
      <c r="B81" s="1">
        <v>3</v>
      </c>
      <c r="C81" s="2">
        <f t="shared" si="2"/>
        <v>-1</v>
      </c>
      <c r="D81" s="1">
        <f t="shared" si="3"/>
        <v>1.1562030292519365</v>
      </c>
    </row>
    <row r="82" spans="1:6" x14ac:dyDescent="0.25">
      <c r="A82" s="1">
        <v>3</v>
      </c>
      <c r="B82" s="1">
        <v>4</v>
      </c>
      <c r="C82" s="2">
        <f t="shared" si="2"/>
        <v>1</v>
      </c>
      <c r="D82" s="1">
        <f t="shared" si="3"/>
        <v>0.85512776043473226</v>
      </c>
    </row>
    <row r="83" spans="1:6" x14ac:dyDescent="0.25">
      <c r="A83" s="1">
        <v>4</v>
      </c>
      <c r="B83" s="1">
        <v>3</v>
      </c>
      <c r="C83" s="2">
        <f t="shared" si="2"/>
        <v>-1</v>
      </c>
      <c r="D83" s="1">
        <f t="shared" si="3"/>
        <v>1.1562030292519365</v>
      </c>
    </row>
    <row r="84" spans="1:6" x14ac:dyDescent="0.25">
      <c r="A84" s="1">
        <v>5</v>
      </c>
      <c r="B84" s="1">
        <v>2</v>
      </c>
      <c r="C84" s="2">
        <f t="shared" si="2"/>
        <v>-3</v>
      </c>
      <c r="D84" s="1">
        <f t="shared" si="3"/>
        <v>9.4572782980691397</v>
      </c>
    </row>
    <row r="85" spans="1:6" x14ac:dyDescent="0.25">
      <c r="A85" s="1">
        <v>4</v>
      </c>
      <c r="B85" s="1">
        <v>4</v>
      </c>
      <c r="C85" s="2">
        <f t="shared" si="2"/>
        <v>0</v>
      </c>
      <c r="D85" s="1">
        <f t="shared" si="3"/>
        <v>5.6653948433344897E-3</v>
      </c>
    </row>
    <row r="86" spans="1:6" x14ac:dyDescent="0.25">
      <c r="A86" s="1">
        <v>4</v>
      </c>
      <c r="B86" s="1">
        <v>4</v>
      </c>
      <c r="C86" s="2">
        <f t="shared" si="2"/>
        <v>0</v>
      </c>
      <c r="D86" s="1">
        <f t="shared" si="3"/>
        <v>5.6653948433344897E-3</v>
      </c>
    </row>
    <row r="87" spans="1:6" x14ac:dyDescent="0.25">
      <c r="A87" s="1">
        <v>4</v>
      </c>
      <c r="B87" s="1">
        <v>3</v>
      </c>
      <c r="C87" s="2">
        <f t="shared" si="2"/>
        <v>-1</v>
      </c>
      <c r="D87" s="1">
        <f t="shared" si="3"/>
        <v>1.1562030292519365</v>
      </c>
    </row>
    <row r="88" spans="1:6" x14ac:dyDescent="0.25">
      <c r="A88" s="1">
        <v>4</v>
      </c>
      <c r="B88" s="1">
        <v>2</v>
      </c>
      <c r="C88" s="2">
        <f t="shared" si="2"/>
        <v>-2</v>
      </c>
      <c r="D88" s="1">
        <f t="shared" si="3"/>
        <v>4.3067406636605385</v>
      </c>
    </row>
    <row r="89" spans="1:6" x14ac:dyDescent="0.25">
      <c r="A89" s="1">
        <v>5</v>
      </c>
      <c r="B89" s="1">
        <v>4</v>
      </c>
      <c r="C89" s="2">
        <f t="shared" si="2"/>
        <v>-1</v>
      </c>
      <c r="D89" s="1">
        <f t="shared" si="3"/>
        <v>1.1562030292519365</v>
      </c>
    </row>
    <row r="90" spans="1:6" x14ac:dyDescent="0.25">
      <c r="A90" s="1">
        <v>5</v>
      </c>
      <c r="B90" s="1">
        <v>5</v>
      </c>
      <c r="C90" s="2">
        <f t="shared" si="2"/>
        <v>0</v>
      </c>
      <c r="D90" s="1">
        <f t="shared" si="3"/>
        <v>5.6653948433344897E-3</v>
      </c>
    </row>
    <row r="91" spans="1:6" x14ac:dyDescent="0.25">
      <c r="A91" s="1">
        <v>1</v>
      </c>
      <c r="B91" s="1">
        <v>3</v>
      </c>
      <c r="C91" s="2">
        <f t="shared" si="2"/>
        <v>2</v>
      </c>
      <c r="D91" s="1">
        <f t="shared" si="3"/>
        <v>3.7045901260261305</v>
      </c>
    </row>
    <row r="92" spans="1:6" x14ac:dyDescent="0.25">
      <c r="A92" s="1">
        <v>4</v>
      </c>
      <c r="B92" s="1">
        <v>2</v>
      </c>
      <c r="C92" s="2">
        <f t="shared" si="2"/>
        <v>-2</v>
      </c>
      <c r="D92" s="1">
        <f t="shared" si="3"/>
        <v>4.3067406636605385</v>
      </c>
    </row>
    <row r="93" spans="1:6" x14ac:dyDescent="0.25">
      <c r="A93" s="1">
        <v>4</v>
      </c>
      <c r="B93" s="1">
        <v>5</v>
      </c>
      <c r="C93" s="2">
        <f t="shared" si="2"/>
        <v>1</v>
      </c>
      <c r="D93" s="1">
        <f t="shared" si="3"/>
        <v>0.85512776043473226</v>
      </c>
      <c r="F93" s="6"/>
    </row>
    <row r="94" spans="1:6" x14ac:dyDescent="0.25">
      <c r="A94" s="1">
        <v>3</v>
      </c>
      <c r="B94" s="1">
        <v>4</v>
      </c>
      <c r="C94" s="2">
        <f t="shared" si="2"/>
        <v>1</v>
      </c>
      <c r="D94" s="1">
        <f t="shared" si="3"/>
        <v>0.85512776043473226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2026-05-28T21:17:36Z</dcterms:modified>
</cp:coreProperties>
</file>
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tabRatio="991"/>
  </bookViews>
  <sheets>
    <sheet name="Resumen" sheetId="27" r:id="rId1"/>
    <sheet name="Participas-actividades" sheetId="1" r:id="rId2"/>
    <sheet name="Comprensión-contenidos" sheetId="17" r:id="rId3"/>
    <sheet name="Herramientas-tecnológicas" sheetId="19" r:id="rId4"/>
    <sheet name="Recursos-tecnológicos" sheetId="18" r:id="rId5"/>
    <sheet name="Percepción-evaluaciones" sheetId="20" r:id="rId6"/>
    <sheet name="Retroalimentación-oportuna" sheetId="21" r:id="rId7"/>
    <sheet name="Calificación" sheetId="22" r:id="rId8"/>
    <sheet name="Nivel-comprensión" sheetId="23" r:id="rId9"/>
    <sheet name="Habilidades-tareas" sheetId="24" r:id="rId10"/>
    <sheet name="Resolución-problemas" sheetId="25" r:id="rId11"/>
    <sheet name="Motivación" sheetId="26" r:id="rId12"/>
  </sheets>
  <calcPr calcId="152511"/>
</workbook>
</file>

<file path=xl/calcChain.xml><?xml version="1.0" encoding="utf-8"?>
<calcChain xmlns="http://schemas.openxmlformats.org/spreadsheetml/2006/main">
  <c r="F12" i="27" l="1"/>
  <c r="F11" i="27"/>
  <c r="F10" i="27"/>
  <c r="F9" i="27"/>
  <c r="F8" i="27"/>
  <c r="F7" i="27"/>
  <c r="F6" i="27"/>
  <c r="F5" i="27"/>
  <c r="F4" i="27"/>
  <c r="F3" i="27"/>
  <c r="F2" i="27"/>
  <c r="E12" i="27"/>
  <c r="E11" i="27"/>
  <c r="E10" i="27"/>
  <c r="E9" i="27"/>
  <c r="E8" i="27"/>
  <c r="E7" i="27"/>
  <c r="E6" i="27"/>
  <c r="E5" i="27"/>
  <c r="E4" i="27"/>
  <c r="E3" i="27"/>
  <c r="E2" i="27"/>
  <c r="D12" i="27"/>
  <c r="D11" i="27"/>
  <c r="D10" i="27"/>
  <c r="D9" i="27"/>
  <c r="D8" i="27"/>
  <c r="D7" i="27"/>
  <c r="D6" i="27"/>
  <c r="D5" i="27"/>
  <c r="D4" i="27"/>
  <c r="D3" i="27"/>
  <c r="D2" i="27"/>
  <c r="C12" i="27"/>
  <c r="C11" i="27"/>
  <c r="C10" i="27"/>
  <c r="C9" i="27"/>
  <c r="C8" i="27"/>
  <c r="C7" i="27"/>
  <c r="C6" i="27"/>
  <c r="C5" i="27"/>
  <c r="C4" i="27"/>
  <c r="C3" i="27"/>
  <c r="C2" i="27"/>
  <c r="B12" i="27"/>
  <c r="B11" i="27"/>
  <c r="B10" i="27"/>
  <c r="B9" i="27"/>
  <c r="B8" i="27"/>
  <c r="B7" i="27"/>
  <c r="B6" i="27"/>
  <c r="B5" i="27"/>
  <c r="B4" i="27"/>
  <c r="B3" i="27"/>
  <c r="B2" i="27"/>
  <c r="E8" i="19" l="1"/>
  <c r="E6" i="1"/>
  <c r="E5" i="1"/>
  <c r="E4" i="1"/>
  <c r="E3" i="1"/>
  <c r="E2" i="1"/>
  <c r="E2" i="19"/>
  <c r="E12" i="19"/>
  <c r="E6" i="19"/>
  <c r="E5" i="19"/>
  <c r="E4" i="19"/>
  <c r="E3" i="19"/>
  <c r="E56" i="26" l="1"/>
  <c r="D74" i="26" s="1"/>
  <c r="E55" i="26"/>
  <c r="D73" i="26" s="1"/>
  <c r="E12" i="26"/>
  <c r="E11" i="26"/>
  <c r="E10" i="26"/>
  <c r="E9" i="26"/>
  <c r="E8" i="26"/>
  <c r="E6" i="26"/>
  <c r="E5" i="26"/>
  <c r="E4" i="26"/>
  <c r="E3" i="26"/>
  <c r="E2" i="26"/>
  <c r="E56" i="25"/>
  <c r="D74" i="25" s="1"/>
  <c r="E55" i="25"/>
  <c r="D73" i="25" s="1"/>
  <c r="E12" i="25"/>
  <c r="E11" i="25"/>
  <c r="E10" i="25"/>
  <c r="E9" i="25"/>
  <c r="E8" i="25"/>
  <c r="E6" i="25"/>
  <c r="E5" i="25"/>
  <c r="E42" i="25" s="1"/>
  <c r="E4" i="25"/>
  <c r="E3" i="25"/>
  <c r="E2" i="25"/>
  <c r="E56" i="24"/>
  <c r="D74" i="24" s="1"/>
  <c r="E55" i="24"/>
  <c r="D73" i="24" s="1"/>
  <c r="E12" i="24"/>
  <c r="E11" i="24"/>
  <c r="E10" i="24"/>
  <c r="E9" i="24"/>
  <c r="E8" i="24"/>
  <c r="E6" i="24"/>
  <c r="E5" i="24"/>
  <c r="E4" i="24"/>
  <c r="E3" i="24"/>
  <c r="E2" i="24"/>
  <c r="E56" i="23"/>
  <c r="D74" i="23" s="1"/>
  <c r="E55" i="23"/>
  <c r="D73" i="23" s="1"/>
  <c r="E12" i="23"/>
  <c r="E11" i="23"/>
  <c r="E10" i="23"/>
  <c r="E9" i="23"/>
  <c r="E8" i="23"/>
  <c r="E6" i="23"/>
  <c r="E5" i="23"/>
  <c r="E41" i="23" s="1"/>
  <c r="E4" i="23"/>
  <c r="E3" i="23"/>
  <c r="E2" i="23"/>
  <c r="E56" i="22"/>
  <c r="D74" i="22" s="1"/>
  <c r="E55" i="22"/>
  <c r="D73" i="22" s="1"/>
  <c r="E12" i="22"/>
  <c r="E11" i="22"/>
  <c r="E10" i="22"/>
  <c r="E9" i="22"/>
  <c r="E8" i="22"/>
  <c r="E6" i="22"/>
  <c r="E5" i="22"/>
  <c r="E4" i="22"/>
  <c r="E3" i="22"/>
  <c r="E2" i="22"/>
  <c r="E56" i="21"/>
  <c r="D74" i="21" s="1"/>
  <c r="E55" i="21"/>
  <c r="D73" i="21" s="1"/>
  <c r="E12" i="21"/>
  <c r="E11" i="21"/>
  <c r="E10" i="21"/>
  <c r="E9" i="21"/>
  <c r="E8" i="21"/>
  <c r="E6" i="21"/>
  <c r="E5" i="21"/>
  <c r="E4" i="21"/>
  <c r="E3" i="21"/>
  <c r="E2" i="21"/>
  <c r="E56" i="20"/>
  <c r="D74" i="20" s="1"/>
  <c r="E55" i="20"/>
  <c r="D73" i="20" s="1"/>
  <c r="E12" i="20"/>
  <c r="E11" i="20"/>
  <c r="E10" i="20"/>
  <c r="E9" i="20"/>
  <c r="E8" i="20"/>
  <c r="E6" i="20"/>
  <c r="E5" i="20"/>
  <c r="E41" i="20" s="1"/>
  <c r="E4" i="20"/>
  <c r="E3" i="20"/>
  <c r="E2" i="20"/>
  <c r="E56" i="19"/>
  <c r="D74" i="19" s="1"/>
  <c r="E55" i="19"/>
  <c r="D73" i="19" s="1"/>
  <c r="E11" i="19"/>
  <c r="E10" i="19"/>
  <c r="E9" i="19"/>
  <c r="E29" i="19"/>
  <c r="E56" i="18"/>
  <c r="D74" i="18" s="1"/>
  <c r="E55" i="18"/>
  <c r="D73" i="18" s="1"/>
  <c r="E12" i="18"/>
  <c r="E11" i="18"/>
  <c r="E10" i="18"/>
  <c r="E9" i="18"/>
  <c r="E8" i="18"/>
  <c r="E6" i="18"/>
  <c r="E5" i="18"/>
  <c r="E4" i="18"/>
  <c r="E3" i="18"/>
  <c r="E2" i="18"/>
  <c r="E56" i="17"/>
  <c r="D74" i="17" s="1"/>
  <c r="E55" i="17"/>
  <c r="D73" i="17" s="1"/>
  <c r="E12" i="17"/>
  <c r="E11" i="17"/>
  <c r="E10" i="17"/>
  <c r="E9" i="17"/>
  <c r="E8" i="17"/>
  <c r="E6" i="17"/>
  <c r="E5" i="17"/>
  <c r="E4" i="17"/>
  <c r="E3" i="17"/>
  <c r="E2" i="17"/>
  <c r="E43" i="21" l="1"/>
  <c r="E43" i="25"/>
  <c r="E43" i="20"/>
  <c r="E42" i="24"/>
  <c r="E43" i="22"/>
  <c r="E41" i="17"/>
  <c r="E42" i="26"/>
  <c r="E43" i="26"/>
  <c r="E41" i="26"/>
  <c r="E29" i="26"/>
  <c r="E29" i="25"/>
  <c r="E41" i="25"/>
  <c r="E43" i="24"/>
  <c r="E41" i="24"/>
  <c r="E29" i="24"/>
  <c r="E29" i="23"/>
  <c r="E43" i="23"/>
  <c r="E42" i="23"/>
  <c r="E42" i="22"/>
  <c r="E41" i="22"/>
  <c r="E29" i="22"/>
  <c r="E41" i="21"/>
  <c r="E42" i="21"/>
  <c r="E29" i="21"/>
  <c r="E42" i="20"/>
  <c r="E29" i="20"/>
  <c r="E43" i="19"/>
  <c r="E42" i="19"/>
  <c r="E41" i="19"/>
  <c r="E42" i="18"/>
  <c r="E29" i="18"/>
  <c r="E43" i="18"/>
  <c r="E41" i="18"/>
  <c r="E43" i="17"/>
  <c r="E42" i="17"/>
  <c r="E29" i="17"/>
  <c r="E45" i="25" l="1"/>
  <c r="E45" i="23"/>
  <c r="E53" i="23" s="1"/>
  <c r="D68" i="23" s="1"/>
  <c r="E45" i="20"/>
  <c r="E52" i="20" s="1"/>
  <c r="D67" i="20" s="1"/>
  <c r="E45" i="19"/>
  <c r="E53" i="19" s="1"/>
  <c r="D68" i="19" s="1"/>
  <c r="E45" i="24"/>
  <c r="E53" i="24" s="1"/>
  <c r="D68" i="24" s="1"/>
  <c r="E45" i="22"/>
  <c r="E53" i="22" s="1"/>
  <c r="D68" i="22" s="1"/>
  <c r="E45" i="21"/>
  <c r="E53" i="21" s="1"/>
  <c r="D68" i="21" s="1"/>
  <c r="E45" i="26"/>
  <c r="E53" i="26" s="1"/>
  <c r="D68" i="26" s="1"/>
  <c r="E53" i="25"/>
  <c r="D68" i="25" s="1"/>
  <c r="E52" i="25"/>
  <c r="D67" i="25" s="1"/>
  <c r="E45" i="18"/>
  <c r="E52" i="18" s="1"/>
  <c r="D67" i="18" s="1"/>
  <c r="E45" i="17"/>
  <c r="E52" i="17" s="1"/>
  <c r="D67" i="17" s="1"/>
  <c r="E56" i="1"/>
  <c r="D74" i="1" s="1"/>
  <c r="E55" i="1"/>
  <c r="D73" i="1" s="1"/>
  <c r="E52" i="23" l="1"/>
  <c r="D67" i="23" s="1"/>
  <c r="E53" i="20"/>
  <c r="D68" i="20" s="1"/>
  <c r="E52" i="19"/>
  <c r="D67" i="19" s="1"/>
  <c r="E52" i="26"/>
  <c r="D67" i="26" s="1"/>
  <c r="E52" i="24"/>
  <c r="D67" i="24" s="1"/>
  <c r="E52" i="22"/>
  <c r="D67" i="22" s="1"/>
  <c r="E52" i="21"/>
  <c r="D67" i="21" s="1"/>
  <c r="E53" i="18"/>
  <c r="D68" i="18" s="1"/>
  <c r="E53" i="17"/>
  <c r="D68" i="17" s="1"/>
  <c r="E12" i="1"/>
  <c r="E11" i="1"/>
  <c r="E10" i="1"/>
  <c r="E9" i="1"/>
  <c r="E8" i="1"/>
  <c r="E29" i="1" l="1"/>
  <c r="E42" i="1"/>
  <c r="E41" i="1"/>
  <c r="E43" i="1"/>
  <c r="E45" i="1" l="1"/>
  <c r="E53" i="1" l="1"/>
  <c r="D68" i="1" s="1"/>
  <c r="E52" i="1"/>
  <c r="D67" i="1" s="1"/>
</calcChain>
</file>

<file path=xl/sharedStrings.xml><?xml version="1.0" encoding="utf-8"?>
<sst xmlns="http://schemas.openxmlformats.org/spreadsheetml/2006/main" count="358" uniqueCount="66">
  <si>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</si>
  <si>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</si>
  <si>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</si>
  <si>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</si>
  <si>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</si>
  <si>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</si>
  <si>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</si>
  <si>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</si>
  <si>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</si>
  <si>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</si>
  <si>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</si>
  <si>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</si>
  <si>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</si>
  <si>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</si>
  <si>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</si>
  <si>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</si>
  <si>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</si>
  <si>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</si>
  <si>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</si>
  <si>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</si>
  <si>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</si>
  <si>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</si>
  <si>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</si>
  <si>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</si>
  <si>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Grupo Control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</si>
  <si>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Grupo Experimental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</si>
  <si>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</si>
  <si>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r>
      <t>(Sin Innovacion Didactica) 
Grupo Control - Post-test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</si>
  <si>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(Sin Innovacion Didactica) 
Grupo Control - Post-test   </t>
    </r>
    <r>
      <rPr>
        <sz val="11"/>
        <color theme="1"/>
        <rFont val="Calibri"/>
        <family val="2"/>
        <scheme val="minor"/>
      </rPr>
      <t xml:space="preserve">         
Comprensión-contenidos
a) Siempre = 5
b) Muchas veces = 4
c) A veces = 3
d) Pocas veces = 2 
e) Nunca = 1</t>
    </r>
  </si>
  <si>
    <r>
      <t xml:space="preserve">(Sin Innovacion Didactica) 
Grupo Control - Post-test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</si>
  <si>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(Sin Innovacion Didactica) 
Grupo control - Post-test   </t>
    </r>
    <r>
      <rPr>
        <sz val="11"/>
        <color theme="1"/>
        <rFont val="Calibri"/>
        <family val="2"/>
        <scheme val="minor"/>
      </rPr>
      <t xml:space="preserve">         
Recursos-tecnológicos
a) Siempre = 5
b) Muchas veces = 4
c) A veces = 3
d) Pocas veces = 2 
e) Nunca = 1</t>
    </r>
  </si>
  <si>
    <r>
      <t xml:space="preserve">(Sin Innovacion Didactica) 
Grupo Control - Post-test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</si>
  <si>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(Sin Innovacion Didactica) 
Grupo Control - Post-test   </t>
    </r>
    <r>
      <rPr>
        <sz val="11"/>
        <color theme="1"/>
        <rFont val="Calibri"/>
        <family val="2"/>
        <scheme val="minor"/>
      </rPr>
      <t xml:space="preserve">         
Retroalimentación-oportuna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</si>
  <si>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 xml:space="preserve">(Sin Innovacion Didactica)  
Grupo Control - Post-test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</si>
  <si>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(Sin Innovacion Didactica) 
Grupo Control - Post-test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</si>
  <si>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(Sin Innovacion Didactica) 
Grupo Control - Post-test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</si>
  <si>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(Sin Innovacion Didactica) 
Grupo Control - Post-test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</si>
  <si>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Innovacion Didactica) 
Grupo Control - Post-test
</t>
    </r>
    <r>
      <rPr>
        <sz val="11"/>
        <color theme="1"/>
        <rFont val="Calibri"/>
        <family val="2"/>
        <scheme val="minor"/>
      </rPr>
      <t>Motivación
a) Muy Alta = 5
b) Alta = 4
c) Regular = 3
d) Baja = 2
e) Muy Baja = 1</t>
    </r>
    <r>
      <rPr>
        <sz val="11"/>
        <color rgb="FFC00000"/>
        <rFont val="Calibri"/>
        <family val="2"/>
        <scheme val="minor"/>
      </rPr>
      <t xml:space="preserve">
</t>
    </r>
  </si>
  <si>
    <r>
      <t>(Con Innovacion Didactica) 
Grupo Experimental - Post-test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</si>
  <si>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(Con Innovacion Didactica) 
Grupo Experimental - Post-test       </t>
    </r>
    <r>
      <rPr>
        <sz val="11"/>
        <color theme="1"/>
        <rFont val="Calibri"/>
        <family val="2"/>
        <scheme val="minor"/>
      </rPr>
      <t xml:space="preserve">     
Comprensión-contenidos
a) Siempre = 5
b) Muchas veces = 4
c) A veces = 3
d) Pocas veces = 2 
e) Nunca = 1</t>
    </r>
  </si>
  <si>
    <r>
      <t xml:space="preserve">(Con Innovacion Didactica) 
Grupo Experimental - Post-test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</si>
  <si>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(Con Innovacion Didactica) 
Grupo Experimental - Post-test           </t>
    </r>
    <r>
      <rPr>
        <sz val="11"/>
        <color theme="1"/>
        <rFont val="Calibri"/>
        <family val="2"/>
        <scheme val="minor"/>
      </rPr>
      <t xml:space="preserve">     
Recursos-tecnológicos
a) Siempre = 5
b) Muchas veces = 4
c) A veces = 3
d) Pocas veces = 2 
e) Nunca = 1</t>
    </r>
  </si>
  <si>
    <r>
      <t xml:space="preserve">(Con Innovacion Didactica) 
Grupo Experimental - Post-test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</si>
  <si>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(Con Innovacion Didactica) 
Grupo Experimental - Post-test       </t>
    </r>
    <r>
      <rPr>
        <sz val="11"/>
        <color theme="1"/>
        <rFont val="Calibri"/>
        <family val="2"/>
        <scheme val="minor"/>
      </rPr>
      <t xml:space="preserve">     
Retroalimentación-oportuna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</si>
  <si>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 xml:space="preserve">(Con Innovacion Didactica)  
Grupo Experimental - Post-test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</si>
  <si>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(Con Innovacion Didactica) 
Grupo Experimental - Post-test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</si>
  <si>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(Con Innovacion Didactica) 
Grupo Experimental - Post-test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</si>
  <si>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(Con Innovacion Didactica)
Grupo Experimental - Post-test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</si>
  <si>
    <r>
      <t>(Con Innovacion Didactica)
Grupo Experimental - Post-test</t>
    </r>
    <r>
      <rPr>
        <sz val="11"/>
        <color theme="1"/>
        <rFont val="Calibri"/>
        <family val="2"/>
        <scheme val="minor"/>
      </rPr>
      <t xml:space="preserve">
Motivación
a) Muy Alta = 5
b) Alta = 4
c) Regular = 3
d) Baja = 2
e) Muy Baja = 1</t>
    </r>
  </si>
  <si>
    <t>Indicador</t>
  </si>
  <si>
    <t>T
Calculado</t>
  </si>
  <si>
    <t>T Critico
2 Colas</t>
  </si>
  <si>
    <t>T Critico
1 Cola</t>
  </si>
  <si>
    <t>P valor
2 Colas</t>
  </si>
  <si>
    <t>P valor
1 Cola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</si>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</sst>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2" fillId="0" borderId="0"/>
  </cellStyleXfs>
  <cellXfs count="16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top" wrapText="1"/>
    </xf>
    <xf numFmtId="0" fontId="9" fillId="6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4" fillId="0" borderId="4" xfId="0" applyFont="1" applyBorder="1" applyAlignment="1">
      <alignment horizontal="justify" vertical="center" wrapText="1"/>
    </xf>
  </cellXfs>
  <cellStyles count="11">
    <cellStyle name="Buena" xfId="1" builtinId="26"/>
    <cellStyle name="Entrada" xfId="3" builtinId="20"/>
    <cellStyle name="Incorrecto" xfId="2" builtinId="27"/>
    <cellStyle name="Normal" xfId="0" builtinId="0"/>
    <cellStyle name="Normal 2" xfId="7"/>
    <cellStyle name="Normal 2 2" xfId="9"/>
    <cellStyle name="Normal 3" xfId="5"/>
    <cellStyle name="Normal 3 2" xfId="8"/>
    <cellStyle name="Normal 4" xfId="6"/>
    <cellStyle name="Normal 5" xfId="10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7698271" y="9682369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7E18131-8F69-4822-840C-25ADA20A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B7F7ECE2-67DD-4C51-8352-46D75D38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8DB9F1B2-30DE-44A0-994D-EE9034BD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A516E991-A16A-45FA-99DE-76A3B27C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42522425-5D18-4949-8F80-4B96A446C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758D304-E02A-48BF-8BB5-2AD7AA64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49EAD59-50F3-4956-B76D-7AC58F37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60086B95-1149-497A-A853-9C6D049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9A5D6787-7FB8-440B-BB8C-FCA6042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E71F7BEB-FE3B-49CD-A73F-2FCC35227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5A4E578-9FFC-4C4E-B5DD-B269F41C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E21A36E-983F-4351-BEA8-068D5F1B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8A443A27-E041-44A9-856C-355268B7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5C9B6F7A-F6B7-4CBB-92BF-E160E2D7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7C1142C4-00BA-4BAC-923E-E0A11BAB9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535971" y="15654544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D1D70F1-FFD7-4540-ADA2-E9F4DB1D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5E2F120-D28C-4BA8-B376-F3896727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31F938C9-5B6A-413B-A79D-53727117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94727F1F-9107-4167-93A9-1D609D5D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169A5533-AACE-44DD-968A-04ACEE1D4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267AFF3-BE47-40CA-B1C9-B6C99246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ECAA63AD-CD06-4257-95B9-27579D90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6EEA2082-6FC5-4D9A-9010-0C6BC204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C9A5ED7-7A6D-47BF-934A-E286E67C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B519E7A1-6CB7-4645-8F08-841FB44E4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9F52E8B-8C6E-4599-89F5-E149DDA7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50242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9FDA9D7-3D0E-4062-AFE8-2DF26F95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7314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11493BE7-F811-4FF9-8339-895FCBA4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4143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47AFA635-8C7F-4838-9829-6480FEB0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8151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A2C9199F-F392-4A41-9ED6-25EDE51E1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4078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166E40C-121D-4BC7-ACA9-9C07EDD2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813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AA3E7832-84BA-4D50-92C8-3BE5D618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C555F114-99E6-4839-AA16-B526A188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87937A26-9B02-4BBA-B478-26C3F072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FFD1BFCF-2EA1-47A2-9904-5C30B7851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2922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4A7E89F-7E63-4CF4-8936-839C5938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504331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24A5661-84C7-40C3-B356-3DA3BB91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7504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A0501E2E-1A19-4313-B417-3F5B7D89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4334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23D6026B-0E53-479C-9F2C-E0EE250A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8341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FCF378D2-8253-49ED-80F2-CBF0D257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4269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31497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63B85410-A6C5-4FE3-ACDC-B9E8D7BE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B17ACE87-F854-4DEA-BBD7-B78091F9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79DEF1E7-B14F-4C8B-9930-E79FDA50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E40B7891-5DA4-4152-B7E1-0DC8DDF4E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3D0F386A-17AE-4EFA-9431-8B5147C00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DAF456B-33AD-4CF0-B72A-2C6BD6AB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185A7C6-7F74-45F8-82B1-6851C0F6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FBF29B3C-211B-4E97-A565-26A13950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606B44F7-E925-453D-9B42-0AA67F62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6B005975-7130-485D-A6B7-416A5FE8C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12447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60" zoomScaleNormal="160" workbookViewId="0">
      <selection activeCell="G7" sqref="G7"/>
    </sheetView>
  </sheetViews>
  <sheetFormatPr baseColWidth="10" defaultRowHeight="15" x14ac:dyDescent="0.25"/>
  <cols>
    <col min="1" max="1" width="25.28515625" customWidth="1"/>
    <col min="5" max="5" width="13.42578125" customWidth="1"/>
    <col min="6" max="6" width="13.28515625" customWidth="1"/>
  </cols>
  <sheetData>
    <row r="1" spans="1:6" ht="30" x14ac:dyDescent="0.25">
      <c r="A1" s="13" t="s">
        <v>49</v>
      </c>
      <c r="B1" s="14" t="s">
        <v>50</v>
      </c>
      <c r="C1" s="14" t="s">
        <v>51</v>
      </c>
      <c r="D1" s="14" t="s">
        <v>52</v>
      </c>
      <c r="E1" s="14" t="s">
        <v>53</v>
      </c>
      <c r="F1" s="14" t="s">
        <v>54</v>
      </c>
    </row>
    <row r="2" spans="1:6" x14ac:dyDescent="0.25">
      <c r="A2" s="15" t="s">
        <v>55</v>
      </c>
      <c r="B2" s="15">
        <f>ROUND('Participas-actividades'!E29, 4)</f>
        <v>-5.8952999999999998</v>
      </c>
      <c r="C2" s="15">
        <f>ROUND('Participas-actividades'!E52, 4)</f>
        <v>1.9734</v>
      </c>
      <c r="D2" s="15">
        <f>ROUND('Participas-actividades'!E53, 4)</f>
        <v>-1.6535</v>
      </c>
      <c r="E2" s="15">
        <f>'Participas-actividades'!E55</f>
        <v>1.7537426897628654E-8</v>
      </c>
      <c r="F2" s="15">
        <f>'Participas-actividades'!E56</f>
        <v>8.768713448814327E-9</v>
      </c>
    </row>
    <row r="3" spans="1:6" x14ac:dyDescent="0.25">
      <c r="A3" s="15" t="s">
        <v>56</v>
      </c>
      <c r="B3" s="15">
        <f>ROUND('Comprensión-contenidos'!E29, 4)</f>
        <v>-3.6846999999999999</v>
      </c>
      <c r="C3" s="15">
        <f>ROUND('Comprensión-contenidos'!E52, 4)</f>
        <v>1.9732000000000001</v>
      </c>
      <c r="D3" s="15">
        <f>ROUND('Comprensión-contenidos'!E53, 4)</f>
        <v>-1.6533</v>
      </c>
      <c r="E3" s="15">
        <f>'Comprensión-contenidos'!E55</f>
        <v>3.0099252231139805E-4</v>
      </c>
      <c r="F3" s="15">
        <f>'Comprensión-contenidos'!E56</f>
        <v>1.5049626115569903E-4</v>
      </c>
    </row>
    <row r="4" spans="1:6" x14ac:dyDescent="0.25">
      <c r="A4" s="15" t="s">
        <v>57</v>
      </c>
      <c r="B4" s="15">
        <f>ROUND('Herramientas-tecnológicas'!E29, 4)</f>
        <v>-2.9683000000000002</v>
      </c>
      <c r="C4" s="15">
        <f>ROUND('Herramientas-tecnológicas'!E52, 4)</f>
        <v>1.9730000000000001</v>
      </c>
      <c r="D4" s="15">
        <f>ROUND('Herramientas-tecnológicas'!E53, 4)</f>
        <v>-1.6532</v>
      </c>
      <c r="E4" s="15">
        <f>'Herramientas-tecnológicas'!E55</f>
        <v>3.3931457384433696E-3</v>
      </c>
      <c r="F4" s="15">
        <f>'Herramientas-tecnológicas'!E56</f>
        <v>1.6965728692216848E-3</v>
      </c>
    </row>
    <row r="5" spans="1:6" x14ac:dyDescent="0.25">
      <c r="A5" s="15" t="s">
        <v>58</v>
      </c>
      <c r="B5" s="15">
        <f>ROUND('Recursos-tecnológicos'!E29, 4)</f>
        <v>-5.6116999999999999</v>
      </c>
      <c r="C5" s="15">
        <f>ROUND('Recursos-tecnológicos'!E52, 4)</f>
        <v>1.9743999999999999</v>
      </c>
      <c r="D5" s="15">
        <f>ROUND('Recursos-tecnológicos'!E53, 4)</f>
        <v>-1.6540999999999999</v>
      </c>
      <c r="E5" s="15">
        <f>'Recursos-tecnológicos'!E55</f>
        <v>7.2717022884929402E-8</v>
      </c>
      <c r="F5" s="15">
        <f>'Recursos-tecnológicos'!E56</f>
        <v>3.6358511442464701E-8</v>
      </c>
    </row>
    <row r="6" spans="1:6" x14ac:dyDescent="0.25">
      <c r="A6" s="15" t="s">
        <v>59</v>
      </c>
      <c r="B6" s="15">
        <f>ROUND('Percepción-evaluaciones'!E29, 4)</f>
        <v>-3.8559000000000001</v>
      </c>
      <c r="C6" s="15">
        <f>ROUND('Percepción-evaluaciones'!E52, 4)</f>
        <v>1.9731000000000001</v>
      </c>
      <c r="D6" s="15">
        <f>ROUND('Percepción-evaluaciones'!E53, 4)</f>
        <v>-1.6533</v>
      </c>
      <c r="E6" s="15">
        <f>'Percepción-evaluaciones'!E55</f>
        <v>1.5927120194478888E-4</v>
      </c>
      <c r="F6" s="15">
        <f>'Percepción-evaluaciones'!E56</f>
        <v>7.963560097239444E-5</v>
      </c>
    </row>
    <row r="7" spans="1:6" x14ac:dyDescent="0.25">
      <c r="A7" s="15" t="s">
        <v>60</v>
      </c>
      <c r="B7" s="15">
        <f>ROUND('Retroalimentación-oportuna'!E29, 4)</f>
        <v>-5.5007999999999999</v>
      </c>
      <c r="C7" s="15">
        <f>ROUND('Retroalimentación-oportuna'!E52, 4)</f>
        <v>1.9742999999999999</v>
      </c>
      <c r="D7" s="15">
        <f>ROUND('Retroalimentación-oportuna'!E53, 4)</f>
        <v>-1.6539999999999999</v>
      </c>
      <c r="E7" s="15">
        <f>'Retroalimentación-oportuna'!E55</f>
        <v>1.2521551570127437E-7</v>
      </c>
      <c r="F7" s="15">
        <f>'Retroalimentación-oportuna'!E56</f>
        <v>6.2607757850637184E-8</v>
      </c>
    </row>
    <row r="8" spans="1:6" x14ac:dyDescent="0.25">
      <c r="A8" s="15" t="s">
        <v>61</v>
      </c>
      <c r="B8" s="15">
        <f>ROUND(Calificación!E29, 4)</f>
        <v>-4.4945000000000004</v>
      </c>
      <c r="C8" s="15">
        <f>ROUND(Calificación!E52, 4)</f>
        <v>1.9741</v>
      </c>
      <c r="D8" s="15">
        <f>ROUND(Calificación!E53, 4)</f>
        <v>-1.6538999999999999</v>
      </c>
      <c r="E8" s="15">
        <f>Calificación!E55</f>
        <v>1.2304232264676836E-5</v>
      </c>
      <c r="F8" s="15">
        <f>Calificación!E56</f>
        <v>6.152116132338418E-6</v>
      </c>
    </row>
    <row r="9" spans="1:6" x14ac:dyDescent="0.25">
      <c r="A9" s="15" t="s">
        <v>62</v>
      </c>
      <c r="B9" s="15">
        <f>ROUND('Nivel-comprensión'!E29, 4)</f>
        <v>-6.2061000000000002</v>
      </c>
      <c r="C9" s="15">
        <f>ROUND('Nivel-comprensión'!E52, 4)</f>
        <v>1.9731000000000001</v>
      </c>
      <c r="D9" s="15">
        <f>ROUND('Nivel-comprensión'!E53, 4)</f>
        <v>-1.6533</v>
      </c>
      <c r="E9" s="15">
        <f>'Nivel-comprensión'!E55</f>
        <v>3.5103966306309282E-9</v>
      </c>
      <c r="F9" s="15">
        <f>'Nivel-comprensión'!E56</f>
        <v>1.7551983153154641E-9</v>
      </c>
    </row>
    <row r="10" spans="1:6" x14ac:dyDescent="0.25">
      <c r="A10" s="15" t="s">
        <v>63</v>
      </c>
      <c r="B10" s="15">
        <f>ROUND('Habilidades-tareas'!E29, 4)</f>
        <v>-4.4019000000000004</v>
      </c>
      <c r="C10" s="15">
        <f>ROUND('Habilidades-tareas'!E52, 4)</f>
        <v>1.9730000000000001</v>
      </c>
      <c r="D10" s="15">
        <f>ROUND('Habilidades-tareas'!E53, 4)</f>
        <v>-1.6532</v>
      </c>
      <c r="E10" s="15">
        <f>'Habilidades-tareas'!E55</f>
        <v>1.8161435705477327E-5</v>
      </c>
      <c r="F10" s="15">
        <f>'Habilidades-tareas'!E56</f>
        <v>9.0807178527386637E-6</v>
      </c>
    </row>
    <row r="11" spans="1:6" x14ac:dyDescent="0.25">
      <c r="A11" s="15" t="s">
        <v>64</v>
      </c>
      <c r="B11" s="15">
        <f>ROUND('Resolución-problemas'!E29, 4)</f>
        <v>-5.3094000000000001</v>
      </c>
      <c r="C11" s="15">
        <f>ROUND('Resolución-problemas'!E52, 4)</f>
        <v>1.9736</v>
      </c>
      <c r="D11" s="15">
        <f>ROUND('Resolución-problemas'!E53, 4)</f>
        <v>-1.6536</v>
      </c>
      <c r="E11" s="15">
        <f>'Resolución-problemas'!E55</f>
        <v>3.1465116406742627E-7</v>
      </c>
      <c r="F11" s="15">
        <f>'Resolución-problemas'!E56</f>
        <v>1.5732558203371314E-7</v>
      </c>
    </row>
    <row r="12" spans="1:6" x14ac:dyDescent="0.25">
      <c r="A12" s="15" t="s">
        <v>65</v>
      </c>
      <c r="B12" s="15">
        <f>ROUND(Motivación!E29, 4)</f>
        <v>-5.1798000000000002</v>
      </c>
      <c r="C12" s="15">
        <f>ROUND(Motivación!E52, 4)</f>
        <v>1.9733000000000001</v>
      </c>
      <c r="D12" s="15">
        <f>ROUND(Motivación!E53, 4)</f>
        <v>-1.6534</v>
      </c>
      <c r="E12" s="15">
        <f>Motivación!E55</f>
        <v>5.7969460438111829E-7</v>
      </c>
      <c r="F12" s="15">
        <f>Motivación!E56</f>
        <v>2.8984730219055914E-7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40" zoomScale="130" zoomScaleNormal="130" workbookViewId="0">
      <selection activeCell="A55" sqref="A55:XFD55"/>
    </sheetView>
  </sheetViews>
  <sheetFormatPr baseColWidth="10" defaultColWidth="9.140625" defaultRowHeight="15" x14ac:dyDescent="0.25"/>
  <cols>
    <col min="1" max="1" width="28.42578125" customWidth="1"/>
    <col min="2" max="2" width="29.140625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27</v>
      </c>
      <c r="B1" s="8" t="s">
        <v>38</v>
      </c>
    </row>
    <row r="2" spans="1:5" x14ac:dyDescent="0.25">
      <c r="A2" s="7">
        <v>2</v>
      </c>
      <c r="B2" s="7">
        <v>4</v>
      </c>
      <c r="D2" s="1" t="s">
        <v>24</v>
      </c>
      <c r="E2">
        <f>AVERAGE(A:A)</f>
        <v>3.139784946236559</v>
      </c>
    </row>
    <row r="3" spans="1:5" x14ac:dyDescent="0.25">
      <c r="A3" s="7">
        <v>1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4</v>
      </c>
      <c r="B4" s="7">
        <v>4</v>
      </c>
      <c r="D4" s="1" t="s">
        <v>1</v>
      </c>
      <c r="E4">
        <f>MODE(A:A)</f>
        <v>3</v>
      </c>
    </row>
    <row r="5" spans="1:5" x14ac:dyDescent="0.25">
      <c r="A5" s="7">
        <v>3</v>
      </c>
      <c r="B5" s="7">
        <v>4</v>
      </c>
      <c r="D5" s="1" t="s">
        <v>15</v>
      </c>
      <c r="E5">
        <f>STDEV(A:A)</f>
        <v>1.1189222089899371</v>
      </c>
    </row>
    <row r="6" spans="1:5" x14ac:dyDescent="0.25">
      <c r="A6" s="7">
        <v>4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1</v>
      </c>
      <c r="B7" s="7">
        <v>4</v>
      </c>
    </row>
    <row r="8" spans="1:5" x14ac:dyDescent="0.25">
      <c r="A8" s="7">
        <v>4</v>
      </c>
      <c r="B8" s="7">
        <v>5</v>
      </c>
      <c r="D8" s="3" t="s">
        <v>25</v>
      </c>
      <c r="E8">
        <f>AVERAGE(B:B)</f>
        <v>4.032258064516129</v>
      </c>
    </row>
    <row r="9" spans="1:5" x14ac:dyDescent="0.25">
      <c r="A9" s="7">
        <v>1</v>
      </c>
      <c r="B9" s="7">
        <v>4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5</v>
      </c>
      <c r="D10" s="3" t="s">
        <v>3</v>
      </c>
      <c r="E10">
        <f>MODE(B:B)</f>
        <v>4</v>
      </c>
    </row>
    <row r="11" spans="1:5" x14ac:dyDescent="0.25">
      <c r="A11" s="7">
        <v>3</v>
      </c>
      <c r="B11" s="7">
        <v>3</v>
      </c>
      <c r="D11" s="3" t="s">
        <v>14</v>
      </c>
      <c r="E11">
        <f>STDEV(B:B)</f>
        <v>0.93775417311818021</v>
      </c>
    </row>
    <row r="12" spans="1:5" x14ac:dyDescent="0.25">
      <c r="A12" s="7">
        <v>3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4</v>
      </c>
    </row>
    <row r="14" spans="1:5" x14ac:dyDescent="0.25">
      <c r="A14" s="7">
        <v>4</v>
      </c>
      <c r="B14" s="7">
        <v>5</v>
      </c>
    </row>
    <row r="15" spans="1:5" x14ac:dyDescent="0.25">
      <c r="A15" s="7">
        <v>4</v>
      </c>
      <c r="B15" s="7">
        <v>4</v>
      </c>
    </row>
    <row r="16" spans="1:5" x14ac:dyDescent="0.25">
      <c r="A16" s="7">
        <v>4</v>
      </c>
      <c r="B16" s="7">
        <v>5</v>
      </c>
    </row>
    <row r="17" spans="1:5" x14ac:dyDescent="0.25">
      <c r="A17" s="7">
        <v>3</v>
      </c>
      <c r="B17" s="7">
        <v>5</v>
      </c>
      <c r="D17" s="2" t="s">
        <v>6</v>
      </c>
      <c r="E17" s="2"/>
    </row>
    <row r="18" spans="1:5" x14ac:dyDescent="0.25">
      <c r="A18" s="7">
        <v>4</v>
      </c>
      <c r="B18" s="7">
        <v>5</v>
      </c>
    </row>
    <row r="19" spans="1:5" x14ac:dyDescent="0.25">
      <c r="A19" s="7">
        <v>5</v>
      </c>
      <c r="B19" s="7">
        <v>4</v>
      </c>
    </row>
    <row r="20" spans="1:5" x14ac:dyDescent="0.25">
      <c r="A20" s="7">
        <v>1</v>
      </c>
      <c r="B20" s="7">
        <v>5</v>
      </c>
    </row>
    <row r="21" spans="1:5" x14ac:dyDescent="0.25">
      <c r="A21" s="7">
        <v>2</v>
      </c>
      <c r="B21" s="7">
        <v>5</v>
      </c>
    </row>
    <row r="22" spans="1:5" x14ac:dyDescent="0.25">
      <c r="A22" s="7">
        <v>2</v>
      </c>
      <c r="B22" s="7">
        <v>2</v>
      </c>
    </row>
    <row r="23" spans="1:5" x14ac:dyDescent="0.25">
      <c r="A23" s="7">
        <v>1</v>
      </c>
      <c r="B23" s="7">
        <v>5</v>
      </c>
    </row>
    <row r="24" spans="1:5" x14ac:dyDescent="0.25">
      <c r="A24" s="7">
        <v>4</v>
      </c>
      <c r="B24" s="7">
        <v>4</v>
      </c>
    </row>
    <row r="25" spans="1:5" x14ac:dyDescent="0.25">
      <c r="A25" s="7">
        <v>4</v>
      </c>
      <c r="B25" s="7">
        <v>4</v>
      </c>
    </row>
    <row r="26" spans="1:5" x14ac:dyDescent="0.25">
      <c r="A26" s="7">
        <v>3</v>
      </c>
      <c r="B26" s="7">
        <v>5</v>
      </c>
    </row>
    <row r="27" spans="1:5" x14ac:dyDescent="0.25">
      <c r="A27" s="7">
        <v>3</v>
      </c>
      <c r="B27" s="7">
        <v>3</v>
      </c>
    </row>
    <row r="28" spans="1:5" x14ac:dyDescent="0.25">
      <c r="A28" s="7">
        <v>5</v>
      </c>
      <c r="B28" s="7">
        <v>5</v>
      </c>
    </row>
    <row r="29" spans="1:5" x14ac:dyDescent="0.25">
      <c r="A29" s="7">
        <v>2</v>
      </c>
      <c r="B29" s="7">
        <v>4</v>
      </c>
      <c r="D29" t="s">
        <v>11</v>
      </c>
      <c r="E29">
        <f>(E2-E8)/SQRT(((E5^2)/E6)+((E11^2)/E12))</f>
        <v>-5.8953176999264816</v>
      </c>
    </row>
    <row r="30" spans="1:5" x14ac:dyDescent="0.25">
      <c r="A30" s="7">
        <v>4</v>
      </c>
      <c r="B30" s="7">
        <v>4</v>
      </c>
    </row>
    <row r="31" spans="1:5" x14ac:dyDescent="0.25">
      <c r="A31" s="7">
        <v>4</v>
      </c>
      <c r="B31" s="7">
        <v>4</v>
      </c>
      <c r="D31" s="2" t="s">
        <v>7</v>
      </c>
      <c r="E31" s="2"/>
    </row>
    <row r="32" spans="1:5" x14ac:dyDescent="0.25">
      <c r="A32" s="7">
        <v>3</v>
      </c>
      <c r="B32" s="7">
        <v>4</v>
      </c>
    </row>
    <row r="33" spans="1:6" x14ac:dyDescent="0.25">
      <c r="A33" s="7">
        <v>3</v>
      </c>
      <c r="B33" s="7">
        <v>5</v>
      </c>
    </row>
    <row r="34" spans="1:6" x14ac:dyDescent="0.25">
      <c r="A34" s="7">
        <v>3</v>
      </c>
      <c r="B34" s="7">
        <v>5</v>
      </c>
    </row>
    <row r="35" spans="1:6" x14ac:dyDescent="0.25">
      <c r="A35" s="7">
        <v>5</v>
      </c>
      <c r="B35" s="7">
        <v>3</v>
      </c>
    </row>
    <row r="36" spans="1:6" x14ac:dyDescent="0.25">
      <c r="A36" s="7">
        <v>2</v>
      </c>
      <c r="B36" s="7">
        <v>4</v>
      </c>
    </row>
    <row r="37" spans="1:6" x14ac:dyDescent="0.25">
      <c r="A37" s="7">
        <v>4</v>
      </c>
      <c r="B37" s="7">
        <v>3</v>
      </c>
    </row>
    <row r="38" spans="1:6" x14ac:dyDescent="0.25">
      <c r="A38" s="7">
        <v>5</v>
      </c>
      <c r="B38" s="7">
        <v>3</v>
      </c>
    </row>
    <row r="39" spans="1:6" x14ac:dyDescent="0.25">
      <c r="A39" s="7">
        <v>2</v>
      </c>
      <c r="B39" s="7">
        <v>3</v>
      </c>
    </row>
    <row r="40" spans="1:6" x14ac:dyDescent="0.25">
      <c r="A40" s="7">
        <v>1</v>
      </c>
      <c r="B40" s="7">
        <v>4</v>
      </c>
    </row>
    <row r="41" spans="1:6" ht="29.25" customHeight="1" x14ac:dyDescent="0.25">
      <c r="A41" s="7">
        <v>2</v>
      </c>
      <c r="B41" s="7">
        <v>5</v>
      </c>
      <c r="D41" t="s">
        <v>8</v>
      </c>
      <c r="E41">
        <f>(((E5^2)/E6)+((E11^2)/E12))^2</f>
        <v>5.2523265348222194E-4</v>
      </c>
    </row>
    <row r="42" spans="1:6" ht="47.25" customHeight="1" x14ac:dyDescent="0.25">
      <c r="A42" s="7">
        <v>2</v>
      </c>
      <c r="B42" s="7">
        <v>3</v>
      </c>
      <c r="D42" t="s">
        <v>9</v>
      </c>
      <c r="E42">
        <f>(((E5^2)/E6)^2)/(E6-1)</f>
        <v>1.9699075819744664E-6</v>
      </c>
    </row>
    <row r="43" spans="1:6" ht="43.5" customHeight="1" x14ac:dyDescent="0.25">
      <c r="A43" s="7">
        <v>3</v>
      </c>
      <c r="B43" s="7">
        <v>4</v>
      </c>
      <c r="D43" t="s">
        <v>10</v>
      </c>
      <c r="E43">
        <f>(((E11^2)/E12)^2)/(E12-1)</f>
        <v>9.7185684424277225E-7</v>
      </c>
    </row>
    <row r="44" spans="1:6" x14ac:dyDescent="0.25">
      <c r="A44" s="7">
        <v>3</v>
      </c>
      <c r="B44" s="7">
        <v>5</v>
      </c>
    </row>
    <row r="45" spans="1:6" x14ac:dyDescent="0.25">
      <c r="A45" s="7">
        <v>5</v>
      </c>
      <c r="B45" s="7">
        <v>3</v>
      </c>
      <c r="D45" t="s">
        <v>7</v>
      </c>
      <c r="E45">
        <f>E41/(E42+E43)</f>
        <v>178.54341047886322</v>
      </c>
      <c r="F45" s="6" t="s">
        <v>12</v>
      </c>
    </row>
    <row r="46" spans="1:6" x14ac:dyDescent="0.25">
      <c r="A46" s="7">
        <v>4</v>
      </c>
      <c r="B46" s="7">
        <v>2</v>
      </c>
    </row>
    <row r="47" spans="1:6" x14ac:dyDescent="0.25">
      <c r="A47" s="7">
        <v>4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5</v>
      </c>
    </row>
    <row r="49" spans="1:5" x14ac:dyDescent="0.25">
      <c r="A49" s="7">
        <v>3</v>
      </c>
      <c r="B49" s="7">
        <v>5</v>
      </c>
    </row>
    <row r="50" spans="1:5" x14ac:dyDescent="0.25">
      <c r="A50" s="7">
        <v>3</v>
      </c>
      <c r="B50" s="7">
        <v>3</v>
      </c>
    </row>
    <row r="51" spans="1:5" x14ac:dyDescent="0.25">
      <c r="A51" s="7">
        <v>5</v>
      </c>
      <c r="B51" s="7">
        <v>2</v>
      </c>
      <c r="D51" s="2"/>
      <c r="E51" s="2"/>
    </row>
    <row r="52" spans="1:5" x14ac:dyDescent="0.25">
      <c r="A52" s="7">
        <v>4</v>
      </c>
      <c r="B52" s="7">
        <v>5</v>
      </c>
      <c r="D52" t="s">
        <v>16</v>
      </c>
      <c r="E52">
        <f>_xlfn.T.INV.2T(E47,E45)</f>
        <v>1.9733808885488198</v>
      </c>
    </row>
    <row r="53" spans="1:5" x14ac:dyDescent="0.25">
      <c r="A53" s="7">
        <v>3</v>
      </c>
      <c r="B53" s="7">
        <v>5</v>
      </c>
      <c r="D53" t="s">
        <v>17</v>
      </c>
      <c r="E53">
        <f>_xlfn.T.INV(E47, E45)</f>
        <v>-1.6534591264925478</v>
      </c>
    </row>
    <row r="54" spans="1:5" x14ac:dyDescent="0.25">
      <c r="A54" s="7">
        <v>5</v>
      </c>
      <c r="B54" s="7">
        <v>2</v>
      </c>
    </row>
    <row r="55" spans="1:5" x14ac:dyDescent="0.25">
      <c r="A55" s="7">
        <v>2</v>
      </c>
      <c r="B55" s="7">
        <v>5</v>
      </c>
      <c r="D55" t="s">
        <v>18</v>
      </c>
      <c r="E55">
        <f>TTEST(A:A,B:B,2,2)</f>
        <v>1.7537426897628654E-8</v>
      </c>
    </row>
    <row r="56" spans="1:5" x14ac:dyDescent="0.25">
      <c r="A56" s="7">
        <v>3</v>
      </c>
      <c r="B56" s="7">
        <v>4</v>
      </c>
      <c r="D56" t="s">
        <v>19</v>
      </c>
      <c r="E56">
        <f>TTEST(A:A,B:B,1,2)</f>
        <v>8.768713448814327E-9</v>
      </c>
    </row>
    <row r="57" spans="1:5" x14ac:dyDescent="0.25">
      <c r="A57" s="7">
        <v>3</v>
      </c>
      <c r="B57" s="7">
        <v>2</v>
      </c>
    </row>
    <row r="58" spans="1:5" x14ac:dyDescent="0.25">
      <c r="A58" s="7">
        <v>3</v>
      </c>
      <c r="B58" s="7">
        <v>5</v>
      </c>
    </row>
    <row r="59" spans="1:5" x14ac:dyDescent="0.25">
      <c r="A59" s="7">
        <v>2</v>
      </c>
      <c r="B59" s="7">
        <v>4</v>
      </c>
      <c r="D59" s="2" t="s">
        <v>20</v>
      </c>
      <c r="E59" s="2"/>
    </row>
    <row r="60" spans="1:5" x14ac:dyDescent="0.25">
      <c r="A60" s="7">
        <v>4</v>
      </c>
      <c r="B60" s="7">
        <v>5</v>
      </c>
    </row>
    <row r="61" spans="1:5" x14ac:dyDescent="0.25">
      <c r="A61" s="7">
        <v>3</v>
      </c>
      <c r="B61" s="7">
        <v>5</v>
      </c>
      <c r="D61" t="s">
        <v>21</v>
      </c>
    </row>
    <row r="62" spans="1:5" x14ac:dyDescent="0.25">
      <c r="A62" s="7">
        <v>3</v>
      </c>
      <c r="B62" s="7">
        <v>3</v>
      </c>
      <c r="D62" t="s">
        <v>22</v>
      </c>
    </row>
    <row r="63" spans="1:5" x14ac:dyDescent="0.25">
      <c r="A63" s="7">
        <v>4</v>
      </c>
      <c r="B63" s="7">
        <v>4</v>
      </c>
    </row>
    <row r="64" spans="1:5" x14ac:dyDescent="0.25">
      <c r="A64" s="7">
        <v>2</v>
      </c>
      <c r="B64" s="7">
        <v>1</v>
      </c>
    </row>
    <row r="65" spans="1:4" x14ac:dyDescent="0.25">
      <c r="A65" s="7">
        <v>3</v>
      </c>
      <c r="B65" s="7">
        <v>4</v>
      </c>
    </row>
    <row r="66" spans="1:4" x14ac:dyDescent="0.25">
      <c r="A66" s="7">
        <v>3</v>
      </c>
      <c r="B66" s="7">
        <v>5</v>
      </c>
      <c r="D66" t="s">
        <v>23</v>
      </c>
    </row>
    <row r="67" spans="1:4" x14ac:dyDescent="0.25">
      <c r="A67" s="7">
        <v>2</v>
      </c>
      <c r="B67" s="7">
        <v>5</v>
      </c>
      <c r="D67" t="str">
        <f>"Dos Colas: Si t calculado ("&amp;E29&amp;") &gt; a t critico  ("&amp;E52&amp;") (de tabla) ---&gt; Se rechaza la hipotesis nula"</f>
        <v>Dos Colas: Si t calculado (-5.89531769992648) &gt; a t critico  (1.97338088854882) (de tabla) ---&gt; Se rechaza la hipotesis nula</v>
      </c>
    </row>
    <row r="68" spans="1:4" x14ac:dyDescent="0.25">
      <c r="A68" s="7">
        <v>2</v>
      </c>
      <c r="B68" s="7">
        <v>5</v>
      </c>
      <c r="D68" t="str">
        <f>"Una Cola: Si t calculado ("&amp;E29&amp;") &gt; a t critico  ("&amp;E53&amp;") (de tabla) ---&gt; Se rechaza la hipotesis nula"</f>
        <v>Una Cola: Si t calculado (-5.89531769992648) &gt; a t critico  (-1.65345912649255) (de tabla) ---&gt; Se rechaza la hipotesis nula</v>
      </c>
    </row>
    <row r="69" spans="1:4" x14ac:dyDescent="0.25">
      <c r="A69" s="7">
        <v>3</v>
      </c>
      <c r="B69" s="7">
        <v>5</v>
      </c>
    </row>
    <row r="70" spans="1:4" x14ac:dyDescent="0.25">
      <c r="A70" s="7">
        <v>2</v>
      </c>
      <c r="B70" s="7">
        <v>5</v>
      </c>
    </row>
    <row r="71" spans="1:4" x14ac:dyDescent="0.25">
      <c r="A71" s="7">
        <v>3</v>
      </c>
      <c r="B71" s="7">
        <v>5</v>
      </c>
    </row>
    <row r="72" spans="1:4" x14ac:dyDescent="0.25">
      <c r="A72" s="7">
        <v>3</v>
      </c>
      <c r="B72" s="7">
        <v>4</v>
      </c>
      <c r="D72" t="s">
        <v>26</v>
      </c>
    </row>
    <row r="73" spans="1:4" x14ac:dyDescent="0.25">
      <c r="A73" s="7">
        <v>3</v>
      </c>
      <c r="B73" s="7">
        <v>3</v>
      </c>
      <c r="D73" t="str">
        <f>"Dos Colas: Si p valor ("&amp;E55&amp;") &lt; Nivel Significancia (0.05) ---&gt; Se rechaza la hipotesis nula"</f>
        <v>Dos Colas: Si p valor (1.75374268976287E-08) &lt; Nivel Significancia (0.05) ---&gt; Se rechaza la hipotesis nula</v>
      </c>
    </row>
    <row r="74" spans="1:4" x14ac:dyDescent="0.25">
      <c r="A74" s="7">
        <v>3</v>
      </c>
      <c r="B74" s="7">
        <v>4</v>
      </c>
      <c r="D74" t="str">
        <f>"Una Cola: Si p valor ("&amp;E56&amp;") &lt; Nivel Significancia (0.05) ---&gt; Se rechaza la hipotesis nula"</f>
        <v>Una Cola: Si p valor (8.76871344881433E-09) &lt; Nivel Significancia (0.05) ---&gt; Se rechaza la hipotesis nula</v>
      </c>
    </row>
    <row r="75" spans="1:4" x14ac:dyDescent="0.25">
      <c r="A75" s="7">
        <v>5</v>
      </c>
      <c r="B75" s="7">
        <v>4</v>
      </c>
    </row>
    <row r="76" spans="1:4" x14ac:dyDescent="0.25">
      <c r="A76" s="7">
        <v>2</v>
      </c>
      <c r="B76" s="7">
        <v>5</v>
      </c>
    </row>
    <row r="77" spans="1:4" x14ac:dyDescent="0.25">
      <c r="A77" s="7">
        <v>2</v>
      </c>
      <c r="B77" s="7">
        <v>5</v>
      </c>
    </row>
    <row r="78" spans="1:4" x14ac:dyDescent="0.25">
      <c r="A78" s="7">
        <v>5</v>
      </c>
      <c r="B78" s="7">
        <v>4</v>
      </c>
    </row>
    <row r="79" spans="1:4" x14ac:dyDescent="0.25">
      <c r="A79" s="7">
        <v>2</v>
      </c>
      <c r="B79" s="7">
        <v>4</v>
      </c>
    </row>
    <row r="80" spans="1:4" x14ac:dyDescent="0.25">
      <c r="A80" s="7">
        <v>5</v>
      </c>
      <c r="B80" s="7">
        <v>5</v>
      </c>
    </row>
    <row r="81" spans="1:2" x14ac:dyDescent="0.25">
      <c r="A81" s="7">
        <v>4</v>
      </c>
      <c r="B81" s="7">
        <v>3</v>
      </c>
    </row>
    <row r="82" spans="1:2" x14ac:dyDescent="0.25">
      <c r="A82" s="7">
        <v>3</v>
      </c>
      <c r="B82" s="7">
        <v>3</v>
      </c>
    </row>
    <row r="83" spans="1:2" x14ac:dyDescent="0.25">
      <c r="A83" s="7">
        <v>5</v>
      </c>
      <c r="B83" s="7">
        <v>4</v>
      </c>
    </row>
    <row r="84" spans="1:2" x14ac:dyDescent="0.25">
      <c r="A84" s="7">
        <v>2</v>
      </c>
      <c r="B84" s="7">
        <v>5</v>
      </c>
    </row>
    <row r="85" spans="1:2" x14ac:dyDescent="0.25">
      <c r="A85" s="7">
        <v>2</v>
      </c>
      <c r="B85" s="7">
        <v>3</v>
      </c>
    </row>
    <row r="86" spans="1:2" x14ac:dyDescent="0.25">
      <c r="A86" s="7">
        <v>3</v>
      </c>
      <c r="B86" s="7">
        <v>4</v>
      </c>
    </row>
    <row r="87" spans="1:2" x14ac:dyDescent="0.25">
      <c r="A87" s="7">
        <v>5</v>
      </c>
      <c r="B87" s="7">
        <v>3</v>
      </c>
    </row>
    <row r="88" spans="1:2" x14ac:dyDescent="0.25">
      <c r="A88" s="7">
        <v>4</v>
      </c>
      <c r="B88" s="7">
        <v>3</v>
      </c>
    </row>
    <row r="89" spans="1:2" x14ac:dyDescent="0.25">
      <c r="A89" s="7">
        <v>3</v>
      </c>
      <c r="B89" s="7">
        <v>3</v>
      </c>
    </row>
    <row r="90" spans="1:2" x14ac:dyDescent="0.25">
      <c r="A90" s="7">
        <v>1</v>
      </c>
      <c r="B90" s="7">
        <v>4</v>
      </c>
    </row>
    <row r="91" spans="1:2" x14ac:dyDescent="0.25">
      <c r="A91" s="7">
        <v>3</v>
      </c>
      <c r="B91" s="7">
        <v>5</v>
      </c>
    </row>
    <row r="92" spans="1:2" x14ac:dyDescent="0.25">
      <c r="A92" s="7">
        <v>4</v>
      </c>
      <c r="B92" s="7">
        <v>4</v>
      </c>
    </row>
    <row r="93" spans="1:2" x14ac:dyDescent="0.25">
      <c r="A93" s="7">
        <v>3</v>
      </c>
      <c r="B93" s="7">
        <v>4</v>
      </c>
    </row>
    <row r="94" spans="1:2" x14ac:dyDescent="0.25">
      <c r="A94" s="7">
        <v>3</v>
      </c>
      <c r="B94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40" zoomScale="115" zoomScaleNormal="115" workbookViewId="0">
      <selection activeCell="F13" sqref="F13"/>
    </sheetView>
  </sheetViews>
  <sheetFormatPr baseColWidth="10" defaultColWidth="9.140625" defaultRowHeight="15" x14ac:dyDescent="0.25"/>
  <cols>
    <col min="1" max="1" width="28" customWidth="1"/>
    <col min="2" max="2" width="30.140625" customWidth="1"/>
    <col min="4" max="4" width="39.2851562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28</v>
      </c>
      <c r="B1" s="10" t="s">
        <v>39</v>
      </c>
    </row>
    <row r="2" spans="1:5" x14ac:dyDescent="0.25">
      <c r="A2" s="7">
        <v>4</v>
      </c>
      <c r="B2" s="7">
        <v>3</v>
      </c>
      <c r="D2" s="1" t="s">
        <v>24</v>
      </c>
      <c r="E2">
        <f>AVERAGE(A:A)</f>
        <v>3.3010752688172045</v>
      </c>
    </row>
    <row r="3" spans="1:5" x14ac:dyDescent="0.25">
      <c r="A3" s="7">
        <v>3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1</v>
      </c>
      <c r="B4" s="7">
        <v>4</v>
      </c>
      <c r="D4" s="1" t="s">
        <v>1</v>
      </c>
      <c r="E4">
        <f>MODE(A:A)</f>
        <v>3</v>
      </c>
    </row>
    <row r="5" spans="1:5" x14ac:dyDescent="0.25">
      <c r="A5" s="7">
        <v>5</v>
      </c>
      <c r="B5" s="7">
        <v>2</v>
      </c>
      <c r="D5" s="1" t="s">
        <v>15</v>
      </c>
      <c r="E5">
        <f>STDEV(A:A)</f>
        <v>1.2664993368967794</v>
      </c>
    </row>
    <row r="6" spans="1:5" x14ac:dyDescent="0.25">
      <c r="A6" s="7">
        <v>1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3</v>
      </c>
      <c r="B7" s="7">
        <v>4</v>
      </c>
    </row>
    <row r="8" spans="1:5" x14ac:dyDescent="0.25">
      <c r="A8" s="7">
        <v>5</v>
      </c>
      <c r="B8" s="7">
        <v>5</v>
      </c>
      <c r="D8" s="3" t="s">
        <v>25</v>
      </c>
      <c r="E8">
        <f>AVERAGE(B:B)</f>
        <v>3.946236559139785</v>
      </c>
    </row>
    <row r="9" spans="1:5" x14ac:dyDescent="0.25">
      <c r="A9" s="7">
        <v>4</v>
      </c>
      <c r="B9" s="7">
        <v>4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3</v>
      </c>
      <c r="D10" s="3" t="s">
        <v>3</v>
      </c>
      <c r="E10">
        <f>MODE(B:B)</f>
        <v>5</v>
      </c>
    </row>
    <row r="11" spans="1:5" x14ac:dyDescent="0.25">
      <c r="A11" s="7">
        <v>5</v>
      </c>
      <c r="B11" s="7">
        <v>5</v>
      </c>
      <c r="D11" s="3" t="s">
        <v>14</v>
      </c>
      <c r="E11">
        <f>STDEV(B:B)</f>
        <v>1.1167264991332</v>
      </c>
    </row>
    <row r="12" spans="1:5" x14ac:dyDescent="0.25">
      <c r="A12" s="7">
        <v>3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5</v>
      </c>
    </row>
    <row r="14" spans="1:5" x14ac:dyDescent="0.25">
      <c r="A14" s="7">
        <v>3</v>
      </c>
      <c r="B14" s="7">
        <v>5</v>
      </c>
    </row>
    <row r="15" spans="1:5" x14ac:dyDescent="0.25">
      <c r="A15" s="7">
        <v>5</v>
      </c>
      <c r="B15" s="7">
        <v>5</v>
      </c>
    </row>
    <row r="16" spans="1:5" x14ac:dyDescent="0.25">
      <c r="A16" s="7">
        <v>2</v>
      </c>
      <c r="B16" s="7">
        <v>4</v>
      </c>
    </row>
    <row r="17" spans="1:5" x14ac:dyDescent="0.25">
      <c r="A17" s="7">
        <v>1</v>
      </c>
      <c r="B17" s="7">
        <v>2</v>
      </c>
      <c r="D17" s="2" t="s">
        <v>6</v>
      </c>
      <c r="E17" s="2"/>
    </row>
    <row r="18" spans="1:5" x14ac:dyDescent="0.25">
      <c r="A18" s="7">
        <v>1</v>
      </c>
      <c r="B18" s="7">
        <v>4</v>
      </c>
    </row>
    <row r="19" spans="1:5" x14ac:dyDescent="0.25">
      <c r="A19" s="7">
        <v>3</v>
      </c>
      <c r="B19" s="7">
        <v>5</v>
      </c>
    </row>
    <row r="20" spans="1:5" x14ac:dyDescent="0.25">
      <c r="A20" s="7">
        <v>5</v>
      </c>
      <c r="B20" s="7">
        <v>5</v>
      </c>
    </row>
    <row r="21" spans="1:5" x14ac:dyDescent="0.25">
      <c r="A21" s="7">
        <v>3</v>
      </c>
      <c r="B21" s="7">
        <v>3</v>
      </c>
    </row>
    <row r="22" spans="1:5" x14ac:dyDescent="0.25">
      <c r="A22" s="7">
        <v>5</v>
      </c>
      <c r="B22" s="7">
        <v>5</v>
      </c>
    </row>
    <row r="23" spans="1:5" x14ac:dyDescent="0.25">
      <c r="A23" s="7">
        <v>5</v>
      </c>
      <c r="B23" s="7">
        <v>3</v>
      </c>
    </row>
    <row r="24" spans="1:5" x14ac:dyDescent="0.25">
      <c r="A24" s="7">
        <v>4</v>
      </c>
      <c r="B24" s="7">
        <v>4</v>
      </c>
    </row>
    <row r="25" spans="1:5" x14ac:dyDescent="0.25">
      <c r="A25" s="7">
        <v>3</v>
      </c>
      <c r="B25" s="7">
        <v>3</v>
      </c>
    </row>
    <row r="26" spans="1:5" x14ac:dyDescent="0.25">
      <c r="A26" s="7">
        <v>2</v>
      </c>
      <c r="B26" s="7">
        <v>5</v>
      </c>
    </row>
    <row r="27" spans="1:5" x14ac:dyDescent="0.25">
      <c r="A27" s="7">
        <v>3</v>
      </c>
      <c r="B27" s="7">
        <v>3</v>
      </c>
    </row>
    <row r="28" spans="1:5" x14ac:dyDescent="0.25">
      <c r="A28" s="7">
        <v>3</v>
      </c>
      <c r="B28" s="7">
        <v>5</v>
      </c>
    </row>
    <row r="29" spans="1:5" x14ac:dyDescent="0.25">
      <c r="A29" s="7">
        <v>4</v>
      </c>
      <c r="B29" s="7">
        <v>2</v>
      </c>
      <c r="D29" t="s">
        <v>11</v>
      </c>
      <c r="E29">
        <f>(E2-E8)/SQRT(((E5^2)/E6)+((E11^2)/E12))</f>
        <v>-3.6847128958976856</v>
      </c>
    </row>
    <row r="30" spans="1:5" x14ac:dyDescent="0.25">
      <c r="A30" s="7">
        <v>1</v>
      </c>
      <c r="B30" s="7">
        <v>4</v>
      </c>
    </row>
    <row r="31" spans="1:5" x14ac:dyDescent="0.25">
      <c r="A31" s="7">
        <v>4</v>
      </c>
      <c r="B31" s="7">
        <v>5</v>
      </c>
      <c r="D31" s="2" t="s">
        <v>7</v>
      </c>
      <c r="E31" s="2"/>
    </row>
    <row r="32" spans="1:5" x14ac:dyDescent="0.25">
      <c r="A32" s="7">
        <v>3</v>
      </c>
      <c r="B32" s="7">
        <v>5</v>
      </c>
    </row>
    <row r="33" spans="1:6" x14ac:dyDescent="0.25">
      <c r="A33" s="7">
        <v>5</v>
      </c>
      <c r="B33" s="7">
        <v>5</v>
      </c>
    </row>
    <row r="34" spans="1:6" x14ac:dyDescent="0.25">
      <c r="A34" s="7">
        <v>2</v>
      </c>
      <c r="B34" s="7">
        <v>3</v>
      </c>
    </row>
    <row r="35" spans="1:6" x14ac:dyDescent="0.25">
      <c r="A35" s="7">
        <v>3</v>
      </c>
      <c r="B35" s="7">
        <v>5</v>
      </c>
    </row>
    <row r="36" spans="1:6" x14ac:dyDescent="0.25">
      <c r="A36" s="7">
        <v>4</v>
      </c>
      <c r="B36" s="7">
        <v>4</v>
      </c>
    </row>
    <row r="37" spans="1:6" x14ac:dyDescent="0.25">
      <c r="A37" s="7">
        <v>5</v>
      </c>
      <c r="B37" s="7">
        <v>5</v>
      </c>
    </row>
    <row r="38" spans="1:6" x14ac:dyDescent="0.25">
      <c r="A38" s="7">
        <v>3</v>
      </c>
      <c r="B38" s="7">
        <v>4</v>
      </c>
    </row>
    <row r="39" spans="1:6" x14ac:dyDescent="0.25">
      <c r="A39" s="7">
        <v>3</v>
      </c>
      <c r="B39" s="7">
        <v>3</v>
      </c>
    </row>
    <row r="40" spans="1:6" x14ac:dyDescent="0.25">
      <c r="A40" s="7">
        <v>4</v>
      </c>
      <c r="B40" s="7">
        <v>3</v>
      </c>
    </row>
    <row r="41" spans="1:6" ht="29.25" customHeight="1" x14ac:dyDescent="0.25">
      <c r="A41" s="7">
        <v>1</v>
      </c>
      <c r="B41" s="7">
        <v>3</v>
      </c>
      <c r="D41" t="s">
        <v>8</v>
      </c>
      <c r="E41">
        <f>(((E5^2)/E6)+((E11^2)/E12))^2</f>
        <v>9.3985009586182249E-4</v>
      </c>
    </row>
    <row r="42" spans="1:6" ht="47.25" customHeight="1" x14ac:dyDescent="0.25">
      <c r="A42" s="7">
        <v>5</v>
      </c>
      <c r="B42" s="7">
        <v>5</v>
      </c>
      <c r="D42" t="s">
        <v>9</v>
      </c>
      <c r="E42">
        <f>(((E5^2)/E6)^2)/(E6-1)</f>
        <v>3.2334499466361547E-6</v>
      </c>
    </row>
    <row r="43" spans="1:6" ht="43.5" customHeight="1" x14ac:dyDescent="0.25">
      <c r="A43" s="7">
        <v>4</v>
      </c>
      <c r="B43" s="7">
        <v>5</v>
      </c>
      <c r="D43" t="s">
        <v>10</v>
      </c>
      <c r="E43">
        <f>(((E11^2)/E12)^2)/(E12-1)</f>
        <v>1.9544904944000356E-6</v>
      </c>
    </row>
    <row r="44" spans="1:6" x14ac:dyDescent="0.25">
      <c r="A44" s="7">
        <v>1</v>
      </c>
      <c r="B44" s="7">
        <v>3</v>
      </c>
    </row>
    <row r="45" spans="1:6" x14ac:dyDescent="0.25">
      <c r="A45" s="7">
        <v>4</v>
      </c>
      <c r="B45" s="7">
        <v>5</v>
      </c>
      <c r="D45" t="s">
        <v>7</v>
      </c>
      <c r="E45">
        <f>E41/(E42+E43)</f>
        <v>181.16054078564278</v>
      </c>
      <c r="F45" s="6" t="s">
        <v>12</v>
      </c>
    </row>
    <row r="46" spans="1:6" x14ac:dyDescent="0.25">
      <c r="A46" s="7">
        <v>3</v>
      </c>
      <c r="B46" s="7">
        <v>4</v>
      </c>
    </row>
    <row r="47" spans="1:6" x14ac:dyDescent="0.25">
      <c r="A47" s="7">
        <v>4</v>
      </c>
      <c r="B47" s="7">
        <v>5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5</v>
      </c>
    </row>
    <row r="49" spans="1:5" x14ac:dyDescent="0.25">
      <c r="A49" s="7">
        <v>1</v>
      </c>
      <c r="B49" s="7">
        <v>5</v>
      </c>
    </row>
    <row r="50" spans="1:5" x14ac:dyDescent="0.25">
      <c r="A50" s="7">
        <v>4</v>
      </c>
      <c r="B50" s="7">
        <v>2</v>
      </c>
    </row>
    <row r="51" spans="1:5" x14ac:dyDescent="0.25">
      <c r="A51" s="7">
        <v>2</v>
      </c>
      <c r="B51" s="7">
        <v>5</v>
      </c>
      <c r="D51" s="2"/>
      <c r="E51" s="2"/>
    </row>
    <row r="52" spans="1:5" x14ac:dyDescent="0.25">
      <c r="A52" s="7">
        <v>4</v>
      </c>
      <c r="B52" s="7">
        <v>4</v>
      </c>
      <c r="D52" t="s">
        <v>16</v>
      </c>
      <c r="E52">
        <f>_xlfn.T.INV.2T(E47,E45)</f>
        <v>1.9731570421591595</v>
      </c>
    </row>
    <row r="53" spans="1:5" x14ac:dyDescent="0.25">
      <c r="A53" s="7">
        <v>4</v>
      </c>
      <c r="B53" s="7">
        <v>5</v>
      </c>
      <c r="D53" t="s">
        <v>17</v>
      </c>
      <c r="E53">
        <f>_xlfn.T.INV(E47, E45)</f>
        <v>-1.6533157576226281</v>
      </c>
    </row>
    <row r="54" spans="1:5" x14ac:dyDescent="0.25">
      <c r="A54" s="7">
        <v>5</v>
      </c>
      <c r="B54" s="7">
        <v>4</v>
      </c>
    </row>
    <row r="55" spans="1:5" x14ac:dyDescent="0.25">
      <c r="A55" s="7">
        <v>3</v>
      </c>
      <c r="B55" s="7">
        <v>5</v>
      </c>
      <c r="D55" t="s">
        <v>18</v>
      </c>
      <c r="E55">
        <f>TTEST(A:A,B:B,2,2)</f>
        <v>3.0099252231139805E-4</v>
      </c>
    </row>
    <row r="56" spans="1:5" x14ac:dyDescent="0.25">
      <c r="A56" s="7">
        <v>4</v>
      </c>
      <c r="B56" s="7">
        <v>2</v>
      </c>
      <c r="D56" t="s">
        <v>19</v>
      </c>
      <c r="E56">
        <f>TTEST(A:A,B:B,1,2)</f>
        <v>1.5049626115569903E-4</v>
      </c>
    </row>
    <row r="57" spans="1:5" x14ac:dyDescent="0.25">
      <c r="A57" s="7">
        <v>2</v>
      </c>
      <c r="B57" s="7">
        <v>2</v>
      </c>
    </row>
    <row r="58" spans="1:5" x14ac:dyDescent="0.25">
      <c r="A58" s="7">
        <v>3</v>
      </c>
      <c r="B58" s="7">
        <v>5</v>
      </c>
    </row>
    <row r="59" spans="1:5" x14ac:dyDescent="0.25">
      <c r="A59" s="7">
        <v>1</v>
      </c>
      <c r="B59" s="7">
        <v>2</v>
      </c>
      <c r="D59" s="2" t="s">
        <v>20</v>
      </c>
      <c r="E59" s="2"/>
    </row>
    <row r="60" spans="1:5" x14ac:dyDescent="0.25">
      <c r="A60" s="7">
        <v>5</v>
      </c>
      <c r="B60" s="7">
        <v>1</v>
      </c>
    </row>
    <row r="61" spans="1:5" x14ac:dyDescent="0.25">
      <c r="A61" s="7">
        <v>2</v>
      </c>
      <c r="B61" s="7">
        <v>3</v>
      </c>
      <c r="D61" t="s">
        <v>21</v>
      </c>
    </row>
    <row r="62" spans="1:5" x14ac:dyDescent="0.25">
      <c r="A62" s="7">
        <v>2</v>
      </c>
      <c r="B62" s="7">
        <v>3</v>
      </c>
      <c r="D62" t="s">
        <v>22</v>
      </c>
    </row>
    <row r="63" spans="1:5" x14ac:dyDescent="0.25">
      <c r="A63" s="7">
        <v>2</v>
      </c>
      <c r="B63" s="7">
        <v>5</v>
      </c>
    </row>
    <row r="64" spans="1:5" x14ac:dyDescent="0.25">
      <c r="A64" s="7">
        <v>2</v>
      </c>
      <c r="B64" s="7">
        <v>4</v>
      </c>
    </row>
    <row r="65" spans="1:4" x14ac:dyDescent="0.25">
      <c r="A65" s="7">
        <v>2</v>
      </c>
      <c r="B65" s="7">
        <v>5</v>
      </c>
    </row>
    <row r="66" spans="1:4" x14ac:dyDescent="0.25">
      <c r="A66" s="7">
        <v>3</v>
      </c>
      <c r="B66" s="7">
        <v>5</v>
      </c>
      <c r="D66" t="s">
        <v>23</v>
      </c>
    </row>
    <row r="67" spans="1:4" x14ac:dyDescent="0.25">
      <c r="A67" s="7">
        <v>5</v>
      </c>
      <c r="B67" s="7">
        <v>1</v>
      </c>
      <c r="D67" t="str">
        <f>"Dos Colas: Si t calculado ("&amp;E29&amp;") &gt; a t critico  ("&amp;E52&amp;") (de tabla) ---&gt; Se rechaza la hipotesis nula"</f>
        <v>Dos Colas: Si t calculado (-3.68471289589769) &gt; a t critico  (1.97315704215916) (de tabla) ---&gt; Se rechaza la hipotesis nula</v>
      </c>
    </row>
    <row r="68" spans="1:4" x14ac:dyDescent="0.25">
      <c r="A68" s="7">
        <v>5</v>
      </c>
      <c r="B68" s="7">
        <v>5</v>
      </c>
      <c r="D68" t="str">
        <f>"Una Cola: Si t calculado ("&amp;E29&amp;") &gt; a t critico  ("&amp;E53&amp;") (de tabla) ---&gt; Se rechaza la hipotesis nula"</f>
        <v>Una Cola: Si t calculado (-3.68471289589769) &gt; a t critico  (-1.65331575762263) (de tabla) ---&gt; Se rechaza la hipotesis nula</v>
      </c>
    </row>
    <row r="69" spans="1:4" x14ac:dyDescent="0.25">
      <c r="A69" s="7">
        <v>1</v>
      </c>
      <c r="B69" s="7">
        <v>3</v>
      </c>
    </row>
    <row r="70" spans="1:4" x14ac:dyDescent="0.25">
      <c r="A70" s="7">
        <v>3</v>
      </c>
      <c r="B70" s="7">
        <v>3</v>
      </c>
    </row>
    <row r="71" spans="1:4" x14ac:dyDescent="0.25">
      <c r="A71" s="7">
        <v>2</v>
      </c>
      <c r="B71" s="7">
        <v>3</v>
      </c>
    </row>
    <row r="72" spans="1:4" x14ac:dyDescent="0.25">
      <c r="A72" s="7">
        <v>3</v>
      </c>
      <c r="B72" s="7">
        <v>1</v>
      </c>
      <c r="D72" t="s">
        <v>26</v>
      </c>
    </row>
    <row r="73" spans="1:4" x14ac:dyDescent="0.25">
      <c r="A73" s="7">
        <v>5</v>
      </c>
      <c r="B73" s="7">
        <v>5</v>
      </c>
      <c r="D73" t="str">
        <f>"Dos Colas: Si p valor ("&amp;E55&amp;") &lt; Nivel Significancia (0.05) ---&gt; Se rechaza la hipotesis nula"</f>
        <v>Dos Colas: Si p valor (0.000300992522311398) &lt; Nivel Significancia (0.05) ---&gt; Se rechaza la hipotesis nula</v>
      </c>
    </row>
    <row r="74" spans="1:4" x14ac:dyDescent="0.25">
      <c r="A74" s="7">
        <v>5</v>
      </c>
      <c r="B74" s="7">
        <v>5</v>
      </c>
      <c r="D74" t="str">
        <f>"Una Cola: Si p valor ("&amp;E56&amp;") &lt; Nivel Significancia (0.05) ---&gt; Se rechaza la hipotesis nula"</f>
        <v>Una Cola: Si p valor (0.000150496261155699) &lt; Nivel Significancia (0.05) ---&gt; Se rechaza la hipotesis nula</v>
      </c>
    </row>
    <row r="75" spans="1:4" x14ac:dyDescent="0.25">
      <c r="A75" s="7">
        <v>3</v>
      </c>
      <c r="B75" s="7">
        <v>4</v>
      </c>
    </row>
    <row r="76" spans="1:4" x14ac:dyDescent="0.25">
      <c r="A76" s="7">
        <v>4</v>
      </c>
      <c r="B76" s="7">
        <v>5</v>
      </c>
    </row>
    <row r="77" spans="1:4" x14ac:dyDescent="0.25">
      <c r="A77" s="7">
        <v>4</v>
      </c>
      <c r="B77" s="7">
        <v>5</v>
      </c>
    </row>
    <row r="78" spans="1:4" x14ac:dyDescent="0.25">
      <c r="A78" s="7">
        <v>3</v>
      </c>
      <c r="B78" s="7">
        <v>5</v>
      </c>
    </row>
    <row r="79" spans="1:4" x14ac:dyDescent="0.25">
      <c r="A79" s="7">
        <v>5</v>
      </c>
      <c r="B79" s="7">
        <v>3</v>
      </c>
    </row>
    <row r="80" spans="1:4" x14ac:dyDescent="0.25">
      <c r="A80" s="7">
        <v>3</v>
      </c>
      <c r="B80" s="7">
        <v>4</v>
      </c>
    </row>
    <row r="81" spans="1:2" x14ac:dyDescent="0.25">
      <c r="A81" s="7">
        <v>4</v>
      </c>
      <c r="B81" s="7">
        <v>5</v>
      </c>
    </row>
    <row r="82" spans="1:2" x14ac:dyDescent="0.25">
      <c r="A82" s="7">
        <v>2</v>
      </c>
      <c r="B82" s="7">
        <v>4</v>
      </c>
    </row>
    <row r="83" spans="1:2" x14ac:dyDescent="0.25">
      <c r="A83" s="7">
        <v>4</v>
      </c>
      <c r="B83" s="7">
        <v>5</v>
      </c>
    </row>
    <row r="84" spans="1:2" x14ac:dyDescent="0.25">
      <c r="A84" s="7">
        <v>3</v>
      </c>
      <c r="B84" s="7">
        <v>5</v>
      </c>
    </row>
    <row r="85" spans="1:2" x14ac:dyDescent="0.25">
      <c r="A85" s="7">
        <v>5</v>
      </c>
      <c r="B85" s="7">
        <v>3</v>
      </c>
    </row>
    <row r="86" spans="1:2" x14ac:dyDescent="0.25">
      <c r="A86" s="7">
        <v>5</v>
      </c>
      <c r="B86" s="7">
        <v>4</v>
      </c>
    </row>
    <row r="87" spans="1:2" x14ac:dyDescent="0.25">
      <c r="A87" s="7">
        <v>4</v>
      </c>
      <c r="B87" s="7">
        <v>3</v>
      </c>
    </row>
    <row r="88" spans="1:2" x14ac:dyDescent="0.25">
      <c r="A88" s="7">
        <v>3</v>
      </c>
      <c r="B88" s="7">
        <v>5</v>
      </c>
    </row>
    <row r="89" spans="1:2" x14ac:dyDescent="0.25">
      <c r="A89" s="7">
        <v>3</v>
      </c>
      <c r="B89" s="7">
        <v>3</v>
      </c>
    </row>
    <row r="90" spans="1:2" x14ac:dyDescent="0.25">
      <c r="A90" s="7">
        <v>4</v>
      </c>
      <c r="B90" s="7">
        <v>4</v>
      </c>
    </row>
    <row r="91" spans="1:2" x14ac:dyDescent="0.25">
      <c r="A91" s="7">
        <v>3</v>
      </c>
      <c r="B91" s="7">
        <v>4</v>
      </c>
    </row>
    <row r="92" spans="1:2" x14ac:dyDescent="0.25">
      <c r="A92" s="7">
        <v>2</v>
      </c>
      <c r="B92" s="7">
        <v>4</v>
      </c>
    </row>
    <row r="93" spans="1:2" x14ac:dyDescent="0.25">
      <c r="A93" s="7">
        <v>2</v>
      </c>
      <c r="B93" s="7">
        <v>3</v>
      </c>
    </row>
    <row r="94" spans="1:2" x14ac:dyDescent="0.25">
      <c r="A94" s="7">
        <v>5</v>
      </c>
      <c r="B94" s="7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D1" sqref="D1"/>
    </sheetView>
  </sheetViews>
  <sheetFormatPr baseColWidth="10" defaultColWidth="9.140625" defaultRowHeight="15" x14ac:dyDescent="0.25"/>
  <cols>
    <col min="1" max="1" width="29" customWidth="1"/>
    <col min="2" max="2" width="29.140625" style="7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140.25" customHeight="1" x14ac:dyDescent="0.25">
      <c r="A1" s="8" t="s">
        <v>29</v>
      </c>
      <c r="B1" s="8" t="s">
        <v>40</v>
      </c>
    </row>
    <row r="2" spans="1:5" x14ac:dyDescent="0.25">
      <c r="A2" s="7">
        <v>3</v>
      </c>
      <c r="B2" s="7">
        <v>5</v>
      </c>
      <c r="D2" s="1" t="s">
        <v>24</v>
      </c>
      <c r="E2">
        <f>AVERAGE(A:A)</f>
        <v>3.3655913978494625</v>
      </c>
    </row>
    <row r="3" spans="1:5" x14ac:dyDescent="0.25">
      <c r="A3" s="7">
        <v>3</v>
      </c>
      <c r="B3" s="7">
        <v>5</v>
      </c>
      <c r="D3" s="1" t="s">
        <v>0</v>
      </c>
      <c r="E3">
        <f>MEDIAN(A:A)</f>
        <v>3</v>
      </c>
    </row>
    <row r="4" spans="1:5" x14ac:dyDescent="0.25">
      <c r="A4" s="7">
        <v>3</v>
      </c>
      <c r="B4" s="7">
        <v>4</v>
      </c>
      <c r="D4" s="1" t="s">
        <v>1</v>
      </c>
      <c r="E4">
        <f>MODE(A:A)</f>
        <v>3</v>
      </c>
    </row>
    <row r="5" spans="1:5" x14ac:dyDescent="0.25">
      <c r="A5" s="7">
        <v>3</v>
      </c>
      <c r="B5" s="7">
        <v>2</v>
      </c>
      <c r="D5" s="1" t="s">
        <v>15</v>
      </c>
      <c r="E5">
        <f>STDEV(A:A)</f>
        <v>1.1495268046930471</v>
      </c>
    </row>
    <row r="6" spans="1:5" x14ac:dyDescent="0.25">
      <c r="A6" s="7">
        <v>5</v>
      </c>
      <c r="B6" s="7">
        <v>2</v>
      </c>
      <c r="D6" s="4" t="s">
        <v>4</v>
      </c>
      <c r="E6">
        <f>COUNT(A:A)</f>
        <v>93</v>
      </c>
    </row>
    <row r="7" spans="1:5" x14ac:dyDescent="0.25">
      <c r="A7" s="7">
        <v>4</v>
      </c>
      <c r="B7" s="7">
        <v>5</v>
      </c>
    </row>
    <row r="8" spans="1:5" x14ac:dyDescent="0.25">
      <c r="A8" s="7">
        <v>3</v>
      </c>
      <c r="B8" s="7">
        <v>4</v>
      </c>
      <c r="D8" s="3" t="s">
        <v>25</v>
      </c>
      <c r="E8">
        <f>AVERAGE(B:B)</f>
        <v>3.870967741935484</v>
      </c>
    </row>
    <row r="9" spans="1:5" x14ac:dyDescent="0.25">
      <c r="A9" s="7">
        <v>5</v>
      </c>
      <c r="B9" s="7">
        <v>5</v>
      </c>
      <c r="D9" s="3" t="s">
        <v>2</v>
      </c>
      <c r="E9">
        <f>MEDIAN(B:B)</f>
        <v>4</v>
      </c>
    </row>
    <row r="10" spans="1:5" x14ac:dyDescent="0.25">
      <c r="A10" s="7">
        <v>4</v>
      </c>
      <c r="B10" s="7">
        <v>1</v>
      </c>
      <c r="D10" s="3" t="s">
        <v>3</v>
      </c>
      <c r="E10">
        <f>MODE(B:B)</f>
        <v>5</v>
      </c>
    </row>
    <row r="11" spans="1:5" x14ac:dyDescent="0.25">
      <c r="A11" s="7">
        <v>5</v>
      </c>
      <c r="B11" s="7">
        <v>1</v>
      </c>
      <c r="D11" s="3" t="s">
        <v>14</v>
      </c>
      <c r="E11">
        <f>STDEV(B:B)</f>
        <v>1.1723796540779499</v>
      </c>
    </row>
    <row r="12" spans="1:5" x14ac:dyDescent="0.25">
      <c r="A12" s="7">
        <v>5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3</v>
      </c>
    </row>
    <row r="14" spans="1:5" x14ac:dyDescent="0.25">
      <c r="A14" s="7">
        <v>5</v>
      </c>
      <c r="B14" s="7">
        <v>4</v>
      </c>
    </row>
    <row r="15" spans="1:5" x14ac:dyDescent="0.25">
      <c r="A15" s="7">
        <v>3</v>
      </c>
      <c r="B15" s="7">
        <v>4</v>
      </c>
    </row>
    <row r="16" spans="1:5" x14ac:dyDescent="0.25">
      <c r="A16" s="7">
        <v>3</v>
      </c>
      <c r="B16" s="7">
        <v>5</v>
      </c>
    </row>
    <row r="17" spans="1:5" x14ac:dyDescent="0.25">
      <c r="A17" s="7">
        <v>2</v>
      </c>
      <c r="B17" s="7">
        <v>4</v>
      </c>
      <c r="D17" s="2" t="s">
        <v>6</v>
      </c>
      <c r="E17" s="2"/>
    </row>
    <row r="18" spans="1:5" x14ac:dyDescent="0.25">
      <c r="A18" s="7">
        <v>4</v>
      </c>
      <c r="B18" s="7">
        <v>4</v>
      </c>
    </row>
    <row r="19" spans="1:5" x14ac:dyDescent="0.25">
      <c r="A19" s="7">
        <v>5</v>
      </c>
      <c r="B19" s="7">
        <v>4</v>
      </c>
    </row>
    <row r="20" spans="1:5" x14ac:dyDescent="0.25">
      <c r="A20" s="7">
        <v>5</v>
      </c>
      <c r="B20" s="7">
        <v>5</v>
      </c>
    </row>
    <row r="21" spans="1:5" x14ac:dyDescent="0.25">
      <c r="A21" s="7">
        <v>3</v>
      </c>
      <c r="B21" s="7">
        <v>2</v>
      </c>
    </row>
    <row r="22" spans="1:5" x14ac:dyDescent="0.25">
      <c r="A22" s="7">
        <v>3</v>
      </c>
      <c r="B22" s="7">
        <v>5</v>
      </c>
    </row>
    <row r="23" spans="1:5" x14ac:dyDescent="0.25">
      <c r="A23" s="7">
        <v>5</v>
      </c>
      <c r="B23" s="7">
        <v>4</v>
      </c>
    </row>
    <row r="24" spans="1:5" x14ac:dyDescent="0.25">
      <c r="A24" s="7">
        <v>2</v>
      </c>
      <c r="B24" s="7">
        <v>4</v>
      </c>
    </row>
    <row r="25" spans="1:5" x14ac:dyDescent="0.25">
      <c r="A25" s="7">
        <v>5</v>
      </c>
      <c r="B25" s="7">
        <v>4</v>
      </c>
    </row>
    <row r="26" spans="1:5" x14ac:dyDescent="0.25">
      <c r="A26" s="7">
        <v>3</v>
      </c>
      <c r="B26" s="7">
        <v>4</v>
      </c>
    </row>
    <row r="27" spans="1:5" x14ac:dyDescent="0.25">
      <c r="A27" s="7">
        <v>3</v>
      </c>
      <c r="B27" s="7">
        <v>5</v>
      </c>
    </row>
    <row r="28" spans="1:5" x14ac:dyDescent="0.25">
      <c r="A28" s="7">
        <v>2</v>
      </c>
      <c r="B28" s="7">
        <v>5</v>
      </c>
    </row>
    <row r="29" spans="1:5" x14ac:dyDescent="0.25">
      <c r="A29" s="7">
        <v>3</v>
      </c>
      <c r="B29" s="7">
        <v>4</v>
      </c>
      <c r="D29" t="s">
        <v>11</v>
      </c>
      <c r="E29">
        <f>(E2-E8)/SQRT(((E5^2)/E6)+((E11^2)/E12))</f>
        <v>-2.9682852074468458</v>
      </c>
    </row>
    <row r="30" spans="1:5" x14ac:dyDescent="0.25">
      <c r="A30" s="7">
        <v>2</v>
      </c>
      <c r="B30" s="7">
        <v>4</v>
      </c>
    </row>
    <row r="31" spans="1:5" x14ac:dyDescent="0.25">
      <c r="A31" s="7">
        <v>4</v>
      </c>
      <c r="B31" s="7">
        <v>5</v>
      </c>
      <c r="D31" s="2" t="s">
        <v>7</v>
      </c>
      <c r="E31" s="2"/>
    </row>
    <row r="32" spans="1:5" x14ac:dyDescent="0.25">
      <c r="A32" s="7">
        <v>2</v>
      </c>
      <c r="B32" s="7">
        <v>4</v>
      </c>
    </row>
    <row r="33" spans="1:6" x14ac:dyDescent="0.25">
      <c r="A33" s="7">
        <v>5</v>
      </c>
      <c r="B33" s="7">
        <v>4</v>
      </c>
    </row>
    <row r="34" spans="1:6" x14ac:dyDescent="0.25">
      <c r="A34" s="7">
        <v>2</v>
      </c>
      <c r="B34" s="7">
        <v>4</v>
      </c>
    </row>
    <row r="35" spans="1:6" x14ac:dyDescent="0.25">
      <c r="A35" s="7">
        <v>3</v>
      </c>
      <c r="B35" s="7">
        <v>3</v>
      </c>
    </row>
    <row r="36" spans="1:6" x14ac:dyDescent="0.25">
      <c r="A36" s="7">
        <v>2</v>
      </c>
      <c r="B36" s="7">
        <v>5</v>
      </c>
    </row>
    <row r="37" spans="1:6" x14ac:dyDescent="0.25">
      <c r="A37" s="7">
        <v>3</v>
      </c>
      <c r="B37" s="7">
        <v>5</v>
      </c>
    </row>
    <row r="38" spans="1:6" x14ac:dyDescent="0.25">
      <c r="A38" s="7">
        <v>3</v>
      </c>
      <c r="B38" s="7">
        <v>3</v>
      </c>
    </row>
    <row r="39" spans="1:6" x14ac:dyDescent="0.25">
      <c r="A39" s="7">
        <v>3</v>
      </c>
      <c r="B39" s="7">
        <v>4</v>
      </c>
    </row>
    <row r="40" spans="1:6" x14ac:dyDescent="0.25">
      <c r="A40" s="7">
        <v>3</v>
      </c>
      <c r="B40" s="7">
        <v>4</v>
      </c>
    </row>
    <row r="41" spans="1:6" ht="29.25" customHeight="1" x14ac:dyDescent="0.25">
      <c r="A41" s="7">
        <v>5</v>
      </c>
      <c r="B41" s="7">
        <v>3</v>
      </c>
      <c r="D41" t="s">
        <v>8</v>
      </c>
      <c r="E41">
        <f>(((E5^2)/E6)+((E11^2)/E12))^2</f>
        <v>8.4030534591381534E-4</v>
      </c>
    </row>
    <row r="42" spans="1:6" ht="47.25" customHeight="1" x14ac:dyDescent="0.25">
      <c r="A42" s="7">
        <v>5</v>
      </c>
      <c r="B42" s="7">
        <v>3</v>
      </c>
      <c r="D42" t="s">
        <v>9</v>
      </c>
      <c r="E42">
        <f>(((E5^2)/E6)^2)/(E6-1)</f>
        <v>2.1944348210886413E-6</v>
      </c>
    </row>
    <row r="43" spans="1:6" ht="43.5" customHeight="1" x14ac:dyDescent="0.25">
      <c r="A43" s="7">
        <v>4</v>
      </c>
      <c r="B43" s="7">
        <v>2</v>
      </c>
      <c r="D43" t="s">
        <v>10</v>
      </c>
      <c r="E43">
        <f>(((E11^2)/E12)^2)/(E12-1)</f>
        <v>2.3742112975912678E-6</v>
      </c>
    </row>
    <row r="44" spans="1:6" x14ac:dyDescent="0.25">
      <c r="A44" s="7">
        <v>5</v>
      </c>
      <c r="B44" s="7">
        <v>4</v>
      </c>
    </row>
    <row r="45" spans="1:6" x14ac:dyDescent="0.25">
      <c r="A45" s="7">
        <v>2</v>
      </c>
      <c r="B45" s="7">
        <v>4</v>
      </c>
      <c r="D45" t="s">
        <v>7</v>
      </c>
      <c r="E45">
        <f>E41/(E42+E43)</f>
        <v>183.92874477146373</v>
      </c>
      <c r="F45" s="6" t="s">
        <v>12</v>
      </c>
    </row>
    <row r="46" spans="1:6" x14ac:dyDescent="0.25">
      <c r="A46" s="7">
        <v>4</v>
      </c>
      <c r="B46" s="7">
        <v>4</v>
      </c>
    </row>
    <row r="47" spans="1:6" x14ac:dyDescent="0.25">
      <c r="A47" s="7">
        <v>1</v>
      </c>
      <c r="B47" s="7">
        <v>5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4</v>
      </c>
    </row>
    <row r="49" spans="1:5" x14ac:dyDescent="0.25">
      <c r="A49" s="7">
        <v>5</v>
      </c>
      <c r="B49" s="7">
        <v>5</v>
      </c>
    </row>
    <row r="50" spans="1:5" x14ac:dyDescent="0.25">
      <c r="A50" s="7">
        <v>2</v>
      </c>
      <c r="B50" s="7">
        <v>2</v>
      </c>
    </row>
    <row r="51" spans="1:5" x14ac:dyDescent="0.25">
      <c r="A51" s="7">
        <v>3</v>
      </c>
      <c r="B51" s="7">
        <v>4</v>
      </c>
      <c r="D51" s="2"/>
      <c r="E51" s="2"/>
    </row>
    <row r="52" spans="1:5" x14ac:dyDescent="0.25">
      <c r="A52" s="7">
        <v>3</v>
      </c>
      <c r="B52" s="7">
        <v>4</v>
      </c>
      <c r="D52" t="s">
        <v>16</v>
      </c>
      <c r="E52">
        <f>_xlfn.T.INV.2T(E47,E45)</f>
        <v>1.9730119151362655</v>
      </c>
    </row>
    <row r="53" spans="1:5" x14ac:dyDescent="0.25">
      <c r="A53" s="7">
        <v>3</v>
      </c>
      <c r="B53" s="7">
        <v>5</v>
      </c>
      <c r="D53" t="s">
        <v>17</v>
      </c>
      <c r="E53">
        <f>_xlfn.T.INV(E47, E45)</f>
        <v>-1.6532228031457243</v>
      </c>
    </row>
    <row r="54" spans="1:5" x14ac:dyDescent="0.25">
      <c r="A54" s="7">
        <v>3</v>
      </c>
      <c r="B54" s="7">
        <v>5</v>
      </c>
    </row>
    <row r="55" spans="1:5" x14ac:dyDescent="0.25">
      <c r="A55" s="7">
        <v>4</v>
      </c>
      <c r="B55" s="7">
        <v>5</v>
      </c>
      <c r="D55" t="s">
        <v>18</v>
      </c>
      <c r="E55">
        <f>TTEST(A:A,B:B,2,2)</f>
        <v>3.3931457384433696E-3</v>
      </c>
    </row>
    <row r="56" spans="1:5" x14ac:dyDescent="0.25">
      <c r="A56" s="7">
        <v>1</v>
      </c>
      <c r="B56" s="7">
        <v>4</v>
      </c>
      <c r="D56" t="s">
        <v>19</v>
      </c>
      <c r="E56">
        <f>TTEST(A:A,B:B,1,2)</f>
        <v>1.6965728692216848E-3</v>
      </c>
    </row>
    <row r="57" spans="1:5" x14ac:dyDescent="0.25">
      <c r="A57" s="7">
        <v>1</v>
      </c>
      <c r="B57" s="7">
        <v>5</v>
      </c>
    </row>
    <row r="58" spans="1:5" x14ac:dyDescent="0.25">
      <c r="A58" s="7">
        <v>3</v>
      </c>
      <c r="B58" s="7">
        <v>4</v>
      </c>
    </row>
    <row r="59" spans="1:5" x14ac:dyDescent="0.25">
      <c r="A59" s="7">
        <v>4</v>
      </c>
      <c r="B59" s="7">
        <v>3</v>
      </c>
      <c r="D59" s="2" t="s">
        <v>20</v>
      </c>
      <c r="E59" s="2"/>
    </row>
    <row r="60" spans="1:5" x14ac:dyDescent="0.25">
      <c r="A60" s="7">
        <v>3</v>
      </c>
      <c r="B60" s="7">
        <v>3</v>
      </c>
    </row>
    <row r="61" spans="1:5" x14ac:dyDescent="0.25">
      <c r="A61" s="7">
        <v>5</v>
      </c>
      <c r="B61" s="7">
        <v>4</v>
      </c>
      <c r="D61" t="s">
        <v>21</v>
      </c>
    </row>
    <row r="62" spans="1:5" x14ac:dyDescent="0.25">
      <c r="A62" s="7">
        <v>5</v>
      </c>
      <c r="B62" s="7">
        <v>5</v>
      </c>
      <c r="D62" t="s">
        <v>22</v>
      </c>
    </row>
    <row r="63" spans="1:5" x14ac:dyDescent="0.25">
      <c r="A63" s="7">
        <v>4</v>
      </c>
      <c r="B63" s="7">
        <v>3</v>
      </c>
    </row>
    <row r="64" spans="1:5" x14ac:dyDescent="0.25">
      <c r="A64" s="7">
        <v>3</v>
      </c>
      <c r="B64" s="7">
        <v>3</v>
      </c>
    </row>
    <row r="65" spans="1:4" x14ac:dyDescent="0.25">
      <c r="A65" s="7">
        <v>2</v>
      </c>
      <c r="B65" s="7">
        <v>5</v>
      </c>
    </row>
    <row r="66" spans="1:4" x14ac:dyDescent="0.25">
      <c r="A66" s="7">
        <v>3</v>
      </c>
      <c r="B66" s="7">
        <v>3</v>
      </c>
      <c r="D66" t="s">
        <v>23</v>
      </c>
    </row>
    <row r="67" spans="1:4" x14ac:dyDescent="0.25">
      <c r="A67" s="7">
        <v>3</v>
      </c>
      <c r="B67" s="7">
        <v>5</v>
      </c>
      <c r="D67" t="str">
        <f>"Dos Colas: Si t calculado ("&amp;E29&amp;") &gt; a t critico  ("&amp;E52&amp;") (de tabla) ---&gt; Se rechaza la hipotesis nula"</f>
        <v>Dos Colas: Si t calculado (-2.96828520744685) &gt; a t critico  (1.97301191513627) (de tabla) ---&gt; Se rechaza la hipotesis nula</v>
      </c>
    </row>
    <row r="68" spans="1:4" x14ac:dyDescent="0.25">
      <c r="A68" s="7">
        <v>4</v>
      </c>
      <c r="B68" s="7">
        <v>3</v>
      </c>
      <c r="D68" t="str">
        <f>"Una Cola: Si t calculado ("&amp;E29&amp;") &gt; a t critico  ("&amp;E53&amp;") (de tabla) ---&gt; Se rechaza la hipotesis nula"</f>
        <v>Una Cola: Si t calculado (-2.96828520744685) &gt; a t critico  (-1.65322280314572) (de tabla) ---&gt; Se rechaza la hipotesis nula</v>
      </c>
    </row>
    <row r="69" spans="1:4" x14ac:dyDescent="0.25">
      <c r="A69" s="7">
        <v>4</v>
      </c>
      <c r="B69" s="7">
        <v>1</v>
      </c>
    </row>
    <row r="70" spans="1:4" x14ac:dyDescent="0.25">
      <c r="A70" s="7">
        <v>4</v>
      </c>
      <c r="B70" s="7">
        <v>5</v>
      </c>
    </row>
    <row r="71" spans="1:4" x14ac:dyDescent="0.25">
      <c r="A71" s="7">
        <v>1</v>
      </c>
      <c r="B71" s="7">
        <v>3</v>
      </c>
    </row>
    <row r="72" spans="1:4" x14ac:dyDescent="0.25">
      <c r="A72" s="7">
        <v>5</v>
      </c>
      <c r="B72" s="7">
        <v>4</v>
      </c>
      <c r="D72" t="s">
        <v>26</v>
      </c>
    </row>
    <row r="73" spans="1:4" x14ac:dyDescent="0.25">
      <c r="A73" s="7">
        <v>2</v>
      </c>
      <c r="B73" s="7">
        <v>1</v>
      </c>
      <c r="D73" t="str">
        <f>"Dos Colas: Si p valor ("&amp;E55&amp;") &lt; Nivel Significancia (0.05) ---&gt; Se rechaza la hipotesis nula"</f>
        <v>Dos Colas: Si p valor (0.00339314573844337) &lt; Nivel Significancia (0.05) ---&gt; Se rechaza la hipotesis nula</v>
      </c>
    </row>
    <row r="74" spans="1:4" x14ac:dyDescent="0.25">
      <c r="A74" s="7">
        <v>3</v>
      </c>
      <c r="B74" s="7">
        <v>4</v>
      </c>
      <c r="D74" t="str">
        <f>"Una Cola: Si p valor ("&amp;E56&amp;") &lt; Nivel Significancia (0.05) ---&gt; Se rechaza la hipotesis nula"</f>
        <v>Una Cola: Si p valor (0.00169657286922168) &lt; Nivel Significancia (0.05) ---&gt; Se rechaza la hipotesis nula</v>
      </c>
    </row>
    <row r="75" spans="1:4" x14ac:dyDescent="0.25">
      <c r="A75" s="7">
        <v>4</v>
      </c>
      <c r="B75" s="7">
        <v>3</v>
      </c>
    </row>
    <row r="76" spans="1:4" x14ac:dyDescent="0.25">
      <c r="A76" s="7">
        <v>3</v>
      </c>
      <c r="B76" s="7">
        <v>5</v>
      </c>
    </row>
    <row r="77" spans="1:4" x14ac:dyDescent="0.25">
      <c r="A77" s="7">
        <v>3</v>
      </c>
      <c r="B77" s="7">
        <v>5</v>
      </c>
    </row>
    <row r="78" spans="1:4" x14ac:dyDescent="0.25">
      <c r="A78" s="7">
        <v>2</v>
      </c>
      <c r="B78" s="7">
        <v>5</v>
      </c>
    </row>
    <row r="79" spans="1:4" x14ac:dyDescent="0.25">
      <c r="A79" s="7">
        <v>2</v>
      </c>
      <c r="B79" s="7">
        <v>1</v>
      </c>
    </row>
    <row r="80" spans="1:4" x14ac:dyDescent="0.25">
      <c r="A80" s="7">
        <v>4</v>
      </c>
      <c r="B80" s="7">
        <v>3</v>
      </c>
    </row>
    <row r="81" spans="1:2" x14ac:dyDescent="0.25">
      <c r="A81" s="7">
        <v>4</v>
      </c>
      <c r="B81" s="7">
        <v>3</v>
      </c>
    </row>
    <row r="82" spans="1:2" x14ac:dyDescent="0.25">
      <c r="A82" s="7">
        <v>3</v>
      </c>
      <c r="B82" s="7">
        <v>2</v>
      </c>
    </row>
    <row r="83" spans="1:2" x14ac:dyDescent="0.25">
      <c r="A83" s="7">
        <v>2</v>
      </c>
      <c r="B83" s="7">
        <v>5</v>
      </c>
    </row>
    <row r="84" spans="1:2" x14ac:dyDescent="0.25">
      <c r="A84" s="7">
        <v>4</v>
      </c>
      <c r="B84" s="7">
        <v>5</v>
      </c>
    </row>
    <row r="85" spans="1:2" x14ac:dyDescent="0.25">
      <c r="A85" s="7">
        <v>3</v>
      </c>
      <c r="B85" s="7">
        <v>5</v>
      </c>
    </row>
    <row r="86" spans="1:2" x14ac:dyDescent="0.25">
      <c r="A86" s="7">
        <v>3</v>
      </c>
      <c r="B86" s="7">
        <v>5</v>
      </c>
    </row>
    <row r="87" spans="1:2" x14ac:dyDescent="0.25">
      <c r="A87" s="7">
        <v>3</v>
      </c>
      <c r="B87" s="7">
        <v>5</v>
      </c>
    </row>
    <row r="88" spans="1:2" x14ac:dyDescent="0.25">
      <c r="A88" s="7">
        <v>5</v>
      </c>
      <c r="B88" s="7">
        <v>4</v>
      </c>
    </row>
    <row r="89" spans="1:2" x14ac:dyDescent="0.25">
      <c r="A89" s="7">
        <v>3</v>
      </c>
      <c r="B89" s="7">
        <v>5</v>
      </c>
    </row>
    <row r="90" spans="1:2" x14ac:dyDescent="0.25">
      <c r="A90" s="7">
        <v>2</v>
      </c>
      <c r="B90" s="7">
        <v>5</v>
      </c>
    </row>
    <row r="91" spans="1:2" x14ac:dyDescent="0.25">
      <c r="A91" s="7">
        <v>5</v>
      </c>
      <c r="B91" s="7">
        <v>5</v>
      </c>
    </row>
    <row r="92" spans="1:2" x14ac:dyDescent="0.25">
      <c r="A92" s="7">
        <v>4</v>
      </c>
      <c r="B92" s="7">
        <v>5</v>
      </c>
    </row>
    <row r="93" spans="1:2" x14ac:dyDescent="0.25">
      <c r="A93" s="7">
        <v>1</v>
      </c>
      <c r="B93" s="7">
        <v>1</v>
      </c>
    </row>
    <row r="94" spans="1:2" x14ac:dyDescent="0.25">
      <c r="A94" s="7">
        <v>5</v>
      </c>
      <c r="B94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45" zoomScaleNormal="145" workbookViewId="0">
      <selection activeCell="B2" sqref="B2:B94"/>
    </sheetView>
  </sheetViews>
  <sheetFormatPr baseColWidth="10" defaultColWidth="9.140625" defaultRowHeight="15" x14ac:dyDescent="0.25"/>
  <cols>
    <col min="1" max="1" width="27.85546875" customWidth="1"/>
    <col min="2" max="2" width="35.28515625" customWidth="1"/>
    <col min="4" max="4" width="39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30</v>
      </c>
      <c r="B1" s="10" t="s">
        <v>41</v>
      </c>
    </row>
    <row r="2" spans="1:5" x14ac:dyDescent="0.25">
      <c r="A2" s="7">
        <v>3</v>
      </c>
      <c r="B2" s="7">
        <v>5</v>
      </c>
      <c r="D2" s="1" t="s">
        <v>24</v>
      </c>
      <c r="E2">
        <f>AVERAGE(A:A)</f>
        <v>3.3118279569892475</v>
      </c>
    </row>
    <row r="3" spans="1:5" x14ac:dyDescent="0.25">
      <c r="A3" s="7">
        <v>4</v>
      </c>
      <c r="B3" s="7">
        <v>5</v>
      </c>
      <c r="D3" s="1" t="s">
        <v>0</v>
      </c>
      <c r="E3">
        <f>MEDIAN(A:A)</f>
        <v>3</v>
      </c>
    </row>
    <row r="4" spans="1:5" x14ac:dyDescent="0.25">
      <c r="A4" s="7">
        <v>3</v>
      </c>
      <c r="B4" s="7">
        <v>5</v>
      </c>
      <c r="D4" s="1" t="s">
        <v>1</v>
      </c>
      <c r="E4">
        <f>MODE(A:A)</f>
        <v>3</v>
      </c>
    </row>
    <row r="5" spans="1:5" x14ac:dyDescent="0.25">
      <c r="A5" s="7">
        <v>5</v>
      </c>
      <c r="B5" s="7">
        <v>5</v>
      </c>
      <c r="D5" s="1" t="s">
        <v>15</v>
      </c>
      <c r="E5">
        <f>STDEV(A:A)</f>
        <v>1.2681593527599442</v>
      </c>
    </row>
    <row r="6" spans="1:5" x14ac:dyDescent="0.25">
      <c r="A6" s="7">
        <v>4</v>
      </c>
      <c r="B6" s="7">
        <v>5</v>
      </c>
      <c r="D6" s="4" t="s">
        <v>4</v>
      </c>
      <c r="E6">
        <f>COUNT(A:A)</f>
        <v>93</v>
      </c>
    </row>
    <row r="7" spans="1:5" x14ac:dyDescent="0.25">
      <c r="A7" s="7">
        <v>1</v>
      </c>
      <c r="B7" s="7">
        <v>4</v>
      </c>
    </row>
    <row r="8" spans="1:5" x14ac:dyDescent="0.25">
      <c r="A8" s="7">
        <v>4</v>
      </c>
      <c r="B8" s="7">
        <v>5</v>
      </c>
      <c r="D8" s="3" t="s">
        <v>25</v>
      </c>
      <c r="E8">
        <f>AVERAGE(B:B)</f>
        <v>4.21505376344086</v>
      </c>
    </row>
    <row r="9" spans="1:5" x14ac:dyDescent="0.25">
      <c r="A9" s="7">
        <v>3</v>
      </c>
      <c r="B9" s="7">
        <v>5</v>
      </c>
      <c r="D9" s="3" t="s">
        <v>2</v>
      </c>
      <c r="E9">
        <f>MEDIAN(B:B)</f>
        <v>4</v>
      </c>
    </row>
    <row r="10" spans="1:5" x14ac:dyDescent="0.25">
      <c r="A10" s="7">
        <v>4</v>
      </c>
      <c r="B10" s="7">
        <v>3</v>
      </c>
      <c r="D10" s="3" t="s">
        <v>3</v>
      </c>
      <c r="E10">
        <f>MODE(B:B)</f>
        <v>5</v>
      </c>
    </row>
    <row r="11" spans="1:5" x14ac:dyDescent="0.25">
      <c r="A11" s="7">
        <v>2</v>
      </c>
      <c r="B11" s="7">
        <v>5</v>
      </c>
      <c r="D11" s="3" t="s">
        <v>14</v>
      </c>
      <c r="E11">
        <f>STDEV(B:B)</f>
        <v>0.89502808269752343</v>
      </c>
    </row>
    <row r="12" spans="1:5" x14ac:dyDescent="0.25">
      <c r="A12" s="7">
        <v>5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1</v>
      </c>
      <c r="B13" s="7">
        <v>3</v>
      </c>
    </row>
    <row r="14" spans="1:5" x14ac:dyDescent="0.25">
      <c r="A14" s="7">
        <v>4</v>
      </c>
      <c r="B14" s="7">
        <v>5</v>
      </c>
    </row>
    <row r="15" spans="1:5" x14ac:dyDescent="0.25">
      <c r="A15" s="7">
        <v>4</v>
      </c>
      <c r="B15" s="7">
        <v>5</v>
      </c>
    </row>
    <row r="16" spans="1:5" x14ac:dyDescent="0.25">
      <c r="A16" s="7">
        <v>5</v>
      </c>
      <c r="B16" s="7">
        <v>4</v>
      </c>
    </row>
    <row r="17" spans="1:5" x14ac:dyDescent="0.25">
      <c r="A17" s="7">
        <v>5</v>
      </c>
      <c r="B17" s="7">
        <v>5</v>
      </c>
      <c r="D17" s="2" t="s">
        <v>6</v>
      </c>
      <c r="E17" s="2"/>
    </row>
    <row r="18" spans="1:5" x14ac:dyDescent="0.25">
      <c r="A18" s="7">
        <v>3</v>
      </c>
      <c r="B18" s="7">
        <v>4</v>
      </c>
    </row>
    <row r="19" spans="1:5" x14ac:dyDescent="0.25">
      <c r="A19" s="7">
        <v>4</v>
      </c>
      <c r="B19" s="7">
        <v>3</v>
      </c>
    </row>
    <row r="20" spans="1:5" x14ac:dyDescent="0.25">
      <c r="A20" s="7">
        <v>2</v>
      </c>
      <c r="B20" s="7">
        <v>5</v>
      </c>
    </row>
    <row r="21" spans="1:5" x14ac:dyDescent="0.25">
      <c r="A21" s="7">
        <v>4</v>
      </c>
      <c r="B21" s="7">
        <v>4</v>
      </c>
    </row>
    <row r="22" spans="1:5" x14ac:dyDescent="0.25">
      <c r="A22" s="7">
        <v>4</v>
      </c>
      <c r="B22" s="7">
        <v>4</v>
      </c>
    </row>
    <row r="23" spans="1:5" x14ac:dyDescent="0.25">
      <c r="A23" s="7">
        <v>3</v>
      </c>
      <c r="B23" s="7">
        <v>5</v>
      </c>
    </row>
    <row r="24" spans="1:5" x14ac:dyDescent="0.25">
      <c r="A24" s="7">
        <v>3</v>
      </c>
      <c r="B24" s="7">
        <v>4</v>
      </c>
    </row>
    <row r="25" spans="1:5" x14ac:dyDescent="0.25">
      <c r="A25" s="7">
        <v>5</v>
      </c>
      <c r="B25" s="7">
        <v>5</v>
      </c>
    </row>
    <row r="26" spans="1:5" x14ac:dyDescent="0.25">
      <c r="A26" s="7">
        <v>5</v>
      </c>
      <c r="B26" s="7">
        <v>4</v>
      </c>
    </row>
    <row r="27" spans="1:5" x14ac:dyDescent="0.25">
      <c r="A27" s="7">
        <v>5</v>
      </c>
      <c r="B27" s="7">
        <v>5</v>
      </c>
    </row>
    <row r="28" spans="1:5" x14ac:dyDescent="0.25">
      <c r="A28" s="7">
        <v>3</v>
      </c>
      <c r="B28" s="7">
        <v>4</v>
      </c>
    </row>
    <row r="29" spans="1:5" x14ac:dyDescent="0.25">
      <c r="A29" s="7">
        <v>3</v>
      </c>
      <c r="B29" s="7">
        <v>5</v>
      </c>
      <c r="D29" t="s">
        <v>11</v>
      </c>
      <c r="E29">
        <f>(E2-E8)/SQRT(((E5^2)/E6)+((E11^2)/E12))</f>
        <v>-5.6116692234802699</v>
      </c>
    </row>
    <row r="30" spans="1:5" x14ac:dyDescent="0.25">
      <c r="A30" s="7">
        <v>3</v>
      </c>
      <c r="B30" s="7">
        <v>3</v>
      </c>
    </row>
    <row r="31" spans="1:5" x14ac:dyDescent="0.25">
      <c r="A31" s="7">
        <v>2</v>
      </c>
      <c r="B31" s="7">
        <v>5</v>
      </c>
      <c r="D31" s="2" t="s">
        <v>7</v>
      </c>
      <c r="E31" s="2"/>
    </row>
    <row r="32" spans="1:5" x14ac:dyDescent="0.25">
      <c r="A32" s="7">
        <v>2</v>
      </c>
      <c r="B32" s="7">
        <v>5</v>
      </c>
    </row>
    <row r="33" spans="1:6" x14ac:dyDescent="0.25">
      <c r="A33" s="7">
        <v>3</v>
      </c>
      <c r="B33" s="7">
        <v>4</v>
      </c>
    </row>
    <row r="34" spans="1:6" x14ac:dyDescent="0.25">
      <c r="A34" s="7">
        <v>2</v>
      </c>
      <c r="B34" s="7">
        <v>4</v>
      </c>
    </row>
    <row r="35" spans="1:6" x14ac:dyDescent="0.25">
      <c r="A35" s="7">
        <v>4</v>
      </c>
      <c r="B35" s="7">
        <v>4</v>
      </c>
    </row>
    <row r="36" spans="1:6" x14ac:dyDescent="0.25">
      <c r="A36" s="7">
        <v>5</v>
      </c>
      <c r="B36" s="7">
        <v>4</v>
      </c>
    </row>
    <row r="37" spans="1:6" x14ac:dyDescent="0.25">
      <c r="A37" s="7">
        <v>4</v>
      </c>
      <c r="B37" s="7">
        <v>3</v>
      </c>
    </row>
    <row r="38" spans="1:6" x14ac:dyDescent="0.25">
      <c r="A38" s="7">
        <v>5</v>
      </c>
      <c r="B38" s="7">
        <v>3</v>
      </c>
    </row>
    <row r="39" spans="1:6" x14ac:dyDescent="0.25">
      <c r="A39" s="7">
        <v>3</v>
      </c>
      <c r="B39" s="7">
        <v>5</v>
      </c>
    </row>
    <row r="40" spans="1:6" x14ac:dyDescent="0.25">
      <c r="A40" s="7">
        <v>1</v>
      </c>
      <c r="B40" s="7">
        <v>4</v>
      </c>
    </row>
    <row r="41" spans="1:6" ht="29.25" customHeight="1" x14ac:dyDescent="0.25">
      <c r="A41" s="7">
        <v>5</v>
      </c>
      <c r="B41" s="7">
        <v>3</v>
      </c>
      <c r="D41" t="s">
        <v>8</v>
      </c>
      <c r="E41">
        <f>(((E5^2)/E6)+((E11^2)/E12))^2</f>
        <v>6.7114613654487107E-4</v>
      </c>
    </row>
    <row r="42" spans="1:6" ht="47.25" customHeight="1" x14ac:dyDescent="0.25">
      <c r="A42" s="7">
        <v>5</v>
      </c>
      <c r="B42" s="7">
        <v>2</v>
      </c>
      <c r="D42" t="s">
        <v>9</v>
      </c>
      <c r="E42">
        <f>(((E5^2)/E6)^2)/(E6-1)</f>
        <v>3.25043579193577E-6</v>
      </c>
    </row>
    <row r="43" spans="1:6" ht="43.5" customHeight="1" x14ac:dyDescent="0.25">
      <c r="A43" s="7">
        <v>4</v>
      </c>
      <c r="B43" s="7">
        <v>3</v>
      </c>
      <c r="D43" t="s">
        <v>10</v>
      </c>
      <c r="E43">
        <f>(((E11^2)/E12)^2)/(E12-1)</f>
        <v>8.0647874133546093E-7</v>
      </c>
    </row>
    <row r="44" spans="1:6" x14ac:dyDescent="0.25">
      <c r="A44" s="7">
        <v>2</v>
      </c>
      <c r="B44" s="7">
        <v>5</v>
      </c>
    </row>
    <row r="45" spans="1:6" x14ac:dyDescent="0.25">
      <c r="A45" s="7">
        <v>4</v>
      </c>
      <c r="B45" s="7">
        <v>5</v>
      </c>
      <c r="D45" t="s">
        <v>7</v>
      </c>
      <c r="E45">
        <f>E41/(E42+E43)</f>
        <v>165.43265356978142</v>
      </c>
      <c r="F45" s="6" t="s">
        <v>12</v>
      </c>
    </row>
    <row r="46" spans="1:6" x14ac:dyDescent="0.25">
      <c r="A46" s="7">
        <v>3</v>
      </c>
      <c r="B46" s="7">
        <v>4</v>
      </c>
    </row>
    <row r="47" spans="1:6" x14ac:dyDescent="0.25">
      <c r="A47" s="7">
        <v>5</v>
      </c>
      <c r="B47" s="7">
        <v>3</v>
      </c>
      <c r="D47" t="s">
        <v>13</v>
      </c>
      <c r="E47">
        <v>0.05</v>
      </c>
      <c r="F47" s="6" t="s">
        <v>12</v>
      </c>
    </row>
    <row r="48" spans="1:6" x14ac:dyDescent="0.25">
      <c r="A48" s="7">
        <v>5</v>
      </c>
      <c r="B48" s="7">
        <v>4</v>
      </c>
    </row>
    <row r="49" spans="1:5" x14ac:dyDescent="0.25">
      <c r="A49" s="7">
        <v>1</v>
      </c>
      <c r="B49" s="7">
        <v>4</v>
      </c>
    </row>
    <row r="50" spans="1:5" x14ac:dyDescent="0.25">
      <c r="A50" s="7">
        <v>1</v>
      </c>
      <c r="B50" s="7">
        <v>3</v>
      </c>
    </row>
    <row r="51" spans="1:5" x14ac:dyDescent="0.25">
      <c r="A51" s="7">
        <v>5</v>
      </c>
      <c r="B51" s="7">
        <v>5</v>
      </c>
      <c r="D51" s="2"/>
      <c r="E51" s="2"/>
    </row>
    <row r="52" spans="1:5" x14ac:dyDescent="0.25">
      <c r="A52" s="7">
        <v>1</v>
      </c>
      <c r="B52" s="7">
        <v>3</v>
      </c>
      <c r="D52" t="s">
        <v>16</v>
      </c>
      <c r="E52">
        <f>_xlfn.T.INV.2T(E47,E45)</f>
        <v>1.9744456300923821</v>
      </c>
    </row>
    <row r="53" spans="1:5" x14ac:dyDescent="0.25">
      <c r="A53" s="7">
        <v>3</v>
      </c>
      <c r="B53" s="7">
        <v>5</v>
      </c>
      <c r="D53" t="s">
        <v>17</v>
      </c>
      <c r="E53">
        <f>_xlfn.T.INV(E47, E45)</f>
        <v>-1.6541409762957251</v>
      </c>
    </row>
    <row r="54" spans="1:5" x14ac:dyDescent="0.25">
      <c r="A54" s="7">
        <v>2</v>
      </c>
      <c r="B54" s="7">
        <v>5</v>
      </c>
    </row>
    <row r="55" spans="1:5" x14ac:dyDescent="0.25">
      <c r="A55" s="7">
        <v>4</v>
      </c>
      <c r="B55" s="7">
        <v>4</v>
      </c>
      <c r="D55" t="s">
        <v>18</v>
      </c>
      <c r="E55">
        <f>TTEST(A:A,B:B,2,2)</f>
        <v>7.2717022884929402E-8</v>
      </c>
    </row>
    <row r="56" spans="1:5" x14ac:dyDescent="0.25">
      <c r="A56" s="7">
        <v>3</v>
      </c>
      <c r="B56" s="7">
        <v>3</v>
      </c>
      <c r="D56" t="s">
        <v>19</v>
      </c>
      <c r="E56">
        <f>TTEST(A:A,B:B,1,2)</f>
        <v>3.6358511442464701E-8</v>
      </c>
    </row>
    <row r="57" spans="1:5" x14ac:dyDescent="0.25">
      <c r="A57" s="7">
        <v>3</v>
      </c>
      <c r="B57" s="7">
        <v>5</v>
      </c>
    </row>
    <row r="58" spans="1:5" x14ac:dyDescent="0.25">
      <c r="A58" s="7">
        <v>3</v>
      </c>
      <c r="B58" s="7">
        <v>5</v>
      </c>
    </row>
    <row r="59" spans="1:5" x14ac:dyDescent="0.25">
      <c r="A59" s="7">
        <v>5</v>
      </c>
      <c r="B59" s="7">
        <v>2</v>
      </c>
      <c r="D59" s="2" t="s">
        <v>20</v>
      </c>
      <c r="E59" s="2"/>
    </row>
    <row r="60" spans="1:5" x14ac:dyDescent="0.25">
      <c r="A60" s="7">
        <v>5</v>
      </c>
      <c r="B60" s="7">
        <v>5</v>
      </c>
    </row>
    <row r="61" spans="1:5" x14ac:dyDescent="0.25">
      <c r="A61" s="7">
        <v>4</v>
      </c>
      <c r="B61" s="7">
        <v>4</v>
      </c>
      <c r="D61" t="s">
        <v>21</v>
      </c>
    </row>
    <row r="62" spans="1:5" x14ac:dyDescent="0.25">
      <c r="A62" s="7">
        <v>3</v>
      </c>
      <c r="B62" s="7">
        <v>4</v>
      </c>
      <c r="D62" t="s">
        <v>22</v>
      </c>
    </row>
    <row r="63" spans="1:5" x14ac:dyDescent="0.25">
      <c r="A63" s="7">
        <v>4</v>
      </c>
      <c r="B63" s="7">
        <v>4</v>
      </c>
    </row>
    <row r="64" spans="1:5" x14ac:dyDescent="0.25">
      <c r="A64" s="7">
        <v>3</v>
      </c>
      <c r="B64" s="7">
        <v>4</v>
      </c>
    </row>
    <row r="65" spans="1:4" x14ac:dyDescent="0.25">
      <c r="A65" s="7">
        <v>1</v>
      </c>
      <c r="B65" s="7">
        <v>5</v>
      </c>
    </row>
    <row r="66" spans="1:4" x14ac:dyDescent="0.25">
      <c r="A66" s="7">
        <v>5</v>
      </c>
      <c r="B66" s="7">
        <v>4</v>
      </c>
      <c r="D66" t="s">
        <v>23</v>
      </c>
    </row>
    <row r="67" spans="1:4" x14ac:dyDescent="0.25">
      <c r="A67" s="7">
        <v>3</v>
      </c>
      <c r="B67" s="7">
        <v>5</v>
      </c>
      <c r="D67" t="str">
        <f>"Dos Colas: Si t calculado ("&amp;E29&amp;") &gt; a t critico  ("&amp;E52&amp;") (de tabla) ---&gt; Se rechaza la hipotesis nula"</f>
        <v>Dos Colas: Si t calculado (-5.61166922348027) &gt; a t critico  (1.97444563009238) (de tabla) ---&gt; Se rechaza la hipotesis nula</v>
      </c>
    </row>
    <row r="68" spans="1:4" x14ac:dyDescent="0.25">
      <c r="A68" s="7">
        <v>4</v>
      </c>
      <c r="B68" s="7">
        <v>4</v>
      </c>
      <c r="D68" t="str">
        <f>"Una Cola: Si t calculado ("&amp;E29&amp;") &gt; a t critico  ("&amp;E53&amp;") (de tabla) ---&gt; Se rechaza la hipotesis nula"</f>
        <v>Una Cola: Si t calculado (-5.61166922348027) &gt; a t critico  (-1.65414097629573) (de tabla) ---&gt; Se rechaza la hipotesis nula</v>
      </c>
    </row>
    <row r="69" spans="1:4" x14ac:dyDescent="0.25">
      <c r="A69" s="7">
        <v>2</v>
      </c>
      <c r="B69" s="7">
        <v>5</v>
      </c>
    </row>
    <row r="70" spans="1:4" x14ac:dyDescent="0.25">
      <c r="A70" s="7">
        <v>5</v>
      </c>
      <c r="B70" s="7">
        <v>4</v>
      </c>
    </row>
    <row r="71" spans="1:4" x14ac:dyDescent="0.25">
      <c r="A71" s="7">
        <v>3</v>
      </c>
      <c r="B71" s="7">
        <v>5</v>
      </c>
    </row>
    <row r="72" spans="1:4" x14ac:dyDescent="0.25">
      <c r="A72" s="7">
        <v>2</v>
      </c>
      <c r="B72" s="7">
        <v>5</v>
      </c>
      <c r="D72" t="s">
        <v>26</v>
      </c>
    </row>
    <row r="73" spans="1:4" x14ac:dyDescent="0.25">
      <c r="A73" s="7">
        <v>1</v>
      </c>
      <c r="B73" s="7">
        <v>5</v>
      </c>
      <c r="D73" t="str">
        <f>"Dos Colas: Si p valor ("&amp;E55&amp;") &lt; Nivel Significancia (0.05) ---&gt; Se rechaza la hipotesis nula"</f>
        <v>Dos Colas: Si p valor (7.27170228849294E-08) &lt; Nivel Significancia (0.05) ---&gt; Se rechaza la hipotesis nula</v>
      </c>
    </row>
    <row r="74" spans="1:4" x14ac:dyDescent="0.25">
      <c r="A74" s="7">
        <v>3</v>
      </c>
      <c r="B74" s="7">
        <v>5</v>
      </c>
      <c r="D74" t="str">
        <f>"Una Cola: Si p valor ("&amp;E56&amp;") &lt; Nivel Significancia (0.05) ---&gt; Se rechaza la hipotesis nula"</f>
        <v>Una Cola: Si p valor (3.63585114424647E-08) &lt; Nivel Significancia (0.05) ---&gt; Se rechaza la hipotesis nula</v>
      </c>
    </row>
    <row r="75" spans="1:4" x14ac:dyDescent="0.25">
      <c r="A75" s="7">
        <v>3</v>
      </c>
      <c r="B75" s="7">
        <v>3</v>
      </c>
    </row>
    <row r="76" spans="1:4" x14ac:dyDescent="0.25">
      <c r="A76" s="7">
        <v>3</v>
      </c>
      <c r="B76" s="7">
        <v>5</v>
      </c>
    </row>
    <row r="77" spans="1:4" x14ac:dyDescent="0.25">
      <c r="A77" s="7">
        <v>2</v>
      </c>
      <c r="B77" s="7">
        <v>2</v>
      </c>
    </row>
    <row r="78" spans="1:4" x14ac:dyDescent="0.25">
      <c r="A78" s="7">
        <v>3</v>
      </c>
      <c r="B78" s="7">
        <v>2</v>
      </c>
    </row>
    <row r="79" spans="1:4" x14ac:dyDescent="0.25">
      <c r="A79" s="7">
        <v>5</v>
      </c>
      <c r="B79" s="7">
        <v>4</v>
      </c>
    </row>
    <row r="80" spans="1:4" x14ac:dyDescent="0.25">
      <c r="A80" s="7">
        <v>2</v>
      </c>
      <c r="B80" s="7">
        <v>5</v>
      </c>
    </row>
    <row r="81" spans="1:2" x14ac:dyDescent="0.25">
      <c r="A81" s="7">
        <v>3</v>
      </c>
      <c r="B81" s="7">
        <v>5</v>
      </c>
    </row>
    <row r="82" spans="1:2" x14ac:dyDescent="0.25">
      <c r="A82" s="7">
        <v>3</v>
      </c>
      <c r="B82" s="7">
        <v>3</v>
      </c>
    </row>
    <row r="83" spans="1:2" x14ac:dyDescent="0.25">
      <c r="A83" s="7">
        <v>4</v>
      </c>
      <c r="B83" s="7">
        <v>5</v>
      </c>
    </row>
    <row r="84" spans="1:2" x14ac:dyDescent="0.25">
      <c r="A84" s="7">
        <v>3</v>
      </c>
      <c r="B84" s="7">
        <v>5</v>
      </c>
    </row>
    <row r="85" spans="1:2" x14ac:dyDescent="0.25">
      <c r="A85" s="7">
        <v>4</v>
      </c>
      <c r="B85" s="7">
        <v>4</v>
      </c>
    </row>
    <row r="86" spans="1:2" x14ac:dyDescent="0.25">
      <c r="A86" s="7">
        <v>3</v>
      </c>
      <c r="B86" s="7">
        <v>3</v>
      </c>
    </row>
    <row r="87" spans="1:2" x14ac:dyDescent="0.25">
      <c r="A87" s="7">
        <v>5</v>
      </c>
      <c r="B87" s="7">
        <v>3</v>
      </c>
    </row>
    <row r="88" spans="1:2" x14ac:dyDescent="0.25">
      <c r="A88" s="7">
        <v>3</v>
      </c>
      <c r="B88" s="7">
        <v>5</v>
      </c>
    </row>
    <row r="89" spans="1:2" x14ac:dyDescent="0.25">
      <c r="A89" s="7">
        <v>1</v>
      </c>
      <c r="B89" s="7">
        <v>4</v>
      </c>
    </row>
    <row r="90" spans="1:2" x14ac:dyDescent="0.25">
      <c r="A90" s="7">
        <v>5</v>
      </c>
      <c r="B90" s="7">
        <v>5</v>
      </c>
    </row>
    <row r="91" spans="1:2" x14ac:dyDescent="0.25">
      <c r="A91" s="7">
        <v>1</v>
      </c>
      <c r="B91" s="7">
        <v>5</v>
      </c>
    </row>
    <row r="92" spans="1:2" x14ac:dyDescent="0.25">
      <c r="A92" s="7">
        <v>4</v>
      </c>
      <c r="B92" s="7">
        <v>3</v>
      </c>
    </row>
    <row r="93" spans="1:2" x14ac:dyDescent="0.25">
      <c r="A93" s="7">
        <v>2</v>
      </c>
      <c r="B93" s="7">
        <v>5</v>
      </c>
    </row>
    <row r="94" spans="1:2" x14ac:dyDescent="0.25">
      <c r="A94" s="7">
        <v>2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B2" sqref="B2:B94"/>
    </sheetView>
  </sheetViews>
  <sheetFormatPr baseColWidth="10" defaultColWidth="9.140625" defaultRowHeight="15" x14ac:dyDescent="0.25"/>
  <cols>
    <col min="1" max="1" width="32.42578125" customWidth="1"/>
    <col min="2" max="2" width="31.140625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31</v>
      </c>
      <c r="B1" s="8" t="s">
        <v>42</v>
      </c>
    </row>
    <row r="2" spans="1:5" x14ac:dyDescent="0.25">
      <c r="A2" s="7">
        <v>3</v>
      </c>
      <c r="B2" s="7">
        <v>5</v>
      </c>
      <c r="D2" s="1" t="s">
        <v>24</v>
      </c>
      <c r="E2">
        <f>AVERAGE(A:A)</f>
        <v>3.3978494623655915</v>
      </c>
    </row>
    <row r="3" spans="1:5" x14ac:dyDescent="0.25">
      <c r="A3" s="7">
        <v>2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3</v>
      </c>
      <c r="B4" s="7">
        <v>5</v>
      </c>
      <c r="D4" s="1" t="s">
        <v>1</v>
      </c>
      <c r="E4">
        <f>MODE(A:A)</f>
        <v>4</v>
      </c>
    </row>
    <row r="5" spans="1:5" x14ac:dyDescent="0.25">
      <c r="A5" s="7">
        <v>3</v>
      </c>
      <c r="B5" s="7">
        <v>5</v>
      </c>
      <c r="D5" s="1" t="s">
        <v>15</v>
      </c>
      <c r="E5">
        <f>STDEV(A:A)</f>
        <v>1.0015182490494396</v>
      </c>
    </row>
    <row r="6" spans="1:5" x14ac:dyDescent="0.25">
      <c r="A6" s="7">
        <v>4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2</v>
      </c>
      <c r="B7" s="7">
        <v>2</v>
      </c>
    </row>
    <row r="8" spans="1:5" x14ac:dyDescent="0.25">
      <c r="A8" s="7">
        <v>5</v>
      </c>
      <c r="B8" s="7">
        <v>5</v>
      </c>
      <c r="D8" s="3" t="s">
        <v>25</v>
      </c>
      <c r="E8">
        <f>AVERAGE(B:B)</f>
        <v>3.989247311827957</v>
      </c>
    </row>
    <row r="9" spans="1:5" x14ac:dyDescent="0.25">
      <c r="A9" s="7">
        <v>3</v>
      </c>
      <c r="B9" s="7">
        <v>5</v>
      </c>
      <c r="D9" s="3" t="s">
        <v>2</v>
      </c>
      <c r="E9">
        <f>MEDIAN(B:B)</f>
        <v>4</v>
      </c>
    </row>
    <row r="10" spans="1:5" x14ac:dyDescent="0.25">
      <c r="A10" s="7">
        <v>5</v>
      </c>
      <c r="B10" s="7">
        <v>5</v>
      </c>
      <c r="D10" s="3" t="s">
        <v>3</v>
      </c>
      <c r="E10">
        <f>MODE(B:B)</f>
        <v>5</v>
      </c>
    </row>
    <row r="11" spans="1:5" x14ac:dyDescent="0.25">
      <c r="A11" s="7">
        <v>4</v>
      </c>
      <c r="B11" s="7">
        <v>5</v>
      </c>
      <c r="D11" s="3" t="s">
        <v>14</v>
      </c>
      <c r="E11">
        <f>STDEV(B:B)</f>
        <v>1.0884235074870001</v>
      </c>
    </row>
    <row r="12" spans="1:5" x14ac:dyDescent="0.25">
      <c r="A12" s="7">
        <v>4</v>
      </c>
      <c r="B12" s="7">
        <v>2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4</v>
      </c>
    </row>
    <row r="14" spans="1:5" x14ac:dyDescent="0.25">
      <c r="A14" s="7">
        <v>3</v>
      </c>
      <c r="B14" s="7">
        <v>4</v>
      </c>
    </row>
    <row r="15" spans="1:5" x14ac:dyDescent="0.25">
      <c r="A15" s="7">
        <v>4</v>
      </c>
      <c r="B15" s="7">
        <v>3</v>
      </c>
    </row>
    <row r="16" spans="1:5" x14ac:dyDescent="0.25">
      <c r="A16" s="7">
        <v>4</v>
      </c>
      <c r="B16" s="7">
        <v>5</v>
      </c>
    </row>
    <row r="17" spans="1:5" x14ac:dyDescent="0.25">
      <c r="A17" s="7">
        <v>4</v>
      </c>
      <c r="B17" s="7">
        <v>4</v>
      </c>
      <c r="D17" s="2" t="s">
        <v>6</v>
      </c>
      <c r="E17" s="2"/>
    </row>
    <row r="18" spans="1:5" x14ac:dyDescent="0.25">
      <c r="A18" s="7">
        <v>4</v>
      </c>
      <c r="B18" s="7">
        <v>4</v>
      </c>
    </row>
    <row r="19" spans="1:5" x14ac:dyDescent="0.25">
      <c r="A19" s="7">
        <v>4</v>
      </c>
      <c r="B19" s="7">
        <v>4</v>
      </c>
    </row>
    <row r="20" spans="1:5" x14ac:dyDescent="0.25">
      <c r="A20" s="7">
        <v>5</v>
      </c>
      <c r="B20" s="7">
        <v>1</v>
      </c>
    </row>
    <row r="21" spans="1:5" x14ac:dyDescent="0.25">
      <c r="A21" s="7">
        <v>3</v>
      </c>
      <c r="B21" s="7">
        <v>3</v>
      </c>
    </row>
    <row r="22" spans="1:5" x14ac:dyDescent="0.25">
      <c r="A22" s="7">
        <v>3</v>
      </c>
      <c r="B22" s="7">
        <v>4</v>
      </c>
    </row>
    <row r="23" spans="1:5" x14ac:dyDescent="0.25">
      <c r="A23" s="7">
        <v>3</v>
      </c>
      <c r="B23" s="7">
        <v>3</v>
      </c>
    </row>
    <row r="24" spans="1:5" x14ac:dyDescent="0.25">
      <c r="A24" s="7">
        <v>4</v>
      </c>
      <c r="B24" s="7">
        <v>5</v>
      </c>
    </row>
    <row r="25" spans="1:5" x14ac:dyDescent="0.25">
      <c r="A25" s="7">
        <v>4</v>
      </c>
      <c r="B25" s="7">
        <v>5</v>
      </c>
    </row>
    <row r="26" spans="1:5" x14ac:dyDescent="0.25">
      <c r="A26" s="7">
        <v>2</v>
      </c>
      <c r="B26" s="7">
        <v>5</v>
      </c>
    </row>
    <row r="27" spans="1:5" x14ac:dyDescent="0.25">
      <c r="A27" s="7">
        <v>3</v>
      </c>
      <c r="B27" s="7">
        <v>5</v>
      </c>
    </row>
    <row r="28" spans="1:5" x14ac:dyDescent="0.25">
      <c r="A28" s="7">
        <v>3</v>
      </c>
      <c r="B28" s="7">
        <v>4</v>
      </c>
    </row>
    <row r="29" spans="1:5" x14ac:dyDescent="0.25">
      <c r="A29" s="7">
        <v>5</v>
      </c>
      <c r="B29" s="7">
        <v>4</v>
      </c>
      <c r="D29" t="s">
        <v>11</v>
      </c>
      <c r="E29">
        <f>(E2-E8)/SQRT(((E5^2)/E6)+((E11^2)/E12))</f>
        <v>-3.8559099389665032</v>
      </c>
    </row>
    <row r="30" spans="1:5" x14ac:dyDescent="0.25">
      <c r="A30" s="7">
        <v>4</v>
      </c>
      <c r="B30" s="7">
        <v>2</v>
      </c>
    </row>
    <row r="31" spans="1:5" x14ac:dyDescent="0.25">
      <c r="A31" s="7">
        <v>4</v>
      </c>
      <c r="B31" s="7">
        <v>4</v>
      </c>
      <c r="D31" s="2" t="s">
        <v>7</v>
      </c>
      <c r="E31" s="2"/>
    </row>
    <row r="32" spans="1:5" x14ac:dyDescent="0.25">
      <c r="A32" s="7">
        <v>4</v>
      </c>
      <c r="B32" s="7">
        <v>4</v>
      </c>
    </row>
    <row r="33" spans="1:6" x14ac:dyDescent="0.25">
      <c r="A33" s="7">
        <v>3</v>
      </c>
      <c r="B33" s="7">
        <v>5</v>
      </c>
    </row>
    <row r="34" spans="1:6" x14ac:dyDescent="0.25">
      <c r="A34" s="7">
        <v>3</v>
      </c>
      <c r="B34" s="7">
        <v>5</v>
      </c>
    </row>
    <row r="35" spans="1:6" x14ac:dyDescent="0.25">
      <c r="A35" s="7">
        <v>3</v>
      </c>
      <c r="B35" s="7">
        <v>4</v>
      </c>
    </row>
    <row r="36" spans="1:6" x14ac:dyDescent="0.25">
      <c r="A36" s="7">
        <v>3</v>
      </c>
      <c r="B36" s="7">
        <v>4</v>
      </c>
    </row>
    <row r="37" spans="1:6" x14ac:dyDescent="0.25">
      <c r="A37" s="7">
        <v>2</v>
      </c>
      <c r="B37" s="7">
        <v>3</v>
      </c>
    </row>
    <row r="38" spans="1:6" x14ac:dyDescent="0.25">
      <c r="A38" s="7">
        <v>3</v>
      </c>
      <c r="B38" s="7">
        <v>5</v>
      </c>
    </row>
    <row r="39" spans="1:6" x14ac:dyDescent="0.25">
      <c r="A39" s="7">
        <v>1</v>
      </c>
      <c r="B39" s="7">
        <v>5</v>
      </c>
    </row>
    <row r="40" spans="1:6" x14ac:dyDescent="0.25">
      <c r="A40" s="7">
        <v>5</v>
      </c>
      <c r="B40" s="7">
        <v>4</v>
      </c>
    </row>
    <row r="41" spans="1:6" ht="29.25" customHeight="1" x14ac:dyDescent="0.25">
      <c r="A41" s="7">
        <v>4</v>
      </c>
      <c r="B41" s="7">
        <v>5</v>
      </c>
      <c r="D41" t="s">
        <v>8</v>
      </c>
      <c r="E41">
        <f>(((E5^2)/E6)+((E11^2)/E12))^2</f>
        <v>5.533646816641163E-4</v>
      </c>
    </row>
    <row r="42" spans="1:6" ht="47.25" customHeight="1" x14ac:dyDescent="0.25">
      <c r="A42" s="7">
        <v>5</v>
      </c>
      <c r="B42" s="7">
        <v>5</v>
      </c>
      <c r="D42" t="s">
        <v>9</v>
      </c>
      <c r="E42">
        <f>(((E5^2)/E6)^2)/(E6-1)</f>
        <v>1.2643920140087466E-6</v>
      </c>
    </row>
    <row r="43" spans="1:6" ht="43.5" customHeight="1" x14ac:dyDescent="0.25">
      <c r="A43" s="7">
        <v>3</v>
      </c>
      <c r="B43" s="7">
        <v>3</v>
      </c>
      <c r="D43" t="s">
        <v>10</v>
      </c>
      <c r="E43">
        <f>(((E11^2)/E12)^2)/(E12-1)</f>
        <v>1.7637536580586716E-6</v>
      </c>
    </row>
    <row r="44" spans="1:6" x14ac:dyDescent="0.25">
      <c r="A44" s="7">
        <v>2</v>
      </c>
      <c r="B44" s="7">
        <v>5</v>
      </c>
    </row>
    <row r="45" spans="1:6" x14ac:dyDescent="0.25">
      <c r="A45" s="7">
        <v>4</v>
      </c>
      <c r="B45" s="7">
        <v>4</v>
      </c>
      <c r="D45" t="s">
        <v>7</v>
      </c>
      <c r="E45">
        <f>E41/(E42+E43)</f>
        <v>182.74044302707384</v>
      </c>
      <c r="F45" s="6" t="s">
        <v>12</v>
      </c>
    </row>
    <row r="46" spans="1:6" x14ac:dyDescent="0.25">
      <c r="A46" s="7">
        <v>2</v>
      </c>
      <c r="B46" s="7">
        <v>5</v>
      </c>
    </row>
    <row r="47" spans="1:6" x14ac:dyDescent="0.25">
      <c r="A47" s="7">
        <v>5</v>
      </c>
      <c r="B47" s="7">
        <v>5</v>
      </c>
      <c r="D47" t="s">
        <v>13</v>
      </c>
      <c r="E47">
        <v>0.05</v>
      </c>
      <c r="F47" s="6" t="s">
        <v>12</v>
      </c>
    </row>
    <row r="48" spans="1:6" x14ac:dyDescent="0.25">
      <c r="A48" s="7">
        <v>2</v>
      </c>
      <c r="B48" s="7">
        <v>4</v>
      </c>
    </row>
    <row r="49" spans="1:5" x14ac:dyDescent="0.25">
      <c r="A49" s="7">
        <v>4</v>
      </c>
      <c r="B49" s="7">
        <v>3</v>
      </c>
    </row>
    <row r="50" spans="1:5" x14ac:dyDescent="0.25">
      <c r="A50" s="7">
        <v>5</v>
      </c>
      <c r="B50" s="7">
        <v>4</v>
      </c>
    </row>
    <row r="51" spans="1:5" x14ac:dyDescent="0.25">
      <c r="A51" s="7">
        <v>3</v>
      </c>
      <c r="B51" s="7">
        <v>3</v>
      </c>
      <c r="D51" s="2"/>
      <c r="E51" s="2"/>
    </row>
    <row r="52" spans="1:5" x14ac:dyDescent="0.25">
      <c r="A52" s="7">
        <v>4</v>
      </c>
      <c r="B52" s="7">
        <v>5</v>
      </c>
      <c r="D52" t="s">
        <v>16</v>
      </c>
      <c r="E52">
        <f>_xlfn.T.INV.2T(E47,E45)</f>
        <v>1.9730840773359002</v>
      </c>
    </row>
    <row r="53" spans="1:5" x14ac:dyDescent="0.25">
      <c r="A53" s="7">
        <v>4</v>
      </c>
      <c r="B53" s="7">
        <v>3</v>
      </c>
      <c r="D53" t="s">
        <v>17</v>
      </c>
      <c r="E53">
        <f>_xlfn.T.INV(E47, E45)</f>
        <v>-1.6532690237054619</v>
      </c>
    </row>
    <row r="54" spans="1:5" x14ac:dyDescent="0.25">
      <c r="A54" s="7">
        <v>4</v>
      </c>
      <c r="B54" s="7">
        <v>5</v>
      </c>
    </row>
    <row r="55" spans="1:5" x14ac:dyDescent="0.25">
      <c r="A55" s="7">
        <v>2</v>
      </c>
      <c r="B55" s="7">
        <v>4</v>
      </c>
      <c r="D55" t="s">
        <v>18</v>
      </c>
      <c r="E55">
        <f>TTEST(A:A,B:B,2,2)</f>
        <v>1.5927120194478888E-4</v>
      </c>
    </row>
    <row r="56" spans="1:5" x14ac:dyDescent="0.25">
      <c r="A56" s="7">
        <v>3</v>
      </c>
      <c r="B56" s="7">
        <v>4</v>
      </c>
      <c r="D56" t="s">
        <v>19</v>
      </c>
      <c r="E56">
        <f>TTEST(A:A,B:B,1,2)</f>
        <v>7.963560097239444E-5</v>
      </c>
    </row>
    <row r="57" spans="1:5" x14ac:dyDescent="0.25">
      <c r="A57" s="7">
        <v>4</v>
      </c>
      <c r="B57" s="7">
        <v>2</v>
      </c>
    </row>
    <row r="58" spans="1:5" x14ac:dyDescent="0.25">
      <c r="A58" s="7">
        <v>3</v>
      </c>
      <c r="B58" s="7">
        <v>4</v>
      </c>
    </row>
    <row r="59" spans="1:5" x14ac:dyDescent="0.25">
      <c r="A59" s="7">
        <v>3</v>
      </c>
      <c r="B59" s="7">
        <v>5</v>
      </c>
      <c r="D59" s="2" t="s">
        <v>20</v>
      </c>
      <c r="E59" s="2"/>
    </row>
    <row r="60" spans="1:5" x14ac:dyDescent="0.25">
      <c r="A60" s="7">
        <v>4</v>
      </c>
      <c r="B60" s="7">
        <v>5</v>
      </c>
    </row>
    <row r="61" spans="1:5" x14ac:dyDescent="0.25">
      <c r="A61" s="7">
        <v>4</v>
      </c>
      <c r="B61" s="7">
        <v>3</v>
      </c>
      <c r="D61" t="s">
        <v>21</v>
      </c>
    </row>
    <row r="62" spans="1:5" x14ac:dyDescent="0.25">
      <c r="A62" s="7">
        <v>5</v>
      </c>
      <c r="B62" s="7">
        <v>4</v>
      </c>
      <c r="D62" t="s">
        <v>22</v>
      </c>
    </row>
    <row r="63" spans="1:5" x14ac:dyDescent="0.25">
      <c r="A63" s="7">
        <v>4</v>
      </c>
      <c r="B63" s="7">
        <v>3</v>
      </c>
    </row>
    <row r="64" spans="1:5" x14ac:dyDescent="0.25">
      <c r="A64" s="7">
        <v>3</v>
      </c>
      <c r="B64" s="7">
        <v>5</v>
      </c>
    </row>
    <row r="65" spans="1:4" x14ac:dyDescent="0.25">
      <c r="A65" s="7">
        <v>4</v>
      </c>
      <c r="B65" s="7">
        <v>5</v>
      </c>
    </row>
    <row r="66" spans="1:4" x14ac:dyDescent="0.25">
      <c r="A66" s="7">
        <v>3</v>
      </c>
      <c r="B66" s="7">
        <v>5</v>
      </c>
      <c r="D66" t="s">
        <v>23</v>
      </c>
    </row>
    <row r="67" spans="1:4" x14ac:dyDescent="0.25">
      <c r="A67" s="7">
        <v>3</v>
      </c>
      <c r="B67" s="7">
        <v>2</v>
      </c>
      <c r="D67" t="str">
        <f>"Dos Colas: Si t calculado ("&amp;E29&amp;") &gt; a t critico  ("&amp;E52&amp;") (de tabla) ---&gt; Se rechaza la hipotesis nula"</f>
        <v>Dos Colas: Si t calculado (-3.8559099389665) &gt; a t critico  (1.9730840773359) (de tabla) ---&gt; Se rechaza la hipotesis nula</v>
      </c>
    </row>
    <row r="68" spans="1:4" x14ac:dyDescent="0.25">
      <c r="A68" s="7">
        <v>5</v>
      </c>
      <c r="B68" s="7">
        <v>4</v>
      </c>
      <c r="D68" t="str">
        <f>"Una Cola: Si t calculado ("&amp;E29&amp;") &gt; a t critico  ("&amp;E53&amp;") (de tabla) ---&gt; Se rechaza la hipotesis nula"</f>
        <v>Una Cola: Si t calculado (-3.8559099389665) &gt; a t critico  (-1.65326902370546) (de tabla) ---&gt; Se rechaza la hipotesis nula</v>
      </c>
    </row>
    <row r="69" spans="1:4" x14ac:dyDescent="0.25">
      <c r="A69" s="7">
        <v>3</v>
      </c>
      <c r="B69" s="7">
        <v>2</v>
      </c>
    </row>
    <row r="70" spans="1:4" x14ac:dyDescent="0.25">
      <c r="A70" s="7">
        <v>4</v>
      </c>
      <c r="B70" s="7">
        <v>5</v>
      </c>
    </row>
    <row r="71" spans="1:4" x14ac:dyDescent="0.25">
      <c r="A71" s="7">
        <v>1</v>
      </c>
      <c r="B71" s="7">
        <v>4</v>
      </c>
    </row>
    <row r="72" spans="1:4" x14ac:dyDescent="0.25">
      <c r="A72" s="7">
        <v>3</v>
      </c>
      <c r="B72" s="7">
        <v>4</v>
      </c>
      <c r="D72" t="s">
        <v>26</v>
      </c>
    </row>
    <row r="73" spans="1:4" x14ac:dyDescent="0.25">
      <c r="A73" s="7">
        <v>2</v>
      </c>
      <c r="B73" s="7">
        <v>5</v>
      </c>
      <c r="D73" t="str">
        <f>"Dos Colas: Si p valor ("&amp;E55&amp;") &lt; Nivel Significancia (0.05) ---&gt; Se rechaza la hipotesis nula"</f>
        <v>Dos Colas: Si p valor (0.000159271201944789) &lt; Nivel Significancia (0.05) ---&gt; Se rechaza la hipotesis nula</v>
      </c>
    </row>
    <row r="74" spans="1:4" x14ac:dyDescent="0.25">
      <c r="A74" s="7">
        <v>3</v>
      </c>
      <c r="B74" s="7">
        <v>3</v>
      </c>
      <c r="D74" t="str">
        <f>"Una Cola: Si p valor ("&amp;E56&amp;") &lt; Nivel Significancia (0.05) ---&gt; Se rechaza la hipotesis nula"</f>
        <v>Una Cola: Si p valor (7.96356009723944E-05) &lt; Nivel Significancia (0.05) ---&gt; Se rechaza la hipotesis nula</v>
      </c>
    </row>
    <row r="75" spans="1:4" x14ac:dyDescent="0.25">
      <c r="A75" s="7">
        <v>5</v>
      </c>
      <c r="B75" s="7">
        <v>2</v>
      </c>
    </row>
    <row r="76" spans="1:4" x14ac:dyDescent="0.25">
      <c r="A76" s="7">
        <v>3</v>
      </c>
      <c r="B76" s="7">
        <v>3</v>
      </c>
    </row>
    <row r="77" spans="1:4" x14ac:dyDescent="0.25">
      <c r="A77" s="7">
        <v>1</v>
      </c>
      <c r="B77" s="7">
        <v>3</v>
      </c>
    </row>
    <row r="78" spans="1:4" x14ac:dyDescent="0.25">
      <c r="A78" s="7">
        <v>3</v>
      </c>
      <c r="B78" s="7">
        <v>5</v>
      </c>
    </row>
    <row r="79" spans="1:4" x14ac:dyDescent="0.25">
      <c r="A79" s="7">
        <v>2</v>
      </c>
      <c r="B79" s="7">
        <v>5</v>
      </c>
    </row>
    <row r="80" spans="1:4" x14ac:dyDescent="0.25">
      <c r="A80" s="7">
        <v>2</v>
      </c>
      <c r="B80" s="7">
        <v>2</v>
      </c>
    </row>
    <row r="81" spans="1:2" x14ac:dyDescent="0.25">
      <c r="A81" s="7">
        <v>4</v>
      </c>
      <c r="B81" s="7">
        <v>5</v>
      </c>
    </row>
    <row r="82" spans="1:2" x14ac:dyDescent="0.25">
      <c r="A82" s="7">
        <v>4</v>
      </c>
      <c r="B82" s="7">
        <v>3</v>
      </c>
    </row>
    <row r="83" spans="1:2" x14ac:dyDescent="0.25">
      <c r="A83" s="7">
        <v>3</v>
      </c>
      <c r="B83" s="7">
        <v>3</v>
      </c>
    </row>
    <row r="84" spans="1:2" x14ac:dyDescent="0.25">
      <c r="A84" s="7">
        <v>4</v>
      </c>
      <c r="B84" s="7">
        <v>4</v>
      </c>
    </row>
    <row r="85" spans="1:2" x14ac:dyDescent="0.25">
      <c r="A85" s="7">
        <v>2</v>
      </c>
      <c r="B85" s="7">
        <v>1</v>
      </c>
    </row>
    <row r="86" spans="1:2" x14ac:dyDescent="0.25">
      <c r="A86" s="7">
        <v>2</v>
      </c>
      <c r="B86" s="7">
        <v>5</v>
      </c>
    </row>
    <row r="87" spans="1:2" x14ac:dyDescent="0.25">
      <c r="A87" s="7">
        <v>4</v>
      </c>
      <c r="B87" s="7">
        <v>5</v>
      </c>
    </row>
    <row r="88" spans="1:2" x14ac:dyDescent="0.25">
      <c r="A88" s="7">
        <v>4</v>
      </c>
      <c r="B88" s="7">
        <v>5</v>
      </c>
    </row>
    <row r="89" spans="1:2" x14ac:dyDescent="0.25">
      <c r="A89" s="7">
        <v>3</v>
      </c>
      <c r="B89" s="7">
        <v>4</v>
      </c>
    </row>
    <row r="90" spans="1:2" x14ac:dyDescent="0.25">
      <c r="A90" s="7">
        <v>4</v>
      </c>
      <c r="B90" s="7">
        <v>5</v>
      </c>
    </row>
    <row r="91" spans="1:2" x14ac:dyDescent="0.25">
      <c r="A91" s="7">
        <v>2</v>
      </c>
      <c r="B91" s="7">
        <v>5</v>
      </c>
    </row>
    <row r="92" spans="1:2" x14ac:dyDescent="0.25">
      <c r="A92" s="7">
        <v>4</v>
      </c>
      <c r="B92" s="7">
        <v>3</v>
      </c>
    </row>
    <row r="93" spans="1:2" x14ac:dyDescent="0.25">
      <c r="A93" s="7">
        <v>3</v>
      </c>
      <c r="B93" s="7">
        <v>2</v>
      </c>
    </row>
    <row r="94" spans="1:2" x14ac:dyDescent="0.25">
      <c r="A94" s="7">
        <v>5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15" zoomScaleNormal="115" workbookViewId="0">
      <selection activeCell="B2" sqref="B2:B94"/>
    </sheetView>
  </sheetViews>
  <sheetFormatPr baseColWidth="10" defaultColWidth="9.140625" defaultRowHeight="15" x14ac:dyDescent="0.25"/>
  <cols>
    <col min="1" max="1" width="33.140625" customWidth="1"/>
    <col min="2" max="2" width="30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152.25" customHeight="1" x14ac:dyDescent="0.25">
      <c r="A1" s="11" t="s">
        <v>32</v>
      </c>
      <c r="B1" s="9" t="s">
        <v>43</v>
      </c>
    </row>
    <row r="2" spans="1:5" x14ac:dyDescent="0.25">
      <c r="A2" s="7">
        <v>2</v>
      </c>
      <c r="B2" s="7">
        <v>4</v>
      </c>
      <c r="D2" s="1" t="s">
        <v>24</v>
      </c>
      <c r="E2">
        <f>AVERAGE(A:A)</f>
        <v>3.3225806451612905</v>
      </c>
    </row>
    <row r="3" spans="1:5" x14ac:dyDescent="0.25">
      <c r="A3" s="7">
        <v>4</v>
      </c>
      <c r="B3" s="7">
        <v>5</v>
      </c>
      <c r="D3" s="1" t="s">
        <v>0</v>
      </c>
      <c r="E3">
        <f>MEDIAN(A:A)</f>
        <v>3</v>
      </c>
    </row>
    <row r="4" spans="1:5" x14ac:dyDescent="0.25">
      <c r="A4" s="7">
        <v>5</v>
      </c>
      <c r="B4" s="7">
        <v>2</v>
      </c>
      <c r="D4" s="1" t="s">
        <v>1</v>
      </c>
      <c r="E4">
        <f>MODE(A:A)</f>
        <v>3</v>
      </c>
    </row>
    <row r="5" spans="1:5" x14ac:dyDescent="0.25">
      <c r="A5" s="7">
        <v>5</v>
      </c>
      <c r="B5" s="7">
        <v>4</v>
      </c>
      <c r="D5" s="1" t="s">
        <v>15</v>
      </c>
      <c r="E5">
        <f>STDEV(A:A)</f>
        <v>1.1901889722314343</v>
      </c>
    </row>
    <row r="6" spans="1:5" x14ac:dyDescent="0.25">
      <c r="A6" s="7">
        <v>3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3</v>
      </c>
      <c r="B7" s="7">
        <v>5</v>
      </c>
    </row>
    <row r="8" spans="1:5" x14ac:dyDescent="0.25">
      <c r="A8" s="7">
        <v>3</v>
      </c>
      <c r="B8" s="7">
        <v>4</v>
      </c>
      <c r="D8" s="3" t="s">
        <v>25</v>
      </c>
      <c r="E8">
        <f>AVERAGE(B:B)</f>
        <v>4.161290322580645</v>
      </c>
    </row>
    <row r="9" spans="1:5" x14ac:dyDescent="0.25">
      <c r="A9" s="7">
        <v>4</v>
      </c>
      <c r="B9" s="7">
        <v>4</v>
      </c>
      <c r="D9" s="3" t="s">
        <v>2</v>
      </c>
      <c r="E9">
        <f>MEDIAN(B:B)</f>
        <v>4</v>
      </c>
    </row>
    <row r="10" spans="1:5" x14ac:dyDescent="0.25">
      <c r="A10" s="7">
        <v>4</v>
      </c>
      <c r="B10" s="7">
        <v>4</v>
      </c>
      <c r="D10" s="3" t="s">
        <v>3</v>
      </c>
      <c r="E10">
        <f>MODE(B:B)</f>
        <v>5</v>
      </c>
    </row>
    <row r="11" spans="1:5" x14ac:dyDescent="0.25">
      <c r="A11" s="7">
        <v>3</v>
      </c>
      <c r="B11" s="7">
        <v>4</v>
      </c>
      <c r="D11" s="3" t="s">
        <v>14</v>
      </c>
      <c r="E11">
        <f>STDEV(B:B)</f>
        <v>0.86338971225711036</v>
      </c>
    </row>
    <row r="12" spans="1:5" x14ac:dyDescent="0.25">
      <c r="A12" s="7">
        <v>3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1</v>
      </c>
      <c r="B13" s="7">
        <v>3</v>
      </c>
    </row>
    <row r="14" spans="1:5" x14ac:dyDescent="0.25">
      <c r="A14" s="7">
        <v>5</v>
      </c>
      <c r="B14" s="7">
        <v>3</v>
      </c>
    </row>
    <row r="15" spans="1:5" x14ac:dyDescent="0.25">
      <c r="A15" s="7">
        <v>3</v>
      </c>
      <c r="B15" s="7">
        <v>4</v>
      </c>
    </row>
    <row r="16" spans="1:5" x14ac:dyDescent="0.25">
      <c r="A16" s="7">
        <v>4</v>
      </c>
      <c r="B16" s="7">
        <v>5</v>
      </c>
    </row>
    <row r="17" spans="1:5" x14ac:dyDescent="0.25">
      <c r="A17" s="7">
        <v>4</v>
      </c>
      <c r="B17" s="7">
        <v>5</v>
      </c>
      <c r="D17" s="2" t="s">
        <v>6</v>
      </c>
      <c r="E17" s="2"/>
    </row>
    <row r="18" spans="1:5" x14ac:dyDescent="0.25">
      <c r="A18" s="7">
        <v>3</v>
      </c>
      <c r="B18" s="7">
        <v>5</v>
      </c>
    </row>
    <row r="19" spans="1:5" x14ac:dyDescent="0.25">
      <c r="A19" s="7">
        <v>3</v>
      </c>
      <c r="B19" s="7">
        <v>4</v>
      </c>
    </row>
    <row r="20" spans="1:5" x14ac:dyDescent="0.25">
      <c r="A20" s="7">
        <v>1</v>
      </c>
      <c r="B20" s="7">
        <v>5</v>
      </c>
    </row>
    <row r="21" spans="1:5" x14ac:dyDescent="0.25">
      <c r="A21" s="7">
        <v>5</v>
      </c>
      <c r="B21" s="7">
        <v>5</v>
      </c>
    </row>
    <row r="22" spans="1:5" x14ac:dyDescent="0.25">
      <c r="A22" s="7">
        <v>5</v>
      </c>
      <c r="B22" s="7">
        <v>3</v>
      </c>
    </row>
    <row r="23" spans="1:5" x14ac:dyDescent="0.25">
      <c r="A23" s="7">
        <v>3</v>
      </c>
      <c r="B23" s="7">
        <v>3</v>
      </c>
    </row>
    <row r="24" spans="1:5" x14ac:dyDescent="0.25">
      <c r="A24" s="7">
        <v>3</v>
      </c>
      <c r="B24" s="7">
        <v>3</v>
      </c>
    </row>
    <row r="25" spans="1:5" x14ac:dyDescent="0.25">
      <c r="A25" s="7">
        <v>4</v>
      </c>
      <c r="B25" s="7">
        <v>5</v>
      </c>
    </row>
    <row r="26" spans="1:5" x14ac:dyDescent="0.25">
      <c r="A26" s="7">
        <v>5</v>
      </c>
      <c r="B26" s="7">
        <v>4</v>
      </c>
    </row>
    <row r="27" spans="1:5" x14ac:dyDescent="0.25">
      <c r="A27" s="7">
        <v>5</v>
      </c>
      <c r="B27" s="7">
        <v>5</v>
      </c>
    </row>
    <row r="28" spans="1:5" x14ac:dyDescent="0.25">
      <c r="A28" s="7">
        <v>2</v>
      </c>
      <c r="B28" s="7">
        <v>5</v>
      </c>
    </row>
    <row r="29" spans="1:5" x14ac:dyDescent="0.25">
      <c r="A29" s="7">
        <v>4</v>
      </c>
      <c r="B29" s="7">
        <v>5</v>
      </c>
      <c r="D29" t="s">
        <v>11</v>
      </c>
      <c r="E29">
        <f>(E2-E8)/SQRT(((E5^2)/E6)+((E11^2)/E12))</f>
        <v>-5.5008034679838422</v>
      </c>
    </row>
    <row r="30" spans="1:5" x14ac:dyDescent="0.25">
      <c r="A30" s="7">
        <v>4</v>
      </c>
      <c r="B30" s="7">
        <v>5</v>
      </c>
    </row>
    <row r="31" spans="1:5" x14ac:dyDescent="0.25">
      <c r="A31" s="7">
        <v>4</v>
      </c>
      <c r="B31" s="7">
        <v>5</v>
      </c>
      <c r="D31" s="2" t="s">
        <v>7</v>
      </c>
      <c r="E31" s="2"/>
    </row>
    <row r="32" spans="1:5" x14ac:dyDescent="0.25">
      <c r="A32" s="7">
        <v>4</v>
      </c>
      <c r="B32" s="7">
        <v>3</v>
      </c>
    </row>
    <row r="33" spans="1:6" x14ac:dyDescent="0.25">
      <c r="A33" s="7">
        <v>5</v>
      </c>
      <c r="B33" s="7">
        <v>5</v>
      </c>
    </row>
    <row r="34" spans="1:6" x14ac:dyDescent="0.25">
      <c r="A34" s="7">
        <v>3</v>
      </c>
      <c r="B34" s="7">
        <v>4</v>
      </c>
    </row>
    <row r="35" spans="1:6" x14ac:dyDescent="0.25">
      <c r="A35" s="7">
        <v>5</v>
      </c>
      <c r="B35" s="7">
        <v>4</v>
      </c>
    </row>
    <row r="36" spans="1:6" x14ac:dyDescent="0.25">
      <c r="A36" s="7">
        <v>2</v>
      </c>
      <c r="B36" s="7">
        <v>5</v>
      </c>
    </row>
    <row r="37" spans="1:6" x14ac:dyDescent="0.25">
      <c r="A37" s="7">
        <v>4</v>
      </c>
      <c r="B37" s="7">
        <v>4</v>
      </c>
    </row>
    <row r="38" spans="1:6" x14ac:dyDescent="0.25">
      <c r="A38" s="7">
        <v>3</v>
      </c>
      <c r="B38" s="7">
        <v>5</v>
      </c>
    </row>
    <row r="39" spans="1:6" x14ac:dyDescent="0.25">
      <c r="A39" s="7">
        <v>2</v>
      </c>
      <c r="B39" s="7">
        <v>4</v>
      </c>
    </row>
    <row r="40" spans="1:6" x14ac:dyDescent="0.25">
      <c r="A40" s="7">
        <v>3</v>
      </c>
      <c r="B40" s="7">
        <v>4</v>
      </c>
    </row>
    <row r="41" spans="1:6" ht="29.25" customHeight="1" x14ac:dyDescent="0.25">
      <c r="A41" s="7">
        <v>3</v>
      </c>
      <c r="B41" s="7">
        <v>5</v>
      </c>
      <c r="D41" t="s">
        <v>8</v>
      </c>
      <c r="E41">
        <f>(((E5^2)/E6)+((E11^2)/E12))^2</f>
        <v>5.4043330014730425E-4</v>
      </c>
    </row>
    <row r="42" spans="1:6" ht="47.25" customHeight="1" x14ac:dyDescent="0.25">
      <c r="A42" s="7">
        <v>4</v>
      </c>
      <c r="B42" s="7">
        <v>5</v>
      </c>
      <c r="D42" t="s">
        <v>9</v>
      </c>
      <c r="E42">
        <f>(((E5^2)/E6)^2)/(E6-1)</f>
        <v>2.5217960690054635E-6</v>
      </c>
    </row>
    <row r="43" spans="1:6" ht="43.5" customHeight="1" x14ac:dyDescent="0.25">
      <c r="A43" s="7">
        <v>4</v>
      </c>
      <c r="B43" s="7">
        <v>4</v>
      </c>
      <c r="D43" t="s">
        <v>10</v>
      </c>
      <c r="E43">
        <f>(((E11^2)/E12)^2)/(E12-1)</f>
        <v>6.9835099066219781E-7</v>
      </c>
    </row>
    <row r="44" spans="1:6" x14ac:dyDescent="0.25">
      <c r="A44" s="7">
        <v>3</v>
      </c>
      <c r="B44" s="7">
        <v>3</v>
      </c>
    </row>
    <row r="45" spans="1:6" x14ac:dyDescent="0.25">
      <c r="A45" s="7">
        <v>1</v>
      </c>
      <c r="B45" s="7">
        <v>5</v>
      </c>
      <c r="D45" t="s">
        <v>7</v>
      </c>
      <c r="E45">
        <f>E41/(E42+E43)</f>
        <v>167.82876375934217</v>
      </c>
      <c r="F45" s="6" t="s">
        <v>12</v>
      </c>
    </row>
    <row r="46" spans="1:6" x14ac:dyDescent="0.25">
      <c r="A46" s="7">
        <v>3</v>
      </c>
      <c r="B46" s="7">
        <v>4</v>
      </c>
    </row>
    <row r="47" spans="1:6" x14ac:dyDescent="0.25">
      <c r="A47" s="7">
        <v>3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3</v>
      </c>
    </row>
    <row r="49" spans="1:5" x14ac:dyDescent="0.25">
      <c r="A49" s="7">
        <v>3</v>
      </c>
      <c r="B49" s="7">
        <v>3</v>
      </c>
    </row>
    <row r="50" spans="1:5" x14ac:dyDescent="0.25">
      <c r="A50" s="7">
        <v>5</v>
      </c>
      <c r="B50" s="7">
        <v>4</v>
      </c>
    </row>
    <row r="51" spans="1:5" x14ac:dyDescent="0.25">
      <c r="A51" s="7">
        <v>3</v>
      </c>
      <c r="B51" s="7">
        <v>4</v>
      </c>
      <c r="D51" s="2"/>
      <c r="E51" s="2"/>
    </row>
    <row r="52" spans="1:5" x14ac:dyDescent="0.25">
      <c r="A52" s="7">
        <v>1</v>
      </c>
      <c r="B52" s="7">
        <v>3</v>
      </c>
      <c r="D52" t="s">
        <v>16</v>
      </c>
      <c r="E52">
        <f>_xlfn.T.INV.2T(E47,E45)</f>
        <v>1.9742709570280526</v>
      </c>
    </row>
    <row r="53" spans="1:5" x14ac:dyDescent="0.25">
      <c r="A53" s="7">
        <v>5</v>
      </c>
      <c r="B53" s="7">
        <v>5</v>
      </c>
      <c r="D53" t="s">
        <v>17</v>
      </c>
      <c r="E53">
        <f>_xlfn.T.INV(E47, E45)</f>
        <v>-1.6540291281334114</v>
      </c>
    </row>
    <row r="54" spans="1:5" x14ac:dyDescent="0.25">
      <c r="A54" s="7">
        <v>3</v>
      </c>
      <c r="B54" s="7">
        <v>5</v>
      </c>
    </row>
    <row r="55" spans="1:5" x14ac:dyDescent="0.25">
      <c r="A55" s="7">
        <v>4</v>
      </c>
      <c r="B55" s="7">
        <v>5</v>
      </c>
      <c r="D55" t="s">
        <v>18</v>
      </c>
      <c r="E55">
        <f>TTEST(A:A,B:B,2,2)</f>
        <v>1.2521551570127437E-7</v>
      </c>
    </row>
    <row r="56" spans="1:5" x14ac:dyDescent="0.25">
      <c r="A56" s="7">
        <v>3</v>
      </c>
      <c r="B56" s="7">
        <v>3</v>
      </c>
      <c r="D56" t="s">
        <v>19</v>
      </c>
      <c r="E56">
        <f>TTEST(A:A,B:B,1,2)</f>
        <v>6.2607757850637184E-8</v>
      </c>
    </row>
    <row r="57" spans="1:5" x14ac:dyDescent="0.25">
      <c r="A57" s="7">
        <v>5</v>
      </c>
      <c r="B57" s="7">
        <v>3</v>
      </c>
    </row>
    <row r="58" spans="1:5" x14ac:dyDescent="0.25">
      <c r="A58" s="7">
        <v>4</v>
      </c>
      <c r="B58" s="7">
        <v>5</v>
      </c>
    </row>
    <row r="59" spans="1:5" x14ac:dyDescent="0.25">
      <c r="A59" s="7">
        <v>3</v>
      </c>
      <c r="B59" s="7">
        <v>4</v>
      </c>
      <c r="D59" s="2" t="s">
        <v>20</v>
      </c>
      <c r="E59" s="2"/>
    </row>
    <row r="60" spans="1:5" x14ac:dyDescent="0.25">
      <c r="A60" s="7">
        <v>4</v>
      </c>
      <c r="B60" s="7">
        <v>4</v>
      </c>
    </row>
    <row r="61" spans="1:5" x14ac:dyDescent="0.25">
      <c r="A61" s="7">
        <v>3</v>
      </c>
      <c r="B61" s="7">
        <v>5</v>
      </c>
      <c r="D61" t="s">
        <v>21</v>
      </c>
    </row>
    <row r="62" spans="1:5" x14ac:dyDescent="0.25">
      <c r="A62" s="7">
        <v>2</v>
      </c>
      <c r="B62" s="7">
        <v>2</v>
      </c>
      <c r="D62" t="s">
        <v>22</v>
      </c>
    </row>
    <row r="63" spans="1:5" x14ac:dyDescent="0.25">
      <c r="A63" s="7">
        <v>1</v>
      </c>
      <c r="B63" s="7">
        <v>5</v>
      </c>
    </row>
    <row r="64" spans="1:5" x14ac:dyDescent="0.25">
      <c r="A64" s="7">
        <v>4</v>
      </c>
      <c r="B64" s="7">
        <v>5</v>
      </c>
    </row>
    <row r="65" spans="1:4" x14ac:dyDescent="0.25">
      <c r="A65" s="7">
        <v>4</v>
      </c>
      <c r="B65" s="7">
        <v>4</v>
      </c>
    </row>
    <row r="66" spans="1:4" x14ac:dyDescent="0.25">
      <c r="A66" s="7">
        <v>5</v>
      </c>
      <c r="B66" s="7">
        <v>4</v>
      </c>
      <c r="D66" t="s">
        <v>23</v>
      </c>
    </row>
    <row r="67" spans="1:4" x14ac:dyDescent="0.25">
      <c r="A67" s="7">
        <v>1</v>
      </c>
      <c r="B67" s="7">
        <v>5</v>
      </c>
      <c r="D67" t="str">
        <f>"Dos Colas: Si t calculado ("&amp;E29&amp;") &gt; a t critico  ("&amp;E52&amp;") (de tabla) ---&gt; Se rechaza la hipotesis nula"</f>
        <v>Dos Colas: Si t calculado (-5.50080346798384) &gt; a t critico  (1.97427095702805) (de tabla) ---&gt; Se rechaza la hipotesis nula</v>
      </c>
    </row>
    <row r="68" spans="1:4" x14ac:dyDescent="0.25">
      <c r="A68" s="7">
        <v>1</v>
      </c>
      <c r="B68" s="7">
        <v>4</v>
      </c>
      <c r="D68" t="str">
        <f>"Una Cola: Si t calculado ("&amp;E29&amp;") &gt; a t critico  ("&amp;E53&amp;") (de tabla) ---&gt; Se rechaza la hipotesis nula"</f>
        <v>Una Cola: Si t calculado (-5.50080346798384) &gt; a t critico  (-1.65402912813341) (de tabla) ---&gt; Se rechaza la hipotesis nula</v>
      </c>
    </row>
    <row r="69" spans="1:4" x14ac:dyDescent="0.25">
      <c r="A69" s="7">
        <v>3</v>
      </c>
      <c r="B69" s="7">
        <v>4</v>
      </c>
    </row>
    <row r="70" spans="1:4" x14ac:dyDescent="0.25">
      <c r="A70" s="7">
        <v>2</v>
      </c>
      <c r="B70" s="7">
        <v>5</v>
      </c>
    </row>
    <row r="71" spans="1:4" x14ac:dyDescent="0.25">
      <c r="A71" s="7">
        <v>3</v>
      </c>
      <c r="B71" s="7">
        <v>5</v>
      </c>
    </row>
    <row r="72" spans="1:4" x14ac:dyDescent="0.25">
      <c r="A72" s="7">
        <v>3</v>
      </c>
      <c r="B72" s="7">
        <v>4</v>
      </c>
      <c r="D72" t="s">
        <v>26</v>
      </c>
    </row>
    <row r="73" spans="1:4" x14ac:dyDescent="0.25">
      <c r="A73" s="7">
        <v>5</v>
      </c>
      <c r="B73" s="7">
        <v>5</v>
      </c>
      <c r="D73" t="str">
        <f>"Dos Colas: Si p valor ("&amp;E55&amp;") &lt; Nivel Significancia (0.05) ---&gt; Se rechaza la hipotesis nula"</f>
        <v>Dos Colas: Si p valor (1.25215515701274E-07) &lt; Nivel Significancia (0.05) ---&gt; Se rechaza la hipotesis nula</v>
      </c>
    </row>
    <row r="74" spans="1:4" x14ac:dyDescent="0.25">
      <c r="A74" s="7">
        <v>3</v>
      </c>
      <c r="B74" s="7">
        <v>3</v>
      </c>
      <c r="D74" t="str">
        <f>"Una Cola: Si p valor ("&amp;E56&amp;") &lt; Nivel Significancia (0.05) ---&gt; Se rechaza la hipotesis nula"</f>
        <v>Una Cola: Si p valor (6.26077578506372E-08) &lt; Nivel Significancia (0.05) ---&gt; Se rechaza la hipotesis nula</v>
      </c>
    </row>
    <row r="75" spans="1:4" x14ac:dyDescent="0.25">
      <c r="A75" s="7">
        <v>5</v>
      </c>
      <c r="B75" s="7">
        <v>3</v>
      </c>
    </row>
    <row r="76" spans="1:4" x14ac:dyDescent="0.25">
      <c r="A76" s="7">
        <v>2</v>
      </c>
      <c r="B76" s="7">
        <v>2</v>
      </c>
    </row>
    <row r="77" spans="1:4" x14ac:dyDescent="0.25">
      <c r="A77" s="7">
        <v>3</v>
      </c>
      <c r="B77" s="7">
        <v>5</v>
      </c>
    </row>
    <row r="78" spans="1:4" x14ac:dyDescent="0.25">
      <c r="A78" s="7">
        <v>3</v>
      </c>
      <c r="B78" s="7">
        <v>2</v>
      </c>
    </row>
    <row r="79" spans="1:4" x14ac:dyDescent="0.25">
      <c r="A79" s="7">
        <v>5</v>
      </c>
      <c r="B79" s="7">
        <v>4</v>
      </c>
    </row>
    <row r="80" spans="1:4" x14ac:dyDescent="0.25">
      <c r="A80" s="7">
        <v>4</v>
      </c>
      <c r="B80" s="7">
        <v>5</v>
      </c>
    </row>
    <row r="81" spans="1:2" x14ac:dyDescent="0.25">
      <c r="A81" s="7">
        <v>4</v>
      </c>
      <c r="B81" s="7">
        <v>5</v>
      </c>
    </row>
    <row r="82" spans="1:2" x14ac:dyDescent="0.25">
      <c r="A82" s="7">
        <v>4</v>
      </c>
      <c r="B82" s="7">
        <v>5</v>
      </c>
    </row>
    <row r="83" spans="1:2" x14ac:dyDescent="0.25">
      <c r="A83" s="7">
        <v>5</v>
      </c>
      <c r="B83" s="7">
        <v>4</v>
      </c>
    </row>
    <row r="84" spans="1:2" x14ac:dyDescent="0.25">
      <c r="A84" s="7">
        <v>1</v>
      </c>
      <c r="B84" s="7">
        <v>4</v>
      </c>
    </row>
    <row r="85" spans="1:2" x14ac:dyDescent="0.25">
      <c r="A85" s="7">
        <v>3</v>
      </c>
      <c r="B85" s="7">
        <v>5</v>
      </c>
    </row>
    <row r="86" spans="1:2" x14ac:dyDescent="0.25">
      <c r="A86" s="7">
        <v>4</v>
      </c>
      <c r="B86" s="7">
        <v>4</v>
      </c>
    </row>
    <row r="87" spans="1:2" x14ac:dyDescent="0.25">
      <c r="A87" s="7">
        <v>4</v>
      </c>
      <c r="B87" s="7">
        <v>5</v>
      </c>
    </row>
    <row r="88" spans="1:2" x14ac:dyDescent="0.25">
      <c r="A88" s="7">
        <v>4</v>
      </c>
      <c r="B88" s="7">
        <v>4</v>
      </c>
    </row>
    <row r="89" spans="1:2" x14ac:dyDescent="0.25">
      <c r="A89" s="7">
        <v>3</v>
      </c>
      <c r="B89" s="7">
        <v>5</v>
      </c>
    </row>
    <row r="90" spans="1:2" x14ac:dyDescent="0.25">
      <c r="A90" s="7">
        <v>3</v>
      </c>
      <c r="B90" s="7">
        <v>3</v>
      </c>
    </row>
    <row r="91" spans="1:2" x14ac:dyDescent="0.25">
      <c r="A91" s="7">
        <v>1</v>
      </c>
      <c r="B91" s="7">
        <v>3</v>
      </c>
    </row>
    <row r="92" spans="1:2" x14ac:dyDescent="0.25">
      <c r="A92" s="7">
        <v>3</v>
      </c>
      <c r="B92" s="7">
        <v>4</v>
      </c>
    </row>
    <row r="93" spans="1:2" x14ac:dyDescent="0.25">
      <c r="A93" s="7">
        <v>1</v>
      </c>
      <c r="B93" s="7">
        <v>5</v>
      </c>
    </row>
    <row r="94" spans="1:2" x14ac:dyDescent="0.25">
      <c r="A94" s="7">
        <v>2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15" zoomScaleNormal="115" workbookViewId="0">
      <selection activeCell="G1" sqref="G1"/>
    </sheetView>
  </sheetViews>
  <sheetFormatPr baseColWidth="10" defaultColWidth="9.140625" defaultRowHeight="15" x14ac:dyDescent="0.25"/>
  <cols>
    <col min="1" max="1" width="36.5703125" customWidth="1"/>
    <col min="2" max="2" width="33.140625" customWidth="1"/>
    <col min="4" max="4" width="38.5703125" customWidth="1"/>
    <col min="5" max="5" width="21.5703125" customWidth="1"/>
    <col min="6" max="6" width="17.85546875" customWidth="1"/>
    <col min="7" max="7" width="20" customWidth="1"/>
  </cols>
  <sheetData>
    <row r="1" spans="1:5" ht="135" x14ac:dyDescent="0.25">
      <c r="A1" s="12" t="s">
        <v>33</v>
      </c>
      <c r="B1" s="12" t="s">
        <v>44</v>
      </c>
    </row>
    <row r="2" spans="1:5" x14ac:dyDescent="0.25">
      <c r="A2" s="7">
        <v>2</v>
      </c>
      <c r="B2" s="7">
        <v>4</v>
      </c>
      <c r="D2" s="1" t="s">
        <v>24</v>
      </c>
      <c r="E2">
        <f>AVERAGE(A:A)</f>
        <v>3.4193548387096775</v>
      </c>
    </row>
    <row r="3" spans="1:5" x14ac:dyDescent="0.25">
      <c r="A3" s="7">
        <v>2</v>
      </c>
      <c r="B3" s="7">
        <v>3</v>
      </c>
      <c r="D3" s="1" t="s">
        <v>0</v>
      </c>
      <c r="E3">
        <f>MEDIAN(A:A)</f>
        <v>4</v>
      </c>
    </row>
    <row r="4" spans="1:5" x14ac:dyDescent="0.25">
      <c r="A4" s="7">
        <v>2</v>
      </c>
      <c r="B4" s="7">
        <v>5</v>
      </c>
      <c r="D4" s="1" t="s">
        <v>1</v>
      </c>
      <c r="E4">
        <f>MODE(A:A)</f>
        <v>4</v>
      </c>
    </row>
    <row r="5" spans="1:5" x14ac:dyDescent="0.25">
      <c r="A5" s="7">
        <v>2</v>
      </c>
      <c r="B5" s="7">
        <v>5</v>
      </c>
      <c r="D5" s="1" t="s">
        <v>15</v>
      </c>
      <c r="E5">
        <f>STDEV(A:A)</f>
        <v>1.245187087786596</v>
      </c>
    </row>
    <row r="6" spans="1:5" x14ac:dyDescent="0.25">
      <c r="A6" s="7">
        <v>4</v>
      </c>
      <c r="B6" s="7">
        <v>3</v>
      </c>
      <c r="D6" s="4" t="s">
        <v>4</v>
      </c>
      <c r="E6">
        <f>COUNT(A:A)</f>
        <v>93</v>
      </c>
    </row>
    <row r="7" spans="1:5" x14ac:dyDescent="0.25">
      <c r="A7" s="7">
        <v>5</v>
      </c>
      <c r="B7" s="7">
        <v>3</v>
      </c>
    </row>
    <row r="8" spans="1:5" x14ac:dyDescent="0.25">
      <c r="A8" s="7">
        <v>4</v>
      </c>
      <c r="B8" s="7">
        <v>5</v>
      </c>
      <c r="D8" s="3" t="s">
        <v>25</v>
      </c>
      <c r="E8">
        <f>AVERAGE(B:B)</f>
        <v>4.139784946236559</v>
      </c>
    </row>
    <row r="9" spans="1:5" x14ac:dyDescent="0.25">
      <c r="A9" s="7">
        <v>4</v>
      </c>
      <c r="B9" s="7">
        <v>4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5</v>
      </c>
      <c r="D10" s="3" t="s">
        <v>3</v>
      </c>
      <c r="E10">
        <f>MODE(B:B)</f>
        <v>5</v>
      </c>
    </row>
    <row r="11" spans="1:5" x14ac:dyDescent="0.25">
      <c r="A11" s="7">
        <v>4</v>
      </c>
      <c r="B11" s="7">
        <v>3</v>
      </c>
      <c r="D11" s="3" t="s">
        <v>14</v>
      </c>
      <c r="E11">
        <f>STDEV(B:B)</f>
        <v>0.91593855225667409</v>
      </c>
    </row>
    <row r="12" spans="1:5" x14ac:dyDescent="0.25">
      <c r="A12" s="7">
        <v>1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3</v>
      </c>
      <c r="B13" s="7">
        <v>3</v>
      </c>
    </row>
    <row r="14" spans="1:5" x14ac:dyDescent="0.25">
      <c r="A14" s="7">
        <v>2</v>
      </c>
      <c r="B14" s="7">
        <v>4</v>
      </c>
    </row>
    <row r="15" spans="1:5" x14ac:dyDescent="0.25">
      <c r="A15" s="7">
        <v>5</v>
      </c>
      <c r="B15" s="7">
        <v>4</v>
      </c>
    </row>
    <row r="16" spans="1:5" x14ac:dyDescent="0.25">
      <c r="A16" s="7">
        <v>2</v>
      </c>
      <c r="B16" s="7">
        <v>5</v>
      </c>
    </row>
    <row r="17" spans="1:5" x14ac:dyDescent="0.25">
      <c r="A17" s="7">
        <v>2</v>
      </c>
      <c r="B17" s="7">
        <v>4</v>
      </c>
      <c r="D17" s="2" t="s">
        <v>6</v>
      </c>
      <c r="E17" s="2"/>
    </row>
    <row r="18" spans="1:5" x14ac:dyDescent="0.25">
      <c r="A18" s="7">
        <v>3</v>
      </c>
      <c r="B18" s="7">
        <v>5</v>
      </c>
    </row>
    <row r="19" spans="1:5" x14ac:dyDescent="0.25">
      <c r="A19" s="7">
        <v>3</v>
      </c>
      <c r="B19" s="7">
        <v>5</v>
      </c>
    </row>
    <row r="20" spans="1:5" x14ac:dyDescent="0.25">
      <c r="A20" s="7">
        <v>3</v>
      </c>
      <c r="B20" s="7">
        <v>4</v>
      </c>
    </row>
    <row r="21" spans="1:5" x14ac:dyDescent="0.25">
      <c r="A21" s="7">
        <v>4</v>
      </c>
      <c r="B21" s="7">
        <v>2</v>
      </c>
    </row>
    <row r="22" spans="1:5" x14ac:dyDescent="0.25">
      <c r="A22" s="7">
        <v>3</v>
      </c>
      <c r="B22" s="7">
        <v>4</v>
      </c>
    </row>
    <row r="23" spans="1:5" x14ac:dyDescent="0.25">
      <c r="A23" s="7">
        <v>4</v>
      </c>
      <c r="B23" s="7">
        <v>4</v>
      </c>
    </row>
    <row r="24" spans="1:5" x14ac:dyDescent="0.25">
      <c r="A24" s="7">
        <v>5</v>
      </c>
      <c r="B24" s="7">
        <v>5</v>
      </c>
    </row>
    <row r="25" spans="1:5" x14ac:dyDescent="0.25">
      <c r="A25" s="7">
        <v>4</v>
      </c>
      <c r="B25" s="7">
        <v>5</v>
      </c>
    </row>
    <row r="26" spans="1:5" x14ac:dyDescent="0.25">
      <c r="A26" s="7">
        <v>5</v>
      </c>
      <c r="B26" s="7">
        <v>5</v>
      </c>
    </row>
    <row r="27" spans="1:5" x14ac:dyDescent="0.25">
      <c r="A27" s="7">
        <v>5</v>
      </c>
      <c r="B27" s="7">
        <v>4</v>
      </c>
    </row>
    <row r="28" spans="1:5" x14ac:dyDescent="0.25">
      <c r="A28" s="7">
        <v>5</v>
      </c>
      <c r="B28" s="7">
        <v>2</v>
      </c>
    </row>
    <row r="29" spans="1:5" x14ac:dyDescent="0.25">
      <c r="A29" s="7">
        <v>1</v>
      </c>
      <c r="B29" s="7">
        <v>4</v>
      </c>
      <c r="D29" t="s">
        <v>11</v>
      </c>
      <c r="E29">
        <f>(E2-E8)/SQRT(((E5^2)/E6)+((E11^2)/E12))</f>
        <v>-4.4945454887953993</v>
      </c>
    </row>
    <row r="30" spans="1:5" x14ac:dyDescent="0.25">
      <c r="A30" s="7">
        <v>3</v>
      </c>
      <c r="B30" s="7">
        <v>5</v>
      </c>
    </row>
    <row r="31" spans="1:5" x14ac:dyDescent="0.25">
      <c r="A31" s="7">
        <v>1</v>
      </c>
      <c r="B31" s="7">
        <v>5</v>
      </c>
      <c r="D31" s="2" t="s">
        <v>7</v>
      </c>
      <c r="E31" s="2"/>
    </row>
    <row r="32" spans="1:5" x14ac:dyDescent="0.25">
      <c r="A32" s="7">
        <v>4</v>
      </c>
      <c r="B32" s="7">
        <v>4</v>
      </c>
    </row>
    <row r="33" spans="1:6" x14ac:dyDescent="0.25">
      <c r="A33" s="7">
        <v>4</v>
      </c>
      <c r="B33" s="7">
        <v>5</v>
      </c>
    </row>
    <row r="34" spans="1:6" x14ac:dyDescent="0.25">
      <c r="A34" s="7">
        <v>3</v>
      </c>
      <c r="B34" s="7">
        <v>3</v>
      </c>
    </row>
    <row r="35" spans="1:6" x14ac:dyDescent="0.25">
      <c r="A35" s="7">
        <v>4</v>
      </c>
      <c r="B35" s="7">
        <v>3</v>
      </c>
    </row>
    <row r="36" spans="1:6" x14ac:dyDescent="0.25">
      <c r="A36" s="7">
        <v>5</v>
      </c>
      <c r="B36" s="7">
        <v>4</v>
      </c>
    </row>
    <row r="37" spans="1:6" x14ac:dyDescent="0.25">
      <c r="A37" s="7">
        <v>3</v>
      </c>
      <c r="B37" s="7">
        <v>5</v>
      </c>
    </row>
    <row r="38" spans="1:6" x14ac:dyDescent="0.25">
      <c r="A38" s="7">
        <v>4</v>
      </c>
      <c r="B38" s="7">
        <v>5</v>
      </c>
    </row>
    <row r="39" spans="1:6" x14ac:dyDescent="0.25">
      <c r="A39" s="7">
        <v>3</v>
      </c>
      <c r="B39" s="7">
        <v>5</v>
      </c>
    </row>
    <row r="40" spans="1:6" x14ac:dyDescent="0.25">
      <c r="A40" s="7">
        <v>3</v>
      </c>
      <c r="B40" s="7">
        <v>5</v>
      </c>
    </row>
    <row r="41" spans="1:6" ht="29.25" customHeight="1" x14ac:dyDescent="0.25">
      <c r="A41" s="7">
        <v>5</v>
      </c>
      <c r="B41" s="7">
        <v>5</v>
      </c>
      <c r="D41" t="s">
        <v>8</v>
      </c>
      <c r="E41">
        <f>(((E5^2)/E6)+((E11^2)/E12))^2</f>
        <v>6.601221350653109E-4</v>
      </c>
    </row>
    <row r="42" spans="1:6" ht="47.25" customHeight="1" x14ac:dyDescent="0.25">
      <c r="A42" s="7">
        <v>5</v>
      </c>
      <c r="B42" s="7">
        <v>4</v>
      </c>
      <c r="D42" t="s">
        <v>9</v>
      </c>
      <c r="E42">
        <f>(((E5^2)/E6)^2)/(E6-1)</f>
        <v>3.0212364084527721E-6</v>
      </c>
    </row>
    <row r="43" spans="1:6" ht="43.5" customHeight="1" x14ac:dyDescent="0.25">
      <c r="A43" s="7">
        <v>2</v>
      </c>
      <c r="B43" s="7">
        <v>4</v>
      </c>
      <c r="D43" t="s">
        <v>10</v>
      </c>
      <c r="E43">
        <f>(((E11^2)/E12)^2)/(E12-1)</f>
        <v>8.8452809482104186E-7</v>
      </c>
    </row>
    <row r="44" spans="1:6" x14ac:dyDescent="0.25">
      <c r="A44" s="7">
        <v>4</v>
      </c>
      <c r="B44" s="7">
        <v>5</v>
      </c>
    </row>
    <row r="45" spans="1:6" x14ac:dyDescent="0.25">
      <c r="A45" s="7">
        <v>5</v>
      </c>
      <c r="B45" s="7">
        <v>5</v>
      </c>
      <c r="D45" t="s">
        <v>7</v>
      </c>
      <c r="E45">
        <f>E41/(E42+E43)</f>
        <v>169.01227263241196</v>
      </c>
      <c r="F45" s="6" t="s">
        <v>12</v>
      </c>
    </row>
    <row r="46" spans="1:6" x14ac:dyDescent="0.25">
      <c r="A46" s="7">
        <v>1</v>
      </c>
      <c r="B46" s="7">
        <v>5</v>
      </c>
    </row>
    <row r="47" spans="1:6" x14ac:dyDescent="0.25">
      <c r="A47" s="7">
        <v>5</v>
      </c>
      <c r="B47" s="7">
        <v>5</v>
      </c>
      <c r="D47" t="s">
        <v>13</v>
      </c>
      <c r="E47">
        <v>0.05</v>
      </c>
      <c r="F47" s="6" t="s">
        <v>12</v>
      </c>
    </row>
    <row r="48" spans="1:6" x14ac:dyDescent="0.25">
      <c r="A48" s="7">
        <v>3</v>
      </c>
      <c r="B48" s="7">
        <v>3</v>
      </c>
    </row>
    <row r="49" spans="1:5" x14ac:dyDescent="0.25">
      <c r="A49" s="7">
        <v>1</v>
      </c>
      <c r="B49" s="7">
        <v>5</v>
      </c>
    </row>
    <row r="50" spans="1:5" x14ac:dyDescent="0.25">
      <c r="A50" s="7">
        <v>4</v>
      </c>
      <c r="B50" s="7">
        <v>5</v>
      </c>
    </row>
    <row r="51" spans="1:5" x14ac:dyDescent="0.25">
      <c r="A51" s="7">
        <v>5</v>
      </c>
      <c r="B51" s="7">
        <v>5</v>
      </c>
      <c r="D51" s="2"/>
      <c r="E51" s="2"/>
    </row>
    <row r="52" spans="1:5" x14ac:dyDescent="0.25">
      <c r="A52" s="7">
        <v>5</v>
      </c>
      <c r="B52" s="7">
        <v>3</v>
      </c>
      <c r="D52" t="s">
        <v>16</v>
      </c>
      <c r="E52">
        <f>_xlfn.T.INV.2T(E47,E45)</f>
        <v>1.9741004473989796</v>
      </c>
    </row>
    <row r="53" spans="1:5" x14ac:dyDescent="0.25">
      <c r="A53" s="7">
        <v>4</v>
      </c>
      <c r="B53" s="7">
        <v>4</v>
      </c>
      <c r="D53" t="s">
        <v>17</v>
      </c>
      <c r="E53">
        <f>_xlfn.T.INV(E47, E45)</f>
        <v>-1.6539199418820105</v>
      </c>
    </row>
    <row r="54" spans="1:5" x14ac:dyDescent="0.25">
      <c r="A54" s="7">
        <v>5</v>
      </c>
      <c r="B54" s="7">
        <v>5</v>
      </c>
    </row>
    <row r="55" spans="1:5" x14ac:dyDescent="0.25">
      <c r="A55" s="7">
        <v>3</v>
      </c>
      <c r="B55" s="7">
        <v>4</v>
      </c>
      <c r="D55" t="s">
        <v>18</v>
      </c>
      <c r="E55">
        <f>TTEST(A:A,B:B,2,2)</f>
        <v>1.2304232264676836E-5</v>
      </c>
    </row>
    <row r="56" spans="1:5" x14ac:dyDescent="0.25">
      <c r="A56" s="7">
        <v>5</v>
      </c>
      <c r="B56" s="7">
        <v>4</v>
      </c>
      <c r="D56" t="s">
        <v>19</v>
      </c>
      <c r="E56">
        <f>TTEST(A:A,B:B,1,2)</f>
        <v>6.152116132338418E-6</v>
      </c>
    </row>
    <row r="57" spans="1:5" x14ac:dyDescent="0.25">
      <c r="A57" s="7">
        <v>3</v>
      </c>
      <c r="B57" s="7">
        <v>2</v>
      </c>
    </row>
    <row r="58" spans="1:5" x14ac:dyDescent="0.25">
      <c r="A58" s="7">
        <v>1</v>
      </c>
      <c r="B58" s="7">
        <v>5</v>
      </c>
    </row>
    <row r="59" spans="1:5" x14ac:dyDescent="0.25">
      <c r="A59" s="7">
        <v>2</v>
      </c>
      <c r="B59" s="7">
        <v>3</v>
      </c>
      <c r="D59" s="2" t="s">
        <v>20</v>
      </c>
      <c r="E59" s="2"/>
    </row>
    <row r="60" spans="1:5" x14ac:dyDescent="0.25">
      <c r="A60" s="7">
        <v>3</v>
      </c>
      <c r="B60" s="7">
        <v>3</v>
      </c>
    </row>
    <row r="61" spans="1:5" x14ac:dyDescent="0.25">
      <c r="A61" s="7">
        <v>4</v>
      </c>
      <c r="B61" s="7">
        <v>3</v>
      </c>
      <c r="D61" t="s">
        <v>21</v>
      </c>
    </row>
    <row r="62" spans="1:5" x14ac:dyDescent="0.25">
      <c r="A62" s="7">
        <v>3</v>
      </c>
      <c r="B62" s="7">
        <v>4</v>
      </c>
      <c r="D62" t="s">
        <v>22</v>
      </c>
    </row>
    <row r="63" spans="1:5" x14ac:dyDescent="0.25">
      <c r="A63" s="7">
        <v>3</v>
      </c>
      <c r="B63" s="7">
        <v>4</v>
      </c>
    </row>
    <row r="64" spans="1:5" x14ac:dyDescent="0.25">
      <c r="A64" s="7">
        <v>4</v>
      </c>
      <c r="B64" s="7">
        <v>5</v>
      </c>
    </row>
    <row r="65" spans="1:4" x14ac:dyDescent="0.25">
      <c r="A65" s="7">
        <v>5</v>
      </c>
      <c r="B65" s="7">
        <v>4</v>
      </c>
    </row>
    <row r="66" spans="1:4" x14ac:dyDescent="0.25">
      <c r="A66" s="7">
        <v>2</v>
      </c>
      <c r="B66" s="7">
        <v>4</v>
      </c>
      <c r="D66" t="s">
        <v>23</v>
      </c>
    </row>
    <row r="67" spans="1:4" x14ac:dyDescent="0.25">
      <c r="A67" s="7">
        <v>4</v>
      </c>
      <c r="B67" s="7">
        <v>4</v>
      </c>
      <c r="D67" t="str">
        <f>"Dos Colas: Si t calculado ("&amp;E29&amp;") &gt; a t critico  ("&amp;E52&amp;") (de tabla) ---&gt; Se rechaza la hipotesis nula"</f>
        <v>Dos Colas: Si t calculado (-4.4945454887954) &gt; a t critico  (1.97410044739898) (de tabla) ---&gt; Se rechaza la hipotesis nula</v>
      </c>
    </row>
    <row r="68" spans="1:4" x14ac:dyDescent="0.25">
      <c r="A68" s="7">
        <v>4</v>
      </c>
      <c r="B68" s="7">
        <v>5</v>
      </c>
      <c r="D68" t="str">
        <f>"Una Cola: Si t calculado ("&amp;E29&amp;") &gt; a t critico  ("&amp;E53&amp;") (de tabla) ---&gt; Se rechaza la hipotesis nula"</f>
        <v>Una Cola: Si t calculado (-4.4945454887954) &gt; a t critico  (-1.65391994188201) (de tabla) ---&gt; Se rechaza la hipotesis nula</v>
      </c>
    </row>
    <row r="69" spans="1:4" x14ac:dyDescent="0.25">
      <c r="A69" s="7">
        <v>4</v>
      </c>
      <c r="B69" s="7">
        <v>4</v>
      </c>
    </row>
    <row r="70" spans="1:4" x14ac:dyDescent="0.25">
      <c r="A70" s="7">
        <v>4</v>
      </c>
      <c r="B70" s="7">
        <v>3</v>
      </c>
    </row>
    <row r="71" spans="1:4" x14ac:dyDescent="0.25">
      <c r="A71" s="7">
        <v>2</v>
      </c>
      <c r="B71" s="7">
        <v>5</v>
      </c>
    </row>
    <row r="72" spans="1:4" x14ac:dyDescent="0.25">
      <c r="A72" s="7">
        <v>3</v>
      </c>
      <c r="B72" s="7">
        <v>3</v>
      </c>
      <c r="D72" t="s">
        <v>26</v>
      </c>
    </row>
    <row r="73" spans="1:4" x14ac:dyDescent="0.25">
      <c r="A73" s="7">
        <v>2</v>
      </c>
      <c r="B73" s="7">
        <v>4</v>
      </c>
      <c r="D73" t="str">
        <f>"Dos Colas: Si p valor ("&amp;E55&amp;") &lt; Nivel Significancia (0.05) ---&gt; Se rechaza la hipotesis nula"</f>
        <v>Dos Colas: Si p valor (1.23042322646768E-05) &lt; Nivel Significancia (0.05) ---&gt; Se rechaza la hipotesis nula</v>
      </c>
    </row>
    <row r="74" spans="1:4" x14ac:dyDescent="0.25">
      <c r="A74" s="7">
        <v>5</v>
      </c>
      <c r="B74" s="7">
        <v>3</v>
      </c>
      <c r="D74" t="str">
        <f>"Una Cola: Si p valor ("&amp;E56&amp;") &lt; Nivel Significancia (0.05) ---&gt; Se rechaza la hipotesis nula"</f>
        <v>Una Cola: Si p valor (6.15211613233842E-06) &lt; Nivel Significancia (0.05) ---&gt; Se rechaza la hipotesis nula</v>
      </c>
    </row>
    <row r="75" spans="1:4" x14ac:dyDescent="0.25">
      <c r="A75" s="7">
        <v>4</v>
      </c>
      <c r="B75" s="7">
        <v>5</v>
      </c>
    </row>
    <row r="76" spans="1:4" x14ac:dyDescent="0.25">
      <c r="A76" s="7">
        <v>3</v>
      </c>
      <c r="B76" s="7">
        <v>5</v>
      </c>
    </row>
    <row r="77" spans="1:4" x14ac:dyDescent="0.25">
      <c r="A77" s="7">
        <v>5</v>
      </c>
      <c r="B77" s="7">
        <v>3</v>
      </c>
    </row>
    <row r="78" spans="1:4" x14ac:dyDescent="0.25">
      <c r="A78" s="7">
        <v>4</v>
      </c>
      <c r="B78" s="7">
        <v>5</v>
      </c>
    </row>
    <row r="79" spans="1:4" x14ac:dyDescent="0.25">
      <c r="A79" s="7">
        <v>3</v>
      </c>
      <c r="B79" s="7">
        <v>3</v>
      </c>
    </row>
    <row r="80" spans="1:4" x14ac:dyDescent="0.25">
      <c r="A80" s="7">
        <v>5</v>
      </c>
      <c r="B80" s="7">
        <v>4</v>
      </c>
    </row>
    <row r="81" spans="1:2" x14ac:dyDescent="0.25">
      <c r="A81" s="7">
        <v>3</v>
      </c>
      <c r="B81" s="7">
        <v>4</v>
      </c>
    </row>
    <row r="82" spans="1:2" x14ac:dyDescent="0.25">
      <c r="A82" s="7">
        <v>4</v>
      </c>
      <c r="B82" s="7">
        <v>5</v>
      </c>
    </row>
    <row r="83" spans="1:2" x14ac:dyDescent="0.25">
      <c r="A83" s="7">
        <v>5</v>
      </c>
      <c r="B83" s="7">
        <v>4</v>
      </c>
    </row>
    <row r="84" spans="1:2" x14ac:dyDescent="0.25">
      <c r="A84" s="7">
        <v>4</v>
      </c>
      <c r="B84" s="7">
        <v>5</v>
      </c>
    </row>
    <row r="85" spans="1:2" x14ac:dyDescent="0.25">
      <c r="A85" s="7">
        <v>1</v>
      </c>
      <c r="B85" s="7">
        <v>5</v>
      </c>
    </row>
    <row r="86" spans="1:2" x14ac:dyDescent="0.25">
      <c r="A86" s="7">
        <v>2</v>
      </c>
      <c r="B86" s="7">
        <v>5</v>
      </c>
    </row>
    <row r="87" spans="1:2" x14ac:dyDescent="0.25">
      <c r="A87" s="7">
        <v>1</v>
      </c>
      <c r="B87" s="7">
        <v>5</v>
      </c>
    </row>
    <row r="88" spans="1:2" x14ac:dyDescent="0.25">
      <c r="A88" s="7">
        <v>3</v>
      </c>
      <c r="B88" s="7">
        <v>2</v>
      </c>
    </row>
    <row r="89" spans="1:2" x14ac:dyDescent="0.25">
      <c r="A89" s="7">
        <v>5</v>
      </c>
      <c r="B89" s="7">
        <v>2</v>
      </c>
    </row>
    <row r="90" spans="1:2" x14ac:dyDescent="0.25">
      <c r="A90" s="7">
        <v>3</v>
      </c>
      <c r="B90" s="7">
        <v>5</v>
      </c>
    </row>
    <row r="91" spans="1:2" x14ac:dyDescent="0.25">
      <c r="A91" s="7">
        <v>4</v>
      </c>
      <c r="B91" s="7">
        <v>4</v>
      </c>
    </row>
    <row r="92" spans="1:2" x14ac:dyDescent="0.25">
      <c r="A92" s="7">
        <v>2</v>
      </c>
      <c r="B92" s="7">
        <v>5</v>
      </c>
    </row>
    <row r="93" spans="1:2" x14ac:dyDescent="0.25">
      <c r="A93" s="7">
        <v>5</v>
      </c>
      <c r="B93" s="7">
        <v>4</v>
      </c>
    </row>
    <row r="94" spans="1:2" x14ac:dyDescent="0.25">
      <c r="A94" s="7">
        <v>3</v>
      </c>
      <c r="B94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G9" sqref="G9"/>
    </sheetView>
  </sheetViews>
  <sheetFormatPr baseColWidth="10" defaultColWidth="9.140625" defaultRowHeight="15" x14ac:dyDescent="0.25"/>
  <cols>
    <col min="1" max="1" width="28.42578125" customWidth="1"/>
    <col min="2" max="2" width="30" customWidth="1"/>
    <col min="4" max="4" width="37.7109375" customWidth="1"/>
    <col min="5" max="5" width="21.5703125" customWidth="1"/>
    <col min="6" max="6" width="17.85546875" customWidth="1"/>
    <col min="7" max="7" width="20" customWidth="1"/>
  </cols>
  <sheetData>
    <row r="1" spans="1:5" ht="120" x14ac:dyDescent="0.25">
      <c r="A1" s="8" t="s">
        <v>34</v>
      </c>
      <c r="B1" s="8" t="s">
        <v>45</v>
      </c>
    </row>
    <row r="2" spans="1:5" x14ac:dyDescent="0.25">
      <c r="A2" s="7">
        <v>4</v>
      </c>
      <c r="B2" s="7">
        <v>5</v>
      </c>
      <c r="D2" s="1" t="s">
        <v>24</v>
      </c>
      <c r="E2">
        <f>AVERAGE(A:A)</f>
        <v>3.2795698924731185</v>
      </c>
    </row>
    <row r="3" spans="1:5" x14ac:dyDescent="0.25">
      <c r="A3" s="7">
        <v>3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2</v>
      </c>
      <c r="B4" s="7">
        <v>4</v>
      </c>
      <c r="D4" s="1" t="s">
        <v>1</v>
      </c>
      <c r="E4">
        <f>MODE(A:A)</f>
        <v>3</v>
      </c>
    </row>
    <row r="5" spans="1:5" x14ac:dyDescent="0.25">
      <c r="A5" s="7">
        <v>2</v>
      </c>
      <c r="B5" s="7">
        <v>4</v>
      </c>
      <c r="D5" s="1" t="s">
        <v>15</v>
      </c>
      <c r="E5">
        <f>STDEV(A:A)</f>
        <v>1.1167264991332</v>
      </c>
    </row>
    <row r="6" spans="1:5" x14ac:dyDescent="0.25">
      <c r="A6" s="7">
        <v>1</v>
      </c>
      <c r="B6" s="7">
        <v>5</v>
      </c>
      <c r="D6" s="4" t="s">
        <v>4</v>
      </c>
      <c r="E6">
        <f>COUNT(A:A)</f>
        <v>93</v>
      </c>
    </row>
    <row r="7" spans="1:5" x14ac:dyDescent="0.25">
      <c r="A7" s="7">
        <v>2</v>
      </c>
      <c r="B7" s="7">
        <v>2</v>
      </c>
    </row>
    <row r="8" spans="1:5" x14ac:dyDescent="0.25">
      <c r="A8" s="7">
        <v>4</v>
      </c>
      <c r="B8" s="7">
        <v>5</v>
      </c>
      <c r="D8" s="3" t="s">
        <v>25</v>
      </c>
      <c r="E8">
        <f>AVERAGE(B:B)</f>
        <v>4.247311827956989</v>
      </c>
    </row>
    <row r="9" spans="1:5" x14ac:dyDescent="0.25">
      <c r="A9" s="7">
        <v>3</v>
      </c>
      <c r="B9" s="7">
        <v>4</v>
      </c>
      <c r="D9" s="3" t="s">
        <v>2</v>
      </c>
      <c r="E9">
        <f>MEDIAN(B:B)</f>
        <v>5</v>
      </c>
    </row>
    <row r="10" spans="1:5" x14ac:dyDescent="0.25">
      <c r="A10" s="7">
        <v>4</v>
      </c>
      <c r="B10" s="7">
        <v>5</v>
      </c>
      <c r="D10" s="3" t="s">
        <v>3</v>
      </c>
      <c r="E10">
        <f>MODE(B:B)</f>
        <v>5</v>
      </c>
    </row>
    <row r="11" spans="1:5" x14ac:dyDescent="0.25">
      <c r="A11" s="7">
        <v>4</v>
      </c>
      <c r="B11" s="7">
        <v>5</v>
      </c>
      <c r="D11" s="3" t="s">
        <v>14</v>
      </c>
      <c r="E11">
        <f>STDEV(B:B)</f>
        <v>1.0071042644793493</v>
      </c>
    </row>
    <row r="12" spans="1:5" x14ac:dyDescent="0.25">
      <c r="A12" s="7">
        <v>2</v>
      </c>
      <c r="B12" s="7">
        <v>4</v>
      </c>
      <c r="D12" s="5" t="s">
        <v>5</v>
      </c>
      <c r="E12">
        <f>COUNT(B:B)</f>
        <v>93</v>
      </c>
    </row>
    <row r="13" spans="1:5" x14ac:dyDescent="0.25">
      <c r="A13" s="7">
        <v>5</v>
      </c>
      <c r="B13" s="7">
        <v>5</v>
      </c>
    </row>
    <row r="14" spans="1:5" x14ac:dyDescent="0.25">
      <c r="A14" s="7">
        <v>2</v>
      </c>
      <c r="B14" s="7">
        <v>5</v>
      </c>
    </row>
    <row r="15" spans="1:5" x14ac:dyDescent="0.25">
      <c r="A15" s="7">
        <v>3</v>
      </c>
      <c r="B15" s="7">
        <v>5</v>
      </c>
    </row>
    <row r="16" spans="1:5" x14ac:dyDescent="0.25">
      <c r="A16" s="7">
        <v>3</v>
      </c>
      <c r="B16" s="7">
        <v>5</v>
      </c>
    </row>
    <row r="17" spans="1:5" x14ac:dyDescent="0.25">
      <c r="A17" s="7">
        <v>3</v>
      </c>
      <c r="B17" s="7">
        <v>3</v>
      </c>
      <c r="D17" s="2" t="s">
        <v>6</v>
      </c>
      <c r="E17" s="2"/>
    </row>
    <row r="18" spans="1:5" x14ac:dyDescent="0.25">
      <c r="A18" s="7">
        <v>2</v>
      </c>
      <c r="B18" s="7">
        <v>3</v>
      </c>
    </row>
    <row r="19" spans="1:5" x14ac:dyDescent="0.25">
      <c r="A19" s="7">
        <v>3</v>
      </c>
      <c r="B19" s="7">
        <v>5</v>
      </c>
    </row>
    <row r="20" spans="1:5" x14ac:dyDescent="0.25">
      <c r="A20" s="7">
        <v>3</v>
      </c>
      <c r="B20" s="7">
        <v>5</v>
      </c>
    </row>
    <row r="21" spans="1:5" x14ac:dyDescent="0.25">
      <c r="A21" s="7">
        <v>5</v>
      </c>
      <c r="B21" s="7">
        <v>5</v>
      </c>
    </row>
    <row r="22" spans="1:5" x14ac:dyDescent="0.25">
      <c r="A22" s="7">
        <v>3</v>
      </c>
      <c r="B22" s="7">
        <v>5</v>
      </c>
    </row>
    <row r="23" spans="1:5" x14ac:dyDescent="0.25">
      <c r="A23" s="7">
        <v>5</v>
      </c>
      <c r="B23" s="7">
        <v>4</v>
      </c>
    </row>
    <row r="24" spans="1:5" x14ac:dyDescent="0.25">
      <c r="A24" s="7">
        <v>3</v>
      </c>
      <c r="B24" s="7">
        <v>4</v>
      </c>
    </row>
    <row r="25" spans="1:5" x14ac:dyDescent="0.25">
      <c r="A25" s="7">
        <v>3</v>
      </c>
      <c r="B25" s="7">
        <v>5</v>
      </c>
    </row>
    <row r="26" spans="1:5" x14ac:dyDescent="0.25">
      <c r="A26" s="7">
        <v>3</v>
      </c>
      <c r="B26" s="7">
        <v>5</v>
      </c>
    </row>
    <row r="27" spans="1:5" x14ac:dyDescent="0.25">
      <c r="A27" s="7">
        <v>5</v>
      </c>
      <c r="B27" s="7">
        <v>5</v>
      </c>
    </row>
    <row r="28" spans="1:5" x14ac:dyDescent="0.25">
      <c r="A28" s="7">
        <v>5</v>
      </c>
      <c r="B28" s="7">
        <v>3</v>
      </c>
    </row>
    <row r="29" spans="1:5" x14ac:dyDescent="0.25">
      <c r="A29" s="7">
        <v>3</v>
      </c>
      <c r="B29" s="7">
        <v>1</v>
      </c>
      <c r="D29" t="s">
        <v>11</v>
      </c>
      <c r="E29">
        <f>(E2-E8)/SQRT(((E5^2)/E6)+((E11^2)/E12))</f>
        <v>-6.2060944923888943</v>
      </c>
    </row>
    <row r="30" spans="1:5" x14ac:dyDescent="0.25">
      <c r="A30" s="7">
        <v>5</v>
      </c>
      <c r="B30" s="7">
        <v>5</v>
      </c>
    </row>
    <row r="31" spans="1:5" x14ac:dyDescent="0.25">
      <c r="A31" s="7">
        <v>5</v>
      </c>
      <c r="B31" s="7">
        <v>5</v>
      </c>
      <c r="D31" s="2" t="s">
        <v>7</v>
      </c>
      <c r="E31" s="2"/>
    </row>
    <row r="32" spans="1:5" x14ac:dyDescent="0.25">
      <c r="A32" s="7">
        <v>5</v>
      </c>
      <c r="B32" s="7">
        <v>3</v>
      </c>
    </row>
    <row r="33" spans="1:6" x14ac:dyDescent="0.25">
      <c r="A33" s="7">
        <v>1</v>
      </c>
      <c r="B33" s="7">
        <v>2</v>
      </c>
    </row>
    <row r="34" spans="1:6" x14ac:dyDescent="0.25">
      <c r="A34" s="7">
        <v>3</v>
      </c>
      <c r="B34" s="7">
        <v>5</v>
      </c>
    </row>
    <row r="35" spans="1:6" x14ac:dyDescent="0.25">
      <c r="A35" s="7">
        <v>4</v>
      </c>
      <c r="B35" s="7">
        <v>5</v>
      </c>
    </row>
    <row r="36" spans="1:6" x14ac:dyDescent="0.25">
      <c r="A36" s="7">
        <v>4</v>
      </c>
      <c r="B36" s="7">
        <v>5</v>
      </c>
    </row>
    <row r="37" spans="1:6" x14ac:dyDescent="0.25">
      <c r="A37" s="7">
        <v>4</v>
      </c>
      <c r="B37" s="7">
        <v>4</v>
      </c>
    </row>
    <row r="38" spans="1:6" x14ac:dyDescent="0.25">
      <c r="A38" s="7">
        <v>3</v>
      </c>
      <c r="B38" s="7">
        <v>5</v>
      </c>
    </row>
    <row r="39" spans="1:6" x14ac:dyDescent="0.25">
      <c r="A39" s="7">
        <v>3</v>
      </c>
      <c r="B39" s="7">
        <v>5</v>
      </c>
    </row>
    <row r="40" spans="1:6" x14ac:dyDescent="0.25">
      <c r="A40" s="7">
        <v>4</v>
      </c>
      <c r="B40" s="7">
        <v>4</v>
      </c>
    </row>
    <row r="41" spans="1:6" ht="29.25" customHeight="1" x14ac:dyDescent="0.25">
      <c r="A41" s="7">
        <v>4</v>
      </c>
      <c r="B41" s="7">
        <v>5</v>
      </c>
      <c r="D41" t="s">
        <v>8</v>
      </c>
      <c r="E41">
        <f>(((E5^2)/E6)+((E11^2)/E12))^2</f>
        <v>5.9124122552061255E-4</v>
      </c>
    </row>
    <row r="42" spans="1:6" ht="47.25" customHeight="1" x14ac:dyDescent="0.25">
      <c r="A42" s="7">
        <v>5</v>
      </c>
      <c r="B42" s="7">
        <v>3</v>
      </c>
      <c r="D42" t="s">
        <v>9</v>
      </c>
      <c r="E42">
        <f>(((E5^2)/E6)^2)/(E6-1)</f>
        <v>1.9544904944000356E-6</v>
      </c>
    </row>
    <row r="43" spans="1:6" ht="43.5" customHeight="1" x14ac:dyDescent="0.25">
      <c r="A43" s="7">
        <v>3</v>
      </c>
      <c r="B43" s="7">
        <v>5</v>
      </c>
      <c r="D43" t="s">
        <v>10</v>
      </c>
      <c r="E43">
        <f>(((E11^2)/E12)^2)/(E12-1)</f>
        <v>1.2928377220445812E-6</v>
      </c>
    </row>
    <row r="44" spans="1:6" x14ac:dyDescent="0.25">
      <c r="A44" s="7">
        <v>3</v>
      </c>
      <c r="B44" s="7">
        <v>5</v>
      </c>
    </row>
    <row r="45" spans="1:6" x14ac:dyDescent="0.25">
      <c r="A45" s="7">
        <v>4</v>
      </c>
      <c r="B45" s="7">
        <v>4</v>
      </c>
      <c r="D45" t="s">
        <v>7</v>
      </c>
      <c r="E45">
        <f>E41/(E42+E43)</f>
        <v>182.0700545533218</v>
      </c>
      <c r="F45" s="6" t="s">
        <v>12</v>
      </c>
    </row>
    <row r="46" spans="1:6" x14ac:dyDescent="0.25">
      <c r="A46" s="7">
        <v>5</v>
      </c>
      <c r="B46" s="7">
        <v>5</v>
      </c>
    </row>
    <row r="47" spans="1:6" x14ac:dyDescent="0.25">
      <c r="A47" s="7">
        <v>5</v>
      </c>
      <c r="B47" s="7">
        <v>1</v>
      </c>
      <c r="D47" t="s">
        <v>13</v>
      </c>
      <c r="E47">
        <v>0.05</v>
      </c>
      <c r="F47" s="6" t="s">
        <v>12</v>
      </c>
    </row>
    <row r="48" spans="1:6" x14ac:dyDescent="0.25">
      <c r="A48" s="7">
        <v>1</v>
      </c>
      <c r="B48" s="7">
        <v>4</v>
      </c>
    </row>
    <row r="49" spans="1:5" x14ac:dyDescent="0.25">
      <c r="A49" s="7">
        <v>4</v>
      </c>
      <c r="B49" s="7">
        <v>5</v>
      </c>
    </row>
    <row r="50" spans="1:5" x14ac:dyDescent="0.25">
      <c r="A50" s="7">
        <v>3</v>
      </c>
      <c r="B50" s="7">
        <v>4</v>
      </c>
    </row>
    <row r="51" spans="1:5" x14ac:dyDescent="0.25">
      <c r="A51" s="7">
        <v>3</v>
      </c>
      <c r="B51" s="7">
        <v>5</v>
      </c>
      <c r="D51" s="2"/>
      <c r="E51" s="2"/>
    </row>
    <row r="52" spans="1:5" x14ac:dyDescent="0.25">
      <c r="A52" s="7">
        <v>4</v>
      </c>
      <c r="B52" s="7">
        <v>2</v>
      </c>
      <c r="D52" t="s">
        <v>16</v>
      </c>
      <c r="E52">
        <f>_xlfn.T.INV.2T(E47,E45)</f>
        <v>1.9730840773359002</v>
      </c>
    </row>
    <row r="53" spans="1:5" x14ac:dyDescent="0.25">
      <c r="A53" s="7">
        <v>4</v>
      </c>
      <c r="B53" s="7">
        <v>5</v>
      </c>
      <c r="D53" t="s">
        <v>17</v>
      </c>
      <c r="E53">
        <f>_xlfn.T.INV(E47, E45)</f>
        <v>-1.6532690237054619</v>
      </c>
    </row>
    <row r="54" spans="1:5" x14ac:dyDescent="0.25">
      <c r="A54" s="7">
        <v>5</v>
      </c>
      <c r="B54" s="7">
        <v>4</v>
      </c>
    </row>
    <row r="55" spans="1:5" x14ac:dyDescent="0.25">
      <c r="A55" s="7">
        <v>3</v>
      </c>
      <c r="B55" s="7">
        <v>5</v>
      </c>
      <c r="D55" t="s">
        <v>18</v>
      </c>
      <c r="E55">
        <f>TTEST(A:A,B:B,2,2)</f>
        <v>3.5103966306309282E-9</v>
      </c>
    </row>
    <row r="56" spans="1:5" x14ac:dyDescent="0.25">
      <c r="A56" s="7">
        <v>3</v>
      </c>
      <c r="B56" s="7">
        <v>4</v>
      </c>
      <c r="D56" t="s">
        <v>19</v>
      </c>
      <c r="E56">
        <f>TTEST(A:A,B:B,1,2)</f>
        <v>1.7551983153154641E-9</v>
      </c>
    </row>
    <row r="57" spans="1:5" x14ac:dyDescent="0.25">
      <c r="A57" s="7">
        <v>3</v>
      </c>
      <c r="B57" s="7">
        <v>3</v>
      </c>
    </row>
    <row r="58" spans="1:5" x14ac:dyDescent="0.25">
      <c r="A58" s="7">
        <v>3</v>
      </c>
      <c r="B58" s="7">
        <v>3</v>
      </c>
    </row>
    <row r="59" spans="1:5" x14ac:dyDescent="0.25">
      <c r="A59" s="7">
        <v>5</v>
      </c>
      <c r="B59" s="7">
        <v>5</v>
      </c>
      <c r="D59" s="2" t="s">
        <v>20</v>
      </c>
      <c r="E59" s="2"/>
    </row>
    <row r="60" spans="1:5" x14ac:dyDescent="0.25">
      <c r="A60" s="7">
        <v>1</v>
      </c>
      <c r="B60" s="7">
        <v>5</v>
      </c>
    </row>
    <row r="61" spans="1:5" x14ac:dyDescent="0.25">
      <c r="A61" s="7">
        <v>2</v>
      </c>
      <c r="B61" s="7">
        <v>3</v>
      </c>
      <c r="D61" t="s">
        <v>21</v>
      </c>
    </row>
    <row r="62" spans="1:5" x14ac:dyDescent="0.25">
      <c r="A62" s="7">
        <v>4</v>
      </c>
      <c r="B62" s="7">
        <v>2</v>
      </c>
      <c r="D62" t="s">
        <v>22</v>
      </c>
    </row>
    <row r="63" spans="1:5" x14ac:dyDescent="0.25">
      <c r="A63" s="7">
        <v>1</v>
      </c>
      <c r="B63" s="7">
        <v>5</v>
      </c>
    </row>
    <row r="64" spans="1:5" x14ac:dyDescent="0.25">
      <c r="A64" s="7">
        <v>3</v>
      </c>
      <c r="B64" s="7">
        <v>4</v>
      </c>
    </row>
    <row r="65" spans="1:4" x14ac:dyDescent="0.25">
      <c r="A65" s="7">
        <v>3</v>
      </c>
      <c r="B65" s="7">
        <v>5</v>
      </c>
    </row>
    <row r="66" spans="1:4" x14ac:dyDescent="0.25">
      <c r="A66" s="7">
        <v>3</v>
      </c>
      <c r="B66" s="7">
        <v>3</v>
      </c>
      <c r="D66" t="s">
        <v>23</v>
      </c>
    </row>
    <row r="67" spans="1:4" x14ac:dyDescent="0.25">
      <c r="A67" s="7">
        <v>2</v>
      </c>
      <c r="B67" s="7">
        <v>5</v>
      </c>
      <c r="D67" t="str">
        <f>"Dos Colas: Si t calculado ("&amp;E29&amp;") &gt; a t critico  ("&amp;E52&amp;") (de tabla) ---&gt; Se rechaza la hipotesis nula"</f>
        <v>Dos Colas: Si t calculado (-6.20609449238889) &gt; a t critico  (1.9730840773359) (de tabla) ---&gt; Se rechaza la hipotesis nula</v>
      </c>
    </row>
    <row r="68" spans="1:4" x14ac:dyDescent="0.25">
      <c r="A68" s="7">
        <v>3</v>
      </c>
      <c r="B68" s="7">
        <v>5</v>
      </c>
      <c r="D68" t="str">
        <f>"Una Cola: Si t calculado ("&amp;E29&amp;") &gt; a t critico  ("&amp;E53&amp;") (de tabla) ---&gt; Se rechaza la hipotesis nula"</f>
        <v>Una Cola: Si t calculado (-6.20609449238889) &gt; a t critico  (-1.65326902370546) (de tabla) ---&gt; Se rechaza la hipotesis nula</v>
      </c>
    </row>
    <row r="69" spans="1:4" x14ac:dyDescent="0.25">
      <c r="A69" s="7">
        <v>5</v>
      </c>
      <c r="B69" s="7">
        <v>3</v>
      </c>
    </row>
    <row r="70" spans="1:4" x14ac:dyDescent="0.25">
      <c r="A70" s="7">
        <v>4</v>
      </c>
      <c r="B70" s="7">
        <v>5</v>
      </c>
    </row>
    <row r="71" spans="1:4" x14ac:dyDescent="0.25">
      <c r="A71" s="7">
        <v>2</v>
      </c>
      <c r="B71" s="7">
        <v>4</v>
      </c>
    </row>
    <row r="72" spans="1:4" x14ac:dyDescent="0.25">
      <c r="A72" s="7">
        <v>4</v>
      </c>
      <c r="B72" s="7">
        <v>4</v>
      </c>
      <c r="D72" t="s">
        <v>26</v>
      </c>
    </row>
    <row r="73" spans="1:4" x14ac:dyDescent="0.25">
      <c r="A73" s="7">
        <v>4</v>
      </c>
      <c r="B73" s="7">
        <v>5</v>
      </c>
      <c r="D73" t="str">
        <f>"Dos Colas: Si p valor ("&amp;E55&amp;") &lt; Nivel Significancia (0.05) ---&gt; Se rechaza la hipotesis nula"</f>
        <v>Dos Colas: Si p valor (3.51039663063093E-09) &lt; Nivel Significancia (0.05) ---&gt; Se rechaza la hipotesis nula</v>
      </c>
    </row>
    <row r="74" spans="1:4" x14ac:dyDescent="0.25">
      <c r="A74" s="7">
        <v>4</v>
      </c>
      <c r="B74" s="7">
        <v>5</v>
      </c>
      <c r="D74" t="str">
        <f>"Una Cola: Si p valor ("&amp;E56&amp;") &lt; Nivel Significancia (0.05) ---&gt; Se rechaza la hipotesis nula"</f>
        <v>Una Cola: Si p valor (1.75519831531546E-09) &lt; Nivel Significancia (0.05) ---&gt; Se rechaza la hipotesis nula</v>
      </c>
    </row>
    <row r="75" spans="1:4" x14ac:dyDescent="0.25">
      <c r="A75" s="7">
        <v>4</v>
      </c>
      <c r="B75" s="7">
        <v>4</v>
      </c>
    </row>
    <row r="76" spans="1:4" x14ac:dyDescent="0.25">
      <c r="A76" s="7">
        <v>3</v>
      </c>
      <c r="B76" s="7">
        <v>5</v>
      </c>
    </row>
    <row r="77" spans="1:4" x14ac:dyDescent="0.25">
      <c r="A77" s="7">
        <v>1</v>
      </c>
      <c r="B77" s="7">
        <v>4</v>
      </c>
    </row>
    <row r="78" spans="1:4" x14ac:dyDescent="0.25">
      <c r="A78" s="7">
        <v>4</v>
      </c>
      <c r="B78" s="7">
        <v>3</v>
      </c>
    </row>
    <row r="79" spans="1:4" x14ac:dyDescent="0.25">
      <c r="A79" s="7">
        <v>5</v>
      </c>
      <c r="B79" s="7">
        <v>3</v>
      </c>
    </row>
    <row r="80" spans="1:4" x14ac:dyDescent="0.25">
      <c r="A80" s="7">
        <v>4</v>
      </c>
      <c r="B80" s="7">
        <v>5</v>
      </c>
    </row>
    <row r="81" spans="1:2" x14ac:dyDescent="0.25">
      <c r="A81" s="7">
        <v>2</v>
      </c>
      <c r="B81" s="7">
        <v>5</v>
      </c>
    </row>
    <row r="82" spans="1:2" x14ac:dyDescent="0.25">
      <c r="A82" s="7">
        <v>3</v>
      </c>
      <c r="B82" s="7">
        <v>5</v>
      </c>
    </row>
    <row r="83" spans="1:2" x14ac:dyDescent="0.25">
      <c r="A83" s="7">
        <v>4</v>
      </c>
      <c r="B83" s="7">
        <v>5</v>
      </c>
    </row>
    <row r="84" spans="1:2" x14ac:dyDescent="0.25">
      <c r="A84" s="7">
        <v>2</v>
      </c>
      <c r="B84" s="7">
        <v>5</v>
      </c>
    </row>
    <row r="85" spans="1:2" x14ac:dyDescent="0.25">
      <c r="A85" s="7">
        <v>2</v>
      </c>
      <c r="B85" s="7">
        <v>4</v>
      </c>
    </row>
    <row r="86" spans="1:2" x14ac:dyDescent="0.25">
      <c r="A86" s="7">
        <v>2</v>
      </c>
      <c r="B86" s="7">
        <v>5</v>
      </c>
    </row>
    <row r="87" spans="1:2" x14ac:dyDescent="0.25">
      <c r="A87" s="7">
        <v>2</v>
      </c>
      <c r="B87" s="7">
        <v>5</v>
      </c>
    </row>
    <row r="88" spans="1:2" x14ac:dyDescent="0.25">
      <c r="A88" s="7">
        <v>4</v>
      </c>
      <c r="B88" s="7">
        <v>5</v>
      </c>
    </row>
    <row r="89" spans="1:2" x14ac:dyDescent="0.25">
      <c r="A89" s="7">
        <v>3</v>
      </c>
      <c r="B89" s="7">
        <v>4</v>
      </c>
    </row>
    <row r="90" spans="1:2" x14ac:dyDescent="0.25">
      <c r="A90" s="7">
        <v>3</v>
      </c>
      <c r="B90" s="7">
        <v>5</v>
      </c>
    </row>
    <row r="91" spans="1:2" x14ac:dyDescent="0.25">
      <c r="A91" s="7">
        <v>2</v>
      </c>
      <c r="B91" s="7">
        <v>4</v>
      </c>
    </row>
    <row r="92" spans="1:2" x14ac:dyDescent="0.25">
      <c r="A92" s="7">
        <v>3</v>
      </c>
      <c r="B92" s="7">
        <v>5</v>
      </c>
    </row>
    <row r="93" spans="1:2" x14ac:dyDescent="0.25">
      <c r="A93" s="7">
        <v>3</v>
      </c>
      <c r="B93" s="7">
        <v>3</v>
      </c>
    </row>
    <row r="94" spans="1:2" x14ac:dyDescent="0.25">
      <c r="A94" s="7">
        <v>3</v>
      </c>
      <c r="B94" s="7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="130" zoomScaleNormal="130" workbookViewId="0">
      <selection activeCell="D1" sqref="D1"/>
    </sheetView>
  </sheetViews>
  <sheetFormatPr baseColWidth="10" defaultColWidth="9.140625" defaultRowHeight="15" x14ac:dyDescent="0.25"/>
  <cols>
    <col min="1" max="1" width="33" customWidth="1"/>
    <col min="2" max="2" width="28.5703125" customWidth="1"/>
    <col min="4" max="4" width="37.2851562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1" t="s">
        <v>35</v>
      </c>
      <c r="B1" s="9" t="s">
        <v>46</v>
      </c>
    </row>
    <row r="2" spans="1:5" x14ac:dyDescent="0.25">
      <c r="A2" s="7">
        <v>4</v>
      </c>
      <c r="B2" s="7">
        <v>3</v>
      </c>
      <c r="D2" s="1" t="s">
        <v>24</v>
      </c>
      <c r="E2">
        <f>AVERAGE(A:A)</f>
        <v>3.2903225806451615</v>
      </c>
    </row>
    <row r="3" spans="1:5" x14ac:dyDescent="0.25">
      <c r="A3" s="7">
        <v>5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3</v>
      </c>
      <c r="B4" s="7">
        <v>3</v>
      </c>
      <c r="D4" s="1" t="s">
        <v>1</v>
      </c>
      <c r="E4">
        <f>MODE(A:A)</f>
        <v>3</v>
      </c>
    </row>
    <row r="5" spans="1:5" x14ac:dyDescent="0.25">
      <c r="A5" s="7">
        <v>2</v>
      </c>
      <c r="B5" s="7">
        <v>5</v>
      </c>
      <c r="D5" s="1" t="s">
        <v>15</v>
      </c>
      <c r="E5">
        <f>STDEV(A:A)</f>
        <v>1.0276677389930953</v>
      </c>
    </row>
    <row r="6" spans="1:5" x14ac:dyDescent="0.25">
      <c r="A6" s="7">
        <v>4</v>
      </c>
      <c r="B6" s="7">
        <v>5</v>
      </c>
      <c r="D6" s="4" t="s">
        <v>4</v>
      </c>
      <c r="E6">
        <f>COUNT(A:A)</f>
        <v>93</v>
      </c>
    </row>
    <row r="7" spans="1:5" x14ac:dyDescent="0.25">
      <c r="A7" s="7">
        <v>3</v>
      </c>
      <c r="B7" s="7">
        <v>3</v>
      </c>
    </row>
    <row r="8" spans="1:5" x14ac:dyDescent="0.25">
      <c r="A8" s="7">
        <v>2</v>
      </c>
      <c r="B8" s="7">
        <v>5</v>
      </c>
      <c r="D8" s="3" t="s">
        <v>25</v>
      </c>
      <c r="E8">
        <f>AVERAGE(B:B)</f>
        <v>3.978494623655914</v>
      </c>
    </row>
    <row r="9" spans="1:5" x14ac:dyDescent="0.25">
      <c r="A9" s="7">
        <v>3</v>
      </c>
      <c r="B9" s="7">
        <v>4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5</v>
      </c>
      <c r="D10" s="3" t="s">
        <v>3</v>
      </c>
      <c r="E10">
        <f>MODE(B:B)</f>
        <v>5</v>
      </c>
    </row>
    <row r="11" spans="1:5" x14ac:dyDescent="0.25">
      <c r="A11" s="7">
        <v>3</v>
      </c>
      <c r="B11" s="7">
        <v>5</v>
      </c>
      <c r="D11" s="3" t="s">
        <v>14</v>
      </c>
      <c r="E11">
        <f>STDEV(B:B)</f>
        <v>1.1031426907551141</v>
      </c>
    </row>
    <row r="12" spans="1:5" x14ac:dyDescent="0.25">
      <c r="A12" s="7">
        <v>3</v>
      </c>
      <c r="B12" s="7">
        <v>1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5</v>
      </c>
    </row>
    <row r="14" spans="1:5" x14ac:dyDescent="0.25">
      <c r="A14" s="7">
        <v>3</v>
      </c>
      <c r="B14" s="7">
        <v>1</v>
      </c>
    </row>
    <row r="15" spans="1:5" x14ac:dyDescent="0.25">
      <c r="A15" s="7">
        <v>3</v>
      </c>
      <c r="B15" s="7">
        <v>1</v>
      </c>
    </row>
    <row r="16" spans="1:5" x14ac:dyDescent="0.25">
      <c r="A16" s="7">
        <v>2</v>
      </c>
      <c r="B16" s="7">
        <v>3</v>
      </c>
    </row>
    <row r="17" spans="1:5" x14ac:dyDescent="0.25">
      <c r="A17" s="7">
        <v>3</v>
      </c>
      <c r="B17" s="7">
        <v>4</v>
      </c>
      <c r="D17" s="2" t="s">
        <v>6</v>
      </c>
      <c r="E17" s="2"/>
    </row>
    <row r="18" spans="1:5" x14ac:dyDescent="0.25">
      <c r="A18" s="7">
        <v>3</v>
      </c>
      <c r="B18" s="7">
        <v>4</v>
      </c>
    </row>
    <row r="19" spans="1:5" x14ac:dyDescent="0.25">
      <c r="A19" s="7">
        <v>4</v>
      </c>
      <c r="B19" s="7">
        <v>3</v>
      </c>
    </row>
    <row r="20" spans="1:5" x14ac:dyDescent="0.25">
      <c r="A20" s="7">
        <v>3</v>
      </c>
      <c r="B20" s="7">
        <v>5</v>
      </c>
    </row>
    <row r="21" spans="1:5" x14ac:dyDescent="0.25">
      <c r="A21" s="7">
        <v>5</v>
      </c>
      <c r="B21" s="7">
        <v>4</v>
      </c>
    </row>
    <row r="22" spans="1:5" x14ac:dyDescent="0.25">
      <c r="A22" s="7">
        <v>4</v>
      </c>
      <c r="B22" s="7">
        <v>4</v>
      </c>
    </row>
    <row r="23" spans="1:5" x14ac:dyDescent="0.25">
      <c r="A23" s="7">
        <v>3</v>
      </c>
      <c r="B23" s="7">
        <v>5</v>
      </c>
    </row>
    <row r="24" spans="1:5" x14ac:dyDescent="0.25">
      <c r="A24" s="7">
        <v>1</v>
      </c>
      <c r="B24" s="7">
        <v>4</v>
      </c>
    </row>
    <row r="25" spans="1:5" x14ac:dyDescent="0.25">
      <c r="A25" s="7">
        <v>5</v>
      </c>
      <c r="B25" s="7">
        <v>5</v>
      </c>
    </row>
    <row r="26" spans="1:5" x14ac:dyDescent="0.25">
      <c r="A26" s="7">
        <v>4</v>
      </c>
      <c r="B26" s="7">
        <v>4</v>
      </c>
    </row>
    <row r="27" spans="1:5" x14ac:dyDescent="0.25">
      <c r="A27" s="7">
        <v>2</v>
      </c>
      <c r="B27" s="7">
        <v>3</v>
      </c>
    </row>
    <row r="28" spans="1:5" x14ac:dyDescent="0.25">
      <c r="A28" s="7">
        <v>4</v>
      </c>
      <c r="B28" s="7">
        <v>5</v>
      </c>
    </row>
    <row r="29" spans="1:5" x14ac:dyDescent="0.25">
      <c r="A29" s="7">
        <v>3</v>
      </c>
      <c r="B29" s="7">
        <v>2</v>
      </c>
      <c r="D29" t="s">
        <v>11</v>
      </c>
      <c r="E29">
        <f>(E2-E8)/SQRT(((E5^2)/E6)+((E11^2)/E12))</f>
        <v>-4.4018619148679328</v>
      </c>
    </row>
    <row r="30" spans="1:5" x14ac:dyDescent="0.25">
      <c r="A30" s="7">
        <v>3</v>
      </c>
      <c r="B30" s="7">
        <v>4</v>
      </c>
    </row>
    <row r="31" spans="1:5" x14ac:dyDescent="0.25">
      <c r="A31" s="7">
        <v>3</v>
      </c>
      <c r="B31" s="7">
        <v>3</v>
      </c>
      <c r="D31" s="2" t="s">
        <v>7</v>
      </c>
      <c r="E31" s="2"/>
    </row>
    <row r="32" spans="1:5" x14ac:dyDescent="0.25">
      <c r="A32" s="7">
        <v>4</v>
      </c>
      <c r="B32" s="7">
        <v>4</v>
      </c>
    </row>
    <row r="33" spans="1:6" x14ac:dyDescent="0.25">
      <c r="A33" s="7">
        <v>4</v>
      </c>
      <c r="B33" s="7">
        <v>3</v>
      </c>
    </row>
    <row r="34" spans="1:6" x14ac:dyDescent="0.25">
      <c r="A34" s="7">
        <v>2</v>
      </c>
      <c r="B34" s="7">
        <v>5</v>
      </c>
    </row>
    <row r="35" spans="1:6" x14ac:dyDescent="0.25">
      <c r="A35" s="7">
        <v>3</v>
      </c>
      <c r="B35" s="7">
        <v>3</v>
      </c>
    </row>
    <row r="36" spans="1:6" x14ac:dyDescent="0.25">
      <c r="A36" s="7">
        <v>5</v>
      </c>
      <c r="B36" s="7">
        <v>5</v>
      </c>
    </row>
    <row r="37" spans="1:6" x14ac:dyDescent="0.25">
      <c r="A37" s="7">
        <v>3</v>
      </c>
      <c r="B37" s="7">
        <v>3</v>
      </c>
    </row>
    <row r="38" spans="1:6" x14ac:dyDescent="0.25">
      <c r="A38" s="7">
        <v>5</v>
      </c>
      <c r="B38" s="7">
        <v>1</v>
      </c>
    </row>
    <row r="39" spans="1:6" x14ac:dyDescent="0.25">
      <c r="A39" s="7">
        <v>3</v>
      </c>
      <c r="B39" s="7">
        <v>5</v>
      </c>
    </row>
    <row r="40" spans="1:6" x14ac:dyDescent="0.25">
      <c r="A40" s="7">
        <v>4</v>
      </c>
      <c r="B40" s="7">
        <v>5</v>
      </c>
    </row>
    <row r="41" spans="1:6" ht="29.25" customHeight="1" x14ac:dyDescent="0.25">
      <c r="A41" s="7">
        <v>1</v>
      </c>
      <c r="B41" s="7">
        <v>3</v>
      </c>
      <c r="D41" t="s">
        <v>8</v>
      </c>
      <c r="E41">
        <f>(((E5^2)/E6)+((E11^2)/E12))^2</f>
        <v>5.9736867164991941E-4</v>
      </c>
    </row>
    <row r="42" spans="1:6" ht="47.25" customHeight="1" x14ac:dyDescent="0.25">
      <c r="A42" s="7">
        <v>4</v>
      </c>
      <c r="B42" s="7">
        <v>5</v>
      </c>
      <c r="D42" t="s">
        <v>9</v>
      </c>
      <c r="E42">
        <f>(((E5^2)/E6)^2)/(E6-1)</f>
        <v>1.4017067613868435E-6</v>
      </c>
    </row>
    <row r="43" spans="1:6" ht="43.5" customHeight="1" x14ac:dyDescent="0.25">
      <c r="A43" s="7">
        <v>4</v>
      </c>
      <c r="B43" s="7">
        <v>3</v>
      </c>
      <c r="D43" t="s">
        <v>10</v>
      </c>
      <c r="E43">
        <f>(((E11^2)/E12)^2)/(E12-1)</f>
        <v>1.8611142852354414E-6</v>
      </c>
    </row>
    <row r="44" spans="1:6" x14ac:dyDescent="0.25">
      <c r="A44" s="7">
        <v>5</v>
      </c>
      <c r="B44" s="7">
        <v>5</v>
      </c>
    </row>
    <row r="45" spans="1:6" x14ac:dyDescent="0.25">
      <c r="A45" s="7">
        <v>4</v>
      </c>
      <c r="B45" s="7">
        <v>5</v>
      </c>
      <c r="D45" t="s">
        <v>7</v>
      </c>
      <c r="E45">
        <f>E41/(E42+E43)</f>
        <v>183.0834922032648</v>
      </c>
      <c r="F45" s="6" t="s">
        <v>12</v>
      </c>
    </row>
    <row r="46" spans="1:6" x14ac:dyDescent="0.25">
      <c r="A46" s="7">
        <v>2</v>
      </c>
      <c r="B46" s="7">
        <v>1</v>
      </c>
    </row>
    <row r="47" spans="1:6" x14ac:dyDescent="0.25">
      <c r="A47" s="7">
        <v>1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4</v>
      </c>
      <c r="B48" s="7">
        <v>3</v>
      </c>
    </row>
    <row r="49" spans="1:5" x14ac:dyDescent="0.25">
      <c r="A49" s="7">
        <v>3</v>
      </c>
      <c r="B49" s="7">
        <v>5</v>
      </c>
    </row>
    <row r="50" spans="1:5" x14ac:dyDescent="0.25">
      <c r="A50" s="7">
        <v>3</v>
      </c>
      <c r="B50" s="7">
        <v>4</v>
      </c>
    </row>
    <row r="51" spans="1:5" x14ac:dyDescent="0.25">
      <c r="A51" s="7">
        <v>2</v>
      </c>
      <c r="B51" s="7">
        <v>4</v>
      </c>
      <c r="D51" s="2"/>
      <c r="E51" s="2"/>
    </row>
    <row r="52" spans="1:5" x14ac:dyDescent="0.25">
      <c r="A52" s="7">
        <v>3</v>
      </c>
      <c r="B52" s="7">
        <v>4</v>
      </c>
      <c r="D52" t="s">
        <v>16</v>
      </c>
      <c r="E52">
        <f>_xlfn.T.INV.2T(E47,E45)</f>
        <v>1.9730119151362655</v>
      </c>
    </row>
    <row r="53" spans="1:5" x14ac:dyDescent="0.25">
      <c r="A53" s="7">
        <v>4</v>
      </c>
      <c r="B53" s="7">
        <v>4</v>
      </c>
      <c r="D53" t="s">
        <v>17</v>
      </c>
      <c r="E53">
        <f>_xlfn.T.INV(E47, E45)</f>
        <v>-1.6532228031457243</v>
      </c>
    </row>
    <row r="54" spans="1:5" x14ac:dyDescent="0.25">
      <c r="A54" s="7">
        <v>4</v>
      </c>
      <c r="B54" s="7">
        <v>4</v>
      </c>
    </row>
    <row r="55" spans="1:5" x14ac:dyDescent="0.25">
      <c r="A55" s="7">
        <v>3</v>
      </c>
      <c r="B55" s="7">
        <v>4</v>
      </c>
      <c r="D55" t="s">
        <v>18</v>
      </c>
      <c r="E55">
        <f>TTEST(A:A,B:B,2,2)</f>
        <v>1.8161435705477327E-5</v>
      </c>
    </row>
    <row r="56" spans="1:5" x14ac:dyDescent="0.25">
      <c r="A56" s="7">
        <v>5</v>
      </c>
      <c r="B56" s="7">
        <v>5</v>
      </c>
      <c r="D56" t="s">
        <v>19</v>
      </c>
      <c r="E56">
        <f>TTEST(A:A,B:B,1,2)</f>
        <v>9.0807178527386637E-6</v>
      </c>
    </row>
    <row r="57" spans="1:5" x14ac:dyDescent="0.25">
      <c r="A57" s="7">
        <v>3</v>
      </c>
      <c r="B57" s="7">
        <v>3</v>
      </c>
    </row>
    <row r="58" spans="1:5" x14ac:dyDescent="0.25">
      <c r="A58" s="7">
        <v>4</v>
      </c>
      <c r="B58" s="7">
        <v>5</v>
      </c>
    </row>
    <row r="59" spans="1:5" x14ac:dyDescent="0.25">
      <c r="A59" s="7">
        <v>2</v>
      </c>
      <c r="B59" s="7">
        <v>4</v>
      </c>
      <c r="D59" s="2" t="s">
        <v>20</v>
      </c>
      <c r="E59" s="2"/>
    </row>
    <row r="60" spans="1:5" x14ac:dyDescent="0.25">
      <c r="A60" s="7">
        <v>5</v>
      </c>
      <c r="B60" s="7">
        <v>5</v>
      </c>
    </row>
    <row r="61" spans="1:5" x14ac:dyDescent="0.25">
      <c r="A61" s="7">
        <v>3</v>
      </c>
      <c r="B61" s="7">
        <v>4</v>
      </c>
      <c r="D61" t="s">
        <v>21</v>
      </c>
    </row>
    <row r="62" spans="1:5" x14ac:dyDescent="0.25">
      <c r="A62" s="7">
        <v>3</v>
      </c>
      <c r="B62" s="7">
        <v>3</v>
      </c>
      <c r="D62" t="s">
        <v>22</v>
      </c>
    </row>
    <row r="63" spans="1:5" x14ac:dyDescent="0.25">
      <c r="A63" s="7">
        <v>3</v>
      </c>
      <c r="B63" s="7">
        <v>5</v>
      </c>
    </row>
    <row r="64" spans="1:5" x14ac:dyDescent="0.25">
      <c r="A64" s="7">
        <v>5</v>
      </c>
      <c r="B64" s="7">
        <v>5</v>
      </c>
    </row>
    <row r="65" spans="1:4" x14ac:dyDescent="0.25">
      <c r="A65" s="7">
        <v>3</v>
      </c>
      <c r="B65" s="7">
        <v>5</v>
      </c>
    </row>
    <row r="66" spans="1:4" x14ac:dyDescent="0.25">
      <c r="A66" s="7">
        <v>3</v>
      </c>
      <c r="B66" s="7">
        <v>4</v>
      </c>
      <c r="D66" t="s">
        <v>23</v>
      </c>
    </row>
    <row r="67" spans="1:4" x14ac:dyDescent="0.25">
      <c r="A67" s="7">
        <v>3</v>
      </c>
      <c r="B67" s="7">
        <v>3</v>
      </c>
      <c r="D67" t="str">
        <f>"Dos Colas: Si t calculado ("&amp;E29&amp;") &gt; a t critico  ("&amp;E52&amp;") (de tabla) ---&gt; Se rechaza la hipotesis nula"</f>
        <v>Dos Colas: Si t calculado (-4.40186191486793) &gt; a t critico  (1.97301191513627) (de tabla) ---&gt; Se rechaza la hipotesis nula</v>
      </c>
    </row>
    <row r="68" spans="1:4" x14ac:dyDescent="0.25">
      <c r="A68" s="7">
        <v>3</v>
      </c>
      <c r="B68" s="7">
        <v>5</v>
      </c>
      <c r="D68" t="str">
        <f>"Una Cola: Si t calculado ("&amp;E29&amp;") &gt; a t critico  ("&amp;E53&amp;") (de tabla) ---&gt; Se rechaza la hipotesis nula"</f>
        <v>Una Cola: Si t calculado (-4.40186191486793) &gt; a t critico  (-1.65322280314572) (de tabla) ---&gt; Se rechaza la hipotesis nula</v>
      </c>
    </row>
    <row r="69" spans="1:4" x14ac:dyDescent="0.25">
      <c r="A69" s="7">
        <v>3</v>
      </c>
      <c r="B69" s="7">
        <v>3</v>
      </c>
    </row>
    <row r="70" spans="1:4" x14ac:dyDescent="0.25">
      <c r="A70" s="7">
        <v>2</v>
      </c>
      <c r="B70" s="7">
        <v>5</v>
      </c>
    </row>
    <row r="71" spans="1:4" x14ac:dyDescent="0.25">
      <c r="A71" s="7">
        <v>4</v>
      </c>
      <c r="B71" s="7">
        <v>4</v>
      </c>
    </row>
    <row r="72" spans="1:4" x14ac:dyDescent="0.25">
      <c r="A72" s="7">
        <v>2</v>
      </c>
      <c r="B72" s="7">
        <v>2</v>
      </c>
      <c r="D72" t="s">
        <v>26</v>
      </c>
    </row>
    <row r="73" spans="1:4" x14ac:dyDescent="0.25">
      <c r="A73" s="7">
        <v>3</v>
      </c>
      <c r="B73" s="7">
        <v>5</v>
      </c>
      <c r="D73" t="str">
        <f>"Dos Colas: Si p valor ("&amp;E55&amp;") &lt; Nivel Significancia (0.05) ---&gt; Se rechaza la hipotesis nula"</f>
        <v>Dos Colas: Si p valor (1.81614357054773E-05) &lt; Nivel Significancia (0.05) ---&gt; Se rechaza la hipotesis nula</v>
      </c>
    </row>
    <row r="74" spans="1:4" x14ac:dyDescent="0.25">
      <c r="A74" s="7">
        <v>5</v>
      </c>
      <c r="B74" s="7">
        <v>4</v>
      </c>
      <c r="D74" t="str">
        <f>"Una Cola: Si p valor ("&amp;E56&amp;") &lt; Nivel Significancia (0.05) ---&gt; Se rechaza la hipotesis nula"</f>
        <v>Una Cola: Si p valor (9.08071785273866E-06) &lt; Nivel Significancia (0.05) ---&gt; Se rechaza la hipotesis nula</v>
      </c>
    </row>
    <row r="75" spans="1:4" x14ac:dyDescent="0.25">
      <c r="A75" s="7">
        <v>5</v>
      </c>
      <c r="B75" s="7">
        <v>5</v>
      </c>
    </row>
    <row r="76" spans="1:4" x14ac:dyDescent="0.25">
      <c r="A76" s="7">
        <v>4</v>
      </c>
      <c r="B76" s="7">
        <v>5</v>
      </c>
    </row>
    <row r="77" spans="1:4" x14ac:dyDescent="0.25">
      <c r="A77" s="7">
        <v>2</v>
      </c>
      <c r="B77" s="7">
        <v>5</v>
      </c>
    </row>
    <row r="78" spans="1:4" x14ac:dyDescent="0.25">
      <c r="A78" s="7">
        <v>3</v>
      </c>
      <c r="B78" s="7">
        <v>5</v>
      </c>
    </row>
    <row r="79" spans="1:4" x14ac:dyDescent="0.25">
      <c r="A79" s="7">
        <v>2</v>
      </c>
      <c r="B79" s="7">
        <v>4</v>
      </c>
    </row>
    <row r="80" spans="1:4" x14ac:dyDescent="0.25">
      <c r="A80" s="7">
        <v>3</v>
      </c>
      <c r="B80" s="7">
        <v>4</v>
      </c>
    </row>
    <row r="81" spans="1:2" x14ac:dyDescent="0.25">
      <c r="A81" s="7">
        <v>3</v>
      </c>
      <c r="B81" s="7">
        <v>4</v>
      </c>
    </row>
    <row r="82" spans="1:2" x14ac:dyDescent="0.25">
      <c r="A82" s="7">
        <v>5</v>
      </c>
      <c r="B82" s="7">
        <v>5</v>
      </c>
    </row>
    <row r="83" spans="1:2" x14ac:dyDescent="0.25">
      <c r="A83" s="7">
        <v>4</v>
      </c>
      <c r="B83" s="7">
        <v>5</v>
      </c>
    </row>
    <row r="84" spans="1:2" x14ac:dyDescent="0.25">
      <c r="A84" s="7">
        <v>4</v>
      </c>
      <c r="B84" s="7">
        <v>4</v>
      </c>
    </row>
    <row r="85" spans="1:2" x14ac:dyDescent="0.25">
      <c r="A85" s="7">
        <v>5</v>
      </c>
      <c r="B85" s="7">
        <v>2</v>
      </c>
    </row>
    <row r="86" spans="1:2" x14ac:dyDescent="0.25">
      <c r="A86" s="7">
        <v>4</v>
      </c>
      <c r="B86" s="7">
        <v>5</v>
      </c>
    </row>
    <row r="87" spans="1:2" x14ac:dyDescent="0.25">
      <c r="A87" s="7">
        <v>3</v>
      </c>
      <c r="B87" s="7">
        <v>3</v>
      </c>
    </row>
    <row r="88" spans="1:2" x14ac:dyDescent="0.25">
      <c r="A88" s="7">
        <v>3</v>
      </c>
      <c r="B88" s="7">
        <v>4</v>
      </c>
    </row>
    <row r="89" spans="1:2" x14ac:dyDescent="0.25">
      <c r="A89" s="7">
        <v>1</v>
      </c>
      <c r="B89" s="7">
        <v>4</v>
      </c>
    </row>
    <row r="90" spans="1:2" x14ac:dyDescent="0.25">
      <c r="A90" s="7">
        <v>2</v>
      </c>
      <c r="B90" s="7">
        <v>4</v>
      </c>
    </row>
    <row r="91" spans="1:2" x14ac:dyDescent="0.25">
      <c r="A91" s="7">
        <v>3</v>
      </c>
      <c r="B91" s="7">
        <v>5</v>
      </c>
    </row>
    <row r="92" spans="1:2" x14ac:dyDescent="0.25">
      <c r="A92" s="7">
        <v>4</v>
      </c>
      <c r="B92" s="7">
        <v>5</v>
      </c>
    </row>
    <row r="93" spans="1:2" x14ac:dyDescent="0.25">
      <c r="A93" s="7">
        <v>3</v>
      </c>
      <c r="B93" s="7">
        <v>4</v>
      </c>
    </row>
    <row r="94" spans="1:2" x14ac:dyDescent="0.25">
      <c r="A94" s="7">
        <v>2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79" zoomScale="130" zoomScaleNormal="130" workbookViewId="0">
      <selection activeCell="B2" sqref="B2:B94"/>
    </sheetView>
  </sheetViews>
  <sheetFormatPr baseColWidth="10" defaultColWidth="9.140625" defaultRowHeight="15" x14ac:dyDescent="0.25"/>
  <cols>
    <col min="1" max="1" width="30.5703125" customWidth="1"/>
    <col min="2" max="2" width="27.7109375" customWidth="1"/>
    <col min="4" max="4" width="37.8554687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8" t="s">
        <v>36</v>
      </c>
      <c r="B1" s="10" t="s">
        <v>47</v>
      </c>
    </row>
    <row r="2" spans="1:5" x14ac:dyDescent="0.25">
      <c r="A2" s="7">
        <v>3</v>
      </c>
      <c r="B2" s="7">
        <v>4</v>
      </c>
      <c r="D2" s="1" t="s">
        <v>24</v>
      </c>
      <c r="E2">
        <f>AVERAGE(A:A)</f>
        <v>3.3978494623655915</v>
      </c>
    </row>
    <row r="3" spans="1:5" x14ac:dyDescent="0.25">
      <c r="A3" s="7">
        <v>4</v>
      </c>
      <c r="B3" s="7">
        <v>4</v>
      </c>
      <c r="D3" s="1" t="s">
        <v>0</v>
      </c>
      <c r="E3">
        <f>MEDIAN(A:A)</f>
        <v>3</v>
      </c>
    </row>
    <row r="4" spans="1:5" x14ac:dyDescent="0.25">
      <c r="A4" s="7">
        <v>4</v>
      </c>
      <c r="B4" s="7">
        <v>3</v>
      </c>
      <c r="D4" s="1" t="s">
        <v>1</v>
      </c>
      <c r="E4">
        <f>MODE(A:A)</f>
        <v>3</v>
      </c>
    </row>
    <row r="5" spans="1:5" x14ac:dyDescent="0.25">
      <c r="A5" s="7">
        <v>4</v>
      </c>
      <c r="B5" s="7">
        <v>3</v>
      </c>
      <c r="D5" s="1" t="s">
        <v>15</v>
      </c>
      <c r="E5">
        <f>STDEV(A:A)</f>
        <v>1.1434100879675726</v>
      </c>
    </row>
    <row r="6" spans="1:5" x14ac:dyDescent="0.25">
      <c r="A6" s="7">
        <v>5</v>
      </c>
      <c r="B6" s="7">
        <v>4</v>
      </c>
      <c r="D6" s="4" t="s">
        <v>4</v>
      </c>
      <c r="E6">
        <f>COUNT(A:A)</f>
        <v>93</v>
      </c>
    </row>
    <row r="7" spans="1:5" x14ac:dyDescent="0.25">
      <c r="A7" s="7">
        <v>5</v>
      </c>
      <c r="B7" s="7">
        <v>4</v>
      </c>
    </row>
    <row r="8" spans="1:5" x14ac:dyDescent="0.25">
      <c r="A8" s="7">
        <v>2</v>
      </c>
      <c r="B8" s="7">
        <v>2</v>
      </c>
      <c r="D8" s="3" t="s">
        <v>25</v>
      </c>
      <c r="E8">
        <f>AVERAGE(B:B)</f>
        <v>4.204301075268817</v>
      </c>
    </row>
    <row r="9" spans="1:5" x14ac:dyDescent="0.25">
      <c r="A9" s="7">
        <v>4</v>
      </c>
      <c r="B9" s="7">
        <v>5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5</v>
      </c>
      <c r="D10" s="3" t="s">
        <v>3</v>
      </c>
      <c r="E10">
        <f>MODE(B:B)</f>
        <v>5</v>
      </c>
    </row>
    <row r="11" spans="1:5" x14ac:dyDescent="0.25">
      <c r="A11" s="7">
        <v>4</v>
      </c>
      <c r="B11" s="7">
        <v>5</v>
      </c>
      <c r="D11" s="3" t="s">
        <v>14</v>
      </c>
      <c r="E11">
        <f>STDEV(B:B)</f>
        <v>0.91555566146355105</v>
      </c>
    </row>
    <row r="12" spans="1:5" x14ac:dyDescent="0.25">
      <c r="A12" s="7">
        <v>1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4</v>
      </c>
      <c r="B13" s="7">
        <v>4</v>
      </c>
    </row>
    <row r="14" spans="1:5" x14ac:dyDescent="0.25">
      <c r="A14" s="7">
        <v>4</v>
      </c>
      <c r="B14" s="7">
        <v>4</v>
      </c>
    </row>
    <row r="15" spans="1:5" x14ac:dyDescent="0.25">
      <c r="A15" s="7">
        <v>2</v>
      </c>
      <c r="B15" s="7">
        <v>4</v>
      </c>
    </row>
    <row r="16" spans="1:5" x14ac:dyDescent="0.25">
      <c r="A16" s="7">
        <v>2</v>
      </c>
      <c r="B16" s="7">
        <v>5</v>
      </c>
    </row>
    <row r="17" spans="1:5" x14ac:dyDescent="0.25">
      <c r="A17" s="7">
        <v>4</v>
      </c>
      <c r="B17" s="7">
        <v>4</v>
      </c>
      <c r="D17" s="2" t="s">
        <v>6</v>
      </c>
      <c r="E17" s="2"/>
    </row>
    <row r="18" spans="1:5" x14ac:dyDescent="0.25">
      <c r="A18" s="7">
        <v>2</v>
      </c>
      <c r="B18" s="7">
        <v>5</v>
      </c>
    </row>
    <row r="19" spans="1:5" x14ac:dyDescent="0.25">
      <c r="A19" s="7">
        <v>3</v>
      </c>
      <c r="B19" s="7">
        <v>4</v>
      </c>
    </row>
    <row r="20" spans="1:5" x14ac:dyDescent="0.25">
      <c r="A20" s="7">
        <v>3</v>
      </c>
      <c r="B20" s="7">
        <v>4</v>
      </c>
    </row>
    <row r="21" spans="1:5" x14ac:dyDescent="0.25">
      <c r="A21" s="7">
        <v>5</v>
      </c>
      <c r="B21" s="7">
        <v>5</v>
      </c>
    </row>
    <row r="22" spans="1:5" x14ac:dyDescent="0.25">
      <c r="A22" s="7">
        <v>5</v>
      </c>
      <c r="B22" s="7">
        <v>5</v>
      </c>
    </row>
    <row r="23" spans="1:5" x14ac:dyDescent="0.25">
      <c r="A23" s="7">
        <v>3</v>
      </c>
      <c r="B23" s="7">
        <v>5</v>
      </c>
    </row>
    <row r="24" spans="1:5" x14ac:dyDescent="0.25">
      <c r="A24" s="7">
        <v>3</v>
      </c>
      <c r="B24" s="7">
        <v>3</v>
      </c>
    </row>
    <row r="25" spans="1:5" x14ac:dyDescent="0.25">
      <c r="A25" s="7">
        <v>3</v>
      </c>
      <c r="B25" s="7">
        <v>2</v>
      </c>
    </row>
    <row r="26" spans="1:5" x14ac:dyDescent="0.25">
      <c r="A26" s="7">
        <v>3</v>
      </c>
      <c r="B26" s="7">
        <v>4</v>
      </c>
    </row>
    <row r="27" spans="1:5" x14ac:dyDescent="0.25">
      <c r="A27" s="7">
        <v>3</v>
      </c>
      <c r="B27" s="7">
        <v>5</v>
      </c>
    </row>
    <row r="28" spans="1:5" x14ac:dyDescent="0.25">
      <c r="A28" s="7">
        <v>4</v>
      </c>
      <c r="B28" s="7">
        <v>5</v>
      </c>
    </row>
    <row r="29" spans="1:5" x14ac:dyDescent="0.25">
      <c r="A29" s="7">
        <v>3</v>
      </c>
      <c r="B29" s="7">
        <v>4</v>
      </c>
      <c r="D29" t="s">
        <v>11</v>
      </c>
      <c r="E29">
        <f>(E2-E8)/SQRT(((E5^2)/E6)+((E11^2)/E12))</f>
        <v>-5.309363920902392</v>
      </c>
    </row>
    <row r="30" spans="1:5" x14ac:dyDescent="0.25">
      <c r="A30" s="7">
        <v>5</v>
      </c>
      <c r="B30" s="7">
        <v>3</v>
      </c>
    </row>
    <row r="31" spans="1:5" x14ac:dyDescent="0.25">
      <c r="A31" s="7">
        <v>3</v>
      </c>
      <c r="B31" s="7">
        <v>5</v>
      </c>
      <c r="D31" s="2" t="s">
        <v>7</v>
      </c>
      <c r="E31" s="2"/>
    </row>
    <row r="32" spans="1:5" x14ac:dyDescent="0.25">
      <c r="A32" s="7">
        <v>3</v>
      </c>
      <c r="B32" s="7">
        <v>5</v>
      </c>
    </row>
    <row r="33" spans="1:6" x14ac:dyDescent="0.25">
      <c r="A33" s="7">
        <v>1</v>
      </c>
      <c r="B33" s="7">
        <v>4</v>
      </c>
    </row>
    <row r="34" spans="1:6" x14ac:dyDescent="0.25">
      <c r="A34" s="7">
        <v>5</v>
      </c>
      <c r="B34" s="7">
        <v>5</v>
      </c>
    </row>
    <row r="35" spans="1:6" x14ac:dyDescent="0.25">
      <c r="A35" s="7">
        <v>5</v>
      </c>
      <c r="B35" s="7">
        <v>5</v>
      </c>
    </row>
    <row r="36" spans="1:6" x14ac:dyDescent="0.25">
      <c r="A36" s="7">
        <v>4</v>
      </c>
      <c r="B36" s="7">
        <v>5</v>
      </c>
    </row>
    <row r="37" spans="1:6" x14ac:dyDescent="0.25">
      <c r="A37" s="7">
        <v>4</v>
      </c>
      <c r="B37" s="7">
        <v>4</v>
      </c>
    </row>
    <row r="38" spans="1:6" x14ac:dyDescent="0.25">
      <c r="A38" s="7">
        <v>4</v>
      </c>
      <c r="B38" s="7">
        <v>3</v>
      </c>
    </row>
    <row r="39" spans="1:6" x14ac:dyDescent="0.25">
      <c r="A39" s="7">
        <v>2</v>
      </c>
      <c r="B39" s="7">
        <v>2</v>
      </c>
    </row>
    <row r="40" spans="1:6" x14ac:dyDescent="0.25">
      <c r="A40" s="7">
        <v>4</v>
      </c>
      <c r="B40" s="7">
        <v>4</v>
      </c>
    </row>
    <row r="41" spans="1:6" ht="29.25" customHeight="1" x14ac:dyDescent="0.25">
      <c r="A41" s="7">
        <v>4</v>
      </c>
      <c r="B41" s="7">
        <v>4</v>
      </c>
      <c r="D41" t="s">
        <v>8</v>
      </c>
      <c r="E41">
        <f>(((E5^2)/E6)+((E11^2)/E12))^2</f>
        <v>5.3228384101856885E-4</v>
      </c>
    </row>
    <row r="42" spans="1:6" ht="47.25" customHeight="1" x14ac:dyDescent="0.25">
      <c r="A42" s="7">
        <v>3</v>
      </c>
      <c r="B42" s="7">
        <v>5</v>
      </c>
      <c r="D42" t="s">
        <v>9</v>
      </c>
      <c r="E42">
        <f>(((E5^2)/E6)^2)/(E6-1)</f>
        <v>2.1480993007278362E-6</v>
      </c>
    </row>
    <row r="43" spans="1:6" ht="43.5" customHeight="1" x14ac:dyDescent="0.25">
      <c r="A43" s="7">
        <v>3</v>
      </c>
      <c r="B43" s="7">
        <v>4</v>
      </c>
      <c r="D43" t="s">
        <v>10</v>
      </c>
      <c r="E43">
        <f>(((E11^2)/E12)^2)/(E12-1)</f>
        <v>8.8304998100906558E-7</v>
      </c>
    </row>
    <row r="44" spans="1:6" x14ac:dyDescent="0.25">
      <c r="A44" s="7">
        <v>3</v>
      </c>
      <c r="B44" s="7">
        <v>5</v>
      </c>
    </row>
    <row r="45" spans="1:6" x14ac:dyDescent="0.25">
      <c r="A45" s="7">
        <v>5</v>
      </c>
      <c r="B45" s="7">
        <v>4</v>
      </c>
      <c r="D45" t="s">
        <v>7</v>
      </c>
      <c r="E45">
        <f>E41/(E42+E43)</f>
        <v>175.60462766570205</v>
      </c>
      <c r="F45" s="6" t="s">
        <v>12</v>
      </c>
    </row>
    <row r="46" spans="1:6" x14ac:dyDescent="0.25">
      <c r="A46" s="7">
        <v>3</v>
      </c>
      <c r="B46" s="7">
        <v>5</v>
      </c>
    </row>
    <row r="47" spans="1:6" x14ac:dyDescent="0.25">
      <c r="A47" s="7">
        <v>5</v>
      </c>
      <c r="B47" s="7">
        <v>5</v>
      </c>
      <c r="D47" t="s">
        <v>13</v>
      </c>
      <c r="E47">
        <v>0.05</v>
      </c>
      <c r="F47" s="6" t="s">
        <v>12</v>
      </c>
    </row>
    <row r="48" spans="1:6" x14ac:dyDescent="0.25">
      <c r="A48" s="7">
        <v>5</v>
      </c>
      <c r="B48" s="7">
        <v>5</v>
      </c>
    </row>
    <row r="49" spans="1:5" x14ac:dyDescent="0.25">
      <c r="A49" s="7">
        <v>2</v>
      </c>
      <c r="B49" s="7">
        <v>5</v>
      </c>
    </row>
    <row r="50" spans="1:5" x14ac:dyDescent="0.25">
      <c r="A50" s="7">
        <v>5</v>
      </c>
      <c r="B50" s="7">
        <v>5</v>
      </c>
    </row>
    <row r="51" spans="1:5" x14ac:dyDescent="0.25">
      <c r="A51" s="7">
        <v>3</v>
      </c>
      <c r="B51" s="7">
        <v>5</v>
      </c>
      <c r="D51" s="2"/>
      <c r="E51" s="2"/>
    </row>
    <row r="52" spans="1:5" x14ac:dyDescent="0.25">
      <c r="A52" s="7">
        <v>4</v>
      </c>
      <c r="B52" s="7">
        <v>2</v>
      </c>
      <c r="D52" t="s">
        <v>16</v>
      </c>
      <c r="E52">
        <f>_xlfn.T.INV.2T(E47,E45)</f>
        <v>1.9736124619543807</v>
      </c>
    </row>
    <row r="53" spans="1:5" x14ac:dyDescent="0.25">
      <c r="A53" s="7">
        <v>4</v>
      </c>
      <c r="B53" s="7">
        <v>5</v>
      </c>
      <c r="D53" t="s">
        <v>17</v>
      </c>
      <c r="E53">
        <f>_xlfn.T.INV(E47, E45)</f>
        <v>-1.6536074370792557</v>
      </c>
    </row>
    <row r="54" spans="1:5" x14ac:dyDescent="0.25">
      <c r="A54" s="7">
        <v>2</v>
      </c>
      <c r="B54" s="7">
        <v>4</v>
      </c>
    </row>
    <row r="55" spans="1:5" x14ac:dyDescent="0.25">
      <c r="A55" s="7">
        <v>5</v>
      </c>
      <c r="B55" s="7">
        <v>3</v>
      </c>
      <c r="D55" t="s">
        <v>18</v>
      </c>
      <c r="E55">
        <f>TTEST(A:A,B:B,2,2)</f>
        <v>3.1465116406742627E-7</v>
      </c>
    </row>
    <row r="56" spans="1:5" x14ac:dyDescent="0.25">
      <c r="A56" s="7">
        <v>3</v>
      </c>
      <c r="B56" s="7">
        <v>1</v>
      </c>
      <c r="D56" t="s">
        <v>19</v>
      </c>
      <c r="E56">
        <f>TTEST(A:A,B:B,1,2)</f>
        <v>1.5732558203371314E-7</v>
      </c>
    </row>
    <row r="57" spans="1:5" x14ac:dyDescent="0.25">
      <c r="A57" s="7">
        <v>1</v>
      </c>
      <c r="B57" s="7">
        <v>4</v>
      </c>
    </row>
    <row r="58" spans="1:5" x14ac:dyDescent="0.25">
      <c r="A58" s="7">
        <v>3</v>
      </c>
      <c r="B58" s="7">
        <v>3</v>
      </c>
    </row>
    <row r="59" spans="1:5" x14ac:dyDescent="0.25">
      <c r="A59" s="7">
        <v>1</v>
      </c>
      <c r="B59" s="7">
        <v>5</v>
      </c>
      <c r="D59" s="2" t="s">
        <v>20</v>
      </c>
      <c r="E59" s="2"/>
    </row>
    <row r="60" spans="1:5" x14ac:dyDescent="0.25">
      <c r="A60" s="7">
        <v>5</v>
      </c>
      <c r="B60" s="7">
        <v>5</v>
      </c>
    </row>
    <row r="61" spans="1:5" x14ac:dyDescent="0.25">
      <c r="A61" s="7">
        <v>4</v>
      </c>
      <c r="B61" s="7">
        <v>5</v>
      </c>
      <c r="D61" t="s">
        <v>21</v>
      </c>
    </row>
    <row r="62" spans="1:5" x14ac:dyDescent="0.25">
      <c r="A62" s="7">
        <v>4</v>
      </c>
      <c r="B62" s="7">
        <v>4</v>
      </c>
      <c r="D62" t="s">
        <v>22</v>
      </c>
    </row>
    <row r="63" spans="1:5" x14ac:dyDescent="0.25">
      <c r="A63" s="7">
        <v>3</v>
      </c>
      <c r="B63" s="7">
        <v>4</v>
      </c>
    </row>
    <row r="64" spans="1:5" x14ac:dyDescent="0.25">
      <c r="A64" s="7">
        <v>1</v>
      </c>
      <c r="B64" s="7">
        <v>5</v>
      </c>
    </row>
    <row r="65" spans="1:4" x14ac:dyDescent="0.25">
      <c r="A65" s="7">
        <v>4</v>
      </c>
      <c r="B65" s="7">
        <v>5</v>
      </c>
    </row>
    <row r="66" spans="1:4" x14ac:dyDescent="0.25">
      <c r="A66" s="7">
        <v>3</v>
      </c>
      <c r="B66" s="7">
        <v>4</v>
      </c>
      <c r="D66" t="s">
        <v>23</v>
      </c>
    </row>
    <row r="67" spans="1:4" x14ac:dyDescent="0.25">
      <c r="A67" s="7">
        <v>4</v>
      </c>
      <c r="B67" s="7">
        <v>5</v>
      </c>
      <c r="D67" t="str">
        <f>"Dos Colas: Si t calculado ("&amp;E29&amp;") &gt; a t critico  ("&amp;E52&amp;") (de tabla) ---&gt; Se rechaza la hipotesis nula"</f>
        <v>Dos Colas: Si t calculado (-5.30936392090239) &gt; a t critico  (1.97361246195438) (de tabla) ---&gt; Se rechaza la hipotesis nula</v>
      </c>
    </row>
    <row r="68" spans="1:4" x14ac:dyDescent="0.25">
      <c r="A68" s="7">
        <v>3</v>
      </c>
      <c r="B68" s="7">
        <v>4</v>
      </c>
      <c r="D68" t="str">
        <f>"Una Cola: Si t calculado ("&amp;E29&amp;") &gt; a t critico  ("&amp;E53&amp;") (de tabla) ---&gt; Se rechaza la hipotesis nula"</f>
        <v>Una Cola: Si t calculado (-5.30936392090239) &gt; a t critico  (-1.65360743707926) (de tabla) ---&gt; Se rechaza la hipotesis nula</v>
      </c>
    </row>
    <row r="69" spans="1:4" x14ac:dyDescent="0.25">
      <c r="A69" s="7">
        <v>3</v>
      </c>
      <c r="B69" s="7">
        <v>4</v>
      </c>
    </row>
    <row r="70" spans="1:4" x14ac:dyDescent="0.25">
      <c r="A70" s="7">
        <v>1</v>
      </c>
      <c r="B70" s="7">
        <v>4</v>
      </c>
    </row>
    <row r="71" spans="1:4" x14ac:dyDescent="0.25">
      <c r="A71" s="7">
        <v>3</v>
      </c>
      <c r="B71" s="7">
        <v>3</v>
      </c>
    </row>
    <row r="72" spans="1:4" x14ac:dyDescent="0.25">
      <c r="A72" s="7">
        <v>4</v>
      </c>
      <c r="B72" s="7">
        <v>3</v>
      </c>
      <c r="D72" t="s">
        <v>26</v>
      </c>
    </row>
    <row r="73" spans="1:4" x14ac:dyDescent="0.25">
      <c r="A73" s="7">
        <v>5</v>
      </c>
      <c r="B73" s="7">
        <v>4</v>
      </c>
      <c r="D73" t="str">
        <f>"Dos Colas: Si p valor ("&amp;E55&amp;") &lt; Nivel Significancia (0.05) ---&gt; Se rechaza la hipotesis nula"</f>
        <v>Dos Colas: Si p valor (3.14651164067426E-07) &lt; Nivel Significancia (0.05) ---&gt; Se rechaza la hipotesis nula</v>
      </c>
    </row>
    <row r="74" spans="1:4" x14ac:dyDescent="0.25">
      <c r="A74" s="7">
        <v>5</v>
      </c>
      <c r="B74" s="7">
        <v>4</v>
      </c>
      <c r="D74" t="str">
        <f>"Una Cola: Si p valor ("&amp;E56&amp;") &lt; Nivel Significancia (0.05) ---&gt; Se rechaza la hipotesis nula"</f>
        <v>Una Cola: Si p valor (1.57325582033713E-07) &lt; Nivel Significancia (0.05) ---&gt; Se rechaza la hipotesis nula</v>
      </c>
    </row>
    <row r="75" spans="1:4" x14ac:dyDescent="0.25">
      <c r="A75" s="7">
        <v>4</v>
      </c>
      <c r="B75" s="7">
        <v>4</v>
      </c>
    </row>
    <row r="76" spans="1:4" x14ac:dyDescent="0.25">
      <c r="A76" s="7">
        <v>4</v>
      </c>
      <c r="B76" s="7">
        <v>5</v>
      </c>
    </row>
    <row r="77" spans="1:4" x14ac:dyDescent="0.25">
      <c r="A77" s="7">
        <v>2</v>
      </c>
      <c r="B77" s="7">
        <v>5</v>
      </c>
    </row>
    <row r="78" spans="1:4" x14ac:dyDescent="0.25">
      <c r="A78" s="7">
        <v>3</v>
      </c>
      <c r="B78" s="7">
        <v>5</v>
      </c>
    </row>
    <row r="79" spans="1:4" x14ac:dyDescent="0.25">
      <c r="A79" s="7">
        <v>3</v>
      </c>
      <c r="B79" s="7">
        <v>5</v>
      </c>
    </row>
    <row r="80" spans="1:4" x14ac:dyDescent="0.25">
      <c r="A80" s="7">
        <v>5</v>
      </c>
      <c r="B80" s="7">
        <v>4</v>
      </c>
    </row>
    <row r="81" spans="1:2" x14ac:dyDescent="0.25">
      <c r="A81" s="7">
        <v>2</v>
      </c>
      <c r="B81" s="7">
        <v>3</v>
      </c>
    </row>
    <row r="82" spans="1:2" x14ac:dyDescent="0.25">
      <c r="A82" s="7">
        <v>3</v>
      </c>
      <c r="B82" s="7">
        <v>5</v>
      </c>
    </row>
    <row r="83" spans="1:2" x14ac:dyDescent="0.25">
      <c r="A83" s="7">
        <v>5</v>
      </c>
      <c r="B83" s="7">
        <v>5</v>
      </c>
    </row>
    <row r="84" spans="1:2" x14ac:dyDescent="0.25">
      <c r="A84" s="7">
        <v>3</v>
      </c>
      <c r="B84" s="7">
        <v>2</v>
      </c>
    </row>
    <row r="85" spans="1:2" x14ac:dyDescent="0.25">
      <c r="A85" s="7">
        <v>3</v>
      </c>
      <c r="B85" s="7">
        <v>5</v>
      </c>
    </row>
    <row r="86" spans="1:2" x14ac:dyDescent="0.25">
      <c r="A86" s="7">
        <v>5</v>
      </c>
      <c r="B86" s="7">
        <v>4</v>
      </c>
    </row>
    <row r="87" spans="1:2" x14ac:dyDescent="0.25">
      <c r="A87" s="7">
        <v>3</v>
      </c>
      <c r="B87" s="7">
        <v>4</v>
      </c>
    </row>
    <row r="88" spans="1:2" x14ac:dyDescent="0.25">
      <c r="A88" s="7">
        <v>3</v>
      </c>
      <c r="B88" s="7">
        <v>4</v>
      </c>
    </row>
    <row r="89" spans="1:2" x14ac:dyDescent="0.25">
      <c r="A89" s="7">
        <v>4</v>
      </c>
      <c r="B89" s="7">
        <v>5</v>
      </c>
    </row>
    <row r="90" spans="1:2" x14ac:dyDescent="0.25">
      <c r="A90" s="7">
        <v>1</v>
      </c>
      <c r="B90" s="7">
        <v>5</v>
      </c>
    </row>
    <row r="91" spans="1:2" x14ac:dyDescent="0.25">
      <c r="A91" s="7">
        <v>2</v>
      </c>
      <c r="B91" s="7">
        <v>5</v>
      </c>
    </row>
    <row r="92" spans="1:2" x14ac:dyDescent="0.25">
      <c r="A92" s="7">
        <v>3</v>
      </c>
      <c r="B92" s="7">
        <v>4</v>
      </c>
    </row>
    <row r="93" spans="1:2" x14ac:dyDescent="0.25">
      <c r="A93" s="7">
        <v>3</v>
      </c>
      <c r="B93" s="7">
        <v>4</v>
      </c>
    </row>
    <row r="94" spans="1:2" x14ac:dyDescent="0.25">
      <c r="A94" s="7">
        <v>4</v>
      </c>
      <c r="B94" s="7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selection activeCell="I11" sqref="I11"/>
    </sheetView>
  </sheetViews>
  <sheetFormatPr baseColWidth="10" defaultColWidth="9.140625" defaultRowHeight="15" x14ac:dyDescent="0.25"/>
  <cols>
    <col min="1" max="1" width="30.42578125" customWidth="1"/>
    <col min="2" max="2" width="32.5703125" customWidth="1"/>
    <col min="4" max="4" width="37.570312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1" t="s">
        <v>37</v>
      </c>
      <c r="B1" s="10" t="s">
        <v>48</v>
      </c>
    </row>
    <row r="2" spans="1:5" x14ac:dyDescent="0.25">
      <c r="A2" s="7">
        <v>4</v>
      </c>
      <c r="B2" s="7">
        <v>5</v>
      </c>
      <c r="D2" s="1" t="s">
        <v>24</v>
      </c>
      <c r="E2">
        <f>AVERAGE(A:A)</f>
        <v>3.236559139784946</v>
      </c>
    </row>
    <row r="3" spans="1:5" x14ac:dyDescent="0.25">
      <c r="A3" s="7">
        <v>5</v>
      </c>
      <c r="B3" s="7">
        <v>5</v>
      </c>
      <c r="D3" s="1" t="s">
        <v>0</v>
      </c>
      <c r="E3">
        <f>MEDIAN(A:A)</f>
        <v>3</v>
      </c>
    </row>
    <row r="4" spans="1:5" x14ac:dyDescent="0.25">
      <c r="A4" s="7">
        <v>2</v>
      </c>
      <c r="B4" s="7">
        <v>4</v>
      </c>
      <c r="D4" s="1" t="s">
        <v>1</v>
      </c>
      <c r="E4">
        <f>MODE(A:A)</f>
        <v>3</v>
      </c>
    </row>
    <row r="5" spans="1:5" x14ac:dyDescent="0.25">
      <c r="A5" s="7">
        <v>4</v>
      </c>
      <c r="B5" s="7">
        <v>3</v>
      </c>
      <c r="D5" s="1" t="s">
        <v>15</v>
      </c>
      <c r="E5">
        <f>STDEV(A:A)</f>
        <v>1.2014289450697555</v>
      </c>
    </row>
    <row r="6" spans="1:5" x14ac:dyDescent="0.25">
      <c r="A6" s="7">
        <v>4</v>
      </c>
      <c r="B6" s="7">
        <v>3</v>
      </c>
      <c r="D6" s="4" t="s">
        <v>4</v>
      </c>
      <c r="E6">
        <f>COUNT(A:A)</f>
        <v>93</v>
      </c>
    </row>
    <row r="7" spans="1:5" x14ac:dyDescent="0.25">
      <c r="A7" s="7">
        <v>5</v>
      </c>
      <c r="B7" s="7">
        <v>4</v>
      </c>
    </row>
    <row r="8" spans="1:5" x14ac:dyDescent="0.25">
      <c r="A8" s="7">
        <v>4</v>
      </c>
      <c r="B8" s="7">
        <v>4</v>
      </c>
      <c r="D8" s="3" t="s">
        <v>25</v>
      </c>
      <c r="E8">
        <f>AVERAGE(B:B)</f>
        <v>4.086021505376344</v>
      </c>
    </row>
    <row r="9" spans="1:5" x14ac:dyDescent="0.25">
      <c r="A9" s="7">
        <v>3</v>
      </c>
      <c r="B9" s="7">
        <v>5</v>
      </c>
      <c r="D9" s="3" t="s">
        <v>2</v>
      </c>
      <c r="E9">
        <f>MEDIAN(B:B)</f>
        <v>4</v>
      </c>
    </row>
    <row r="10" spans="1:5" x14ac:dyDescent="0.25">
      <c r="A10" s="7">
        <v>3</v>
      </c>
      <c r="B10" s="7">
        <v>4</v>
      </c>
      <c r="D10" s="3" t="s">
        <v>3</v>
      </c>
      <c r="E10">
        <f>MODE(B:B)</f>
        <v>5</v>
      </c>
    </row>
    <row r="11" spans="1:5" x14ac:dyDescent="0.25">
      <c r="A11" s="7">
        <v>4</v>
      </c>
      <c r="B11" s="7">
        <v>4</v>
      </c>
      <c r="D11" s="3" t="s">
        <v>14</v>
      </c>
      <c r="E11">
        <f>STDEV(B:B)</f>
        <v>1.0284635435454466</v>
      </c>
    </row>
    <row r="12" spans="1:5" x14ac:dyDescent="0.25">
      <c r="A12" s="7">
        <v>2</v>
      </c>
      <c r="B12" s="7">
        <v>5</v>
      </c>
      <c r="D12" s="5" t="s">
        <v>5</v>
      </c>
      <c r="E12">
        <f>COUNT(B:B)</f>
        <v>93</v>
      </c>
    </row>
    <row r="13" spans="1:5" x14ac:dyDescent="0.25">
      <c r="A13" s="7">
        <v>2</v>
      </c>
      <c r="B13" s="7">
        <v>4</v>
      </c>
    </row>
    <row r="14" spans="1:5" x14ac:dyDescent="0.25">
      <c r="A14" s="7">
        <v>2</v>
      </c>
      <c r="B14" s="7">
        <v>4</v>
      </c>
    </row>
    <row r="15" spans="1:5" x14ac:dyDescent="0.25">
      <c r="A15" s="7">
        <v>4</v>
      </c>
      <c r="B15" s="7">
        <v>5</v>
      </c>
    </row>
    <row r="16" spans="1:5" x14ac:dyDescent="0.25">
      <c r="A16" s="7">
        <v>4</v>
      </c>
      <c r="B16" s="7">
        <v>2</v>
      </c>
    </row>
    <row r="17" spans="1:5" x14ac:dyDescent="0.25">
      <c r="A17" s="7">
        <v>1</v>
      </c>
      <c r="B17" s="7">
        <v>5</v>
      </c>
      <c r="D17" s="2" t="s">
        <v>6</v>
      </c>
      <c r="E17" s="2"/>
    </row>
    <row r="18" spans="1:5" x14ac:dyDescent="0.25">
      <c r="A18" s="7">
        <v>2</v>
      </c>
      <c r="B18" s="7">
        <v>5</v>
      </c>
    </row>
    <row r="19" spans="1:5" x14ac:dyDescent="0.25">
      <c r="A19" s="7">
        <v>5</v>
      </c>
      <c r="B19" s="7">
        <v>5</v>
      </c>
    </row>
    <row r="20" spans="1:5" x14ac:dyDescent="0.25">
      <c r="A20" s="7">
        <v>5</v>
      </c>
      <c r="B20" s="7">
        <v>3</v>
      </c>
    </row>
    <row r="21" spans="1:5" x14ac:dyDescent="0.25">
      <c r="A21" s="7">
        <v>4</v>
      </c>
      <c r="B21" s="7">
        <v>4</v>
      </c>
    </row>
    <row r="22" spans="1:5" x14ac:dyDescent="0.25">
      <c r="A22" s="7">
        <v>2</v>
      </c>
      <c r="B22" s="7">
        <v>5</v>
      </c>
    </row>
    <row r="23" spans="1:5" x14ac:dyDescent="0.25">
      <c r="A23" s="7">
        <v>3</v>
      </c>
      <c r="B23" s="7">
        <v>4</v>
      </c>
    </row>
    <row r="24" spans="1:5" x14ac:dyDescent="0.25">
      <c r="A24" s="7">
        <v>3</v>
      </c>
      <c r="B24" s="7">
        <v>5</v>
      </c>
    </row>
    <row r="25" spans="1:5" x14ac:dyDescent="0.25">
      <c r="A25" s="7">
        <v>5</v>
      </c>
      <c r="B25" s="7">
        <v>3</v>
      </c>
    </row>
    <row r="26" spans="1:5" x14ac:dyDescent="0.25">
      <c r="A26" s="7">
        <v>3</v>
      </c>
      <c r="B26" s="7">
        <v>4</v>
      </c>
    </row>
    <row r="27" spans="1:5" x14ac:dyDescent="0.25">
      <c r="A27" s="7">
        <v>2</v>
      </c>
      <c r="B27" s="7">
        <v>5</v>
      </c>
    </row>
    <row r="28" spans="1:5" x14ac:dyDescent="0.25">
      <c r="A28" s="7">
        <v>4</v>
      </c>
      <c r="B28" s="7">
        <v>2</v>
      </c>
    </row>
    <row r="29" spans="1:5" x14ac:dyDescent="0.25">
      <c r="A29" s="7">
        <v>2</v>
      </c>
      <c r="B29" s="7">
        <v>5</v>
      </c>
      <c r="D29" t="s">
        <v>11</v>
      </c>
      <c r="E29">
        <f>(E2-E8)/SQRT(((E5^2)/E6)+((E11^2)/E12))</f>
        <v>-5.1798134415941703</v>
      </c>
    </row>
    <row r="30" spans="1:5" x14ac:dyDescent="0.25">
      <c r="A30" s="7">
        <v>1</v>
      </c>
      <c r="B30" s="7">
        <v>5</v>
      </c>
    </row>
    <row r="31" spans="1:5" x14ac:dyDescent="0.25">
      <c r="A31" s="7">
        <v>4</v>
      </c>
      <c r="B31" s="7">
        <v>4</v>
      </c>
      <c r="D31" s="2" t="s">
        <v>7</v>
      </c>
      <c r="E31" s="2"/>
    </row>
    <row r="32" spans="1:5" x14ac:dyDescent="0.25">
      <c r="A32" s="7">
        <v>3</v>
      </c>
      <c r="B32" s="7">
        <v>1</v>
      </c>
    </row>
    <row r="33" spans="1:6" x14ac:dyDescent="0.25">
      <c r="A33" s="7">
        <v>4</v>
      </c>
      <c r="B33" s="7">
        <v>5</v>
      </c>
    </row>
    <row r="34" spans="1:6" x14ac:dyDescent="0.25">
      <c r="A34" s="7">
        <v>2</v>
      </c>
      <c r="B34" s="7">
        <v>5</v>
      </c>
    </row>
    <row r="35" spans="1:6" x14ac:dyDescent="0.25">
      <c r="A35" s="7">
        <v>3</v>
      </c>
      <c r="B35" s="7">
        <v>5</v>
      </c>
    </row>
    <row r="36" spans="1:6" x14ac:dyDescent="0.25">
      <c r="A36" s="7">
        <v>3</v>
      </c>
      <c r="B36" s="7">
        <v>4</v>
      </c>
    </row>
    <row r="37" spans="1:6" x14ac:dyDescent="0.25">
      <c r="A37" s="7">
        <v>2</v>
      </c>
      <c r="B37" s="7">
        <v>5</v>
      </c>
    </row>
    <row r="38" spans="1:6" x14ac:dyDescent="0.25">
      <c r="A38" s="7">
        <v>4</v>
      </c>
      <c r="B38" s="7">
        <v>4</v>
      </c>
    </row>
    <row r="39" spans="1:6" x14ac:dyDescent="0.25">
      <c r="A39" s="7">
        <v>1</v>
      </c>
      <c r="B39" s="7">
        <v>1</v>
      </c>
    </row>
    <row r="40" spans="1:6" x14ac:dyDescent="0.25">
      <c r="A40" s="7">
        <v>3</v>
      </c>
      <c r="B40" s="7">
        <v>4</v>
      </c>
    </row>
    <row r="41" spans="1:6" ht="29.25" customHeight="1" x14ac:dyDescent="0.25">
      <c r="A41" s="7">
        <v>5</v>
      </c>
      <c r="B41" s="7">
        <v>5</v>
      </c>
      <c r="D41" t="s">
        <v>8</v>
      </c>
      <c r="E41">
        <f>(((E5^2)/E6)+((E11^2)/E12))^2</f>
        <v>7.2330271919202039E-4</v>
      </c>
    </row>
    <row r="42" spans="1:6" ht="47.25" customHeight="1" x14ac:dyDescent="0.25">
      <c r="A42" s="7">
        <v>3</v>
      </c>
      <c r="B42" s="7">
        <v>5</v>
      </c>
      <c r="D42" t="s">
        <v>9</v>
      </c>
      <c r="E42">
        <f>(((E5^2)/E6)^2)/(E6-1)</f>
        <v>2.6184159568702828E-6</v>
      </c>
    </row>
    <row r="43" spans="1:6" ht="43.5" customHeight="1" x14ac:dyDescent="0.25">
      <c r="A43" s="7">
        <v>2</v>
      </c>
      <c r="B43" s="7">
        <v>5</v>
      </c>
      <c r="D43" t="s">
        <v>10</v>
      </c>
      <c r="E43">
        <f>(((E11^2)/E12)^2)/(E12-1)</f>
        <v>1.4060536177125887E-6</v>
      </c>
    </row>
    <row r="44" spans="1:6" x14ac:dyDescent="0.25">
      <c r="A44" s="7">
        <v>4</v>
      </c>
      <c r="B44" s="7">
        <v>3</v>
      </c>
    </row>
    <row r="45" spans="1:6" x14ac:dyDescent="0.25">
      <c r="A45" s="7">
        <v>2</v>
      </c>
      <c r="B45" s="7">
        <v>5</v>
      </c>
      <c r="D45" t="s">
        <v>7</v>
      </c>
      <c r="E45">
        <f>E41/(E42+E43)</f>
        <v>179.72622373893566</v>
      </c>
      <c r="F45" s="6" t="s">
        <v>12</v>
      </c>
    </row>
    <row r="46" spans="1:6" x14ac:dyDescent="0.25">
      <c r="A46" s="7">
        <v>2</v>
      </c>
      <c r="B46" s="7">
        <v>5</v>
      </c>
    </row>
    <row r="47" spans="1:6" x14ac:dyDescent="0.25">
      <c r="A47" s="7">
        <v>4</v>
      </c>
      <c r="B47" s="7">
        <v>4</v>
      </c>
      <c r="D47" t="s">
        <v>13</v>
      </c>
      <c r="E47">
        <v>0.05</v>
      </c>
      <c r="F47" s="6" t="s">
        <v>12</v>
      </c>
    </row>
    <row r="48" spans="1:6" x14ac:dyDescent="0.25">
      <c r="A48" s="7">
        <v>1</v>
      </c>
      <c r="B48" s="7">
        <v>4</v>
      </c>
    </row>
    <row r="49" spans="1:5" x14ac:dyDescent="0.25">
      <c r="A49" s="7">
        <v>5</v>
      </c>
      <c r="B49" s="7">
        <v>4</v>
      </c>
    </row>
    <row r="50" spans="1:5" x14ac:dyDescent="0.25">
      <c r="A50" s="7">
        <v>4</v>
      </c>
      <c r="B50" s="7">
        <v>5</v>
      </c>
    </row>
    <row r="51" spans="1:5" x14ac:dyDescent="0.25">
      <c r="A51" s="7">
        <v>5</v>
      </c>
      <c r="B51" s="7">
        <v>3</v>
      </c>
      <c r="D51" s="2"/>
      <c r="E51" s="2"/>
    </row>
    <row r="52" spans="1:5" x14ac:dyDescent="0.25">
      <c r="A52" s="7">
        <v>2</v>
      </c>
      <c r="B52" s="7">
        <v>2</v>
      </c>
      <c r="D52" t="s">
        <v>16</v>
      </c>
      <c r="E52">
        <f>_xlfn.T.INV.2T(E47,E45)</f>
        <v>1.9733054338414706</v>
      </c>
    </row>
    <row r="53" spans="1:5" x14ac:dyDescent="0.25">
      <c r="A53" s="7">
        <v>3</v>
      </c>
      <c r="B53" s="7">
        <v>4</v>
      </c>
      <c r="D53" t="s">
        <v>17</v>
      </c>
      <c r="E53">
        <f>_xlfn.T.INV(E47, E45)</f>
        <v>-1.6534108001234091</v>
      </c>
    </row>
    <row r="54" spans="1:5" x14ac:dyDescent="0.25">
      <c r="A54" s="7">
        <v>5</v>
      </c>
      <c r="B54" s="7">
        <v>2</v>
      </c>
    </row>
    <row r="55" spans="1:5" x14ac:dyDescent="0.25">
      <c r="A55" s="7">
        <v>4</v>
      </c>
      <c r="B55" s="7">
        <v>5</v>
      </c>
      <c r="D55" t="s">
        <v>18</v>
      </c>
      <c r="E55">
        <f>TTEST(A:A,B:B,2,2)</f>
        <v>5.7969460438111829E-7</v>
      </c>
    </row>
    <row r="56" spans="1:5" x14ac:dyDescent="0.25">
      <c r="A56" s="7">
        <v>3</v>
      </c>
      <c r="B56" s="7">
        <v>4</v>
      </c>
      <c r="D56" t="s">
        <v>19</v>
      </c>
      <c r="E56">
        <f>TTEST(A:A,B:B,1,2)</f>
        <v>2.8984730219055914E-7</v>
      </c>
    </row>
    <row r="57" spans="1:5" x14ac:dyDescent="0.25">
      <c r="A57" s="7">
        <v>5</v>
      </c>
      <c r="B57" s="7">
        <v>4</v>
      </c>
    </row>
    <row r="58" spans="1:5" x14ac:dyDescent="0.25">
      <c r="A58" s="7">
        <v>2</v>
      </c>
      <c r="B58" s="7">
        <v>4</v>
      </c>
    </row>
    <row r="59" spans="1:5" x14ac:dyDescent="0.25">
      <c r="A59" s="7">
        <v>2</v>
      </c>
      <c r="B59" s="7">
        <v>5</v>
      </c>
      <c r="D59" s="2" t="s">
        <v>20</v>
      </c>
      <c r="E59" s="2"/>
    </row>
    <row r="60" spans="1:5" x14ac:dyDescent="0.25">
      <c r="A60" s="7">
        <v>3</v>
      </c>
      <c r="B60" s="7">
        <v>5</v>
      </c>
    </row>
    <row r="61" spans="1:5" x14ac:dyDescent="0.25">
      <c r="A61" s="7">
        <v>1</v>
      </c>
      <c r="B61" s="7">
        <v>5</v>
      </c>
      <c r="D61" t="s">
        <v>21</v>
      </c>
    </row>
    <row r="62" spans="1:5" x14ac:dyDescent="0.25">
      <c r="A62" s="7">
        <v>4</v>
      </c>
      <c r="B62" s="7">
        <v>5</v>
      </c>
      <c r="D62" t="s">
        <v>22</v>
      </c>
    </row>
    <row r="63" spans="1:5" x14ac:dyDescent="0.25">
      <c r="A63" s="7">
        <v>1</v>
      </c>
      <c r="B63" s="7">
        <v>5</v>
      </c>
    </row>
    <row r="64" spans="1:5" x14ac:dyDescent="0.25">
      <c r="A64" s="7">
        <v>3</v>
      </c>
      <c r="B64" s="7">
        <v>4</v>
      </c>
    </row>
    <row r="65" spans="1:4" x14ac:dyDescent="0.25">
      <c r="A65" s="7">
        <v>3</v>
      </c>
      <c r="B65" s="7">
        <v>5</v>
      </c>
    </row>
    <row r="66" spans="1:4" x14ac:dyDescent="0.25">
      <c r="A66" s="7">
        <v>5</v>
      </c>
      <c r="B66" s="7">
        <v>5</v>
      </c>
      <c r="D66" t="s">
        <v>23</v>
      </c>
    </row>
    <row r="67" spans="1:4" x14ac:dyDescent="0.25">
      <c r="A67" s="7">
        <v>2</v>
      </c>
      <c r="B67" s="7">
        <v>4</v>
      </c>
      <c r="D67" t="str">
        <f>"Dos Colas: Si t calculado ("&amp;E29&amp;") &gt; a t critico  ("&amp;E52&amp;") (de tabla) ---&gt; Se rechaza la hipotesis nula"</f>
        <v>Dos Colas: Si t calculado (-5.17981344159417) &gt; a t critico  (1.97330543384147) (de tabla) ---&gt; Se rechaza la hipotesis nula</v>
      </c>
    </row>
    <row r="68" spans="1:4" x14ac:dyDescent="0.25">
      <c r="A68" s="7">
        <v>4</v>
      </c>
      <c r="B68" s="7">
        <v>4</v>
      </c>
      <c r="D68" t="str">
        <f>"Una Cola: Si t calculado ("&amp;E29&amp;") &gt; a t critico  ("&amp;E53&amp;") (de tabla) ---&gt; Se rechaza la hipotesis nula"</f>
        <v>Una Cola: Si t calculado (-5.17981344159417) &gt; a t critico  (-1.65341080012341) (de tabla) ---&gt; Se rechaza la hipotesis nula</v>
      </c>
    </row>
    <row r="69" spans="1:4" x14ac:dyDescent="0.25">
      <c r="A69" s="7">
        <v>5</v>
      </c>
      <c r="B69" s="7">
        <v>3</v>
      </c>
    </row>
    <row r="70" spans="1:4" x14ac:dyDescent="0.25">
      <c r="A70" s="7">
        <v>5</v>
      </c>
      <c r="B70" s="7">
        <v>4</v>
      </c>
    </row>
    <row r="71" spans="1:4" x14ac:dyDescent="0.25">
      <c r="A71" s="7">
        <v>3</v>
      </c>
      <c r="B71" s="7">
        <v>5</v>
      </c>
    </row>
    <row r="72" spans="1:4" x14ac:dyDescent="0.25">
      <c r="A72" s="7">
        <v>3</v>
      </c>
      <c r="B72" s="7">
        <v>3</v>
      </c>
      <c r="D72" t="s">
        <v>26</v>
      </c>
    </row>
    <row r="73" spans="1:4" x14ac:dyDescent="0.25">
      <c r="A73" s="7">
        <v>3</v>
      </c>
      <c r="B73" s="7">
        <v>4</v>
      </c>
      <c r="D73" t="str">
        <f>"Dos Colas: Si p valor ("&amp;E55&amp;") &lt; Nivel Significancia (0.05) ---&gt; Se rechaza la hipotesis nula"</f>
        <v>Dos Colas: Si p valor (5.79694604381118E-07) &lt; Nivel Significancia (0.05) ---&gt; Se rechaza la hipotesis nula</v>
      </c>
    </row>
    <row r="74" spans="1:4" x14ac:dyDescent="0.25">
      <c r="A74" s="7">
        <v>2</v>
      </c>
      <c r="B74" s="7">
        <v>5</v>
      </c>
      <c r="D74" t="str">
        <f>"Una Cola: Si p valor ("&amp;E56&amp;") &lt; Nivel Significancia (0.05) ---&gt; Se rechaza la hipotesis nula"</f>
        <v>Una Cola: Si p valor (2.89847302190559E-07) &lt; Nivel Significancia (0.05) ---&gt; Se rechaza la hipotesis nula</v>
      </c>
    </row>
    <row r="75" spans="1:4" x14ac:dyDescent="0.25">
      <c r="A75" s="7">
        <v>5</v>
      </c>
      <c r="B75" s="7">
        <v>4</v>
      </c>
    </row>
    <row r="76" spans="1:4" x14ac:dyDescent="0.25">
      <c r="A76" s="7">
        <v>3</v>
      </c>
      <c r="B76" s="7">
        <v>2</v>
      </c>
    </row>
    <row r="77" spans="1:4" x14ac:dyDescent="0.25">
      <c r="A77" s="7">
        <v>5</v>
      </c>
      <c r="B77" s="7">
        <v>5</v>
      </c>
    </row>
    <row r="78" spans="1:4" x14ac:dyDescent="0.25">
      <c r="A78" s="7">
        <v>2</v>
      </c>
      <c r="B78" s="7">
        <v>5</v>
      </c>
    </row>
    <row r="79" spans="1:4" x14ac:dyDescent="0.25">
      <c r="A79" s="7">
        <v>2</v>
      </c>
      <c r="B79" s="7">
        <v>5</v>
      </c>
    </row>
    <row r="80" spans="1:4" x14ac:dyDescent="0.25">
      <c r="A80" s="7">
        <v>3</v>
      </c>
      <c r="B80" s="7">
        <v>5</v>
      </c>
    </row>
    <row r="81" spans="1:2" x14ac:dyDescent="0.25">
      <c r="A81" s="7">
        <v>3</v>
      </c>
      <c r="B81" s="7">
        <v>4</v>
      </c>
    </row>
    <row r="82" spans="1:2" x14ac:dyDescent="0.25">
      <c r="A82" s="7">
        <v>4</v>
      </c>
      <c r="B82" s="7">
        <v>4</v>
      </c>
    </row>
    <row r="83" spans="1:2" x14ac:dyDescent="0.25">
      <c r="A83" s="7">
        <v>3</v>
      </c>
      <c r="B83" s="7">
        <v>5</v>
      </c>
    </row>
    <row r="84" spans="1:2" x14ac:dyDescent="0.25">
      <c r="A84" s="7">
        <v>2</v>
      </c>
      <c r="B84" s="7">
        <v>2</v>
      </c>
    </row>
    <row r="85" spans="1:2" x14ac:dyDescent="0.25">
      <c r="A85" s="7">
        <v>4</v>
      </c>
      <c r="B85" s="7">
        <v>3</v>
      </c>
    </row>
    <row r="86" spans="1:2" x14ac:dyDescent="0.25">
      <c r="A86" s="7">
        <v>4</v>
      </c>
      <c r="B86" s="7">
        <v>4</v>
      </c>
    </row>
    <row r="87" spans="1:2" x14ac:dyDescent="0.25">
      <c r="A87" s="7">
        <v>3</v>
      </c>
      <c r="B87" s="7">
        <v>3</v>
      </c>
    </row>
    <row r="88" spans="1:2" x14ac:dyDescent="0.25">
      <c r="A88" s="7">
        <v>2</v>
      </c>
      <c r="B88" s="7">
        <v>5</v>
      </c>
    </row>
    <row r="89" spans="1:2" x14ac:dyDescent="0.25">
      <c r="A89" s="7">
        <v>4</v>
      </c>
      <c r="B89" s="7">
        <v>4</v>
      </c>
    </row>
    <row r="90" spans="1:2" x14ac:dyDescent="0.25">
      <c r="A90" s="7">
        <v>5</v>
      </c>
      <c r="B90" s="7">
        <v>4</v>
      </c>
    </row>
    <row r="91" spans="1:2" x14ac:dyDescent="0.25">
      <c r="A91" s="7">
        <v>3</v>
      </c>
      <c r="B91" s="7">
        <v>3</v>
      </c>
    </row>
    <row r="92" spans="1:2" x14ac:dyDescent="0.25">
      <c r="A92" s="7">
        <v>2</v>
      </c>
      <c r="B92" s="7">
        <v>3</v>
      </c>
    </row>
    <row r="93" spans="1:2" x14ac:dyDescent="0.25">
      <c r="A93" s="7">
        <v>5</v>
      </c>
      <c r="B93" s="7">
        <v>5</v>
      </c>
    </row>
    <row r="94" spans="1:2" x14ac:dyDescent="0.25">
      <c r="A94" s="7">
        <v>4</v>
      </c>
      <c r="B94" s="7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2026-06-01T18:18:22Z</dcterms:modified>
</cp:coreProperties>
</file>
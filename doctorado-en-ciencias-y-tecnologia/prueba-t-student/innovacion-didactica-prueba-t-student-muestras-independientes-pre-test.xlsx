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tabRatio="991"/>
  </bookViews>
  <sheets>
    <sheet name="Resumen" sheetId="27" r:id="rId1"/>
    <sheet name="Participas-actividades" sheetId="1" r:id="rId2"/>
    <sheet name="Comprensión-contenidos" sheetId="17" r:id="rId3"/>
    <sheet name="Herramientas-tecnológicas" sheetId="19" r:id="rId4"/>
    <sheet name="Recursos-tecnológicos" sheetId="18" r:id="rId5"/>
    <sheet name="Percepción-evaluaciones" sheetId="20" r:id="rId6"/>
    <sheet name="Retroalimentación-oportuna" sheetId="21" r:id="rId7"/>
    <sheet name="Calificación" sheetId="22" r:id="rId8"/>
    <sheet name="Nivel-comprensión" sheetId="23" r:id="rId9"/>
    <sheet name="Habilidades-tareas" sheetId="24" r:id="rId10"/>
    <sheet name="Resolución-problemas" sheetId="25" r:id="rId11"/>
    <sheet name="Motivación" sheetId="26" r:id="rId12"/>
  </sheets>
  <calcPr calcId="152511"/>
</workbook>
</file>

<file path=xl/calcChain.xml><?xml version="1.0" encoding="utf-8"?>
<calcChain xmlns="http://schemas.openxmlformats.org/spreadsheetml/2006/main">
  <c r="F12" i="27" l="1"/>
  <c r="F11" i="27"/>
  <c r="F10" i="27"/>
  <c r="F9" i="27"/>
  <c r="F8" i="27"/>
  <c r="F7" i="27"/>
  <c r="F6" i="27"/>
  <c r="F5" i="27"/>
  <c r="F4" i="27"/>
  <c r="F3" i="27"/>
  <c r="F2" i="27"/>
  <c r="E12" i="27"/>
  <c r="E11" i="27"/>
  <c r="E10" i="27"/>
  <c r="E9" i="27"/>
  <c r="E8" i="27"/>
  <c r="E7" i="27"/>
  <c r="E6" i="27"/>
  <c r="E5" i="27"/>
  <c r="E4" i="27"/>
  <c r="E3" i="27"/>
  <c r="E2" i="27"/>
  <c r="D12" i="27"/>
  <c r="D11" i="27"/>
  <c r="D10" i="27"/>
  <c r="D9" i="27"/>
  <c r="D8" i="27"/>
  <c r="D7" i="27"/>
  <c r="D6" i="27"/>
  <c r="D5" i="27"/>
  <c r="D4" i="27"/>
  <c r="D3" i="27"/>
  <c r="D2" i="27"/>
  <c r="C2" i="27"/>
  <c r="C12" i="27"/>
  <c r="C11" i="27"/>
  <c r="C10" i="27"/>
  <c r="C9" i="27"/>
  <c r="C8" i="27"/>
  <c r="C7" i="27"/>
  <c r="C6" i="27"/>
  <c r="C5" i="27"/>
  <c r="C4" i="27"/>
  <c r="C3" i="27"/>
  <c r="B12" i="27"/>
  <c r="B11" i="27"/>
  <c r="B10" i="27"/>
  <c r="B9" i="27"/>
  <c r="B8" i="27"/>
  <c r="B7" i="27"/>
  <c r="B6" i="27"/>
  <c r="B5" i="27"/>
  <c r="B2" i="27"/>
  <c r="B3" i="27"/>
  <c r="B4" i="27"/>
  <c r="E8" i="19" l="1"/>
  <c r="E6" i="1"/>
  <c r="E5" i="1"/>
  <c r="E4" i="1"/>
  <c r="E3" i="1"/>
  <c r="E2" i="1"/>
  <c r="E2" i="19"/>
  <c r="E12" i="19"/>
  <c r="E6" i="19"/>
  <c r="E5" i="19"/>
  <c r="E4" i="19"/>
  <c r="E3" i="19"/>
  <c r="E56" i="26" l="1"/>
  <c r="D74" i="26" s="1"/>
  <c r="E55" i="26"/>
  <c r="D73" i="26" s="1"/>
  <c r="E12" i="26"/>
  <c r="E11" i="26"/>
  <c r="E10" i="26"/>
  <c r="E9" i="26"/>
  <c r="E8" i="26"/>
  <c r="E6" i="26"/>
  <c r="E5" i="26"/>
  <c r="E4" i="26"/>
  <c r="E3" i="26"/>
  <c r="E2" i="26"/>
  <c r="E56" i="25"/>
  <c r="D74" i="25" s="1"/>
  <c r="E55" i="25"/>
  <c r="D73" i="25" s="1"/>
  <c r="E12" i="25"/>
  <c r="E11" i="25"/>
  <c r="E10" i="25"/>
  <c r="E9" i="25"/>
  <c r="E8" i="25"/>
  <c r="E6" i="25"/>
  <c r="E5" i="25"/>
  <c r="E42" i="25" s="1"/>
  <c r="E4" i="25"/>
  <c r="E3" i="25"/>
  <c r="E2" i="25"/>
  <c r="E56" i="24"/>
  <c r="D74" i="24" s="1"/>
  <c r="E55" i="24"/>
  <c r="D73" i="24" s="1"/>
  <c r="E12" i="24"/>
  <c r="E11" i="24"/>
  <c r="E10" i="24"/>
  <c r="E9" i="24"/>
  <c r="E8" i="24"/>
  <c r="E6" i="24"/>
  <c r="E5" i="24"/>
  <c r="E4" i="24"/>
  <c r="E3" i="24"/>
  <c r="E2" i="24"/>
  <c r="E56" i="23"/>
  <c r="D74" i="23" s="1"/>
  <c r="E55" i="23"/>
  <c r="D73" i="23" s="1"/>
  <c r="E12" i="23"/>
  <c r="E11" i="23"/>
  <c r="E10" i="23"/>
  <c r="E9" i="23"/>
  <c r="E8" i="23"/>
  <c r="E6" i="23"/>
  <c r="E5" i="23"/>
  <c r="E41" i="23" s="1"/>
  <c r="E4" i="23"/>
  <c r="E3" i="23"/>
  <c r="E2" i="23"/>
  <c r="E56" i="22"/>
  <c r="D74" i="22" s="1"/>
  <c r="E55" i="22"/>
  <c r="D73" i="22" s="1"/>
  <c r="E12" i="22"/>
  <c r="E11" i="22"/>
  <c r="E10" i="22"/>
  <c r="E9" i="22"/>
  <c r="E8" i="22"/>
  <c r="E6" i="22"/>
  <c r="E5" i="22"/>
  <c r="E4" i="22"/>
  <c r="E3" i="22"/>
  <c r="E2" i="22"/>
  <c r="E56" i="21"/>
  <c r="D74" i="21" s="1"/>
  <c r="E55" i="21"/>
  <c r="D73" i="21" s="1"/>
  <c r="E12" i="21"/>
  <c r="E11" i="21"/>
  <c r="E43" i="21" s="1"/>
  <c r="E10" i="21"/>
  <c r="E9" i="21"/>
  <c r="E8" i="21"/>
  <c r="E6" i="21"/>
  <c r="E5" i="21"/>
  <c r="E4" i="21"/>
  <c r="E3" i="21"/>
  <c r="E2" i="21"/>
  <c r="E56" i="20"/>
  <c r="D74" i="20" s="1"/>
  <c r="E55" i="20"/>
  <c r="D73" i="20" s="1"/>
  <c r="E12" i="20"/>
  <c r="E11" i="20"/>
  <c r="E10" i="20"/>
  <c r="E9" i="20"/>
  <c r="E8" i="20"/>
  <c r="E6" i="20"/>
  <c r="E5" i="20"/>
  <c r="E41" i="20" s="1"/>
  <c r="E4" i="20"/>
  <c r="E3" i="20"/>
  <c r="E2" i="20"/>
  <c r="E56" i="19"/>
  <c r="D74" i="19" s="1"/>
  <c r="E55" i="19"/>
  <c r="D73" i="19" s="1"/>
  <c r="E11" i="19"/>
  <c r="E10" i="19"/>
  <c r="E9" i="19"/>
  <c r="E29" i="19"/>
  <c r="E56" i="18"/>
  <c r="D74" i="18" s="1"/>
  <c r="E55" i="18"/>
  <c r="D73" i="18" s="1"/>
  <c r="E12" i="18"/>
  <c r="E11" i="18"/>
  <c r="E10" i="18"/>
  <c r="E9" i="18"/>
  <c r="E8" i="18"/>
  <c r="E6" i="18"/>
  <c r="E5" i="18"/>
  <c r="E4" i="18"/>
  <c r="E3" i="18"/>
  <c r="E2" i="18"/>
  <c r="E56" i="17"/>
  <c r="D74" i="17" s="1"/>
  <c r="E55" i="17"/>
  <c r="D73" i="17" s="1"/>
  <c r="E12" i="17"/>
  <c r="E11" i="17"/>
  <c r="E10" i="17"/>
  <c r="E9" i="17"/>
  <c r="E8" i="17"/>
  <c r="E6" i="17"/>
  <c r="E5" i="17"/>
  <c r="E4" i="17"/>
  <c r="E3" i="17"/>
  <c r="E2" i="17"/>
  <c r="E43" i="25" l="1"/>
  <c r="E43" i="20"/>
  <c r="E42" i="24"/>
  <c r="E43" i="22"/>
  <c r="E41" i="17"/>
  <c r="E42" i="26"/>
  <c r="E43" i="26"/>
  <c r="E41" i="26"/>
  <c r="E29" i="26"/>
  <c r="E29" i="25"/>
  <c r="E41" i="25"/>
  <c r="E45" i="25" s="1"/>
  <c r="E43" i="24"/>
  <c r="E41" i="24"/>
  <c r="E29" i="24"/>
  <c r="E29" i="23"/>
  <c r="E43" i="23"/>
  <c r="E42" i="23"/>
  <c r="E45" i="23" s="1"/>
  <c r="E42" i="22"/>
  <c r="E41" i="22"/>
  <c r="E29" i="22"/>
  <c r="E41" i="21"/>
  <c r="E42" i="21"/>
  <c r="E29" i="21"/>
  <c r="E42" i="20"/>
  <c r="E29" i="20"/>
  <c r="E43" i="19"/>
  <c r="E42" i="19"/>
  <c r="E41" i="19"/>
  <c r="E42" i="18"/>
  <c r="E29" i="18"/>
  <c r="E43" i="18"/>
  <c r="E41" i="18"/>
  <c r="E43" i="17"/>
  <c r="E42" i="17"/>
  <c r="E29" i="17"/>
  <c r="E45" i="20" l="1"/>
  <c r="E52" i="20" s="1"/>
  <c r="D67" i="20" s="1"/>
  <c r="E45" i="19"/>
  <c r="E53" i="19" s="1"/>
  <c r="D68" i="19" s="1"/>
  <c r="E45" i="24"/>
  <c r="E53" i="24" s="1"/>
  <c r="D68" i="24" s="1"/>
  <c r="E45" i="22"/>
  <c r="E53" i="22" s="1"/>
  <c r="D68" i="22" s="1"/>
  <c r="E45" i="21"/>
  <c r="E53" i="21" s="1"/>
  <c r="D68" i="21" s="1"/>
  <c r="E45" i="26"/>
  <c r="E53" i="26" s="1"/>
  <c r="D68" i="26" s="1"/>
  <c r="E53" i="25"/>
  <c r="D68" i="25" s="1"/>
  <c r="E52" i="25"/>
  <c r="D67" i="25" s="1"/>
  <c r="E53" i="23"/>
  <c r="D68" i="23" s="1"/>
  <c r="E52" i="23"/>
  <c r="D67" i="23" s="1"/>
  <c r="E45" i="18"/>
  <c r="E52" i="18" s="1"/>
  <c r="D67" i="18" s="1"/>
  <c r="E45" i="17"/>
  <c r="E52" i="17" s="1"/>
  <c r="D67" i="17" s="1"/>
  <c r="E56" i="1"/>
  <c r="D74" i="1" s="1"/>
  <c r="E55" i="1"/>
  <c r="D73" i="1" s="1"/>
  <c r="E53" i="20" l="1"/>
  <c r="D68" i="20" s="1"/>
  <c r="E52" i="19"/>
  <c r="D67" i="19" s="1"/>
  <c r="E52" i="26"/>
  <c r="D67" i="26" s="1"/>
  <c r="E52" i="24"/>
  <c r="D67" i="24" s="1"/>
  <c r="E52" i="22"/>
  <c r="D67" i="22" s="1"/>
  <c r="E52" i="21"/>
  <c r="D67" i="21" s="1"/>
  <c r="E53" i="18"/>
  <c r="D68" i="18" s="1"/>
  <c r="E53" i="17"/>
  <c r="D68" i="17" s="1"/>
  <c r="E12" i="1"/>
  <c r="E11" i="1"/>
  <c r="E10" i="1"/>
  <c r="E9" i="1"/>
  <c r="E8" i="1"/>
  <c r="E29" i="1" l="1"/>
  <c r="E42" i="1"/>
  <c r="E41" i="1"/>
  <c r="E43" i="1"/>
  <c r="E45" i="1" l="1"/>
  <c r="E53" i="1" l="1"/>
  <c r="D68" i="1" s="1"/>
  <c r="E52" i="1"/>
  <c r="D67" i="1" s="1"/>
</calcChain>
</file>

<file path=xl/sharedStrings.xml><?xml version="1.0" encoding="utf-8"?>
<sst xmlns="http://schemas.openxmlformats.org/spreadsheetml/2006/main" count="358" uniqueCount="66">
  <si>
    <r>
      <t>Mediana (Me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</si>
  <si>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Moda (Mo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</si>
  <si>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Mediana (Me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</si>
  <si>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Moda (Mo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</si>
  <si>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t>n1</t>
  </si>
  <si>
    <t>n2</t>
  </si>
  <si>
    <t>t de student</t>
  </si>
  <si>
    <t>df grados de libertad</t>
  </si>
  <si>
    <t>parte 1</t>
  </si>
  <si>
    <t>parte 2</t>
  </si>
  <si>
    <t>parte 3</t>
  </si>
  <si>
    <t>Valor de t</t>
  </si>
  <si>
    <t>Buscar Tabla</t>
  </si>
  <si>
    <t>Nivel de significancia (α) (para dos colas)</t>
  </si>
  <si>
    <r>
      <t>Desviacion Tipica o Estandar (S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</si>
  <si>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Desviacion Tipica o Estandar (S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</si>
  <si>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</si>
  <si>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</si>
  <si>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</si>
  <si>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</si>
  <si>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t>Hipotesis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</si>
  <si>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</si>
  <si>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</si>
  <si>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</si>
  <si>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r>
      <t>(Sin Innovacion Didactica) 
Grupo Control - Pre-test</t>
    </r>
    <r>
      <rPr>
        <sz val="11"/>
        <color theme="1"/>
        <rFont val="Calibri"/>
        <family val="2"/>
        <scheme val="minor"/>
      </rPr>
      <t xml:space="preserve">
Participó_activamente
a) Siempre = 5
b) Frecuente = 4
c) A veces = 3
d) Raro = 2
e) Nunca = 1</t>
    </r>
  </si>
  <si>
    <r>
      <t xml:space="preserve">(Sin Innovacion Didactica) 
Grupo Control - Pre-test   </t>
    </r>
    <r>
      <rPr>
        <sz val="11"/>
        <color theme="1"/>
        <rFont val="Calibri"/>
        <family val="2"/>
        <scheme val="minor"/>
      </rPr>
      <t xml:space="preserve">         
Comprensión-contenidos
a) Siempre = 5
b) Muchas veces = 4
c) A veces = 3
d) Pocas veces = 2 
e) Nunca = 1</t>
    </r>
  </si>
  <si>
    <r>
      <t>(Sin Innovacion Didactica) 
Grupo Experimental - Pre-test</t>
    </r>
    <r>
      <rPr>
        <sz val="11"/>
        <color theme="1"/>
        <rFont val="Calibri"/>
        <family val="2"/>
        <scheme val="minor"/>
      </rPr>
      <t xml:space="preserve">
Participó_activamente
a) Siempre = 5
b) Frecuente = 4
c) A veces = 3
d) Raro = 2
e) Nunca = 1</t>
    </r>
  </si>
  <si>
    <r>
      <t xml:space="preserve">(Sin Innovacion Didactica) 
Grupo Experimental - Pre-test       </t>
    </r>
    <r>
      <rPr>
        <sz val="11"/>
        <color theme="1"/>
        <rFont val="Calibri"/>
        <family val="2"/>
        <scheme val="minor"/>
      </rPr>
      <t xml:space="preserve">     
Comprensión-contenidos
a) Siempre = 5
b) Muchas veces = 4
c) A veces = 3
d) Pocas veces = 2 
e) Nunca = 1</t>
    </r>
  </si>
  <si>
    <r>
      <t xml:space="preserve">(Sin Innovacion Didactica) 
Grupo Control - Pre-test
</t>
    </r>
    <r>
      <rPr>
        <sz val="11"/>
        <color theme="1"/>
        <rFont val="Calibri"/>
        <family val="2"/>
        <scheme val="minor"/>
      </rPr>
      <t>Herramientas-tecnológicas
a) Siempre = 5
b) Frecuente = 4
c) A veces = 3
d) Raro = 2
e) Nunca = 1</t>
    </r>
  </si>
  <si>
    <r>
      <t xml:space="preserve">(Sin Innovacion Didactica) 
Grupo control - Pre-test   </t>
    </r>
    <r>
      <rPr>
        <sz val="11"/>
        <color theme="1"/>
        <rFont val="Calibri"/>
        <family val="2"/>
        <scheme val="minor"/>
      </rPr>
      <t xml:space="preserve">         
Recursos-tecnológicos
a) Siempre = 5
b) Muchas veces = 4
c) A veces = 3
d) Pocas veces = 2 
e) Nunca = 1</t>
    </r>
  </si>
  <si>
    <r>
      <t xml:space="preserve">(Sin Innovacion Didactica) 
Grupo Experimental - Pre-test           </t>
    </r>
    <r>
      <rPr>
        <sz val="11"/>
        <color theme="1"/>
        <rFont val="Calibri"/>
        <family val="2"/>
        <scheme val="minor"/>
      </rPr>
      <t xml:space="preserve">     
Recursos-tecnológicos
a) Siempre = 5
b) Muchas veces = 4
c) A veces = 3
d) Pocas veces = 2 
e) Nunca = 1</t>
    </r>
  </si>
  <si>
    <r>
      <t xml:space="preserve">(Sin Innovacion Didactica) 
Grupo Experimental - Pre-test
</t>
    </r>
    <r>
      <rPr>
        <sz val="11"/>
        <color theme="1"/>
        <rFont val="Calibri"/>
        <family val="2"/>
        <scheme val="minor"/>
      </rPr>
      <t>Herramientas-tecnológicas
a) Siempre = 5
b) Frecuente = 4
c) A veces = 3
d) Raro = 2
e) Nunca = 1</t>
    </r>
  </si>
  <si>
    <r>
      <t xml:space="preserve">(Sin Innovacion Didactica) 
Grupo Control - Pre-test
</t>
    </r>
    <r>
      <rPr>
        <sz val="11"/>
        <color theme="1"/>
        <rFont val="Calibri"/>
        <family val="2"/>
        <scheme val="minor"/>
      </rPr>
      <t>Percepción-evaluaciones
a) Siempre = 5
b) Frecuente = 4
c) A veces = 3
d) Raro = 2
e) Nunca = 1</t>
    </r>
  </si>
  <si>
    <r>
      <t xml:space="preserve">(Sin Innovacion Didactica) 
Grupo Experimental - Pre-test
</t>
    </r>
    <r>
      <rPr>
        <sz val="11"/>
        <color theme="1"/>
        <rFont val="Calibri"/>
        <family val="2"/>
        <scheme val="minor"/>
      </rPr>
      <t>Percepción-evaluaciones
a) Siempre = 5
b) Frecuente = 4
c) A veces = 3
d) Raro = 2
e) Nunca = 1</t>
    </r>
  </si>
  <si>
    <r>
      <t xml:space="preserve">(Sin Innovacion Didactica) 
Grupo Control - Pre-test   </t>
    </r>
    <r>
      <rPr>
        <sz val="11"/>
        <color theme="1"/>
        <rFont val="Calibri"/>
        <family val="2"/>
        <scheme val="minor"/>
      </rPr>
      <t xml:space="preserve">         
Retroalimentación-oportuna
a) Siempre = 5
b) Muchas veces = 4
c) A veces = 3
d) Pocas veces = 2 
e) Nunca = 1</t>
    </r>
  </si>
  <si>
    <r>
      <t xml:space="preserve">(Sin Innovacion Didactica) 
Grupo Experimental - Pre-test       </t>
    </r>
    <r>
      <rPr>
        <sz val="11"/>
        <color theme="1"/>
        <rFont val="Calibri"/>
        <family val="2"/>
        <scheme val="minor"/>
      </rPr>
      <t xml:space="preserve">     
Retroalimentación-oportuna
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</si>
  <si>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 xml:space="preserve">(Sin Innovacion Didactica)  
Grupo Control - Pre-test
</t>
    </r>
    <r>
      <rPr>
        <sz val="11"/>
        <color theme="1"/>
        <rFont val="Calibri"/>
        <family val="2"/>
        <scheme val="minor"/>
      </rPr>
      <t>Calificación
a) 81 - 100 = 5
b) 61 - 80 = 4
c) 41 - 60 = 3
d) 21 - 40 = 2
e) 0 - 20 = 1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</si>
  <si>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1"/>
        <color rgb="FFC00000"/>
        <rFont val="Calibri"/>
        <family val="2"/>
        <scheme val="minor"/>
      </rPr>
      <t xml:space="preserve">(Sin Innovacion Didactica)  
Grupo Experimental - Pre-test
</t>
    </r>
    <r>
      <rPr>
        <sz val="11"/>
        <color theme="1"/>
        <rFont val="Calibri"/>
        <family val="2"/>
        <scheme val="minor"/>
      </rPr>
      <t>Calificación
a) 81 - 100 = 5
b) 61 - 80 = 4
c) 41 - 60 = 3
d) 21 - 40 = 2
e) 0 - 20 = 1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</si>
  <si>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(Sin Innovacion Didactica) 
Grupo Control - Pre-test
</t>
    </r>
    <r>
      <rPr>
        <sz val="11"/>
        <color theme="1"/>
        <rFont val="Calibri"/>
        <family val="2"/>
        <scheme val="minor"/>
      </rPr>
      <t>Nivel-comprensión</t>
    </r>
    <r>
      <rPr>
        <sz val="11"/>
        <color rgb="FFC0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a) Muy Bueno = 5
b) bueno = 4
c) Regular = 3
d) Malo = 2
e) Muy malo = 1</t>
    </r>
  </si>
  <si>
    <r>
      <t xml:space="preserve">(Sin Innovacion Didactica) 
Grupo Experimental - Pre-test
</t>
    </r>
    <r>
      <rPr>
        <sz val="11"/>
        <color theme="1"/>
        <rFont val="Calibri"/>
        <family val="2"/>
        <scheme val="minor"/>
      </rPr>
      <t>Nivel-comprensión</t>
    </r>
    <r>
      <rPr>
        <sz val="11"/>
        <color rgb="FFC0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a) Muy Bueno = 5
b) bueno = 4
c) Regular = 3
d) Malo = 2
e) Muy malo = 1</t>
    </r>
  </si>
  <si>
    <r>
      <t xml:space="preserve">(Sin Innovacion Didactica) 
Grupo Control - Pre-test
</t>
    </r>
    <r>
      <rPr>
        <sz val="11"/>
        <color theme="1"/>
        <rFont val="Calibri"/>
        <family val="2"/>
        <scheme val="minor"/>
      </rPr>
      <t>Habilidades-tareas
a) Siempre = 5
b) Muchas veces = 4
c) A veces = 3
d) Pocas veces = 2
e) Nunca = 1</t>
    </r>
  </si>
  <si>
    <r>
      <t xml:space="preserve">(Sin Innovacion Didactica) 
Grupo Experimental - Pre-test
</t>
    </r>
    <r>
      <rPr>
        <sz val="11"/>
        <color theme="1"/>
        <rFont val="Calibri"/>
        <family val="2"/>
        <scheme val="minor"/>
      </rPr>
      <t>Habilidades-tareas
a) Siempre = 5
b) Muchas veces = 4
c) A veces = 3
d) Pocas veces = 2
e) Nunca = 1</t>
    </r>
  </si>
  <si>
    <r>
      <t xml:space="preserve">(Sin Innovacion Didactica) 
Grupo Control - Pre-test
</t>
    </r>
    <r>
      <rPr>
        <sz val="11"/>
        <color theme="1"/>
        <rFont val="Calibri"/>
        <family val="2"/>
        <scheme val="minor"/>
      </rPr>
      <t>Resolución-problemas
a) Siempre = 5
b) Frecuente = 4
c) A veces = 3
d) Raro = 2
e) Nunca = 1</t>
    </r>
    <r>
      <rPr>
        <sz val="11"/>
        <color rgb="FFC00000"/>
        <rFont val="Calibri"/>
        <family val="2"/>
        <scheme val="minor"/>
      </rPr>
      <t xml:space="preserve">
</t>
    </r>
  </si>
  <si>
    <r>
      <t xml:space="preserve">(Sin Innovacion Didactica) 
Grupo Control - Pre-test
</t>
    </r>
    <r>
      <rPr>
        <sz val="11"/>
        <color theme="1"/>
        <rFont val="Calibri"/>
        <family val="2"/>
        <scheme val="minor"/>
      </rPr>
      <t>Motivación
a) Muy Alta = 5
b) Alta = 4
c) Regular = 3
d) Baja = 2
e) Muy Baja = 1</t>
    </r>
    <r>
      <rPr>
        <sz val="11"/>
        <color rgb="FFC00000"/>
        <rFont val="Calibri"/>
        <family val="2"/>
        <scheme val="minor"/>
      </rPr>
      <t xml:space="preserve">
</t>
    </r>
  </si>
  <si>
    <r>
      <t>(Sin Innovacion Didactica)
Grupo Experimental - Pre-test</t>
    </r>
    <r>
      <rPr>
        <sz val="11"/>
        <color theme="1"/>
        <rFont val="Calibri"/>
        <family val="2"/>
        <scheme val="minor"/>
      </rPr>
      <t xml:space="preserve">
Motivación
a) Muy Alta = 5
b) Alta = 4
c) Regular = 3
d) Baja = 2
e) Muy Baja = 1</t>
    </r>
  </si>
  <si>
    <r>
      <t xml:space="preserve">(Sin Innovacion Didactica)
Grupo Experimental - Pre-test
</t>
    </r>
    <r>
      <rPr>
        <sz val="11"/>
        <color theme="1"/>
        <rFont val="Calibri"/>
        <family val="2"/>
        <scheme val="minor"/>
      </rPr>
      <t>Resolución-problemas
a) Siempre = 5
b) Frecuente = 4
c) A veces = 3
d) Raro = 2
e) Nunca = 1</t>
    </r>
  </si>
  <si>
    <r>
      <t>Media (X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 Grupo Control</t>
    </r>
  </si>
  <si>
    <r>
      <t>Media (X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 Grupo Experimental</t>
    </r>
  </si>
  <si>
    <r>
      <t xml:space="preserve">Si </t>
    </r>
    <r>
      <rPr>
        <sz val="11"/>
        <color rgb="FF00B050"/>
        <rFont val="Calibri"/>
        <family val="2"/>
        <scheme val="minor"/>
      </rPr>
      <t>p valor</t>
    </r>
    <r>
      <rPr>
        <sz val="11"/>
        <color rgb="FFC00000"/>
        <rFont val="Calibri"/>
        <family val="2"/>
        <scheme val="minor"/>
      </rPr>
      <t xml:space="preserve"> &lt; Nivel Significancia</t>
    </r>
  </si>
  <si>
    <t>Indicador</t>
  </si>
  <si>
    <t>T
Calculado</t>
  </si>
  <si>
    <t>T Critico
2 Colas</t>
  </si>
  <si>
    <t>T Critico
1 Cola</t>
  </si>
  <si>
    <t>P valor
2 Colas</t>
  </si>
  <si>
    <t>P valor
1 Cola</t>
  </si>
  <si>
    <t>Participo actividades</t>
  </si>
  <si>
    <t>Comprensión contenidos</t>
  </si>
  <si>
    <t>Herramientas tecnológicas</t>
  </si>
  <si>
    <t>Recursos tecnológicos</t>
  </si>
  <si>
    <t>Percepción evaluaciones</t>
  </si>
  <si>
    <t>Retroalimentación oportuna</t>
  </si>
  <si>
    <t>Calificación</t>
  </si>
  <si>
    <t>Nivel comprensión</t>
  </si>
  <si>
    <t>Habilidades tareas</t>
  </si>
  <si>
    <t>Resolución problemas</t>
  </si>
  <si>
    <t>Motivación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</si>
</sst>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2" fillId="0" borderId="0"/>
  </cellStyleXfs>
  <cellXfs count="16">
    <xf numFmtId="0" fontId="0" fillId="0" borderId="0" xfId="0"/>
    <xf numFmtId="0" fontId="2" fillId="3" borderId="3" xfId="2" applyBorder="1"/>
    <xf numFmtId="0" fontId="3" fillId="4" borderId="1" xfId="3"/>
    <xf numFmtId="0" fontId="1" fillId="2" borderId="3" xfId="1" applyBorder="1"/>
    <xf numFmtId="0" fontId="2" fillId="3" borderId="0" xfId="2" applyBorder="1"/>
    <xf numFmtId="0" fontId="1" fillId="2" borderId="0" xfId="1"/>
    <xf numFmtId="0" fontId="4" fillId="5" borderId="2" xfId="4"/>
    <xf numFmtId="0" fontId="0" fillId="0" borderId="0" xfId="0" applyAlignment="1">
      <alignment horizontal="center"/>
    </xf>
    <xf numFmtId="0" fontId="9" fillId="0" borderId="4" xfId="0" applyFont="1" applyBorder="1" applyAlignment="1">
      <alignment horizontal="center" vertical="top" wrapText="1"/>
    </xf>
    <xf numFmtId="0" fontId="9" fillId="6" borderId="4" xfId="1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14" fillId="0" borderId="4" xfId="0" applyFont="1" applyBorder="1" applyAlignment="1">
      <alignment horizontal="justify" vertical="center" wrapText="1"/>
    </xf>
  </cellXfs>
  <cellStyles count="11">
    <cellStyle name="Buena" xfId="1" builtinId="26"/>
    <cellStyle name="Entrada" xfId="3" builtinId="20"/>
    <cellStyle name="Incorrecto" xfId="2" builtinId="27"/>
    <cellStyle name="Normal" xfId="0" builtinId="0"/>
    <cellStyle name="Normal 2" xfId="7"/>
    <cellStyle name="Normal 2 2" xfId="9"/>
    <cellStyle name="Normal 3" xfId="5"/>
    <cellStyle name="Normal 3 2" xfId="8"/>
    <cellStyle name="Normal 4" xfId="6"/>
    <cellStyle name="Normal 5" xfId="10"/>
    <cellStyle name="Salida" xfId="4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4966" y="3852686"/>
          <a:ext cx="2031023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935" y="65598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8021" y="82427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88021" y="8645770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3780692" y="93125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7684293" y="8620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7684293" y="8620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7698271" y="9682369"/>
          <a:ext cx="2467826" cy="291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7E18131-8F69-4822-840C-25ADA20A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7186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B7F7ECE2-67DD-4C51-8352-46D75D38A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8DB9F1B2-30DE-44A0-994D-EE9034BD4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A516E991-A16A-45FA-99DE-76A3B27C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42522425-5D18-4949-8F80-4B96A446C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497871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9758D304-E02A-48BF-8BB5-2AD7AA64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49EAD59-50F3-4956-B76D-7AC58F372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60086B95-1149-497A-A853-9C6D0495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9A5D6787-7FB8-440B-BB8C-FCA60425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E71F7BEB-FE3B-49CD-A73F-2FCC35227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497871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45A4E578-9FFC-4C4E-B5DD-B269F41C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7186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E21A36E-983F-4351-BEA8-068D5F1B9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8A443A27-E041-44A9-856C-355268B7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5C9B6F7A-F6B7-4CBB-92BF-E160E2D7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7C1142C4-00BA-4BAC-923E-E0A11BAB9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521993" y="14592300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521993" y="14592300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535971" y="15654544"/>
          <a:ext cx="2467826" cy="291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2D1D70F1-FFD7-4540-ADA2-E9F4DB1D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5E2F120-D28C-4BA8-B376-F38967270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31F938C9-5B6A-413B-A79D-53727117F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94727F1F-9107-4167-93A9-1D609D5D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169A5533-AACE-44DD-968A-04ACEE1D4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C267AFF3-BE47-40CA-B1C9-B6C992461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ECAA63AD-CD06-4257-95B9-27579D907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6EEA2082-6FC5-4D9A-9010-0C6BC204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C9A5ED7-7A6D-47BF-934A-E286E67C8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B519E7A1-6CB7-4645-8F08-841FB44E4D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89F52E8B-8C6E-4599-89F5-E149DDA7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50242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89FDA9D7-3D0E-4062-AFE8-2DF26F955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7314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11493BE7-F811-4FF9-8339-895FCBA46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4143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47AFA635-8C7F-4838-9829-6480FEB0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8151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A2C9199F-F392-4A41-9ED6-25EDE51E16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4078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166E40C-121D-4BC7-ACA9-9C07EDD2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813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AA3E7832-84BA-4D50-92C8-3BE5D618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C555F114-99E6-4839-AA16-B526A188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87937A26-9B02-4BBA-B478-26C3F072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FFD1BFCF-2EA1-47A2-9904-5C30B7851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2922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4A7E89F-7E63-4CF4-8936-839C5938C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504331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24A5661-84C7-40C3-B356-3DA3BB917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7504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A0501E2E-1A19-4313-B417-3F5B7D89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4334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23D6026B-0E53-479C-9F2C-E0EE250A5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8341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FCF378D2-8253-49ED-80F2-CBF0D257D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4269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31497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63B85410-A6C5-4FE3-ACDC-B9E8D7BE5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432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B17ACE87-F854-4DEA-BBD7-B78091F98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504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79DEF1E7-B14F-4C8B-9930-E79FDA50C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333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E40B7891-5DA4-4152-B7E1-0DC8DDF4E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341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3D0F386A-17AE-4EFA-9431-8B5147C00D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269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DAF456B-33AD-4CF0-B72A-2C6BD6AB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432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185A7C6-7F74-45F8-82B1-6851C0F69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504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FBF29B3C-211B-4E97-A565-26A139501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333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606B44F7-E925-453D-9B42-0AA67F62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341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6B005975-7130-485D-A6B7-416A5FE8C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269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12447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45" zoomScaleNormal="145" workbookViewId="0">
      <selection activeCell="H4" sqref="H4"/>
    </sheetView>
  </sheetViews>
  <sheetFormatPr baseColWidth="10" defaultRowHeight="15" x14ac:dyDescent="0.25"/>
  <cols>
    <col min="1" max="1" width="23.85546875" bestFit="1" customWidth="1"/>
    <col min="6" max="6" width="12.5703125" customWidth="1"/>
  </cols>
  <sheetData>
    <row r="1" spans="1:6" ht="30" x14ac:dyDescent="0.25">
      <c r="A1" s="13" t="s">
        <v>49</v>
      </c>
      <c r="B1" s="14" t="s">
        <v>50</v>
      </c>
      <c r="C1" s="14" t="s">
        <v>51</v>
      </c>
      <c r="D1" s="14" t="s">
        <v>52</v>
      </c>
      <c r="E1" s="14" t="s">
        <v>53</v>
      </c>
      <c r="F1" s="14" t="s">
        <v>54</v>
      </c>
    </row>
    <row r="2" spans="1:6" x14ac:dyDescent="0.25">
      <c r="A2" s="15" t="s">
        <v>55</v>
      </c>
      <c r="B2" s="15">
        <f>ROUND('Participas-actividades'!E29, 4)</f>
        <v>1.4992000000000001</v>
      </c>
      <c r="C2" s="15">
        <f>ROUND('Participas-actividades'!E52, 4)</f>
        <v>1.9730000000000001</v>
      </c>
      <c r="D2" s="15">
        <f>ROUND('Participas-actividades'!E53, 4)</f>
        <v>-1.6532</v>
      </c>
      <c r="E2" s="15">
        <f>ROUND('Participas-actividades'!E55, 4)</f>
        <v>0.13550000000000001</v>
      </c>
      <c r="F2" s="15">
        <f>ROUND('Participas-actividades'!E56, 4)</f>
        <v>6.7799999999999999E-2</v>
      </c>
    </row>
    <row r="3" spans="1:6" x14ac:dyDescent="0.25">
      <c r="A3" s="15" t="s">
        <v>56</v>
      </c>
      <c r="B3" s="15">
        <f>ROUND('Comprensión-contenidos'!E29, 4)</f>
        <v>-1.2798</v>
      </c>
      <c r="C3" s="15">
        <f>ROUND('Comprensión-contenidos'!E52, 4)</f>
        <v>1.9730000000000001</v>
      </c>
      <c r="D3" s="15">
        <f>ROUND('Comprensión-contenidos'!E53, 4)</f>
        <v>-1.6532</v>
      </c>
      <c r="E3" s="15">
        <f>ROUND('Comprensión-contenidos'!E55, 4)</f>
        <v>0.20219999999999999</v>
      </c>
      <c r="F3" s="15">
        <f>ROUND('Comprensión-contenidos'!E56, 4)</f>
        <v>0.1011</v>
      </c>
    </row>
    <row r="4" spans="1:6" x14ac:dyDescent="0.25">
      <c r="A4" s="15" t="s">
        <v>57</v>
      </c>
      <c r="B4" s="15">
        <f>ROUND('Herramientas-tecnológicas'!E29, 4)</f>
        <v>-1.7053</v>
      </c>
      <c r="C4" s="15">
        <f>ROUND('Herramientas-tecnológicas'!E52, 4)</f>
        <v>1.9730000000000001</v>
      </c>
      <c r="D4" s="15">
        <f>ROUND('Herramientas-tecnológicas'!E53, 4)</f>
        <v>-1.6532</v>
      </c>
      <c r="E4" s="15">
        <f>ROUND('Herramientas-tecnológicas'!E55, 4)</f>
        <v>8.9800000000000005E-2</v>
      </c>
      <c r="F4" s="15">
        <f>ROUND('Herramientas-tecnológicas'!E56, 4)</f>
        <v>4.4900000000000002E-2</v>
      </c>
    </row>
    <row r="5" spans="1:6" x14ac:dyDescent="0.25">
      <c r="A5" s="15" t="s">
        <v>58</v>
      </c>
      <c r="B5" s="15">
        <f>ROUND('Recursos-tecnológicos'!E29, 4)</f>
        <v>1.5647</v>
      </c>
      <c r="C5" s="15">
        <f>ROUND('Recursos-tecnológicos'!E52, 4)</f>
        <v>1.9730000000000001</v>
      </c>
      <c r="D5" s="15">
        <f>ROUND('Recursos-tecnológicos'!E53, 4)</f>
        <v>-1.6532</v>
      </c>
      <c r="E5" s="15">
        <f>ROUND('Recursos-tecnológicos'!E55, 4)</f>
        <v>0.11940000000000001</v>
      </c>
      <c r="F5" s="15">
        <f>ROUND('Recursos-tecnológicos'!E56, 4)</f>
        <v>5.9700000000000003E-2</v>
      </c>
    </row>
    <row r="6" spans="1:6" x14ac:dyDescent="0.25">
      <c r="A6" s="15" t="s">
        <v>59</v>
      </c>
      <c r="B6" s="15">
        <f>ROUND('Percepción-evaluaciones'!E29, 4)</f>
        <v>-0.98040000000000005</v>
      </c>
      <c r="C6" s="15">
        <f>ROUND('Percepción-evaluaciones'!E52, 4)</f>
        <v>1.9732000000000001</v>
      </c>
      <c r="D6" s="15">
        <f>ROUND('Percepción-evaluaciones'!E53, 4)</f>
        <v>-1.6533</v>
      </c>
      <c r="E6" s="15">
        <f>ROUND('Percepción-evaluaciones'!E55, 4)</f>
        <v>0.32819999999999999</v>
      </c>
      <c r="F6" s="15">
        <f>ROUND('Percepción-evaluaciones'!E56, 4)</f>
        <v>0.1641</v>
      </c>
    </row>
    <row r="7" spans="1:6" x14ac:dyDescent="0.25">
      <c r="A7" s="15" t="s">
        <v>60</v>
      </c>
      <c r="B7" s="15">
        <f>ROUND('Retroalimentación-oportuna'!E29, 4)</f>
        <v>-2.2782</v>
      </c>
      <c r="C7" s="15">
        <f>ROUND('Retroalimentación-oportuna'!E52, 4)</f>
        <v>1.9731000000000001</v>
      </c>
      <c r="D7" s="15">
        <f>ROUND('Retroalimentación-oportuna'!E53, 4)</f>
        <v>-1.6533</v>
      </c>
      <c r="E7" s="15">
        <f>ROUND('Retroalimentación-oportuna'!E55, 4)</f>
        <v>2.3900000000000001E-2</v>
      </c>
      <c r="F7" s="15">
        <f>ROUND('Retroalimentación-oportuna'!E56, 4)</f>
        <v>1.1900000000000001E-2</v>
      </c>
    </row>
    <row r="8" spans="1:6" x14ac:dyDescent="0.25">
      <c r="A8" s="15" t="s">
        <v>61</v>
      </c>
      <c r="B8" s="15">
        <f>ROUND(Calificación!E29, 4)</f>
        <v>1.6248</v>
      </c>
      <c r="C8" s="15">
        <f>ROUND(Calificación!E52, 4)</f>
        <v>1.9735</v>
      </c>
      <c r="D8" s="15">
        <f>ROUND(Calificación!E53, 4)</f>
        <v>-1.6536</v>
      </c>
      <c r="E8" s="15">
        <f>ROUND(Calificación!E55, 4)</f>
        <v>0.10589999999999999</v>
      </c>
      <c r="F8" s="15">
        <f>ROUND(Calificación!E56, 4)</f>
        <v>5.2999999999999999E-2</v>
      </c>
    </row>
    <row r="9" spans="1:6" x14ac:dyDescent="0.25">
      <c r="A9" s="15" t="s">
        <v>62</v>
      </c>
      <c r="B9" s="15">
        <f>ROUND('Nivel-comprensión'!E29, 4)</f>
        <v>0.19539999999999999</v>
      </c>
      <c r="C9" s="15">
        <f>ROUND('Nivel-comprensión'!E52, 4)</f>
        <v>1.9731000000000001</v>
      </c>
      <c r="D9" s="15">
        <f>ROUND('Nivel-comprensión'!E53, 4)</f>
        <v>-1.6533</v>
      </c>
      <c r="E9" s="15">
        <f>ROUND('Nivel-comprensión'!E55, 4)</f>
        <v>0.84530000000000005</v>
      </c>
      <c r="F9" s="15">
        <f>ROUND('Nivel-comprensión'!E56, 4)</f>
        <v>0.42259999999999998</v>
      </c>
    </row>
    <row r="10" spans="1:6" x14ac:dyDescent="0.25">
      <c r="A10" s="15" t="s">
        <v>63</v>
      </c>
      <c r="B10" s="15">
        <f>ROUND('Habilidades-tareas'!E29, 4)</f>
        <v>1.2274</v>
      </c>
      <c r="C10" s="15">
        <f>ROUND('Habilidades-tareas'!E52, 4)</f>
        <v>1.9730000000000001</v>
      </c>
      <c r="D10" s="15">
        <f>ROUND('Habilidades-tareas'!E53, 4)</f>
        <v>-1.6532</v>
      </c>
      <c r="E10" s="15">
        <f>ROUND('Habilidades-tareas'!E55, 4)</f>
        <v>0.22120000000000001</v>
      </c>
      <c r="F10" s="15">
        <f>ROUND('Habilidades-tareas'!E56, 4)</f>
        <v>0.1106</v>
      </c>
    </row>
    <row r="11" spans="1:6" x14ac:dyDescent="0.25">
      <c r="A11" s="15" t="s">
        <v>64</v>
      </c>
      <c r="B11" s="15">
        <f>ROUND('Resolución-problemas'!E29, 4)</f>
        <v>0.34370000000000001</v>
      </c>
      <c r="C11" s="15">
        <f>ROUND('Resolución-problemas'!E52, 4)</f>
        <v>1.9730000000000001</v>
      </c>
      <c r="D11" s="15">
        <f>ROUND('Resolución-problemas'!E53, 4)</f>
        <v>-1.6532</v>
      </c>
      <c r="E11" s="15">
        <f>ROUND('Resolución-problemas'!E55, 4)</f>
        <v>0.73140000000000005</v>
      </c>
      <c r="F11" s="15">
        <f>ROUND('Resolución-problemas'!E56, 4)</f>
        <v>0.36570000000000003</v>
      </c>
    </row>
    <row r="12" spans="1:6" x14ac:dyDescent="0.25">
      <c r="A12" s="15" t="s">
        <v>65</v>
      </c>
      <c r="B12" s="15">
        <f>ROUND(Motivación!E29, 4)</f>
        <v>-2.3205</v>
      </c>
      <c r="C12" s="15">
        <f>ROUND(Motivación!E52, 4)</f>
        <v>1.9733000000000001</v>
      </c>
      <c r="D12" s="15">
        <f>ROUND(Motivación!E53, 4)</f>
        <v>-1.6534</v>
      </c>
      <c r="E12" s="15">
        <f>ROUND(Motivación!E55, 4)</f>
        <v>2.1399999999999999E-2</v>
      </c>
      <c r="F12" s="15">
        <f>ROUND(Motivación!E56, 4)</f>
        <v>1.0699999999999999E-2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opLeftCell="A46" zoomScale="130" zoomScaleNormal="130" workbookViewId="0">
      <selection activeCell="E55" sqref="E55"/>
    </sheetView>
  </sheetViews>
  <sheetFormatPr baseColWidth="10" defaultColWidth="9.140625" defaultRowHeight="15" x14ac:dyDescent="0.25"/>
  <cols>
    <col min="1" max="1" width="28.42578125" customWidth="1"/>
    <col min="2" max="2" width="29.140625" customWidth="1"/>
    <col min="4" max="4" width="39.140625" customWidth="1"/>
    <col min="5" max="5" width="21.5703125" customWidth="1"/>
    <col min="6" max="6" width="17.85546875" customWidth="1"/>
    <col min="7" max="7" width="20" customWidth="1"/>
  </cols>
  <sheetData>
    <row r="1" spans="1:5" ht="120" x14ac:dyDescent="0.25">
      <c r="A1" s="8" t="s">
        <v>24</v>
      </c>
      <c r="B1" s="8" t="s">
        <v>26</v>
      </c>
    </row>
    <row r="2" spans="1:5" x14ac:dyDescent="0.25">
      <c r="A2" s="7">
        <v>5</v>
      </c>
      <c r="B2" s="7">
        <v>3</v>
      </c>
      <c r="D2" s="1" t="s">
        <v>46</v>
      </c>
      <c r="E2">
        <f>AVERAGE(A:A)</f>
        <v>3.4623655913978495</v>
      </c>
    </row>
    <row r="3" spans="1:5" x14ac:dyDescent="0.25">
      <c r="A3" s="7">
        <v>5</v>
      </c>
      <c r="B3" s="7">
        <v>4</v>
      </c>
      <c r="D3" s="1" t="s">
        <v>0</v>
      </c>
      <c r="E3">
        <f>MEDIAN(A:A)</f>
        <v>3</v>
      </c>
    </row>
    <row r="4" spans="1:5" x14ac:dyDescent="0.25">
      <c r="A4" s="7">
        <v>2</v>
      </c>
      <c r="B4" s="7">
        <v>2</v>
      </c>
      <c r="D4" s="1" t="s">
        <v>1</v>
      </c>
      <c r="E4">
        <f>MODE(A:A)</f>
        <v>3</v>
      </c>
    </row>
    <row r="5" spans="1:5" x14ac:dyDescent="0.25">
      <c r="A5" s="7">
        <v>3</v>
      </c>
      <c r="B5" s="7">
        <v>3</v>
      </c>
      <c r="D5" s="1" t="s">
        <v>15</v>
      </c>
      <c r="E5">
        <f>STDEV(A:A)</f>
        <v>1.0890676086425866</v>
      </c>
    </row>
    <row r="6" spans="1:5" x14ac:dyDescent="0.25">
      <c r="A6" s="7">
        <v>3</v>
      </c>
      <c r="B6" s="7">
        <v>1</v>
      </c>
      <c r="D6" s="4" t="s">
        <v>4</v>
      </c>
      <c r="E6">
        <f>COUNT(A:A)</f>
        <v>93</v>
      </c>
    </row>
    <row r="7" spans="1:5" x14ac:dyDescent="0.25">
      <c r="A7" s="7">
        <v>5</v>
      </c>
      <c r="B7" s="7">
        <v>3</v>
      </c>
    </row>
    <row r="8" spans="1:5" x14ac:dyDescent="0.25">
      <c r="A8" s="7">
        <v>1</v>
      </c>
      <c r="B8" s="7">
        <v>5</v>
      </c>
      <c r="D8" s="3" t="s">
        <v>47</v>
      </c>
      <c r="E8">
        <f>AVERAGE(B:B)</f>
        <v>3.21505376344086</v>
      </c>
    </row>
    <row r="9" spans="1:5" x14ac:dyDescent="0.25">
      <c r="A9" s="7">
        <v>2</v>
      </c>
      <c r="B9" s="7">
        <v>3</v>
      </c>
      <c r="D9" s="3" t="s">
        <v>2</v>
      </c>
      <c r="E9">
        <f>MEDIAN(B:B)</f>
        <v>3</v>
      </c>
    </row>
    <row r="10" spans="1:5" x14ac:dyDescent="0.25">
      <c r="A10" s="7">
        <v>4</v>
      </c>
      <c r="B10" s="7">
        <v>4</v>
      </c>
      <c r="D10" s="3" t="s">
        <v>3</v>
      </c>
      <c r="E10">
        <f>MODE(B:B)</f>
        <v>3</v>
      </c>
    </row>
    <row r="11" spans="1:5" x14ac:dyDescent="0.25">
      <c r="A11" s="7">
        <v>4</v>
      </c>
      <c r="B11" s="7">
        <v>3</v>
      </c>
      <c r="D11" s="3" t="s">
        <v>14</v>
      </c>
      <c r="E11">
        <f>STDEV(B:B)</f>
        <v>1.1595488474776603</v>
      </c>
    </row>
    <row r="12" spans="1:5" x14ac:dyDescent="0.25">
      <c r="A12" s="7">
        <v>4</v>
      </c>
      <c r="B12" s="7">
        <v>5</v>
      </c>
      <c r="D12" s="5" t="s">
        <v>5</v>
      </c>
      <c r="E12">
        <f>COUNT(B:B)</f>
        <v>93</v>
      </c>
    </row>
    <row r="13" spans="1:5" x14ac:dyDescent="0.25">
      <c r="A13" s="7">
        <v>4</v>
      </c>
      <c r="B13" s="7">
        <v>4</v>
      </c>
    </row>
    <row r="14" spans="1:5" x14ac:dyDescent="0.25">
      <c r="A14" s="7">
        <v>3</v>
      </c>
      <c r="B14" s="7">
        <v>2</v>
      </c>
    </row>
    <row r="15" spans="1:5" x14ac:dyDescent="0.25">
      <c r="A15" s="7">
        <v>4</v>
      </c>
      <c r="B15" s="7">
        <v>4</v>
      </c>
    </row>
    <row r="16" spans="1:5" x14ac:dyDescent="0.25">
      <c r="A16" s="7">
        <v>4</v>
      </c>
      <c r="B16" s="7">
        <v>2</v>
      </c>
    </row>
    <row r="17" spans="1:5" x14ac:dyDescent="0.25">
      <c r="A17" s="7">
        <v>3</v>
      </c>
      <c r="B17" s="7">
        <v>4</v>
      </c>
      <c r="D17" s="2" t="s">
        <v>6</v>
      </c>
      <c r="E17" s="2"/>
    </row>
    <row r="18" spans="1:5" x14ac:dyDescent="0.25">
      <c r="A18" s="7">
        <v>5</v>
      </c>
      <c r="B18" s="7">
        <v>3</v>
      </c>
    </row>
    <row r="19" spans="1:5" x14ac:dyDescent="0.25">
      <c r="A19" s="7">
        <v>4</v>
      </c>
      <c r="B19" s="7">
        <v>3</v>
      </c>
    </row>
    <row r="20" spans="1:5" x14ac:dyDescent="0.25">
      <c r="A20" s="7">
        <v>4</v>
      </c>
      <c r="B20" s="7">
        <v>3</v>
      </c>
    </row>
    <row r="21" spans="1:5" x14ac:dyDescent="0.25">
      <c r="A21" s="7">
        <v>4</v>
      </c>
      <c r="B21" s="7">
        <v>4</v>
      </c>
    </row>
    <row r="22" spans="1:5" x14ac:dyDescent="0.25">
      <c r="A22" s="7">
        <v>3</v>
      </c>
      <c r="B22" s="7">
        <v>4</v>
      </c>
    </row>
    <row r="23" spans="1:5" x14ac:dyDescent="0.25">
      <c r="A23" s="7">
        <v>4</v>
      </c>
      <c r="B23" s="7">
        <v>5</v>
      </c>
    </row>
    <row r="24" spans="1:5" x14ac:dyDescent="0.25">
      <c r="A24" s="7">
        <v>3</v>
      </c>
      <c r="B24" s="7">
        <v>4</v>
      </c>
    </row>
    <row r="25" spans="1:5" x14ac:dyDescent="0.25">
      <c r="A25" s="7">
        <v>3</v>
      </c>
      <c r="B25" s="7">
        <v>3</v>
      </c>
    </row>
    <row r="26" spans="1:5" x14ac:dyDescent="0.25">
      <c r="A26" s="7">
        <v>5</v>
      </c>
      <c r="B26" s="7">
        <v>1</v>
      </c>
    </row>
    <row r="27" spans="1:5" x14ac:dyDescent="0.25">
      <c r="A27" s="7">
        <v>3</v>
      </c>
      <c r="B27" s="7">
        <v>2</v>
      </c>
    </row>
    <row r="28" spans="1:5" x14ac:dyDescent="0.25">
      <c r="A28" s="7">
        <v>4</v>
      </c>
      <c r="B28" s="7">
        <v>2</v>
      </c>
    </row>
    <row r="29" spans="1:5" x14ac:dyDescent="0.25">
      <c r="A29" s="7">
        <v>5</v>
      </c>
      <c r="B29" s="7">
        <v>2</v>
      </c>
      <c r="D29" t="s">
        <v>11</v>
      </c>
      <c r="E29">
        <f>(E2-E8)/SQRT(((E5^2)/E6)+((E11^2)/E12))</f>
        <v>1.4992454534244541</v>
      </c>
    </row>
    <row r="30" spans="1:5" x14ac:dyDescent="0.25">
      <c r="A30" s="7">
        <v>2</v>
      </c>
      <c r="B30" s="7">
        <v>3</v>
      </c>
    </row>
    <row r="31" spans="1:5" x14ac:dyDescent="0.25">
      <c r="A31" s="7">
        <v>1</v>
      </c>
      <c r="B31" s="7">
        <v>4</v>
      </c>
      <c r="D31" s="2" t="s">
        <v>7</v>
      </c>
      <c r="E31" s="2"/>
    </row>
    <row r="32" spans="1:5" x14ac:dyDescent="0.25">
      <c r="A32" s="7">
        <v>2</v>
      </c>
      <c r="B32" s="7">
        <v>2</v>
      </c>
    </row>
    <row r="33" spans="1:6" x14ac:dyDescent="0.25">
      <c r="A33" s="7">
        <v>4</v>
      </c>
      <c r="B33" s="7">
        <v>3</v>
      </c>
    </row>
    <row r="34" spans="1:6" x14ac:dyDescent="0.25">
      <c r="A34" s="7">
        <v>5</v>
      </c>
      <c r="B34" s="7">
        <v>3</v>
      </c>
    </row>
    <row r="35" spans="1:6" x14ac:dyDescent="0.25">
      <c r="A35" s="7">
        <v>3</v>
      </c>
      <c r="B35" s="7">
        <v>5</v>
      </c>
    </row>
    <row r="36" spans="1:6" x14ac:dyDescent="0.25">
      <c r="A36" s="7">
        <v>4</v>
      </c>
      <c r="B36" s="7">
        <v>3</v>
      </c>
    </row>
    <row r="37" spans="1:6" x14ac:dyDescent="0.25">
      <c r="A37" s="7">
        <v>5</v>
      </c>
      <c r="B37" s="7">
        <v>3</v>
      </c>
    </row>
    <row r="38" spans="1:6" x14ac:dyDescent="0.25">
      <c r="A38" s="7">
        <v>3</v>
      </c>
      <c r="B38" s="7">
        <v>2</v>
      </c>
    </row>
    <row r="39" spans="1:6" x14ac:dyDescent="0.25">
      <c r="A39" s="7">
        <v>5</v>
      </c>
      <c r="B39" s="7">
        <v>3</v>
      </c>
    </row>
    <row r="40" spans="1:6" x14ac:dyDescent="0.25">
      <c r="A40" s="7">
        <v>2</v>
      </c>
      <c r="B40" s="7">
        <v>4</v>
      </c>
    </row>
    <row r="41" spans="1:6" ht="29.25" customHeight="1" x14ac:dyDescent="0.25">
      <c r="A41" s="7">
        <v>4</v>
      </c>
      <c r="B41" s="7">
        <v>1</v>
      </c>
      <c r="D41" t="s">
        <v>8</v>
      </c>
      <c r="E41">
        <f>(((E5^2)/E6)+((E11^2)/E12))^2</f>
        <v>7.4043781051876727E-4</v>
      </c>
    </row>
    <row r="42" spans="1:6" ht="47.25" customHeight="1" x14ac:dyDescent="0.25">
      <c r="A42" s="7">
        <v>3</v>
      </c>
      <c r="B42" s="7">
        <v>5</v>
      </c>
      <c r="D42" t="s">
        <v>9</v>
      </c>
      <c r="E42">
        <f>(((E5^2)/E6)^2)/(E6-1)</f>
        <v>1.7679323424575592E-6</v>
      </c>
    </row>
    <row r="43" spans="1:6" ht="43.5" customHeight="1" x14ac:dyDescent="0.25">
      <c r="A43" s="7">
        <v>4</v>
      </c>
      <c r="B43" s="7">
        <v>4</v>
      </c>
      <c r="D43" t="s">
        <v>10</v>
      </c>
      <c r="E43">
        <f>(((E11^2)/E12)^2)/(E12-1)</f>
        <v>2.2719693583489831E-6</v>
      </c>
    </row>
    <row r="44" spans="1:6" x14ac:dyDescent="0.25">
      <c r="A44" s="7">
        <v>3</v>
      </c>
      <c r="B44" s="7">
        <v>5</v>
      </c>
    </row>
    <row r="45" spans="1:6" x14ac:dyDescent="0.25">
      <c r="A45" s="7">
        <v>3</v>
      </c>
      <c r="B45" s="7">
        <v>3</v>
      </c>
      <c r="D45" t="s">
        <v>7</v>
      </c>
      <c r="E45">
        <f>E41/(E42+E43)</f>
        <v>183.28114527413953</v>
      </c>
      <c r="F45" s="6" t="s">
        <v>12</v>
      </c>
    </row>
    <row r="46" spans="1:6" x14ac:dyDescent="0.25">
      <c r="A46" s="7">
        <v>4</v>
      </c>
      <c r="B46" s="7">
        <v>2</v>
      </c>
    </row>
    <row r="47" spans="1:6" x14ac:dyDescent="0.25">
      <c r="A47" s="7">
        <v>1</v>
      </c>
      <c r="B47" s="7">
        <v>4</v>
      </c>
      <c r="D47" t="s">
        <v>13</v>
      </c>
      <c r="E47">
        <v>0.05</v>
      </c>
      <c r="F47" s="6" t="s">
        <v>12</v>
      </c>
    </row>
    <row r="48" spans="1:6" x14ac:dyDescent="0.25">
      <c r="A48" s="7">
        <v>3</v>
      </c>
      <c r="B48" s="7">
        <v>2</v>
      </c>
    </row>
    <row r="49" spans="1:5" x14ac:dyDescent="0.25">
      <c r="A49" s="7">
        <v>2</v>
      </c>
      <c r="B49" s="7">
        <v>4</v>
      </c>
    </row>
    <row r="50" spans="1:5" x14ac:dyDescent="0.25">
      <c r="A50" s="7">
        <v>2</v>
      </c>
      <c r="B50" s="7">
        <v>2</v>
      </c>
    </row>
    <row r="51" spans="1:5" x14ac:dyDescent="0.25">
      <c r="A51" s="7">
        <v>3</v>
      </c>
      <c r="B51" s="7">
        <v>2</v>
      </c>
      <c r="D51" s="2"/>
      <c r="E51" s="2"/>
    </row>
    <row r="52" spans="1:5" x14ac:dyDescent="0.25">
      <c r="A52" s="7">
        <v>2</v>
      </c>
      <c r="B52" s="7">
        <v>2</v>
      </c>
      <c r="D52" t="s">
        <v>16</v>
      </c>
      <c r="E52">
        <f>_xlfn.T.INV.2T(E47,E45)</f>
        <v>1.9730119151362655</v>
      </c>
    </row>
    <row r="53" spans="1:5" x14ac:dyDescent="0.25">
      <c r="A53" s="7">
        <v>5</v>
      </c>
      <c r="B53" s="7">
        <v>5</v>
      </c>
      <c r="D53" t="s">
        <v>17</v>
      </c>
      <c r="E53">
        <f>_xlfn.T.INV(E47, E45)</f>
        <v>-1.6532228031457243</v>
      </c>
    </row>
    <row r="54" spans="1:5" x14ac:dyDescent="0.25">
      <c r="A54" s="7">
        <v>4</v>
      </c>
      <c r="B54" s="7">
        <v>1</v>
      </c>
    </row>
    <row r="55" spans="1:5" x14ac:dyDescent="0.25">
      <c r="A55" s="7">
        <v>5</v>
      </c>
      <c r="B55" s="7">
        <v>3</v>
      </c>
      <c r="D55" t="s">
        <v>18</v>
      </c>
      <c r="E55">
        <f>TTEST(A:A,B:B,2,2)</f>
        <v>0.13552373899850931</v>
      </c>
    </row>
    <row r="56" spans="1:5" x14ac:dyDescent="0.25">
      <c r="A56" s="7">
        <v>4</v>
      </c>
      <c r="B56" s="7">
        <v>4</v>
      </c>
      <c r="D56" t="s">
        <v>19</v>
      </c>
      <c r="E56">
        <f>TTEST(A:A,B:B,1,2)</f>
        <v>6.7761869499254654E-2</v>
      </c>
    </row>
    <row r="57" spans="1:5" x14ac:dyDescent="0.25">
      <c r="A57" s="7">
        <v>4</v>
      </c>
      <c r="B57" s="7">
        <v>2</v>
      </c>
    </row>
    <row r="58" spans="1:5" x14ac:dyDescent="0.25">
      <c r="A58" s="7">
        <v>4</v>
      </c>
      <c r="B58" s="7">
        <v>4</v>
      </c>
    </row>
    <row r="59" spans="1:5" x14ac:dyDescent="0.25">
      <c r="A59" s="7">
        <v>2</v>
      </c>
      <c r="B59" s="7">
        <v>2</v>
      </c>
      <c r="D59" s="2" t="s">
        <v>20</v>
      </c>
      <c r="E59" s="2"/>
    </row>
    <row r="60" spans="1:5" x14ac:dyDescent="0.25">
      <c r="A60" s="7">
        <v>4</v>
      </c>
      <c r="B60" s="7">
        <v>5</v>
      </c>
    </row>
    <row r="61" spans="1:5" x14ac:dyDescent="0.25">
      <c r="A61" s="7">
        <v>4</v>
      </c>
      <c r="B61" s="7">
        <v>3</v>
      </c>
      <c r="D61" t="s">
        <v>21</v>
      </c>
    </row>
    <row r="62" spans="1:5" x14ac:dyDescent="0.25">
      <c r="A62" s="7">
        <v>3</v>
      </c>
      <c r="B62" s="7">
        <v>3</v>
      </c>
      <c r="D62" t="s">
        <v>22</v>
      </c>
    </row>
    <row r="63" spans="1:5" x14ac:dyDescent="0.25">
      <c r="A63" s="7">
        <v>5</v>
      </c>
      <c r="B63" s="7">
        <v>5</v>
      </c>
    </row>
    <row r="64" spans="1:5" x14ac:dyDescent="0.25">
      <c r="A64" s="7">
        <v>2</v>
      </c>
      <c r="B64" s="7">
        <v>4</v>
      </c>
    </row>
    <row r="65" spans="1:4" x14ac:dyDescent="0.25">
      <c r="A65" s="7">
        <v>5</v>
      </c>
      <c r="B65" s="7">
        <v>5</v>
      </c>
    </row>
    <row r="66" spans="1:4" x14ac:dyDescent="0.25">
      <c r="A66" s="7">
        <v>1</v>
      </c>
      <c r="B66" s="7">
        <v>3</v>
      </c>
      <c r="D66" t="s">
        <v>23</v>
      </c>
    </row>
    <row r="67" spans="1:4" x14ac:dyDescent="0.25">
      <c r="A67" s="7">
        <v>3</v>
      </c>
      <c r="B67" s="7">
        <v>4</v>
      </c>
      <c r="D67" t="str">
        <f>"Dos Colas: Si t calculado ("&amp;E29&amp;") &gt; a t critico  ("&amp;E52&amp;") (de tabla) ---&gt; Se rechaza la hipotesis nula"</f>
        <v>Dos Colas: Si t calculado (1.49924545342445) &gt; a t critico  (1.97301191513627) (de tabla) ---&gt; Se rechaza la hipotesis nula</v>
      </c>
    </row>
    <row r="68" spans="1:4" x14ac:dyDescent="0.25">
      <c r="A68" s="7">
        <v>4</v>
      </c>
      <c r="B68" s="7">
        <v>3</v>
      </c>
      <c r="D68" t="str">
        <f>"Una Cola: Si t calculado ("&amp;E29&amp;") &gt; a t critico  ("&amp;E53&amp;") (de tabla) ---&gt; Se rechaza la hipotesis nula"</f>
        <v>Una Cola: Si t calculado (1.49924545342445) &gt; a t critico  (-1.65322280314572) (de tabla) ---&gt; Se rechaza la hipotesis nula</v>
      </c>
    </row>
    <row r="69" spans="1:4" x14ac:dyDescent="0.25">
      <c r="A69" s="7">
        <v>5</v>
      </c>
      <c r="B69" s="7">
        <v>4</v>
      </c>
    </row>
    <row r="70" spans="1:4" x14ac:dyDescent="0.25">
      <c r="A70" s="7">
        <v>2</v>
      </c>
      <c r="B70" s="7">
        <v>4</v>
      </c>
    </row>
    <row r="71" spans="1:4" x14ac:dyDescent="0.25">
      <c r="A71" s="7">
        <v>3</v>
      </c>
      <c r="B71" s="7">
        <v>3</v>
      </c>
    </row>
    <row r="72" spans="1:4" x14ac:dyDescent="0.25">
      <c r="A72" s="7">
        <v>3</v>
      </c>
      <c r="B72" s="7">
        <v>5</v>
      </c>
      <c r="D72" t="s">
        <v>48</v>
      </c>
    </row>
    <row r="73" spans="1:4" x14ac:dyDescent="0.25">
      <c r="A73" s="7">
        <v>3</v>
      </c>
      <c r="B73" s="7">
        <v>2</v>
      </c>
      <c r="D73" t="str">
        <f>"Dos Colas: Si p valor ("&amp;E55&amp;") &lt; Nivel Significancia (0.05) ---&gt; Se rechaza la hipotesis nula"</f>
        <v>Dos Colas: Si p valor (0.135523738998509) &lt; Nivel Significancia (0.05) ---&gt; Se rechaza la hipotesis nula</v>
      </c>
    </row>
    <row r="74" spans="1:4" x14ac:dyDescent="0.25">
      <c r="A74" s="7">
        <v>5</v>
      </c>
      <c r="B74" s="7">
        <v>2</v>
      </c>
      <c r="D74" t="str">
        <f>"Una Cola: Si p valor ("&amp;E56&amp;") &lt; Nivel Significancia (0.05) ---&gt; Se rechaza la hipotesis nula"</f>
        <v>Una Cola: Si p valor (0.0677618694992547) &lt; Nivel Significancia (0.05) ---&gt; Se rechaza la hipotesis nula</v>
      </c>
    </row>
    <row r="75" spans="1:4" x14ac:dyDescent="0.25">
      <c r="A75" s="7">
        <v>4</v>
      </c>
      <c r="B75" s="7">
        <v>3</v>
      </c>
    </row>
    <row r="76" spans="1:4" x14ac:dyDescent="0.25">
      <c r="A76" s="7">
        <v>5</v>
      </c>
      <c r="B76" s="7">
        <v>3</v>
      </c>
    </row>
    <row r="77" spans="1:4" x14ac:dyDescent="0.25">
      <c r="A77" s="7">
        <v>2</v>
      </c>
      <c r="B77" s="7">
        <v>2</v>
      </c>
    </row>
    <row r="78" spans="1:4" x14ac:dyDescent="0.25">
      <c r="A78" s="7">
        <v>3</v>
      </c>
      <c r="B78" s="7">
        <v>4</v>
      </c>
    </row>
    <row r="79" spans="1:4" x14ac:dyDescent="0.25">
      <c r="A79" s="7">
        <v>4</v>
      </c>
      <c r="B79" s="7">
        <v>5</v>
      </c>
    </row>
    <row r="80" spans="1:4" x14ac:dyDescent="0.25">
      <c r="A80" s="7">
        <v>5</v>
      </c>
      <c r="B80" s="7">
        <v>4</v>
      </c>
    </row>
    <row r="81" spans="1:2" x14ac:dyDescent="0.25">
      <c r="A81" s="7">
        <v>4</v>
      </c>
      <c r="B81" s="7">
        <v>2</v>
      </c>
    </row>
    <row r="82" spans="1:2" x14ac:dyDescent="0.25">
      <c r="A82" s="7">
        <v>4</v>
      </c>
      <c r="B82" s="7">
        <v>5</v>
      </c>
    </row>
    <row r="83" spans="1:2" x14ac:dyDescent="0.25">
      <c r="A83" s="7">
        <v>3</v>
      </c>
      <c r="B83" s="7">
        <v>3</v>
      </c>
    </row>
    <row r="84" spans="1:2" x14ac:dyDescent="0.25">
      <c r="A84" s="7">
        <v>3</v>
      </c>
      <c r="B84" s="7">
        <v>1</v>
      </c>
    </row>
    <row r="85" spans="1:2" x14ac:dyDescent="0.25">
      <c r="A85" s="7">
        <v>2</v>
      </c>
      <c r="B85" s="7">
        <v>2</v>
      </c>
    </row>
    <row r="86" spans="1:2" x14ac:dyDescent="0.25">
      <c r="A86" s="7">
        <v>3</v>
      </c>
      <c r="B86" s="7">
        <v>3</v>
      </c>
    </row>
    <row r="87" spans="1:2" x14ac:dyDescent="0.25">
      <c r="A87" s="7">
        <v>5</v>
      </c>
      <c r="B87" s="7">
        <v>5</v>
      </c>
    </row>
    <row r="88" spans="1:2" x14ac:dyDescent="0.25">
      <c r="A88" s="7">
        <v>3</v>
      </c>
      <c r="B88" s="7">
        <v>2</v>
      </c>
    </row>
    <row r="89" spans="1:2" x14ac:dyDescent="0.25">
      <c r="A89" s="7">
        <v>3</v>
      </c>
      <c r="B89" s="7">
        <v>3</v>
      </c>
    </row>
    <row r="90" spans="1:2" x14ac:dyDescent="0.25">
      <c r="A90" s="7">
        <v>3</v>
      </c>
      <c r="B90" s="7">
        <v>5</v>
      </c>
    </row>
    <row r="91" spans="1:2" x14ac:dyDescent="0.25">
      <c r="A91" s="7">
        <v>3</v>
      </c>
      <c r="B91" s="7">
        <v>5</v>
      </c>
    </row>
    <row r="92" spans="1:2" x14ac:dyDescent="0.25">
      <c r="A92" s="7">
        <v>3</v>
      </c>
      <c r="B92" s="7">
        <v>2</v>
      </c>
    </row>
    <row r="93" spans="1:2" x14ac:dyDescent="0.25">
      <c r="A93" s="7">
        <v>3</v>
      </c>
      <c r="B93" s="7">
        <v>3</v>
      </c>
    </row>
    <row r="94" spans="1:2" x14ac:dyDescent="0.25">
      <c r="A94" s="7">
        <v>4</v>
      </c>
      <c r="B94" s="7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15" zoomScaleNormal="115" workbookViewId="0">
      <selection activeCell="D1" sqref="D1"/>
    </sheetView>
  </sheetViews>
  <sheetFormatPr baseColWidth="10" defaultColWidth="9.140625" defaultRowHeight="15" x14ac:dyDescent="0.25"/>
  <cols>
    <col min="1" max="1" width="28" customWidth="1"/>
    <col min="2" max="2" width="30.140625" customWidth="1"/>
    <col min="4" max="4" width="39.28515625" customWidth="1"/>
    <col min="5" max="5" width="21.5703125" customWidth="1"/>
    <col min="6" max="6" width="17.85546875" customWidth="1"/>
    <col min="7" max="7" width="20" customWidth="1"/>
  </cols>
  <sheetData>
    <row r="1" spans="1:5" ht="120" x14ac:dyDescent="0.25">
      <c r="A1" s="8" t="s">
        <v>25</v>
      </c>
      <c r="B1" s="10" t="s">
        <v>27</v>
      </c>
    </row>
    <row r="2" spans="1:5" x14ac:dyDescent="0.25">
      <c r="A2" s="7">
        <v>3</v>
      </c>
      <c r="B2" s="7">
        <v>4</v>
      </c>
      <c r="D2" s="1" t="s">
        <v>46</v>
      </c>
      <c r="E2">
        <f>AVERAGE(A:A)</f>
        <v>3.3440860215053765</v>
      </c>
    </row>
    <row r="3" spans="1:5" x14ac:dyDescent="0.25">
      <c r="A3" s="7">
        <v>2</v>
      </c>
      <c r="B3" s="7">
        <v>3</v>
      </c>
      <c r="D3" s="1" t="s">
        <v>0</v>
      </c>
      <c r="E3">
        <f>MEDIAN(A:A)</f>
        <v>3</v>
      </c>
    </row>
    <row r="4" spans="1:5" x14ac:dyDescent="0.25">
      <c r="A4" s="7">
        <v>4</v>
      </c>
      <c r="B4" s="7">
        <v>3</v>
      </c>
      <c r="D4" s="1" t="s">
        <v>1</v>
      </c>
      <c r="E4">
        <f>MODE(A:A)</f>
        <v>4</v>
      </c>
    </row>
    <row r="5" spans="1:5" x14ac:dyDescent="0.25">
      <c r="A5" s="7">
        <v>4</v>
      </c>
      <c r="B5" s="7">
        <v>2</v>
      </c>
      <c r="D5" s="1" t="s">
        <v>15</v>
      </c>
      <c r="E5">
        <f>STDEV(A:A)</f>
        <v>1.1082165819549306</v>
      </c>
    </row>
    <row r="6" spans="1:5" x14ac:dyDescent="0.25">
      <c r="A6" s="7">
        <v>3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4</v>
      </c>
      <c r="B7" s="7">
        <v>3</v>
      </c>
    </row>
    <row r="8" spans="1:5" x14ac:dyDescent="0.25">
      <c r="A8" s="7">
        <v>5</v>
      </c>
      <c r="B8" s="7">
        <v>3</v>
      </c>
      <c r="D8" s="3" t="s">
        <v>47</v>
      </c>
      <c r="E8">
        <f>AVERAGE(B:B)</f>
        <v>3.5483870967741935</v>
      </c>
    </row>
    <row r="9" spans="1:5" x14ac:dyDescent="0.25">
      <c r="A9" s="7">
        <v>4</v>
      </c>
      <c r="B9" s="7">
        <v>3</v>
      </c>
      <c r="D9" s="3" t="s">
        <v>2</v>
      </c>
      <c r="E9">
        <f>MEDIAN(B:B)</f>
        <v>4</v>
      </c>
    </row>
    <row r="10" spans="1:5" x14ac:dyDescent="0.25">
      <c r="A10" s="7">
        <v>5</v>
      </c>
      <c r="B10" s="7">
        <v>3</v>
      </c>
      <c r="D10" s="3" t="s">
        <v>3</v>
      </c>
      <c r="E10">
        <f>MODE(B:B)</f>
        <v>3</v>
      </c>
    </row>
    <row r="11" spans="1:5" x14ac:dyDescent="0.25">
      <c r="A11" s="7">
        <v>2</v>
      </c>
      <c r="B11" s="7">
        <v>4</v>
      </c>
      <c r="D11" s="3" t="s">
        <v>14</v>
      </c>
      <c r="E11">
        <f>STDEV(B:B)</f>
        <v>1.0684825590350699</v>
      </c>
    </row>
    <row r="12" spans="1:5" x14ac:dyDescent="0.25">
      <c r="A12" s="7">
        <v>2</v>
      </c>
      <c r="B12" s="7">
        <v>3</v>
      </c>
      <c r="D12" s="5" t="s">
        <v>5</v>
      </c>
      <c r="E12">
        <f>COUNT(B:B)</f>
        <v>93</v>
      </c>
    </row>
    <row r="13" spans="1:5" x14ac:dyDescent="0.25">
      <c r="A13" s="7">
        <v>3</v>
      </c>
      <c r="B13" s="7">
        <v>5</v>
      </c>
    </row>
    <row r="14" spans="1:5" x14ac:dyDescent="0.25">
      <c r="A14" s="7">
        <v>2</v>
      </c>
      <c r="B14" s="7">
        <v>4</v>
      </c>
    </row>
    <row r="15" spans="1:5" x14ac:dyDescent="0.25">
      <c r="A15" s="7">
        <v>2</v>
      </c>
      <c r="B15" s="7">
        <v>3</v>
      </c>
    </row>
    <row r="16" spans="1:5" x14ac:dyDescent="0.25">
      <c r="A16" s="7">
        <v>4</v>
      </c>
      <c r="B16" s="7">
        <v>3</v>
      </c>
    </row>
    <row r="17" spans="1:5" x14ac:dyDescent="0.25">
      <c r="A17" s="7">
        <v>2</v>
      </c>
      <c r="B17" s="7">
        <v>1</v>
      </c>
      <c r="D17" s="2" t="s">
        <v>6</v>
      </c>
      <c r="E17" s="2"/>
    </row>
    <row r="18" spans="1:5" x14ac:dyDescent="0.25">
      <c r="A18" s="7">
        <v>3</v>
      </c>
      <c r="B18" s="7">
        <v>3</v>
      </c>
    </row>
    <row r="19" spans="1:5" x14ac:dyDescent="0.25">
      <c r="A19" s="7">
        <v>2</v>
      </c>
      <c r="B19" s="7">
        <v>3</v>
      </c>
    </row>
    <row r="20" spans="1:5" x14ac:dyDescent="0.25">
      <c r="A20" s="7">
        <v>2</v>
      </c>
      <c r="B20" s="7">
        <v>3</v>
      </c>
    </row>
    <row r="21" spans="1:5" x14ac:dyDescent="0.25">
      <c r="A21" s="7">
        <v>4</v>
      </c>
      <c r="B21" s="7">
        <v>3</v>
      </c>
    </row>
    <row r="22" spans="1:5" x14ac:dyDescent="0.25">
      <c r="A22" s="7">
        <v>5</v>
      </c>
      <c r="B22" s="7">
        <v>5</v>
      </c>
    </row>
    <row r="23" spans="1:5" x14ac:dyDescent="0.25">
      <c r="A23" s="7">
        <v>4</v>
      </c>
      <c r="B23" s="7">
        <v>4</v>
      </c>
    </row>
    <row r="24" spans="1:5" x14ac:dyDescent="0.25">
      <c r="A24" s="7">
        <v>4</v>
      </c>
      <c r="B24" s="7">
        <v>4</v>
      </c>
    </row>
    <row r="25" spans="1:5" x14ac:dyDescent="0.25">
      <c r="A25" s="7">
        <v>2</v>
      </c>
      <c r="B25" s="7">
        <v>4</v>
      </c>
    </row>
    <row r="26" spans="1:5" x14ac:dyDescent="0.25">
      <c r="A26" s="7">
        <v>2</v>
      </c>
      <c r="B26" s="7">
        <v>5</v>
      </c>
    </row>
    <row r="27" spans="1:5" x14ac:dyDescent="0.25">
      <c r="A27" s="7">
        <v>5</v>
      </c>
      <c r="B27" s="7">
        <v>5</v>
      </c>
    </row>
    <row r="28" spans="1:5" x14ac:dyDescent="0.25">
      <c r="A28" s="7">
        <v>3</v>
      </c>
      <c r="B28" s="7">
        <v>4</v>
      </c>
    </row>
    <row r="29" spans="1:5" x14ac:dyDescent="0.25">
      <c r="A29" s="7">
        <v>4</v>
      </c>
      <c r="B29" s="7">
        <v>1</v>
      </c>
      <c r="D29" t="s">
        <v>11</v>
      </c>
      <c r="E29">
        <f>(E2-E8)/SQRT(((E5^2)/E6)+((E11^2)/E12))</f>
        <v>-1.2798420448998646</v>
      </c>
    </row>
    <row r="30" spans="1:5" x14ac:dyDescent="0.25">
      <c r="A30" s="7">
        <v>4</v>
      </c>
      <c r="B30" s="7">
        <v>4</v>
      </c>
    </row>
    <row r="31" spans="1:5" x14ac:dyDescent="0.25">
      <c r="A31" s="7">
        <v>5</v>
      </c>
      <c r="B31" s="7">
        <v>3</v>
      </c>
      <c r="D31" s="2" t="s">
        <v>7</v>
      </c>
      <c r="E31" s="2"/>
    </row>
    <row r="32" spans="1:5" x14ac:dyDescent="0.25">
      <c r="A32" s="7">
        <v>4</v>
      </c>
      <c r="B32" s="7">
        <v>5</v>
      </c>
    </row>
    <row r="33" spans="1:6" x14ac:dyDescent="0.25">
      <c r="A33" s="7">
        <v>1</v>
      </c>
      <c r="B33" s="7">
        <v>3</v>
      </c>
    </row>
    <row r="34" spans="1:6" x14ac:dyDescent="0.25">
      <c r="A34" s="7">
        <v>4</v>
      </c>
      <c r="B34" s="7">
        <v>4</v>
      </c>
    </row>
    <row r="35" spans="1:6" x14ac:dyDescent="0.25">
      <c r="A35" s="7">
        <v>3</v>
      </c>
      <c r="B35" s="7">
        <v>4</v>
      </c>
    </row>
    <row r="36" spans="1:6" x14ac:dyDescent="0.25">
      <c r="A36" s="7">
        <v>3</v>
      </c>
      <c r="B36" s="7">
        <v>3</v>
      </c>
    </row>
    <row r="37" spans="1:6" x14ac:dyDescent="0.25">
      <c r="A37" s="7">
        <v>4</v>
      </c>
      <c r="B37" s="7">
        <v>5</v>
      </c>
    </row>
    <row r="38" spans="1:6" x14ac:dyDescent="0.25">
      <c r="A38" s="7">
        <v>1</v>
      </c>
      <c r="B38" s="7">
        <v>5</v>
      </c>
    </row>
    <row r="39" spans="1:6" x14ac:dyDescent="0.25">
      <c r="A39" s="7">
        <v>1</v>
      </c>
      <c r="B39" s="7">
        <v>4</v>
      </c>
    </row>
    <row r="40" spans="1:6" x14ac:dyDescent="0.25">
      <c r="A40" s="7">
        <v>4</v>
      </c>
      <c r="B40" s="7">
        <v>5</v>
      </c>
    </row>
    <row r="41" spans="1:6" ht="29.25" customHeight="1" x14ac:dyDescent="0.25">
      <c r="A41" s="7">
        <v>3</v>
      </c>
      <c r="B41" s="7">
        <v>5</v>
      </c>
      <c r="D41" t="s">
        <v>8</v>
      </c>
      <c r="E41">
        <f>(((E5^2)/E6)+((E11^2)/E12))^2</f>
        <v>6.4931751245660206E-4</v>
      </c>
    </row>
    <row r="42" spans="1:6" ht="47.25" customHeight="1" x14ac:dyDescent="0.25">
      <c r="A42" s="7">
        <v>4</v>
      </c>
      <c r="B42" s="7">
        <v>4</v>
      </c>
      <c r="D42" t="s">
        <v>9</v>
      </c>
      <c r="E42">
        <f>(((E5^2)/E6)^2)/(E6-1)</f>
        <v>1.8955919336774864E-6</v>
      </c>
    </row>
    <row r="43" spans="1:6" ht="43.5" customHeight="1" x14ac:dyDescent="0.25">
      <c r="A43" s="7">
        <v>4</v>
      </c>
      <c r="B43" s="7">
        <v>2</v>
      </c>
      <c r="D43" t="s">
        <v>10</v>
      </c>
      <c r="E43">
        <f>(((E11^2)/E12)^2)/(E12-1)</f>
        <v>1.6380080268000643E-6</v>
      </c>
    </row>
    <row r="44" spans="1:6" x14ac:dyDescent="0.25">
      <c r="A44" s="7">
        <v>5</v>
      </c>
      <c r="B44" s="7">
        <v>3</v>
      </c>
    </row>
    <row r="45" spans="1:6" x14ac:dyDescent="0.25">
      <c r="A45" s="7">
        <v>3</v>
      </c>
      <c r="B45" s="7">
        <v>3</v>
      </c>
      <c r="D45" t="s">
        <v>7</v>
      </c>
      <c r="E45">
        <f>E41/(E42+E43)</f>
        <v>183.75524103437266</v>
      </c>
      <c r="F45" s="6" t="s">
        <v>12</v>
      </c>
    </row>
    <row r="46" spans="1:6" x14ac:dyDescent="0.25">
      <c r="A46" s="7">
        <v>3</v>
      </c>
      <c r="B46" s="7">
        <v>4</v>
      </c>
    </row>
    <row r="47" spans="1:6" x14ac:dyDescent="0.25">
      <c r="A47" s="7">
        <v>5</v>
      </c>
      <c r="B47" s="7">
        <v>2</v>
      </c>
      <c r="D47" t="s">
        <v>13</v>
      </c>
      <c r="E47">
        <v>0.05</v>
      </c>
      <c r="F47" s="6" t="s">
        <v>12</v>
      </c>
    </row>
    <row r="48" spans="1:6" x14ac:dyDescent="0.25">
      <c r="A48" s="7">
        <v>4</v>
      </c>
      <c r="B48" s="7">
        <v>4</v>
      </c>
    </row>
    <row r="49" spans="1:5" x14ac:dyDescent="0.25">
      <c r="A49" s="7">
        <v>2</v>
      </c>
      <c r="B49" s="7">
        <v>5</v>
      </c>
    </row>
    <row r="50" spans="1:5" x14ac:dyDescent="0.25">
      <c r="A50" s="7">
        <v>4</v>
      </c>
      <c r="B50" s="7">
        <v>3</v>
      </c>
    </row>
    <row r="51" spans="1:5" x14ac:dyDescent="0.25">
      <c r="A51" s="7">
        <v>5</v>
      </c>
      <c r="B51" s="7">
        <v>5</v>
      </c>
      <c r="D51" s="2"/>
      <c r="E51" s="2"/>
    </row>
    <row r="52" spans="1:5" x14ac:dyDescent="0.25">
      <c r="A52" s="7">
        <v>3</v>
      </c>
      <c r="B52" s="7">
        <v>4</v>
      </c>
      <c r="D52" t="s">
        <v>16</v>
      </c>
      <c r="E52">
        <f>_xlfn.T.INV.2T(E47,E45)</f>
        <v>1.9730119151362655</v>
      </c>
    </row>
    <row r="53" spans="1:5" x14ac:dyDescent="0.25">
      <c r="A53" s="7">
        <v>1</v>
      </c>
      <c r="B53" s="7">
        <v>3</v>
      </c>
      <c r="D53" t="s">
        <v>17</v>
      </c>
      <c r="E53">
        <f>_xlfn.T.INV(E47, E45)</f>
        <v>-1.6532228031457243</v>
      </c>
    </row>
    <row r="54" spans="1:5" x14ac:dyDescent="0.25">
      <c r="A54" s="7">
        <v>4</v>
      </c>
      <c r="B54" s="7">
        <v>2</v>
      </c>
    </row>
    <row r="55" spans="1:5" x14ac:dyDescent="0.25">
      <c r="A55" s="7">
        <v>3</v>
      </c>
      <c r="B55" s="7">
        <v>3</v>
      </c>
      <c r="D55" t="s">
        <v>18</v>
      </c>
      <c r="E55">
        <f>TTEST(A:A,B:B,2,2)</f>
        <v>0.20221200573374848</v>
      </c>
    </row>
    <row r="56" spans="1:5" x14ac:dyDescent="0.25">
      <c r="A56" s="7">
        <v>3</v>
      </c>
      <c r="B56" s="7">
        <v>3</v>
      </c>
      <c r="D56" t="s">
        <v>19</v>
      </c>
      <c r="E56">
        <f>TTEST(A:A,B:B,1,2)</f>
        <v>0.10110600286687424</v>
      </c>
    </row>
    <row r="57" spans="1:5" x14ac:dyDescent="0.25">
      <c r="A57" s="7">
        <v>4</v>
      </c>
      <c r="B57" s="7">
        <v>1</v>
      </c>
    </row>
    <row r="58" spans="1:5" x14ac:dyDescent="0.25">
      <c r="A58" s="7">
        <v>3</v>
      </c>
      <c r="B58" s="7">
        <v>5</v>
      </c>
    </row>
    <row r="59" spans="1:5" x14ac:dyDescent="0.25">
      <c r="A59" s="7">
        <v>4</v>
      </c>
      <c r="B59" s="7">
        <v>4</v>
      </c>
      <c r="D59" s="2" t="s">
        <v>20</v>
      </c>
      <c r="E59" s="2"/>
    </row>
    <row r="60" spans="1:5" x14ac:dyDescent="0.25">
      <c r="A60" s="7">
        <v>3</v>
      </c>
      <c r="B60" s="7">
        <v>4</v>
      </c>
    </row>
    <row r="61" spans="1:5" x14ac:dyDescent="0.25">
      <c r="A61" s="7">
        <v>3</v>
      </c>
      <c r="B61" s="7">
        <v>4</v>
      </c>
      <c r="D61" t="s">
        <v>21</v>
      </c>
    </row>
    <row r="62" spans="1:5" x14ac:dyDescent="0.25">
      <c r="A62" s="7">
        <v>3</v>
      </c>
      <c r="B62" s="7">
        <v>4</v>
      </c>
      <c r="D62" t="s">
        <v>22</v>
      </c>
    </row>
    <row r="63" spans="1:5" x14ac:dyDescent="0.25">
      <c r="A63" s="7">
        <v>5</v>
      </c>
      <c r="B63" s="7">
        <v>2</v>
      </c>
    </row>
    <row r="64" spans="1:5" x14ac:dyDescent="0.25">
      <c r="A64" s="7">
        <v>2</v>
      </c>
      <c r="B64" s="7">
        <v>3</v>
      </c>
    </row>
    <row r="65" spans="1:4" x14ac:dyDescent="0.25">
      <c r="A65" s="7">
        <v>4</v>
      </c>
      <c r="B65" s="7">
        <v>3</v>
      </c>
    </row>
    <row r="66" spans="1:4" x14ac:dyDescent="0.25">
      <c r="A66" s="7">
        <v>4</v>
      </c>
      <c r="B66" s="7">
        <v>4</v>
      </c>
      <c r="D66" t="s">
        <v>23</v>
      </c>
    </row>
    <row r="67" spans="1:4" x14ac:dyDescent="0.25">
      <c r="A67" s="7">
        <v>5</v>
      </c>
      <c r="B67" s="7">
        <v>2</v>
      </c>
      <c r="D67" t="str">
        <f>"Dos Colas: Si t calculado ("&amp;E29&amp;") &gt; a t critico  ("&amp;E52&amp;") (de tabla) ---&gt; Se rechaza la hipotesis nula"</f>
        <v>Dos Colas: Si t calculado (-1.27984204489986) &gt; a t critico  (1.97301191513627) (de tabla) ---&gt; Se rechaza la hipotesis nula</v>
      </c>
    </row>
    <row r="68" spans="1:4" x14ac:dyDescent="0.25">
      <c r="A68" s="7">
        <v>3</v>
      </c>
      <c r="B68" s="7">
        <v>1</v>
      </c>
      <c r="D68" t="str">
        <f>"Una Cola: Si t calculado ("&amp;E29&amp;") &gt; a t critico  ("&amp;E53&amp;") (de tabla) ---&gt; Se rechaza la hipotesis nula"</f>
        <v>Una Cola: Si t calculado (-1.27984204489986) &gt; a t critico  (-1.65322280314572) (de tabla) ---&gt; Se rechaza la hipotesis nula</v>
      </c>
    </row>
    <row r="69" spans="1:4" x14ac:dyDescent="0.25">
      <c r="A69" s="7">
        <v>3</v>
      </c>
      <c r="B69" s="7">
        <v>2</v>
      </c>
    </row>
    <row r="70" spans="1:4" x14ac:dyDescent="0.25">
      <c r="A70" s="7">
        <v>5</v>
      </c>
      <c r="B70" s="7">
        <v>5</v>
      </c>
    </row>
    <row r="71" spans="1:4" x14ac:dyDescent="0.25">
      <c r="A71" s="7">
        <v>3</v>
      </c>
      <c r="B71" s="7">
        <v>3</v>
      </c>
    </row>
    <row r="72" spans="1:4" x14ac:dyDescent="0.25">
      <c r="A72" s="7">
        <v>4</v>
      </c>
      <c r="B72" s="7">
        <v>5</v>
      </c>
      <c r="D72" t="s">
        <v>48</v>
      </c>
    </row>
    <row r="73" spans="1:4" x14ac:dyDescent="0.25">
      <c r="A73" s="7">
        <v>3</v>
      </c>
      <c r="B73" s="7">
        <v>4</v>
      </c>
      <c r="D73" t="str">
        <f>"Dos Colas: Si p valor ("&amp;E55&amp;") &lt; Nivel Significancia (0.05) ---&gt; Se rechaza la hipotesis nula"</f>
        <v>Dos Colas: Si p valor (0.202212005733748) &lt; Nivel Significancia (0.05) ---&gt; Se rechaza la hipotesis nula</v>
      </c>
    </row>
    <row r="74" spans="1:4" x14ac:dyDescent="0.25">
      <c r="A74" s="7">
        <v>4</v>
      </c>
      <c r="B74" s="7">
        <v>5</v>
      </c>
      <c r="D74" t="str">
        <f>"Una Cola: Si p valor ("&amp;E56&amp;") &lt; Nivel Significancia (0.05) ---&gt; Se rechaza la hipotesis nula"</f>
        <v>Una Cola: Si p valor (0.101106002866874) &lt; Nivel Significancia (0.05) ---&gt; Se rechaza la hipotesis nula</v>
      </c>
    </row>
    <row r="75" spans="1:4" x14ac:dyDescent="0.25">
      <c r="A75" s="7">
        <v>3</v>
      </c>
      <c r="B75" s="7">
        <v>3</v>
      </c>
    </row>
    <row r="76" spans="1:4" x14ac:dyDescent="0.25">
      <c r="A76" s="7">
        <v>4</v>
      </c>
      <c r="B76" s="7">
        <v>3</v>
      </c>
    </row>
    <row r="77" spans="1:4" x14ac:dyDescent="0.25">
      <c r="A77" s="7">
        <v>1</v>
      </c>
      <c r="B77" s="7">
        <v>5</v>
      </c>
    </row>
    <row r="78" spans="1:4" x14ac:dyDescent="0.25">
      <c r="A78" s="7">
        <v>5</v>
      </c>
      <c r="B78" s="7">
        <v>4</v>
      </c>
    </row>
    <row r="79" spans="1:4" x14ac:dyDescent="0.25">
      <c r="A79" s="7">
        <v>4</v>
      </c>
      <c r="B79" s="7">
        <v>4</v>
      </c>
    </row>
    <row r="80" spans="1:4" x14ac:dyDescent="0.25">
      <c r="A80" s="7">
        <v>5</v>
      </c>
      <c r="B80" s="7">
        <v>4</v>
      </c>
    </row>
    <row r="81" spans="1:2" x14ac:dyDescent="0.25">
      <c r="A81" s="7">
        <v>2</v>
      </c>
      <c r="B81" s="7">
        <v>5</v>
      </c>
    </row>
    <row r="82" spans="1:2" x14ac:dyDescent="0.25">
      <c r="A82" s="7">
        <v>2</v>
      </c>
      <c r="B82" s="7">
        <v>4</v>
      </c>
    </row>
    <row r="83" spans="1:2" x14ac:dyDescent="0.25">
      <c r="A83" s="7">
        <v>4</v>
      </c>
      <c r="B83" s="7">
        <v>3</v>
      </c>
    </row>
    <row r="84" spans="1:2" x14ac:dyDescent="0.25">
      <c r="A84" s="7">
        <v>3</v>
      </c>
      <c r="B84" s="7">
        <v>5</v>
      </c>
    </row>
    <row r="85" spans="1:2" x14ac:dyDescent="0.25">
      <c r="A85" s="7">
        <v>2</v>
      </c>
      <c r="B85" s="7">
        <v>5</v>
      </c>
    </row>
    <row r="86" spans="1:2" x14ac:dyDescent="0.25">
      <c r="A86" s="7">
        <v>3</v>
      </c>
      <c r="B86" s="7">
        <v>4</v>
      </c>
    </row>
    <row r="87" spans="1:2" x14ac:dyDescent="0.25">
      <c r="A87" s="7">
        <v>3</v>
      </c>
      <c r="B87" s="7">
        <v>2</v>
      </c>
    </row>
    <row r="88" spans="1:2" x14ac:dyDescent="0.25">
      <c r="A88" s="7">
        <v>4</v>
      </c>
      <c r="B88" s="7">
        <v>3</v>
      </c>
    </row>
    <row r="89" spans="1:2" x14ac:dyDescent="0.25">
      <c r="A89" s="7">
        <v>5</v>
      </c>
      <c r="B89" s="7">
        <v>3</v>
      </c>
    </row>
    <row r="90" spans="1:2" x14ac:dyDescent="0.25">
      <c r="A90" s="7">
        <v>2</v>
      </c>
      <c r="B90" s="7">
        <v>4</v>
      </c>
    </row>
    <row r="91" spans="1:2" x14ac:dyDescent="0.25">
      <c r="A91" s="7">
        <v>2</v>
      </c>
      <c r="B91" s="7">
        <v>3</v>
      </c>
    </row>
    <row r="92" spans="1:2" x14ac:dyDescent="0.25">
      <c r="A92" s="7">
        <v>3</v>
      </c>
      <c r="B92" s="7">
        <v>5</v>
      </c>
    </row>
    <row r="93" spans="1:2" x14ac:dyDescent="0.25">
      <c r="A93" s="7">
        <v>4</v>
      </c>
      <c r="B93" s="7">
        <v>3</v>
      </c>
    </row>
    <row r="94" spans="1:2" x14ac:dyDescent="0.25">
      <c r="A94" s="7">
        <v>4</v>
      </c>
      <c r="B94" s="7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30" zoomScaleNormal="130" workbookViewId="0">
      <selection activeCell="C1" sqref="C1"/>
    </sheetView>
  </sheetViews>
  <sheetFormatPr baseColWidth="10" defaultColWidth="9.140625" defaultRowHeight="15" x14ac:dyDescent="0.25"/>
  <cols>
    <col min="1" max="1" width="29" customWidth="1"/>
    <col min="2" max="2" width="29.140625" style="7" customWidth="1"/>
    <col min="4" max="4" width="39.140625" customWidth="1"/>
    <col min="5" max="5" width="21.5703125" customWidth="1"/>
    <col min="6" max="6" width="17.85546875" customWidth="1"/>
    <col min="7" max="7" width="20" customWidth="1"/>
  </cols>
  <sheetData>
    <row r="1" spans="1:5" ht="140.25" customHeight="1" x14ac:dyDescent="0.25">
      <c r="A1" s="8" t="s">
        <v>28</v>
      </c>
      <c r="B1" s="8" t="s">
        <v>31</v>
      </c>
    </row>
    <row r="2" spans="1:5" x14ac:dyDescent="0.25">
      <c r="A2" s="7">
        <v>5</v>
      </c>
      <c r="B2" s="7">
        <v>5</v>
      </c>
      <c r="D2" s="1" t="s">
        <v>46</v>
      </c>
      <c r="E2">
        <f>AVERAGE(A:A)</f>
        <v>3.236559139784946</v>
      </c>
    </row>
    <row r="3" spans="1:5" x14ac:dyDescent="0.25">
      <c r="A3" s="7">
        <v>5</v>
      </c>
      <c r="B3" s="7">
        <v>3</v>
      </c>
      <c r="D3" s="1" t="s">
        <v>0</v>
      </c>
      <c r="E3">
        <f>MEDIAN(A:A)</f>
        <v>3</v>
      </c>
    </row>
    <row r="4" spans="1:5" x14ac:dyDescent="0.25">
      <c r="A4" s="7">
        <v>2</v>
      </c>
      <c r="B4" s="7">
        <v>5</v>
      </c>
      <c r="D4" s="1" t="s">
        <v>1</v>
      </c>
      <c r="E4">
        <f>MODE(A:A)</f>
        <v>3</v>
      </c>
    </row>
    <row r="5" spans="1:5" x14ac:dyDescent="0.25">
      <c r="A5" s="7">
        <v>3</v>
      </c>
      <c r="B5" s="7">
        <v>5</v>
      </c>
      <c r="D5" s="1" t="s">
        <v>15</v>
      </c>
      <c r="E5">
        <f>STDEV(A:A)</f>
        <v>1.1923474240407628</v>
      </c>
    </row>
    <row r="6" spans="1:5" x14ac:dyDescent="0.25">
      <c r="A6" s="7">
        <v>5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5</v>
      </c>
      <c r="B7" s="7">
        <v>4</v>
      </c>
    </row>
    <row r="8" spans="1:5" x14ac:dyDescent="0.25">
      <c r="A8" s="7">
        <v>3</v>
      </c>
      <c r="B8" s="7">
        <v>3</v>
      </c>
      <c r="D8" s="3" t="s">
        <v>47</v>
      </c>
      <c r="E8">
        <f>AVERAGE(B:B)</f>
        <v>3.5268817204301075</v>
      </c>
    </row>
    <row r="9" spans="1:5" x14ac:dyDescent="0.25">
      <c r="A9" s="7">
        <v>5</v>
      </c>
      <c r="B9" s="7">
        <v>3</v>
      </c>
      <c r="D9" s="3" t="s">
        <v>2</v>
      </c>
      <c r="E9">
        <f>MEDIAN(B:B)</f>
        <v>4</v>
      </c>
    </row>
    <row r="10" spans="1:5" x14ac:dyDescent="0.25">
      <c r="A10" s="7">
        <v>5</v>
      </c>
      <c r="B10" s="7">
        <v>5</v>
      </c>
      <c r="D10" s="3" t="s">
        <v>3</v>
      </c>
      <c r="E10">
        <f>MODE(B:B)</f>
        <v>4</v>
      </c>
    </row>
    <row r="11" spans="1:5" x14ac:dyDescent="0.25">
      <c r="A11" s="7">
        <v>3</v>
      </c>
      <c r="B11" s="7">
        <v>5</v>
      </c>
      <c r="D11" s="3" t="s">
        <v>14</v>
      </c>
      <c r="E11">
        <f>STDEV(B:B)</f>
        <v>1.1285947191998127</v>
      </c>
    </row>
    <row r="12" spans="1:5" x14ac:dyDescent="0.25">
      <c r="A12" s="7">
        <v>3</v>
      </c>
      <c r="B12" s="7">
        <v>3</v>
      </c>
      <c r="D12" s="5" t="s">
        <v>5</v>
      </c>
      <c r="E12">
        <f>COUNT(B:B)</f>
        <v>93</v>
      </c>
    </row>
    <row r="13" spans="1:5" x14ac:dyDescent="0.25">
      <c r="A13" s="7">
        <v>3</v>
      </c>
      <c r="B13" s="7">
        <v>4</v>
      </c>
    </row>
    <row r="14" spans="1:5" x14ac:dyDescent="0.25">
      <c r="A14" s="7">
        <v>4</v>
      </c>
      <c r="B14" s="7">
        <v>3</v>
      </c>
    </row>
    <row r="15" spans="1:5" x14ac:dyDescent="0.25">
      <c r="A15" s="7">
        <v>3</v>
      </c>
      <c r="B15" s="7">
        <v>3</v>
      </c>
    </row>
    <row r="16" spans="1:5" x14ac:dyDescent="0.25">
      <c r="A16" s="7">
        <v>4</v>
      </c>
      <c r="B16" s="7">
        <v>2</v>
      </c>
    </row>
    <row r="17" spans="1:5" x14ac:dyDescent="0.25">
      <c r="A17" s="7">
        <v>4</v>
      </c>
      <c r="B17" s="7">
        <v>3</v>
      </c>
      <c r="D17" s="2" t="s">
        <v>6</v>
      </c>
      <c r="E17" s="2"/>
    </row>
    <row r="18" spans="1:5" x14ac:dyDescent="0.25">
      <c r="A18" s="7">
        <v>3</v>
      </c>
      <c r="B18" s="7">
        <v>4</v>
      </c>
    </row>
    <row r="19" spans="1:5" x14ac:dyDescent="0.25">
      <c r="A19" s="7">
        <v>3</v>
      </c>
      <c r="B19" s="7">
        <v>3</v>
      </c>
    </row>
    <row r="20" spans="1:5" x14ac:dyDescent="0.25">
      <c r="A20" s="7">
        <v>2</v>
      </c>
      <c r="B20" s="7">
        <v>4</v>
      </c>
    </row>
    <row r="21" spans="1:5" x14ac:dyDescent="0.25">
      <c r="A21" s="7">
        <v>3</v>
      </c>
      <c r="B21" s="7">
        <v>4</v>
      </c>
    </row>
    <row r="22" spans="1:5" x14ac:dyDescent="0.25">
      <c r="A22" s="7">
        <v>3</v>
      </c>
      <c r="B22" s="7">
        <v>2</v>
      </c>
    </row>
    <row r="23" spans="1:5" x14ac:dyDescent="0.25">
      <c r="A23" s="7">
        <v>5</v>
      </c>
      <c r="B23" s="7">
        <v>4</v>
      </c>
    </row>
    <row r="24" spans="1:5" x14ac:dyDescent="0.25">
      <c r="A24" s="7">
        <v>4</v>
      </c>
      <c r="B24" s="7">
        <v>2</v>
      </c>
    </row>
    <row r="25" spans="1:5" x14ac:dyDescent="0.25">
      <c r="A25" s="7">
        <v>4</v>
      </c>
      <c r="B25" s="7">
        <v>2</v>
      </c>
    </row>
    <row r="26" spans="1:5" x14ac:dyDescent="0.25">
      <c r="A26" s="7">
        <v>4</v>
      </c>
      <c r="B26" s="7">
        <v>2</v>
      </c>
    </row>
    <row r="27" spans="1:5" x14ac:dyDescent="0.25">
      <c r="A27" s="7">
        <v>1</v>
      </c>
      <c r="B27" s="7">
        <v>1</v>
      </c>
    </row>
    <row r="28" spans="1:5" x14ac:dyDescent="0.25">
      <c r="A28" s="7">
        <v>4</v>
      </c>
      <c r="B28" s="7">
        <v>4</v>
      </c>
    </row>
    <row r="29" spans="1:5" x14ac:dyDescent="0.25">
      <c r="A29" s="7">
        <v>2</v>
      </c>
      <c r="B29" s="7">
        <v>4</v>
      </c>
      <c r="D29" t="s">
        <v>11</v>
      </c>
      <c r="E29">
        <f>(E2-E8)/SQRT(((E5^2)/E6)+((E11^2)/E12))</f>
        <v>-1.7053329910982622</v>
      </c>
    </row>
    <row r="30" spans="1:5" x14ac:dyDescent="0.25">
      <c r="A30" s="7">
        <v>3</v>
      </c>
      <c r="B30" s="7">
        <v>3</v>
      </c>
    </row>
    <row r="31" spans="1:5" x14ac:dyDescent="0.25">
      <c r="A31" s="7">
        <v>2</v>
      </c>
      <c r="B31" s="7">
        <v>4</v>
      </c>
      <c r="D31" s="2" t="s">
        <v>7</v>
      </c>
      <c r="E31" s="2"/>
    </row>
    <row r="32" spans="1:5" x14ac:dyDescent="0.25">
      <c r="A32" s="7">
        <v>3</v>
      </c>
      <c r="B32" s="7">
        <v>3</v>
      </c>
    </row>
    <row r="33" spans="1:6" x14ac:dyDescent="0.25">
      <c r="A33" s="7">
        <v>3</v>
      </c>
      <c r="B33" s="7">
        <v>3</v>
      </c>
    </row>
    <row r="34" spans="1:6" x14ac:dyDescent="0.25">
      <c r="A34" s="7">
        <v>3</v>
      </c>
      <c r="B34" s="7">
        <v>3</v>
      </c>
    </row>
    <row r="35" spans="1:6" x14ac:dyDescent="0.25">
      <c r="A35" s="7">
        <v>4</v>
      </c>
      <c r="B35" s="7">
        <v>4</v>
      </c>
    </row>
    <row r="36" spans="1:6" x14ac:dyDescent="0.25">
      <c r="A36" s="7">
        <v>3</v>
      </c>
      <c r="B36" s="7">
        <v>5</v>
      </c>
    </row>
    <row r="37" spans="1:6" x14ac:dyDescent="0.25">
      <c r="A37" s="7">
        <v>4</v>
      </c>
      <c r="B37" s="7">
        <v>4</v>
      </c>
    </row>
    <row r="38" spans="1:6" x14ac:dyDescent="0.25">
      <c r="A38" s="7">
        <v>5</v>
      </c>
      <c r="B38" s="7">
        <v>5</v>
      </c>
    </row>
    <row r="39" spans="1:6" x14ac:dyDescent="0.25">
      <c r="A39" s="7">
        <v>3</v>
      </c>
      <c r="B39" s="7">
        <v>2</v>
      </c>
    </row>
    <row r="40" spans="1:6" x14ac:dyDescent="0.25">
      <c r="A40" s="7">
        <v>5</v>
      </c>
      <c r="B40" s="7">
        <v>4</v>
      </c>
    </row>
    <row r="41" spans="1:6" ht="29.25" customHeight="1" x14ac:dyDescent="0.25">
      <c r="A41" s="7">
        <v>1</v>
      </c>
      <c r="B41" s="7">
        <v>5</v>
      </c>
      <c r="D41" t="s">
        <v>8</v>
      </c>
      <c r="E41">
        <f>(((E5^2)/E6)+((E11^2)/E12))^2</f>
        <v>8.4001392738092219E-4</v>
      </c>
    </row>
    <row r="42" spans="1:6" ht="47.25" customHeight="1" x14ac:dyDescent="0.25">
      <c r="A42" s="7">
        <v>1</v>
      </c>
      <c r="B42" s="7">
        <v>5</v>
      </c>
      <c r="D42" t="s">
        <v>9</v>
      </c>
      <c r="E42">
        <f>(((E5^2)/E6)^2)/(E6-1)</f>
        <v>2.5401393755749993E-6</v>
      </c>
    </row>
    <row r="43" spans="1:6" ht="43.5" customHeight="1" x14ac:dyDescent="0.25">
      <c r="A43" s="7">
        <v>2</v>
      </c>
      <c r="B43" s="7">
        <v>3</v>
      </c>
      <c r="D43" t="s">
        <v>10</v>
      </c>
      <c r="E43">
        <f>(((E11^2)/E12)^2)/(E12-1)</f>
        <v>2.0389112909485678E-6</v>
      </c>
    </row>
    <row r="44" spans="1:6" x14ac:dyDescent="0.25">
      <c r="A44" s="7">
        <v>4</v>
      </c>
      <c r="B44" s="7">
        <v>3</v>
      </c>
    </row>
    <row r="45" spans="1:6" x14ac:dyDescent="0.25">
      <c r="A45" s="7">
        <v>5</v>
      </c>
      <c r="B45" s="7">
        <v>4</v>
      </c>
      <c r="D45" t="s">
        <v>7</v>
      </c>
      <c r="E45">
        <f>E41/(E42+E43)</f>
        <v>183.44717902382681</v>
      </c>
      <c r="F45" s="6" t="s">
        <v>12</v>
      </c>
    </row>
    <row r="46" spans="1:6" x14ac:dyDescent="0.25">
      <c r="A46" s="7">
        <v>1</v>
      </c>
      <c r="B46" s="7">
        <v>5</v>
      </c>
    </row>
    <row r="47" spans="1:6" x14ac:dyDescent="0.25">
      <c r="A47" s="7">
        <v>4</v>
      </c>
      <c r="B47" s="7">
        <v>4</v>
      </c>
      <c r="D47" t="s">
        <v>13</v>
      </c>
      <c r="E47">
        <v>0.05</v>
      </c>
      <c r="F47" s="6" t="s">
        <v>12</v>
      </c>
    </row>
    <row r="48" spans="1:6" x14ac:dyDescent="0.25">
      <c r="A48" s="7">
        <v>1</v>
      </c>
      <c r="B48" s="7">
        <v>4</v>
      </c>
    </row>
    <row r="49" spans="1:5" x14ac:dyDescent="0.25">
      <c r="A49" s="7">
        <v>1</v>
      </c>
      <c r="B49" s="7">
        <v>3</v>
      </c>
    </row>
    <row r="50" spans="1:5" x14ac:dyDescent="0.25">
      <c r="A50" s="7">
        <v>2</v>
      </c>
      <c r="B50" s="7">
        <v>3</v>
      </c>
    </row>
    <row r="51" spans="1:5" x14ac:dyDescent="0.25">
      <c r="A51" s="7">
        <v>4</v>
      </c>
      <c r="B51" s="7">
        <v>4</v>
      </c>
      <c r="D51" s="2"/>
      <c r="E51" s="2"/>
    </row>
    <row r="52" spans="1:5" x14ac:dyDescent="0.25">
      <c r="A52" s="7">
        <v>4</v>
      </c>
      <c r="B52" s="7">
        <v>4</v>
      </c>
      <c r="D52" t="s">
        <v>16</v>
      </c>
      <c r="E52">
        <f>_xlfn.T.INV.2T(E47,E45)</f>
        <v>1.9730119151362655</v>
      </c>
    </row>
    <row r="53" spans="1:5" x14ac:dyDescent="0.25">
      <c r="A53" s="7">
        <v>2</v>
      </c>
      <c r="B53" s="7">
        <v>1</v>
      </c>
      <c r="D53" t="s">
        <v>17</v>
      </c>
      <c r="E53">
        <f>_xlfn.T.INV(E47, E45)</f>
        <v>-1.6532228031457243</v>
      </c>
    </row>
    <row r="54" spans="1:5" x14ac:dyDescent="0.25">
      <c r="A54" s="7">
        <v>4</v>
      </c>
      <c r="B54" s="7">
        <v>4</v>
      </c>
    </row>
    <row r="55" spans="1:5" x14ac:dyDescent="0.25">
      <c r="A55" s="7">
        <v>5</v>
      </c>
      <c r="B55" s="7">
        <v>3</v>
      </c>
      <c r="D55" t="s">
        <v>18</v>
      </c>
      <c r="E55">
        <f>TTEST(A:A,B:B,2,2)</f>
        <v>8.9819914068723014E-2</v>
      </c>
    </row>
    <row r="56" spans="1:5" x14ac:dyDescent="0.25">
      <c r="A56" s="7">
        <v>3</v>
      </c>
      <c r="B56" s="7">
        <v>5</v>
      </c>
      <c r="D56" t="s">
        <v>19</v>
      </c>
      <c r="E56">
        <f>TTEST(A:A,B:B,1,2)</f>
        <v>4.4909957034361507E-2</v>
      </c>
    </row>
    <row r="57" spans="1:5" x14ac:dyDescent="0.25">
      <c r="A57" s="7">
        <v>1</v>
      </c>
      <c r="B57" s="7">
        <v>3</v>
      </c>
    </row>
    <row r="58" spans="1:5" x14ac:dyDescent="0.25">
      <c r="A58" s="7">
        <v>3</v>
      </c>
      <c r="B58" s="7">
        <v>5</v>
      </c>
    </row>
    <row r="59" spans="1:5" x14ac:dyDescent="0.25">
      <c r="A59" s="7">
        <v>3</v>
      </c>
      <c r="B59" s="7">
        <v>3</v>
      </c>
      <c r="D59" s="2" t="s">
        <v>20</v>
      </c>
      <c r="E59" s="2"/>
    </row>
    <row r="60" spans="1:5" x14ac:dyDescent="0.25">
      <c r="A60" s="7">
        <v>5</v>
      </c>
      <c r="B60" s="7">
        <v>1</v>
      </c>
    </row>
    <row r="61" spans="1:5" x14ac:dyDescent="0.25">
      <c r="A61" s="7">
        <v>3</v>
      </c>
      <c r="B61" s="7">
        <v>4</v>
      </c>
      <c r="D61" t="s">
        <v>21</v>
      </c>
    </row>
    <row r="62" spans="1:5" x14ac:dyDescent="0.25">
      <c r="A62" s="7">
        <v>1</v>
      </c>
      <c r="B62" s="7">
        <v>5</v>
      </c>
      <c r="D62" t="s">
        <v>22</v>
      </c>
    </row>
    <row r="63" spans="1:5" x14ac:dyDescent="0.25">
      <c r="A63" s="7">
        <v>5</v>
      </c>
      <c r="B63" s="7">
        <v>5</v>
      </c>
    </row>
    <row r="64" spans="1:5" x14ac:dyDescent="0.25">
      <c r="A64" s="7">
        <v>3</v>
      </c>
      <c r="B64" s="7">
        <v>4</v>
      </c>
    </row>
    <row r="65" spans="1:4" x14ac:dyDescent="0.25">
      <c r="A65" s="7">
        <v>2</v>
      </c>
      <c r="B65" s="7">
        <v>5</v>
      </c>
    </row>
    <row r="66" spans="1:4" x14ac:dyDescent="0.25">
      <c r="A66" s="7">
        <v>3</v>
      </c>
      <c r="B66" s="7">
        <v>5</v>
      </c>
      <c r="D66" t="s">
        <v>23</v>
      </c>
    </row>
    <row r="67" spans="1:4" x14ac:dyDescent="0.25">
      <c r="A67" s="7">
        <v>3</v>
      </c>
      <c r="B67" s="7">
        <v>3</v>
      </c>
      <c r="D67" t="str">
        <f>"Dos Colas: Si t calculado ("&amp;E29&amp;") &gt; a t critico  ("&amp;E52&amp;") (de tabla) ---&gt; Se rechaza la hipotesis nula"</f>
        <v>Dos Colas: Si t calculado (-1.70533299109826) &gt; a t critico  (1.97301191513627) (de tabla) ---&gt; Se rechaza la hipotesis nula</v>
      </c>
    </row>
    <row r="68" spans="1:4" x14ac:dyDescent="0.25">
      <c r="A68" s="7">
        <v>3</v>
      </c>
      <c r="B68" s="7">
        <v>4</v>
      </c>
      <c r="D68" t="str">
        <f>"Una Cola: Si t calculado ("&amp;E29&amp;") &gt; a t critico  ("&amp;E53&amp;") (de tabla) ---&gt; Se rechaza la hipotesis nula"</f>
        <v>Una Cola: Si t calculado (-1.70533299109826) &gt; a t critico  (-1.65322280314572) (de tabla) ---&gt; Se rechaza la hipotesis nula</v>
      </c>
    </row>
    <row r="69" spans="1:4" x14ac:dyDescent="0.25">
      <c r="A69" s="7">
        <v>4</v>
      </c>
      <c r="B69" s="7">
        <v>4</v>
      </c>
    </row>
    <row r="70" spans="1:4" x14ac:dyDescent="0.25">
      <c r="A70" s="7">
        <v>4</v>
      </c>
      <c r="B70" s="7">
        <v>2</v>
      </c>
    </row>
    <row r="71" spans="1:4" x14ac:dyDescent="0.25">
      <c r="A71" s="7">
        <v>2</v>
      </c>
      <c r="B71" s="7">
        <v>5</v>
      </c>
    </row>
    <row r="72" spans="1:4" x14ac:dyDescent="0.25">
      <c r="A72" s="7">
        <v>2</v>
      </c>
      <c r="B72" s="7">
        <v>1</v>
      </c>
      <c r="D72" t="s">
        <v>48</v>
      </c>
    </row>
    <row r="73" spans="1:4" x14ac:dyDescent="0.25">
      <c r="A73" s="7">
        <v>2</v>
      </c>
      <c r="B73" s="7">
        <v>4</v>
      </c>
      <c r="D73" t="str">
        <f>"Dos Colas: Si p valor ("&amp;E55&amp;") &lt; Nivel Significancia (0.05) ---&gt; Se rechaza la hipotesis nula"</f>
        <v>Dos Colas: Si p valor (0.089819914068723) &lt; Nivel Significancia (0.05) ---&gt; Se rechaza la hipotesis nula</v>
      </c>
    </row>
    <row r="74" spans="1:4" x14ac:dyDescent="0.25">
      <c r="A74" s="7">
        <v>2</v>
      </c>
      <c r="B74" s="7">
        <v>2</v>
      </c>
      <c r="D74" t="str">
        <f>"Una Cola: Si p valor ("&amp;E56&amp;") &lt; Nivel Significancia (0.05) ---&gt; Se rechaza la hipotesis nula"</f>
        <v>Una Cola: Si p valor (0.0449099570343615) &lt; Nivel Significancia (0.05) ---&gt; Se rechaza la hipotesis nula</v>
      </c>
    </row>
    <row r="75" spans="1:4" x14ac:dyDescent="0.25">
      <c r="A75" s="7">
        <v>3</v>
      </c>
      <c r="B75" s="7">
        <v>3</v>
      </c>
    </row>
    <row r="76" spans="1:4" x14ac:dyDescent="0.25">
      <c r="A76" s="7">
        <v>3</v>
      </c>
      <c r="B76" s="7">
        <v>2</v>
      </c>
    </row>
    <row r="77" spans="1:4" x14ac:dyDescent="0.25">
      <c r="A77" s="7">
        <v>2</v>
      </c>
      <c r="B77" s="7">
        <v>1</v>
      </c>
    </row>
    <row r="78" spans="1:4" x14ac:dyDescent="0.25">
      <c r="A78" s="7">
        <v>3</v>
      </c>
      <c r="B78" s="7">
        <v>4</v>
      </c>
    </row>
    <row r="79" spans="1:4" x14ac:dyDescent="0.25">
      <c r="A79" s="7">
        <v>3</v>
      </c>
      <c r="B79" s="7">
        <v>1</v>
      </c>
    </row>
    <row r="80" spans="1:4" x14ac:dyDescent="0.25">
      <c r="A80" s="7">
        <v>2</v>
      </c>
      <c r="B80" s="7">
        <v>4</v>
      </c>
    </row>
    <row r="81" spans="1:2" x14ac:dyDescent="0.25">
      <c r="A81" s="7">
        <v>2</v>
      </c>
      <c r="B81" s="7">
        <v>4</v>
      </c>
    </row>
    <row r="82" spans="1:2" x14ac:dyDescent="0.25">
      <c r="A82" s="7">
        <v>4</v>
      </c>
      <c r="B82" s="7">
        <v>4</v>
      </c>
    </row>
    <row r="83" spans="1:2" x14ac:dyDescent="0.25">
      <c r="A83" s="7">
        <v>4</v>
      </c>
      <c r="B83" s="7">
        <v>3</v>
      </c>
    </row>
    <row r="84" spans="1:2" x14ac:dyDescent="0.25">
      <c r="A84" s="7">
        <v>5</v>
      </c>
      <c r="B84" s="7">
        <v>5</v>
      </c>
    </row>
    <row r="85" spans="1:2" x14ac:dyDescent="0.25">
      <c r="A85" s="7">
        <v>3</v>
      </c>
      <c r="B85" s="7">
        <v>3</v>
      </c>
    </row>
    <row r="86" spans="1:2" x14ac:dyDescent="0.25">
      <c r="A86" s="7">
        <v>5</v>
      </c>
      <c r="B86" s="7">
        <v>3</v>
      </c>
    </row>
    <row r="87" spans="1:2" x14ac:dyDescent="0.25">
      <c r="A87" s="7">
        <v>3</v>
      </c>
      <c r="B87" s="7">
        <v>3</v>
      </c>
    </row>
    <row r="88" spans="1:2" x14ac:dyDescent="0.25">
      <c r="A88" s="7">
        <v>3</v>
      </c>
      <c r="B88" s="7">
        <v>2</v>
      </c>
    </row>
    <row r="89" spans="1:2" x14ac:dyDescent="0.25">
      <c r="A89" s="7">
        <v>4</v>
      </c>
      <c r="B89" s="7">
        <v>4</v>
      </c>
    </row>
    <row r="90" spans="1:2" x14ac:dyDescent="0.25">
      <c r="A90" s="7">
        <v>3</v>
      </c>
      <c r="B90" s="7">
        <v>4</v>
      </c>
    </row>
    <row r="91" spans="1:2" x14ac:dyDescent="0.25">
      <c r="A91" s="7">
        <v>5</v>
      </c>
      <c r="B91" s="7">
        <v>4</v>
      </c>
    </row>
    <row r="92" spans="1:2" x14ac:dyDescent="0.25">
      <c r="A92" s="7">
        <v>5</v>
      </c>
      <c r="B92" s="7">
        <v>4</v>
      </c>
    </row>
    <row r="93" spans="1:2" x14ac:dyDescent="0.25">
      <c r="A93" s="7">
        <v>2</v>
      </c>
      <c r="B93" s="7">
        <v>5</v>
      </c>
    </row>
    <row r="94" spans="1:2" x14ac:dyDescent="0.25">
      <c r="A94" s="7">
        <v>4</v>
      </c>
      <c r="B94" s="7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45" zoomScaleNormal="145" workbookViewId="0">
      <selection activeCell="D1" sqref="D1"/>
    </sheetView>
  </sheetViews>
  <sheetFormatPr baseColWidth="10" defaultColWidth="9.140625" defaultRowHeight="15" x14ac:dyDescent="0.25"/>
  <cols>
    <col min="1" max="1" width="27.85546875" customWidth="1"/>
    <col min="2" max="2" width="35.28515625" customWidth="1"/>
    <col min="4" max="4" width="39" customWidth="1"/>
    <col min="5" max="5" width="21.5703125" customWidth="1"/>
    <col min="6" max="6" width="17.85546875" customWidth="1"/>
    <col min="7" max="7" width="20" customWidth="1"/>
  </cols>
  <sheetData>
    <row r="1" spans="1:5" ht="120" x14ac:dyDescent="0.25">
      <c r="A1" s="8" t="s">
        <v>29</v>
      </c>
      <c r="B1" s="10" t="s">
        <v>30</v>
      </c>
    </row>
    <row r="2" spans="1:5" x14ac:dyDescent="0.25">
      <c r="A2" s="7">
        <v>5</v>
      </c>
      <c r="B2" s="7">
        <v>5</v>
      </c>
      <c r="D2" s="1" t="s">
        <v>46</v>
      </c>
      <c r="E2">
        <f>AVERAGE(A:A)</f>
        <v>3.4193548387096775</v>
      </c>
    </row>
    <row r="3" spans="1:5" x14ac:dyDescent="0.25">
      <c r="A3" s="7">
        <v>5</v>
      </c>
      <c r="B3" s="7">
        <v>4</v>
      </c>
      <c r="D3" s="1" t="s">
        <v>0</v>
      </c>
      <c r="E3">
        <f>MEDIAN(A:A)</f>
        <v>3</v>
      </c>
    </row>
    <row r="4" spans="1:5" x14ac:dyDescent="0.25">
      <c r="A4" s="7">
        <v>3</v>
      </c>
      <c r="B4" s="7">
        <v>3</v>
      </c>
      <c r="D4" s="1" t="s">
        <v>1</v>
      </c>
      <c r="E4">
        <f>MODE(A:A)</f>
        <v>3</v>
      </c>
    </row>
    <row r="5" spans="1:5" x14ac:dyDescent="0.25">
      <c r="A5" s="7">
        <v>3</v>
      </c>
      <c r="B5" s="7">
        <v>3</v>
      </c>
      <c r="D5" s="1" t="s">
        <v>15</v>
      </c>
      <c r="E5">
        <f>STDEV(A:A)</f>
        <v>1.1639753904947563</v>
      </c>
    </row>
    <row r="6" spans="1:5" x14ac:dyDescent="0.25">
      <c r="A6" s="7">
        <v>3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3</v>
      </c>
      <c r="B7" s="7">
        <v>1</v>
      </c>
    </row>
    <row r="8" spans="1:5" x14ac:dyDescent="0.25">
      <c r="A8" s="7">
        <v>1</v>
      </c>
      <c r="B8" s="7">
        <v>2</v>
      </c>
      <c r="D8" s="3" t="s">
        <v>47</v>
      </c>
      <c r="E8">
        <f>AVERAGE(B:B)</f>
        <v>3.150537634408602</v>
      </c>
    </row>
    <row r="9" spans="1:5" x14ac:dyDescent="0.25">
      <c r="A9" s="7">
        <v>3</v>
      </c>
      <c r="B9" s="7">
        <v>3</v>
      </c>
      <c r="D9" s="3" t="s">
        <v>2</v>
      </c>
      <c r="E9">
        <f>MEDIAN(B:B)</f>
        <v>3</v>
      </c>
    </row>
    <row r="10" spans="1:5" x14ac:dyDescent="0.25">
      <c r="A10" s="7">
        <v>4</v>
      </c>
      <c r="B10" s="7">
        <v>3</v>
      </c>
      <c r="D10" s="3" t="s">
        <v>3</v>
      </c>
      <c r="E10">
        <f>MODE(B:B)</f>
        <v>3</v>
      </c>
    </row>
    <row r="11" spans="1:5" x14ac:dyDescent="0.25">
      <c r="A11" s="7">
        <v>2</v>
      </c>
      <c r="B11" s="7">
        <v>3</v>
      </c>
      <c r="D11" s="3" t="s">
        <v>14</v>
      </c>
      <c r="E11">
        <f>STDEV(B:B)</f>
        <v>1.1790401084664608</v>
      </c>
    </row>
    <row r="12" spans="1:5" x14ac:dyDescent="0.25">
      <c r="A12" s="7">
        <v>4</v>
      </c>
      <c r="B12" s="7">
        <v>4</v>
      </c>
      <c r="D12" s="5" t="s">
        <v>5</v>
      </c>
      <c r="E12">
        <f>COUNT(B:B)</f>
        <v>93</v>
      </c>
    </row>
    <row r="13" spans="1:5" x14ac:dyDescent="0.25">
      <c r="A13" s="7">
        <v>4</v>
      </c>
      <c r="B13" s="7">
        <v>4</v>
      </c>
    </row>
    <row r="14" spans="1:5" x14ac:dyDescent="0.25">
      <c r="A14" s="7">
        <v>5</v>
      </c>
      <c r="B14" s="7">
        <v>5</v>
      </c>
    </row>
    <row r="15" spans="1:5" x14ac:dyDescent="0.25">
      <c r="A15" s="7">
        <v>5</v>
      </c>
      <c r="B15" s="7">
        <v>3</v>
      </c>
    </row>
    <row r="16" spans="1:5" x14ac:dyDescent="0.25">
      <c r="A16" s="7">
        <v>1</v>
      </c>
      <c r="B16" s="7">
        <v>3</v>
      </c>
    </row>
    <row r="17" spans="1:5" x14ac:dyDescent="0.25">
      <c r="A17" s="7">
        <v>2</v>
      </c>
      <c r="B17" s="7">
        <v>4</v>
      </c>
      <c r="D17" s="2" t="s">
        <v>6</v>
      </c>
      <c r="E17" s="2"/>
    </row>
    <row r="18" spans="1:5" x14ac:dyDescent="0.25">
      <c r="A18" s="7">
        <v>3</v>
      </c>
      <c r="B18" s="7">
        <v>1</v>
      </c>
    </row>
    <row r="19" spans="1:5" x14ac:dyDescent="0.25">
      <c r="A19" s="7">
        <v>4</v>
      </c>
      <c r="B19" s="7">
        <v>2</v>
      </c>
    </row>
    <row r="20" spans="1:5" x14ac:dyDescent="0.25">
      <c r="A20" s="7">
        <v>4</v>
      </c>
      <c r="B20" s="7">
        <v>3</v>
      </c>
    </row>
    <row r="21" spans="1:5" x14ac:dyDescent="0.25">
      <c r="A21" s="7">
        <v>5</v>
      </c>
      <c r="B21" s="7">
        <v>3</v>
      </c>
    </row>
    <row r="22" spans="1:5" x14ac:dyDescent="0.25">
      <c r="A22" s="7">
        <v>4</v>
      </c>
      <c r="B22" s="7">
        <v>2</v>
      </c>
    </row>
    <row r="23" spans="1:5" x14ac:dyDescent="0.25">
      <c r="A23" s="7">
        <v>3</v>
      </c>
      <c r="B23" s="7">
        <v>5</v>
      </c>
    </row>
    <row r="24" spans="1:5" x14ac:dyDescent="0.25">
      <c r="A24" s="7">
        <v>3</v>
      </c>
      <c r="B24" s="7">
        <v>2</v>
      </c>
    </row>
    <row r="25" spans="1:5" x14ac:dyDescent="0.25">
      <c r="A25" s="7">
        <v>3</v>
      </c>
      <c r="B25" s="7">
        <v>5</v>
      </c>
    </row>
    <row r="26" spans="1:5" x14ac:dyDescent="0.25">
      <c r="A26" s="7">
        <v>4</v>
      </c>
      <c r="B26" s="7">
        <v>2</v>
      </c>
    </row>
    <row r="27" spans="1:5" x14ac:dyDescent="0.25">
      <c r="A27" s="7">
        <v>1</v>
      </c>
      <c r="B27" s="7">
        <v>4</v>
      </c>
    </row>
    <row r="28" spans="1:5" x14ac:dyDescent="0.25">
      <c r="A28" s="7">
        <v>3</v>
      </c>
      <c r="B28" s="7">
        <v>2</v>
      </c>
    </row>
    <row r="29" spans="1:5" x14ac:dyDescent="0.25">
      <c r="A29" s="7">
        <v>3</v>
      </c>
      <c r="B29" s="7">
        <v>1</v>
      </c>
      <c r="D29" t="s">
        <v>11</v>
      </c>
      <c r="E29">
        <f>(E2-E8)/SQRT(((E5^2)/E6)+((E11^2)/E12))</f>
        <v>1.5646939166214768</v>
      </c>
    </row>
    <row r="30" spans="1:5" x14ac:dyDescent="0.25">
      <c r="A30" s="7">
        <v>3</v>
      </c>
      <c r="B30" s="7">
        <v>5</v>
      </c>
    </row>
    <row r="31" spans="1:5" x14ac:dyDescent="0.25">
      <c r="A31" s="7">
        <v>4</v>
      </c>
      <c r="B31" s="7">
        <v>4</v>
      </c>
      <c r="D31" s="2" t="s">
        <v>7</v>
      </c>
      <c r="E31" s="2"/>
    </row>
    <row r="32" spans="1:5" x14ac:dyDescent="0.25">
      <c r="A32" s="7">
        <v>4</v>
      </c>
      <c r="B32" s="7">
        <v>1</v>
      </c>
    </row>
    <row r="33" spans="1:6" x14ac:dyDescent="0.25">
      <c r="A33" s="7">
        <v>4</v>
      </c>
      <c r="B33" s="7">
        <v>3</v>
      </c>
    </row>
    <row r="34" spans="1:6" x14ac:dyDescent="0.25">
      <c r="A34" s="7">
        <v>3</v>
      </c>
      <c r="B34" s="7">
        <v>2</v>
      </c>
    </row>
    <row r="35" spans="1:6" x14ac:dyDescent="0.25">
      <c r="A35" s="7">
        <v>5</v>
      </c>
      <c r="B35" s="7">
        <v>3</v>
      </c>
    </row>
    <row r="36" spans="1:6" x14ac:dyDescent="0.25">
      <c r="A36" s="7">
        <v>5</v>
      </c>
      <c r="B36" s="7">
        <v>4</v>
      </c>
    </row>
    <row r="37" spans="1:6" x14ac:dyDescent="0.25">
      <c r="A37" s="7">
        <v>5</v>
      </c>
      <c r="B37" s="7">
        <v>4</v>
      </c>
    </row>
    <row r="38" spans="1:6" x14ac:dyDescent="0.25">
      <c r="A38" s="7">
        <v>5</v>
      </c>
      <c r="B38" s="7">
        <v>4</v>
      </c>
    </row>
    <row r="39" spans="1:6" x14ac:dyDescent="0.25">
      <c r="A39" s="7">
        <v>2</v>
      </c>
      <c r="B39" s="7">
        <v>3</v>
      </c>
    </row>
    <row r="40" spans="1:6" x14ac:dyDescent="0.25">
      <c r="A40" s="7">
        <v>3</v>
      </c>
      <c r="B40" s="7">
        <v>4</v>
      </c>
    </row>
    <row r="41" spans="1:6" ht="29.25" customHeight="1" x14ac:dyDescent="0.25">
      <c r="A41" s="7">
        <v>3</v>
      </c>
      <c r="B41" s="7">
        <v>3</v>
      </c>
      <c r="D41" t="s">
        <v>8</v>
      </c>
      <c r="E41">
        <f>(((E5^2)/E6)+((E11^2)/E12))^2</f>
        <v>8.7118555168988184E-4</v>
      </c>
    </row>
    <row r="42" spans="1:6" ht="47.25" customHeight="1" x14ac:dyDescent="0.25">
      <c r="A42" s="7">
        <v>5</v>
      </c>
      <c r="B42" s="7">
        <v>3</v>
      </c>
      <c r="D42" t="s">
        <v>9</v>
      </c>
      <c r="E42">
        <f>(((E5^2)/E6)^2)/(E6-1)</f>
        <v>2.3068612220065366E-6</v>
      </c>
    </row>
    <row r="43" spans="1:6" ht="43.5" customHeight="1" x14ac:dyDescent="0.25">
      <c r="A43" s="7">
        <v>3</v>
      </c>
      <c r="B43" s="7">
        <v>3</v>
      </c>
      <c r="D43" t="s">
        <v>10</v>
      </c>
      <c r="E43">
        <f>(((E11^2)/E12)^2)/(E12-1)</f>
        <v>2.4286257313952635E-6</v>
      </c>
    </row>
    <row r="44" spans="1:6" x14ac:dyDescent="0.25">
      <c r="A44" s="7">
        <v>3</v>
      </c>
      <c r="B44" s="7">
        <v>2</v>
      </c>
    </row>
    <row r="45" spans="1:6" x14ac:dyDescent="0.25">
      <c r="A45" s="7">
        <v>4</v>
      </c>
      <c r="B45" s="7">
        <v>1</v>
      </c>
      <c r="D45" t="s">
        <v>7</v>
      </c>
      <c r="E45">
        <f>E41/(E42+E43)</f>
        <v>183.96958121995331</v>
      </c>
      <c r="F45" s="6" t="s">
        <v>12</v>
      </c>
    </row>
    <row r="46" spans="1:6" x14ac:dyDescent="0.25">
      <c r="A46" s="7">
        <v>4</v>
      </c>
      <c r="B46" s="7">
        <v>4</v>
      </c>
    </row>
    <row r="47" spans="1:6" x14ac:dyDescent="0.25">
      <c r="A47" s="7">
        <v>4</v>
      </c>
      <c r="B47" s="7">
        <v>2</v>
      </c>
      <c r="D47" t="s">
        <v>13</v>
      </c>
      <c r="E47">
        <v>0.05</v>
      </c>
      <c r="F47" s="6" t="s">
        <v>12</v>
      </c>
    </row>
    <row r="48" spans="1:6" x14ac:dyDescent="0.25">
      <c r="A48" s="7">
        <v>3</v>
      </c>
      <c r="B48" s="7">
        <v>3</v>
      </c>
    </row>
    <row r="49" spans="1:5" x14ac:dyDescent="0.25">
      <c r="A49" s="7">
        <v>3</v>
      </c>
      <c r="B49" s="7">
        <v>3</v>
      </c>
    </row>
    <row r="50" spans="1:5" x14ac:dyDescent="0.25">
      <c r="A50" s="7">
        <v>5</v>
      </c>
      <c r="B50" s="7">
        <v>1</v>
      </c>
    </row>
    <row r="51" spans="1:5" x14ac:dyDescent="0.25">
      <c r="A51" s="7">
        <v>4</v>
      </c>
      <c r="B51" s="7">
        <v>4</v>
      </c>
      <c r="D51" s="2"/>
      <c r="E51" s="2"/>
    </row>
    <row r="52" spans="1:5" x14ac:dyDescent="0.25">
      <c r="A52" s="7">
        <v>3</v>
      </c>
      <c r="B52" s="7">
        <v>5</v>
      </c>
      <c r="D52" t="s">
        <v>16</v>
      </c>
      <c r="E52">
        <f>_xlfn.T.INV.2T(E47,E45)</f>
        <v>1.9730119151362655</v>
      </c>
    </row>
    <row r="53" spans="1:5" x14ac:dyDescent="0.25">
      <c r="A53" s="7">
        <v>3</v>
      </c>
      <c r="B53" s="7">
        <v>2</v>
      </c>
      <c r="D53" t="s">
        <v>17</v>
      </c>
      <c r="E53">
        <f>_xlfn.T.INV(E47, E45)</f>
        <v>-1.6532228031457243</v>
      </c>
    </row>
    <row r="54" spans="1:5" x14ac:dyDescent="0.25">
      <c r="A54" s="7">
        <v>2</v>
      </c>
      <c r="B54" s="7">
        <v>4</v>
      </c>
    </row>
    <row r="55" spans="1:5" x14ac:dyDescent="0.25">
      <c r="A55" s="7">
        <v>3</v>
      </c>
      <c r="B55" s="7">
        <v>2</v>
      </c>
      <c r="D55" t="s">
        <v>18</v>
      </c>
      <c r="E55">
        <f>TTEST(A:A,B:B,2,2)</f>
        <v>0.11937291570345739</v>
      </c>
    </row>
    <row r="56" spans="1:5" x14ac:dyDescent="0.25">
      <c r="A56" s="7">
        <v>4</v>
      </c>
      <c r="B56" s="7">
        <v>2</v>
      </c>
      <c r="D56" t="s">
        <v>19</v>
      </c>
      <c r="E56">
        <f>TTEST(A:A,B:B,1,2)</f>
        <v>5.9686457851728693E-2</v>
      </c>
    </row>
    <row r="57" spans="1:5" x14ac:dyDescent="0.25">
      <c r="A57" s="7">
        <v>5</v>
      </c>
      <c r="B57" s="7">
        <v>5</v>
      </c>
    </row>
    <row r="58" spans="1:5" x14ac:dyDescent="0.25">
      <c r="A58" s="7">
        <v>3</v>
      </c>
      <c r="B58" s="7">
        <v>2</v>
      </c>
    </row>
    <row r="59" spans="1:5" x14ac:dyDescent="0.25">
      <c r="A59" s="7">
        <v>5</v>
      </c>
      <c r="B59" s="7">
        <v>4</v>
      </c>
      <c r="D59" s="2" t="s">
        <v>20</v>
      </c>
      <c r="E59" s="2"/>
    </row>
    <row r="60" spans="1:5" x14ac:dyDescent="0.25">
      <c r="A60" s="7">
        <v>3</v>
      </c>
      <c r="B60" s="7">
        <v>3</v>
      </c>
    </row>
    <row r="61" spans="1:5" x14ac:dyDescent="0.25">
      <c r="A61" s="7">
        <v>1</v>
      </c>
      <c r="B61" s="7">
        <v>3</v>
      </c>
      <c r="D61" t="s">
        <v>21</v>
      </c>
    </row>
    <row r="62" spans="1:5" x14ac:dyDescent="0.25">
      <c r="A62" s="7">
        <v>3</v>
      </c>
      <c r="B62" s="7">
        <v>1</v>
      </c>
      <c r="D62" t="s">
        <v>22</v>
      </c>
    </row>
    <row r="63" spans="1:5" x14ac:dyDescent="0.25">
      <c r="A63" s="7">
        <v>4</v>
      </c>
      <c r="B63" s="7">
        <v>5</v>
      </c>
    </row>
    <row r="64" spans="1:5" x14ac:dyDescent="0.25">
      <c r="A64" s="7">
        <v>3</v>
      </c>
      <c r="B64" s="7">
        <v>3</v>
      </c>
    </row>
    <row r="65" spans="1:4" x14ac:dyDescent="0.25">
      <c r="A65" s="7">
        <v>3</v>
      </c>
      <c r="B65" s="7">
        <v>3</v>
      </c>
    </row>
    <row r="66" spans="1:4" x14ac:dyDescent="0.25">
      <c r="A66" s="7">
        <v>3</v>
      </c>
      <c r="B66" s="7">
        <v>3</v>
      </c>
      <c r="D66" t="s">
        <v>23</v>
      </c>
    </row>
    <row r="67" spans="1:4" x14ac:dyDescent="0.25">
      <c r="A67" s="7">
        <v>1</v>
      </c>
      <c r="B67" s="7">
        <v>3</v>
      </c>
      <c r="D67" t="str">
        <f>"Dos Colas: Si t calculado ("&amp;E29&amp;") &gt; a t critico  ("&amp;E52&amp;") (de tabla) ---&gt; Se rechaza la hipotesis nula"</f>
        <v>Dos Colas: Si t calculado (1.56469391662148) &gt; a t critico  (1.97301191513627) (de tabla) ---&gt; Se rechaza la hipotesis nula</v>
      </c>
    </row>
    <row r="68" spans="1:4" x14ac:dyDescent="0.25">
      <c r="A68" s="7">
        <v>4</v>
      </c>
      <c r="B68" s="7">
        <v>5</v>
      </c>
      <c r="D68" t="str">
        <f>"Una Cola: Si t calculado ("&amp;E29&amp;") &gt; a t critico  ("&amp;E53&amp;") (de tabla) ---&gt; Se rechaza la hipotesis nula"</f>
        <v>Una Cola: Si t calculado (1.56469391662148) &gt; a t critico  (-1.65322280314572) (de tabla) ---&gt; Se rechaza la hipotesis nula</v>
      </c>
    </row>
    <row r="69" spans="1:4" x14ac:dyDescent="0.25">
      <c r="A69" s="7">
        <v>1</v>
      </c>
      <c r="B69" s="7">
        <v>4</v>
      </c>
    </row>
    <row r="70" spans="1:4" x14ac:dyDescent="0.25">
      <c r="A70" s="7">
        <v>2</v>
      </c>
      <c r="B70" s="7">
        <v>4</v>
      </c>
    </row>
    <row r="71" spans="1:4" x14ac:dyDescent="0.25">
      <c r="A71" s="7">
        <v>4</v>
      </c>
      <c r="B71" s="7">
        <v>2</v>
      </c>
    </row>
    <row r="72" spans="1:4" x14ac:dyDescent="0.25">
      <c r="A72" s="7">
        <v>5</v>
      </c>
      <c r="B72" s="7">
        <v>4</v>
      </c>
      <c r="D72" t="s">
        <v>48</v>
      </c>
    </row>
    <row r="73" spans="1:4" x14ac:dyDescent="0.25">
      <c r="A73" s="7">
        <v>5</v>
      </c>
      <c r="B73" s="7">
        <v>4</v>
      </c>
      <c r="D73" t="str">
        <f>"Dos Colas: Si p valor ("&amp;E55&amp;") &lt; Nivel Significancia (0.05) ---&gt; Se rechaza la hipotesis nula"</f>
        <v>Dos Colas: Si p valor (0.119372915703457) &lt; Nivel Significancia (0.05) ---&gt; Se rechaza la hipotesis nula</v>
      </c>
    </row>
    <row r="74" spans="1:4" x14ac:dyDescent="0.25">
      <c r="A74" s="7">
        <v>5</v>
      </c>
      <c r="B74" s="7">
        <v>1</v>
      </c>
      <c r="D74" t="str">
        <f>"Una Cola: Si p valor ("&amp;E56&amp;") &lt; Nivel Significancia (0.05) ---&gt; Se rechaza la hipotesis nula"</f>
        <v>Una Cola: Si p valor (0.0596864578517287) &lt; Nivel Significancia (0.05) ---&gt; Se rechaza la hipotesis nula</v>
      </c>
    </row>
    <row r="75" spans="1:4" x14ac:dyDescent="0.25">
      <c r="A75" s="7">
        <v>5</v>
      </c>
      <c r="B75" s="7">
        <v>5</v>
      </c>
    </row>
    <row r="76" spans="1:4" x14ac:dyDescent="0.25">
      <c r="A76" s="7">
        <v>3</v>
      </c>
      <c r="B76" s="7">
        <v>1</v>
      </c>
    </row>
    <row r="77" spans="1:4" x14ac:dyDescent="0.25">
      <c r="A77" s="7">
        <v>5</v>
      </c>
      <c r="B77" s="7">
        <v>3</v>
      </c>
    </row>
    <row r="78" spans="1:4" x14ac:dyDescent="0.25">
      <c r="A78" s="7">
        <v>4</v>
      </c>
      <c r="B78" s="7">
        <v>2</v>
      </c>
    </row>
    <row r="79" spans="1:4" x14ac:dyDescent="0.25">
      <c r="A79" s="7">
        <v>2</v>
      </c>
      <c r="B79" s="7">
        <v>4</v>
      </c>
    </row>
    <row r="80" spans="1:4" x14ac:dyDescent="0.25">
      <c r="A80" s="7">
        <v>5</v>
      </c>
      <c r="B80" s="7">
        <v>5</v>
      </c>
    </row>
    <row r="81" spans="1:2" x14ac:dyDescent="0.25">
      <c r="A81" s="7">
        <v>2</v>
      </c>
      <c r="B81" s="7">
        <v>3</v>
      </c>
    </row>
    <row r="82" spans="1:2" x14ac:dyDescent="0.25">
      <c r="A82" s="7">
        <v>4</v>
      </c>
      <c r="B82" s="7">
        <v>2</v>
      </c>
    </row>
    <row r="83" spans="1:2" x14ac:dyDescent="0.25">
      <c r="A83" s="7">
        <v>5</v>
      </c>
      <c r="B83" s="7">
        <v>3</v>
      </c>
    </row>
    <row r="84" spans="1:2" x14ac:dyDescent="0.25">
      <c r="A84" s="7">
        <v>3</v>
      </c>
      <c r="B84" s="7">
        <v>5</v>
      </c>
    </row>
    <row r="85" spans="1:2" x14ac:dyDescent="0.25">
      <c r="A85" s="7">
        <v>3</v>
      </c>
      <c r="B85" s="7">
        <v>3</v>
      </c>
    </row>
    <row r="86" spans="1:2" x14ac:dyDescent="0.25">
      <c r="A86" s="7">
        <v>2</v>
      </c>
      <c r="B86" s="7">
        <v>3</v>
      </c>
    </row>
    <row r="87" spans="1:2" x14ac:dyDescent="0.25">
      <c r="A87" s="7">
        <v>3</v>
      </c>
      <c r="B87" s="7">
        <v>3</v>
      </c>
    </row>
    <row r="88" spans="1:2" x14ac:dyDescent="0.25">
      <c r="A88" s="7">
        <v>2</v>
      </c>
      <c r="B88" s="7">
        <v>3</v>
      </c>
    </row>
    <row r="89" spans="1:2" x14ac:dyDescent="0.25">
      <c r="A89" s="7">
        <v>4</v>
      </c>
      <c r="B89" s="7">
        <v>2</v>
      </c>
    </row>
    <row r="90" spans="1:2" x14ac:dyDescent="0.25">
      <c r="A90" s="7">
        <v>4</v>
      </c>
      <c r="B90" s="7">
        <v>3</v>
      </c>
    </row>
    <row r="91" spans="1:2" x14ac:dyDescent="0.25">
      <c r="A91" s="7">
        <v>3</v>
      </c>
      <c r="B91" s="7">
        <v>5</v>
      </c>
    </row>
    <row r="92" spans="1:2" x14ac:dyDescent="0.25">
      <c r="A92" s="7">
        <v>2</v>
      </c>
      <c r="B92" s="7">
        <v>3</v>
      </c>
    </row>
    <row r="93" spans="1:2" x14ac:dyDescent="0.25">
      <c r="A93" s="7">
        <v>1</v>
      </c>
      <c r="B93" s="7">
        <v>5</v>
      </c>
    </row>
    <row r="94" spans="1:2" x14ac:dyDescent="0.25">
      <c r="A94" s="7">
        <v>4</v>
      </c>
      <c r="B94" s="7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30" zoomScaleNormal="130" workbookViewId="0">
      <selection activeCell="C1" sqref="C1"/>
    </sheetView>
  </sheetViews>
  <sheetFormatPr baseColWidth="10" defaultColWidth="9.140625" defaultRowHeight="15" x14ac:dyDescent="0.25"/>
  <cols>
    <col min="1" max="1" width="32.42578125" customWidth="1"/>
    <col min="2" max="2" width="31.140625" customWidth="1"/>
    <col min="4" max="4" width="38.140625" customWidth="1"/>
    <col min="5" max="5" width="21.5703125" customWidth="1"/>
    <col min="6" max="6" width="17.85546875" customWidth="1"/>
    <col min="7" max="7" width="20" customWidth="1"/>
  </cols>
  <sheetData>
    <row r="1" spans="1:5" ht="120" x14ac:dyDescent="0.25">
      <c r="A1" s="8" t="s">
        <v>32</v>
      </c>
      <c r="B1" s="8" t="s">
        <v>33</v>
      </c>
    </row>
    <row r="2" spans="1:5" x14ac:dyDescent="0.25">
      <c r="A2" s="7">
        <v>4</v>
      </c>
      <c r="B2" s="7">
        <v>1</v>
      </c>
      <c r="D2" s="1" t="s">
        <v>46</v>
      </c>
      <c r="E2">
        <f>AVERAGE(A:A)</f>
        <v>3.182795698924731</v>
      </c>
    </row>
    <row r="3" spans="1:5" x14ac:dyDescent="0.25">
      <c r="A3" s="7">
        <v>2</v>
      </c>
      <c r="B3" s="7">
        <v>5</v>
      </c>
      <c r="D3" s="1" t="s">
        <v>0</v>
      </c>
      <c r="E3">
        <f>MEDIAN(A:A)</f>
        <v>3</v>
      </c>
    </row>
    <row r="4" spans="1:5" x14ac:dyDescent="0.25">
      <c r="A4" s="7">
        <v>2</v>
      </c>
      <c r="B4" s="7">
        <v>1</v>
      </c>
      <c r="D4" s="1" t="s">
        <v>1</v>
      </c>
      <c r="E4">
        <f>MODE(A:A)</f>
        <v>3</v>
      </c>
    </row>
    <row r="5" spans="1:5" x14ac:dyDescent="0.25">
      <c r="A5" s="7">
        <v>5</v>
      </c>
      <c r="B5" s="7">
        <v>3</v>
      </c>
      <c r="D5" s="1" t="s">
        <v>15</v>
      </c>
      <c r="E5">
        <f>STDEV(A:A)</f>
        <v>1.3428250279293552</v>
      </c>
    </row>
    <row r="6" spans="1:5" x14ac:dyDescent="0.25">
      <c r="A6" s="7">
        <v>2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3</v>
      </c>
      <c r="B7" s="7">
        <v>5</v>
      </c>
    </row>
    <row r="8" spans="1:5" x14ac:dyDescent="0.25">
      <c r="A8" s="7">
        <v>2</v>
      </c>
      <c r="B8" s="7">
        <v>3</v>
      </c>
      <c r="D8" s="3" t="s">
        <v>47</v>
      </c>
      <c r="E8">
        <f>AVERAGE(B:B)</f>
        <v>3.3655913978494625</v>
      </c>
    </row>
    <row r="9" spans="1:5" x14ac:dyDescent="0.25">
      <c r="A9" s="7">
        <v>4</v>
      </c>
      <c r="B9" s="7">
        <v>2</v>
      </c>
      <c r="D9" s="3" t="s">
        <v>2</v>
      </c>
      <c r="E9">
        <f>MEDIAN(B:B)</f>
        <v>3</v>
      </c>
    </row>
    <row r="10" spans="1:5" x14ac:dyDescent="0.25">
      <c r="A10" s="7">
        <v>2</v>
      </c>
      <c r="B10" s="7">
        <v>3</v>
      </c>
      <c r="D10" s="3" t="s">
        <v>3</v>
      </c>
      <c r="E10">
        <f>MODE(B:B)</f>
        <v>3</v>
      </c>
    </row>
    <row r="11" spans="1:5" x14ac:dyDescent="0.25">
      <c r="A11" s="7">
        <v>4</v>
      </c>
      <c r="B11" s="7">
        <v>5</v>
      </c>
      <c r="D11" s="3" t="s">
        <v>14</v>
      </c>
      <c r="E11">
        <f>STDEV(B:B)</f>
        <v>1.195871032712859</v>
      </c>
    </row>
    <row r="12" spans="1:5" x14ac:dyDescent="0.25">
      <c r="A12" s="7">
        <v>5</v>
      </c>
      <c r="B12" s="7">
        <v>5</v>
      </c>
      <c r="D12" s="5" t="s">
        <v>5</v>
      </c>
      <c r="E12">
        <f>COUNT(B:B)</f>
        <v>93</v>
      </c>
    </row>
    <row r="13" spans="1:5" x14ac:dyDescent="0.25">
      <c r="A13" s="7">
        <v>2</v>
      </c>
      <c r="B13" s="7">
        <v>4</v>
      </c>
    </row>
    <row r="14" spans="1:5" x14ac:dyDescent="0.25">
      <c r="A14" s="7">
        <v>5</v>
      </c>
      <c r="B14" s="7">
        <v>4</v>
      </c>
    </row>
    <row r="15" spans="1:5" x14ac:dyDescent="0.25">
      <c r="A15" s="7">
        <v>4</v>
      </c>
      <c r="B15" s="7">
        <v>4</v>
      </c>
    </row>
    <row r="16" spans="1:5" x14ac:dyDescent="0.25">
      <c r="A16" s="7">
        <v>1</v>
      </c>
      <c r="B16" s="7">
        <v>4</v>
      </c>
    </row>
    <row r="17" spans="1:5" x14ac:dyDescent="0.25">
      <c r="A17" s="7">
        <v>1</v>
      </c>
      <c r="B17" s="7">
        <v>2</v>
      </c>
      <c r="D17" s="2" t="s">
        <v>6</v>
      </c>
      <c r="E17" s="2"/>
    </row>
    <row r="18" spans="1:5" x14ac:dyDescent="0.25">
      <c r="A18" s="7">
        <v>3</v>
      </c>
      <c r="B18" s="7">
        <v>1</v>
      </c>
    </row>
    <row r="19" spans="1:5" x14ac:dyDescent="0.25">
      <c r="A19" s="7">
        <v>3</v>
      </c>
      <c r="B19" s="7">
        <v>4</v>
      </c>
    </row>
    <row r="20" spans="1:5" x14ac:dyDescent="0.25">
      <c r="A20" s="7">
        <v>3</v>
      </c>
      <c r="B20" s="7">
        <v>2</v>
      </c>
    </row>
    <row r="21" spans="1:5" x14ac:dyDescent="0.25">
      <c r="A21" s="7">
        <v>4</v>
      </c>
      <c r="B21" s="7">
        <v>4</v>
      </c>
    </row>
    <row r="22" spans="1:5" x14ac:dyDescent="0.25">
      <c r="A22" s="7">
        <v>4</v>
      </c>
      <c r="B22" s="7">
        <v>3</v>
      </c>
    </row>
    <row r="23" spans="1:5" x14ac:dyDescent="0.25">
      <c r="A23" s="7">
        <v>3</v>
      </c>
      <c r="B23" s="7">
        <v>4</v>
      </c>
    </row>
    <row r="24" spans="1:5" x14ac:dyDescent="0.25">
      <c r="A24" s="7">
        <v>2</v>
      </c>
      <c r="B24" s="7">
        <v>3</v>
      </c>
    </row>
    <row r="25" spans="1:5" x14ac:dyDescent="0.25">
      <c r="A25" s="7">
        <v>2</v>
      </c>
      <c r="B25" s="7">
        <v>1</v>
      </c>
    </row>
    <row r="26" spans="1:5" x14ac:dyDescent="0.25">
      <c r="A26" s="7">
        <v>2</v>
      </c>
      <c r="B26" s="7">
        <v>3</v>
      </c>
    </row>
    <row r="27" spans="1:5" x14ac:dyDescent="0.25">
      <c r="A27" s="7">
        <v>5</v>
      </c>
      <c r="B27" s="7">
        <v>4</v>
      </c>
    </row>
    <row r="28" spans="1:5" x14ac:dyDescent="0.25">
      <c r="A28" s="7">
        <v>3</v>
      </c>
      <c r="B28" s="7">
        <v>3</v>
      </c>
    </row>
    <row r="29" spans="1:5" x14ac:dyDescent="0.25">
      <c r="A29" s="7">
        <v>5</v>
      </c>
      <c r="B29" s="7">
        <v>5</v>
      </c>
      <c r="D29" t="s">
        <v>11</v>
      </c>
      <c r="E29">
        <f>(E2-E8)/SQRT(((E5^2)/E6)+((E11^2)/E12))</f>
        <v>-0.98035946712871525</v>
      </c>
    </row>
    <row r="30" spans="1:5" x14ac:dyDescent="0.25">
      <c r="A30" s="7">
        <v>3</v>
      </c>
      <c r="B30" s="7">
        <v>2</v>
      </c>
    </row>
    <row r="31" spans="1:5" x14ac:dyDescent="0.25">
      <c r="A31" s="7">
        <v>4</v>
      </c>
      <c r="B31" s="7">
        <v>3</v>
      </c>
      <c r="D31" s="2" t="s">
        <v>7</v>
      </c>
      <c r="E31" s="2"/>
    </row>
    <row r="32" spans="1:5" x14ac:dyDescent="0.25">
      <c r="A32" s="7">
        <v>2</v>
      </c>
      <c r="B32" s="7">
        <v>3</v>
      </c>
    </row>
    <row r="33" spans="1:6" x14ac:dyDescent="0.25">
      <c r="A33" s="7">
        <v>4</v>
      </c>
      <c r="B33" s="7">
        <v>3</v>
      </c>
    </row>
    <row r="34" spans="1:6" x14ac:dyDescent="0.25">
      <c r="A34" s="7">
        <v>5</v>
      </c>
      <c r="B34" s="7">
        <v>3</v>
      </c>
    </row>
    <row r="35" spans="1:6" x14ac:dyDescent="0.25">
      <c r="A35" s="7">
        <v>5</v>
      </c>
      <c r="B35" s="7">
        <v>5</v>
      </c>
    </row>
    <row r="36" spans="1:6" x14ac:dyDescent="0.25">
      <c r="A36" s="7">
        <v>2</v>
      </c>
      <c r="B36" s="7">
        <v>3</v>
      </c>
    </row>
    <row r="37" spans="1:6" x14ac:dyDescent="0.25">
      <c r="A37" s="7">
        <v>3</v>
      </c>
      <c r="B37" s="7">
        <v>4</v>
      </c>
    </row>
    <row r="38" spans="1:6" x14ac:dyDescent="0.25">
      <c r="A38" s="7">
        <v>5</v>
      </c>
      <c r="B38" s="7">
        <v>3</v>
      </c>
    </row>
    <row r="39" spans="1:6" x14ac:dyDescent="0.25">
      <c r="A39" s="7">
        <v>5</v>
      </c>
      <c r="B39" s="7">
        <v>2</v>
      </c>
    </row>
    <row r="40" spans="1:6" x14ac:dyDescent="0.25">
      <c r="A40" s="7">
        <v>3</v>
      </c>
      <c r="B40" s="7">
        <v>2</v>
      </c>
    </row>
    <row r="41" spans="1:6" ht="29.25" customHeight="1" x14ac:dyDescent="0.25">
      <c r="A41" s="7">
        <v>5</v>
      </c>
      <c r="B41" s="7">
        <v>3</v>
      </c>
      <c r="D41" t="s">
        <v>8</v>
      </c>
      <c r="E41">
        <f>(((E5^2)/E6)+((E11^2)/E12))^2</f>
        <v>1.2087110792776943E-3</v>
      </c>
    </row>
    <row r="42" spans="1:6" ht="47.25" customHeight="1" x14ac:dyDescent="0.25">
      <c r="A42" s="7">
        <v>2</v>
      </c>
      <c r="B42" s="7">
        <v>3</v>
      </c>
      <c r="D42" t="s">
        <v>9</v>
      </c>
      <c r="E42">
        <f>(((E5^2)/E6)^2)/(E6-1)</f>
        <v>4.0862410666667001E-6</v>
      </c>
    </row>
    <row r="43" spans="1:6" ht="43.5" customHeight="1" x14ac:dyDescent="0.25">
      <c r="A43" s="7">
        <v>3</v>
      </c>
      <c r="B43" s="7">
        <v>5</v>
      </c>
      <c r="D43" t="s">
        <v>10</v>
      </c>
      <c r="E43">
        <f>(((E11^2)/E12)^2)/(E12-1)</f>
        <v>2.5702990776060429E-6</v>
      </c>
    </row>
    <row r="44" spans="1:6" x14ac:dyDescent="0.25">
      <c r="A44" s="7">
        <v>5</v>
      </c>
      <c r="B44" s="7">
        <v>2</v>
      </c>
    </row>
    <row r="45" spans="1:6" x14ac:dyDescent="0.25">
      <c r="A45" s="7">
        <v>5</v>
      </c>
      <c r="B45" s="7">
        <v>4</v>
      </c>
      <c r="D45" t="s">
        <v>7</v>
      </c>
      <c r="E45">
        <f>E41/(E42+E43)</f>
        <v>181.58248175182479</v>
      </c>
      <c r="F45" s="6" t="s">
        <v>12</v>
      </c>
    </row>
    <row r="46" spans="1:6" x14ac:dyDescent="0.25">
      <c r="A46" s="7">
        <v>1</v>
      </c>
      <c r="B46" s="7">
        <v>3</v>
      </c>
    </row>
    <row r="47" spans="1:6" x14ac:dyDescent="0.25">
      <c r="A47" s="7">
        <v>4</v>
      </c>
      <c r="B47" s="7">
        <v>4</v>
      </c>
      <c r="D47" t="s">
        <v>13</v>
      </c>
      <c r="E47">
        <v>0.05</v>
      </c>
      <c r="F47" s="6" t="s">
        <v>12</v>
      </c>
    </row>
    <row r="48" spans="1:6" x14ac:dyDescent="0.25">
      <c r="A48" s="7">
        <v>4</v>
      </c>
      <c r="B48" s="7">
        <v>5</v>
      </c>
    </row>
    <row r="49" spans="1:5" x14ac:dyDescent="0.25">
      <c r="A49" s="7">
        <v>2</v>
      </c>
      <c r="B49" s="7">
        <v>3</v>
      </c>
    </row>
    <row r="50" spans="1:5" x14ac:dyDescent="0.25">
      <c r="A50" s="7">
        <v>1</v>
      </c>
      <c r="B50" s="7">
        <v>5</v>
      </c>
    </row>
    <row r="51" spans="1:5" x14ac:dyDescent="0.25">
      <c r="A51" s="7">
        <v>1</v>
      </c>
      <c r="B51" s="7">
        <v>3</v>
      </c>
      <c r="D51" s="2"/>
      <c r="E51" s="2"/>
    </row>
    <row r="52" spans="1:5" x14ac:dyDescent="0.25">
      <c r="A52" s="7">
        <v>2</v>
      </c>
      <c r="B52" s="7">
        <v>4</v>
      </c>
      <c r="D52" t="s">
        <v>16</v>
      </c>
      <c r="E52">
        <f>_xlfn.T.INV.2T(E47,E45)</f>
        <v>1.9731570421591595</v>
      </c>
    </row>
    <row r="53" spans="1:5" x14ac:dyDescent="0.25">
      <c r="A53" s="7">
        <v>4</v>
      </c>
      <c r="B53" s="7">
        <v>5</v>
      </c>
      <c r="D53" t="s">
        <v>17</v>
      </c>
      <c r="E53">
        <f>_xlfn.T.INV(E47, E45)</f>
        <v>-1.6533157576226281</v>
      </c>
    </row>
    <row r="54" spans="1:5" x14ac:dyDescent="0.25">
      <c r="A54" s="7">
        <v>5</v>
      </c>
      <c r="B54" s="7">
        <v>3</v>
      </c>
    </row>
    <row r="55" spans="1:5" x14ac:dyDescent="0.25">
      <c r="A55" s="7">
        <v>2</v>
      </c>
      <c r="B55" s="7">
        <v>5</v>
      </c>
      <c r="D55" t="s">
        <v>18</v>
      </c>
      <c r="E55">
        <f>TTEST(A:A,B:B,2,2)</f>
        <v>0.32819596350025759</v>
      </c>
    </row>
    <row r="56" spans="1:5" x14ac:dyDescent="0.25">
      <c r="A56" s="7">
        <v>3</v>
      </c>
      <c r="B56" s="7">
        <v>4</v>
      </c>
      <c r="D56" t="s">
        <v>19</v>
      </c>
      <c r="E56">
        <f>TTEST(A:A,B:B,1,2)</f>
        <v>0.1640979817501288</v>
      </c>
    </row>
    <row r="57" spans="1:5" x14ac:dyDescent="0.25">
      <c r="A57" s="7">
        <v>4</v>
      </c>
      <c r="B57" s="7">
        <v>3</v>
      </c>
    </row>
    <row r="58" spans="1:5" x14ac:dyDescent="0.25">
      <c r="A58" s="7">
        <v>2</v>
      </c>
      <c r="B58" s="7">
        <v>5</v>
      </c>
    </row>
    <row r="59" spans="1:5" x14ac:dyDescent="0.25">
      <c r="A59" s="7">
        <v>5</v>
      </c>
      <c r="B59" s="7">
        <v>2</v>
      </c>
      <c r="D59" s="2" t="s">
        <v>20</v>
      </c>
      <c r="E59" s="2"/>
    </row>
    <row r="60" spans="1:5" x14ac:dyDescent="0.25">
      <c r="A60" s="7">
        <v>3</v>
      </c>
      <c r="B60" s="7">
        <v>5</v>
      </c>
    </row>
    <row r="61" spans="1:5" x14ac:dyDescent="0.25">
      <c r="A61" s="7">
        <v>5</v>
      </c>
      <c r="B61" s="7">
        <v>4</v>
      </c>
      <c r="D61" t="s">
        <v>21</v>
      </c>
    </row>
    <row r="62" spans="1:5" x14ac:dyDescent="0.25">
      <c r="A62" s="7">
        <v>3</v>
      </c>
      <c r="B62" s="7">
        <v>3</v>
      </c>
      <c r="D62" t="s">
        <v>22</v>
      </c>
    </row>
    <row r="63" spans="1:5" x14ac:dyDescent="0.25">
      <c r="A63" s="7">
        <v>5</v>
      </c>
      <c r="B63" s="7">
        <v>4</v>
      </c>
    </row>
    <row r="64" spans="1:5" x14ac:dyDescent="0.25">
      <c r="A64" s="7">
        <v>5</v>
      </c>
      <c r="B64" s="7">
        <v>5</v>
      </c>
    </row>
    <row r="65" spans="1:4" x14ac:dyDescent="0.25">
      <c r="A65" s="7">
        <v>5</v>
      </c>
      <c r="B65" s="7">
        <v>4</v>
      </c>
    </row>
    <row r="66" spans="1:4" x14ac:dyDescent="0.25">
      <c r="A66" s="7">
        <v>3</v>
      </c>
      <c r="B66" s="7">
        <v>4</v>
      </c>
      <c r="D66" t="s">
        <v>23</v>
      </c>
    </row>
    <row r="67" spans="1:4" x14ac:dyDescent="0.25">
      <c r="A67" s="7">
        <v>2</v>
      </c>
      <c r="B67" s="7">
        <v>2</v>
      </c>
      <c r="D67" t="str">
        <f>"Dos Colas: Si t calculado ("&amp;E29&amp;") &gt; a t critico  ("&amp;E52&amp;") (de tabla) ---&gt; Se rechaza la hipotesis nula"</f>
        <v>Dos Colas: Si t calculado (-0.980359467128715) &gt; a t critico  (1.97315704215916) (de tabla) ---&gt; Se rechaza la hipotesis nula</v>
      </c>
    </row>
    <row r="68" spans="1:4" x14ac:dyDescent="0.25">
      <c r="A68" s="7">
        <v>3</v>
      </c>
      <c r="B68" s="7">
        <v>4</v>
      </c>
      <c r="D68" t="str">
        <f>"Una Cola: Si t calculado ("&amp;E29&amp;") &gt; a t critico  ("&amp;E53&amp;") (de tabla) ---&gt; Se rechaza la hipotesis nula"</f>
        <v>Una Cola: Si t calculado (-0.980359467128715) &gt; a t critico  (-1.65331575762263) (de tabla) ---&gt; Se rechaza la hipotesis nula</v>
      </c>
    </row>
    <row r="69" spans="1:4" x14ac:dyDescent="0.25">
      <c r="A69" s="7">
        <v>1</v>
      </c>
      <c r="B69" s="7">
        <v>2</v>
      </c>
    </row>
    <row r="70" spans="1:4" x14ac:dyDescent="0.25">
      <c r="A70" s="7">
        <v>4</v>
      </c>
      <c r="B70" s="7">
        <v>2</v>
      </c>
    </row>
    <row r="71" spans="1:4" x14ac:dyDescent="0.25">
      <c r="A71" s="7">
        <v>4</v>
      </c>
      <c r="B71" s="7">
        <v>4</v>
      </c>
    </row>
    <row r="72" spans="1:4" x14ac:dyDescent="0.25">
      <c r="A72" s="7">
        <v>2</v>
      </c>
      <c r="B72" s="7">
        <v>1</v>
      </c>
      <c r="D72" t="s">
        <v>48</v>
      </c>
    </row>
    <row r="73" spans="1:4" x14ac:dyDescent="0.25">
      <c r="A73" s="7">
        <v>4</v>
      </c>
      <c r="B73" s="7">
        <v>4</v>
      </c>
      <c r="D73" t="str">
        <f>"Dos Colas: Si p valor ("&amp;E55&amp;") &lt; Nivel Significancia (0.05) ---&gt; Se rechaza la hipotesis nula"</f>
        <v>Dos Colas: Si p valor (0.328195963500258) &lt; Nivel Significancia (0.05) ---&gt; Se rechaza la hipotesis nula</v>
      </c>
    </row>
    <row r="74" spans="1:4" x14ac:dyDescent="0.25">
      <c r="A74" s="7">
        <v>1</v>
      </c>
      <c r="B74" s="7">
        <v>1</v>
      </c>
      <c r="D74" t="str">
        <f>"Una Cola: Si p valor ("&amp;E56&amp;") &lt; Nivel Significancia (0.05) ---&gt; Se rechaza la hipotesis nula"</f>
        <v>Una Cola: Si p valor (0.164097981750129) &lt; Nivel Significancia (0.05) ---&gt; Se rechaza la hipotesis nula</v>
      </c>
    </row>
    <row r="75" spans="1:4" x14ac:dyDescent="0.25">
      <c r="A75" s="7">
        <v>5</v>
      </c>
      <c r="B75" s="7">
        <v>5</v>
      </c>
    </row>
    <row r="76" spans="1:4" x14ac:dyDescent="0.25">
      <c r="A76" s="7">
        <v>1</v>
      </c>
      <c r="B76" s="7">
        <v>3</v>
      </c>
    </row>
    <row r="77" spans="1:4" x14ac:dyDescent="0.25">
      <c r="A77" s="7">
        <v>5</v>
      </c>
      <c r="B77" s="7">
        <v>3</v>
      </c>
    </row>
    <row r="78" spans="1:4" x14ac:dyDescent="0.25">
      <c r="A78" s="7">
        <v>2</v>
      </c>
      <c r="B78" s="7">
        <v>4</v>
      </c>
    </row>
    <row r="79" spans="1:4" x14ac:dyDescent="0.25">
      <c r="A79" s="7">
        <v>3</v>
      </c>
      <c r="B79" s="7">
        <v>3</v>
      </c>
    </row>
    <row r="80" spans="1:4" x14ac:dyDescent="0.25">
      <c r="A80" s="7">
        <v>1</v>
      </c>
      <c r="B80" s="7">
        <v>3</v>
      </c>
    </row>
    <row r="81" spans="1:2" x14ac:dyDescent="0.25">
      <c r="A81" s="7">
        <v>5</v>
      </c>
      <c r="B81" s="7">
        <v>5</v>
      </c>
    </row>
    <row r="82" spans="1:2" x14ac:dyDescent="0.25">
      <c r="A82" s="7">
        <v>3</v>
      </c>
      <c r="B82" s="7">
        <v>5</v>
      </c>
    </row>
    <row r="83" spans="1:2" x14ac:dyDescent="0.25">
      <c r="A83" s="7">
        <v>1</v>
      </c>
      <c r="B83" s="7">
        <v>3</v>
      </c>
    </row>
    <row r="84" spans="1:2" x14ac:dyDescent="0.25">
      <c r="A84" s="7">
        <v>3</v>
      </c>
      <c r="B84" s="7">
        <v>3</v>
      </c>
    </row>
    <row r="85" spans="1:2" x14ac:dyDescent="0.25">
      <c r="A85" s="7">
        <v>3</v>
      </c>
      <c r="B85" s="7">
        <v>1</v>
      </c>
    </row>
    <row r="86" spans="1:2" x14ac:dyDescent="0.25">
      <c r="A86" s="7">
        <v>3</v>
      </c>
      <c r="B86" s="7">
        <v>3</v>
      </c>
    </row>
    <row r="87" spans="1:2" x14ac:dyDescent="0.25">
      <c r="A87" s="7">
        <v>3</v>
      </c>
      <c r="B87" s="7">
        <v>1</v>
      </c>
    </row>
    <row r="88" spans="1:2" x14ac:dyDescent="0.25">
      <c r="A88" s="7">
        <v>3</v>
      </c>
      <c r="B88" s="7">
        <v>3</v>
      </c>
    </row>
    <row r="89" spans="1:2" x14ac:dyDescent="0.25">
      <c r="A89" s="7">
        <v>3</v>
      </c>
      <c r="B89" s="7">
        <v>4</v>
      </c>
    </row>
    <row r="90" spans="1:2" x14ac:dyDescent="0.25">
      <c r="A90" s="7">
        <v>2</v>
      </c>
      <c r="B90" s="7">
        <v>5</v>
      </c>
    </row>
    <row r="91" spans="1:2" x14ac:dyDescent="0.25">
      <c r="A91" s="7">
        <v>5</v>
      </c>
      <c r="B91" s="7">
        <v>2</v>
      </c>
    </row>
    <row r="92" spans="1:2" x14ac:dyDescent="0.25">
      <c r="A92" s="7">
        <v>4</v>
      </c>
      <c r="B92" s="7">
        <v>3</v>
      </c>
    </row>
    <row r="93" spans="1:2" x14ac:dyDescent="0.25">
      <c r="A93" s="7">
        <v>1</v>
      </c>
      <c r="B93" s="7">
        <v>5</v>
      </c>
    </row>
    <row r="94" spans="1:2" x14ac:dyDescent="0.25">
      <c r="A94" s="7">
        <v>2</v>
      </c>
      <c r="B94" s="7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15" zoomScaleNormal="115" workbookViewId="0">
      <selection activeCell="D1" sqref="D1"/>
    </sheetView>
  </sheetViews>
  <sheetFormatPr baseColWidth="10" defaultColWidth="9.140625" defaultRowHeight="15" x14ac:dyDescent="0.25"/>
  <cols>
    <col min="1" max="1" width="33.140625" customWidth="1"/>
    <col min="2" max="2" width="30" customWidth="1"/>
    <col min="4" max="4" width="38.140625" customWidth="1"/>
    <col min="5" max="5" width="21.5703125" customWidth="1"/>
    <col min="6" max="6" width="17.85546875" customWidth="1"/>
    <col min="7" max="7" width="20" customWidth="1"/>
  </cols>
  <sheetData>
    <row r="1" spans="1:5" ht="152.25" customHeight="1" x14ac:dyDescent="0.25">
      <c r="A1" s="11" t="s">
        <v>34</v>
      </c>
      <c r="B1" s="9" t="s">
        <v>35</v>
      </c>
    </row>
    <row r="2" spans="1:5" x14ac:dyDescent="0.25">
      <c r="A2" s="7">
        <v>4</v>
      </c>
      <c r="B2" s="7">
        <v>4</v>
      </c>
      <c r="D2" s="1" t="s">
        <v>46</v>
      </c>
      <c r="E2">
        <f>AVERAGE(A:A)</f>
        <v>3.150537634408602</v>
      </c>
    </row>
    <row r="3" spans="1:5" x14ac:dyDescent="0.25">
      <c r="A3" s="7">
        <v>3</v>
      </c>
      <c r="B3" s="7">
        <v>4</v>
      </c>
      <c r="D3" s="1" t="s">
        <v>0</v>
      </c>
      <c r="E3">
        <f>MEDIAN(A:A)</f>
        <v>3</v>
      </c>
    </row>
    <row r="4" spans="1:5" x14ac:dyDescent="0.25">
      <c r="A4" s="7">
        <v>5</v>
      </c>
      <c r="B4" s="7">
        <v>5</v>
      </c>
      <c r="D4" s="1" t="s">
        <v>1</v>
      </c>
      <c r="E4">
        <f>MODE(A:A)</f>
        <v>3</v>
      </c>
    </row>
    <row r="5" spans="1:5" x14ac:dyDescent="0.25">
      <c r="A5" s="7">
        <v>1</v>
      </c>
      <c r="B5" s="7">
        <v>3</v>
      </c>
      <c r="D5" s="1" t="s">
        <v>15</v>
      </c>
      <c r="E5">
        <f>STDEV(A:A)</f>
        <v>1.2506192949298618</v>
      </c>
    </row>
    <row r="6" spans="1:5" x14ac:dyDescent="0.25">
      <c r="A6" s="7">
        <v>1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3</v>
      </c>
      <c r="B7" s="7">
        <v>2</v>
      </c>
    </row>
    <row r="8" spans="1:5" x14ac:dyDescent="0.25">
      <c r="A8" s="7">
        <v>3</v>
      </c>
      <c r="B8" s="7">
        <v>2</v>
      </c>
      <c r="D8" s="3" t="s">
        <v>47</v>
      </c>
      <c r="E8">
        <f>AVERAGE(B:B)</f>
        <v>3.5483870967741935</v>
      </c>
    </row>
    <row r="9" spans="1:5" x14ac:dyDescent="0.25">
      <c r="A9" s="7">
        <v>4</v>
      </c>
      <c r="B9" s="7">
        <v>4</v>
      </c>
      <c r="D9" s="3" t="s">
        <v>2</v>
      </c>
      <c r="E9">
        <f>MEDIAN(B:B)</f>
        <v>4</v>
      </c>
    </row>
    <row r="10" spans="1:5" x14ac:dyDescent="0.25">
      <c r="A10" s="7">
        <v>2</v>
      </c>
      <c r="B10" s="7">
        <v>3</v>
      </c>
      <c r="D10" s="3" t="s">
        <v>3</v>
      </c>
      <c r="E10">
        <f>MODE(B:B)</f>
        <v>4</v>
      </c>
    </row>
    <row r="11" spans="1:5" x14ac:dyDescent="0.25">
      <c r="A11" s="7">
        <v>3</v>
      </c>
      <c r="B11" s="7">
        <v>4</v>
      </c>
      <c r="D11" s="3" t="s">
        <v>14</v>
      </c>
      <c r="E11">
        <f>STDEV(B:B)</f>
        <v>1.1278695676233255</v>
      </c>
    </row>
    <row r="12" spans="1:5" x14ac:dyDescent="0.25">
      <c r="A12" s="7">
        <v>5</v>
      </c>
      <c r="B12" s="7">
        <v>2</v>
      </c>
      <c r="D12" s="5" t="s">
        <v>5</v>
      </c>
      <c r="E12">
        <f>COUNT(B:B)</f>
        <v>93</v>
      </c>
    </row>
    <row r="13" spans="1:5" x14ac:dyDescent="0.25">
      <c r="A13" s="7">
        <v>2</v>
      </c>
      <c r="B13" s="7">
        <v>4</v>
      </c>
    </row>
    <row r="14" spans="1:5" x14ac:dyDescent="0.25">
      <c r="A14" s="7">
        <v>2</v>
      </c>
      <c r="B14" s="7">
        <v>3</v>
      </c>
    </row>
    <row r="15" spans="1:5" x14ac:dyDescent="0.25">
      <c r="A15" s="7">
        <v>1</v>
      </c>
      <c r="B15" s="7">
        <v>3</v>
      </c>
    </row>
    <row r="16" spans="1:5" x14ac:dyDescent="0.25">
      <c r="A16" s="7">
        <v>3</v>
      </c>
      <c r="B16" s="7">
        <v>4</v>
      </c>
    </row>
    <row r="17" spans="1:5" x14ac:dyDescent="0.25">
      <c r="A17" s="7">
        <v>3</v>
      </c>
      <c r="B17" s="7">
        <v>5</v>
      </c>
      <c r="D17" s="2" t="s">
        <v>6</v>
      </c>
      <c r="E17" s="2"/>
    </row>
    <row r="18" spans="1:5" x14ac:dyDescent="0.25">
      <c r="A18" s="7">
        <v>4</v>
      </c>
      <c r="B18" s="7">
        <v>3</v>
      </c>
    </row>
    <row r="19" spans="1:5" x14ac:dyDescent="0.25">
      <c r="A19" s="7">
        <v>1</v>
      </c>
      <c r="B19" s="7">
        <v>3</v>
      </c>
    </row>
    <row r="20" spans="1:5" x14ac:dyDescent="0.25">
      <c r="A20" s="7">
        <v>2</v>
      </c>
      <c r="B20" s="7">
        <v>4</v>
      </c>
    </row>
    <row r="21" spans="1:5" x14ac:dyDescent="0.25">
      <c r="A21" s="7">
        <v>5</v>
      </c>
      <c r="B21" s="7">
        <v>3</v>
      </c>
    </row>
    <row r="22" spans="1:5" x14ac:dyDescent="0.25">
      <c r="A22" s="7">
        <v>5</v>
      </c>
      <c r="B22" s="7">
        <v>4</v>
      </c>
    </row>
    <row r="23" spans="1:5" x14ac:dyDescent="0.25">
      <c r="A23" s="7">
        <v>4</v>
      </c>
      <c r="B23" s="7">
        <v>3</v>
      </c>
    </row>
    <row r="24" spans="1:5" x14ac:dyDescent="0.25">
      <c r="A24" s="7">
        <v>2</v>
      </c>
      <c r="B24" s="7">
        <v>5</v>
      </c>
    </row>
    <row r="25" spans="1:5" x14ac:dyDescent="0.25">
      <c r="A25" s="7">
        <v>1</v>
      </c>
      <c r="B25" s="7">
        <v>2</v>
      </c>
    </row>
    <row r="26" spans="1:5" x14ac:dyDescent="0.25">
      <c r="A26" s="7">
        <v>5</v>
      </c>
      <c r="B26" s="7">
        <v>4</v>
      </c>
    </row>
    <row r="27" spans="1:5" x14ac:dyDescent="0.25">
      <c r="A27" s="7">
        <v>3</v>
      </c>
      <c r="B27" s="7">
        <v>4</v>
      </c>
    </row>
    <row r="28" spans="1:5" x14ac:dyDescent="0.25">
      <c r="A28" s="7">
        <v>4</v>
      </c>
      <c r="B28" s="7">
        <v>5</v>
      </c>
    </row>
    <row r="29" spans="1:5" x14ac:dyDescent="0.25">
      <c r="A29" s="7">
        <v>1</v>
      </c>
      <c r="B29" s="7">
        <v>5</v>
      </c>
      <c r="D29" t="s">
        <v>11</v>
      </c>
      <c r="E29">
        <f>(E2-E8)/SQRT(((E5^2)/E6)+((E11^2)/E12))</f>
        <v>-2.2782246215042519</v>
      </c>
    </row>
    <row r="30" spans="1:5" x14ac:dyDescent="0.25">
      <c r="A30" s="7">
        <v>2</v>
      </c>
      <c r="B30" s="7">
        <v>3</v>
      </c>
    </row>
    <row r="31" spans="1:5" x14ac:dyDescent="0.25">
      <c r="A31" s="7">
        <v>2</v>
      </c>
      <c r="B31" s="7">
        <v>4</v>
      </c>
      <c r="D31" s="2" t="s">
        <v>7</v>
      </c>
      <c r="E31" s="2"/>
    </row>
    <row r="32" spans="1:5" x14ac:dyDescent="0.25">
      <c r="A32" s="7">
        <v>4</v>
      </c>
      <c r="B32" s="7">
        <v>2</v>
      </c>
    </row>
    <row r="33" spans="1:6" x14ac:dyDescent="0.25">
      <c r="A33" s="7">
        <v>4</v>
      </c>
      <c r="B33" s="7">
        <v>5</v>
      </c>
    </row>
    <row r="34" spans="1:6" x14ac:dyDescent="0.25">
      <c r="A34" s="7">
        <v>4</v>
      </c>
      <c r="B34" s="7">
        <v>4</v>
      </c>
    </row>
    <row r="35" spans="1:6" x14ac:dyDescent="0.25">
      <c r="A35" s="7">
        <v>5</v>
      </c>
      <c r="B35" s="7">
        <v>4</v>
      </c>
    </row>
    <row r="36" spans="1:6" x14ac:dyDescent="0.25">
      <c r="A36" s="7">
        <v>2</v>
      </c>
      <c r="B36" s="7">
        <v>5</v>
      </c>
    </row>
    <row r="37" spans="1:6" x14ac:dyDescent="0.25">
      <c r="A37" s="7">
        <v>2</v>
      </c>
      <c r="B37" s="7">
        <v>5</v>
      </c>
    </row>
    <row r="38" spans="1:6" x14ac:dyDescent="0.25">
      <c r="A38" s="7">
        <v>1</v>
      </c>
      <c r="B38" s="7">
        <v>4</v>
      </c>
    </row>
    <row r="39" spans="1:6" x14ac:dyDescent="0.25">
      <c r="A39" s="7">
        <v>1</v>
      </c>
      <c r="B39" s="7">
        <v>3</v>
      </c>
    </row>
    <row r="40" spans="1:6" x14ac:dyDescent="0.25">
      <c r="A40" s="7">
        <v>3</v>
      </c>
      <c r="B40" s="7">
        <v>4</v>
      </c>
    </row>
    <row r="41" spans="1:6" ht="29.25" customHeight="1" x14ac:dyDescent="0.25">
      <c r="A41" s="7">
        <v>3</v>
      </c>
      <c r="B41" s="7">
        <v>3</v>
      </c>
      <c r="D41" t="s">
        <v>8</v>
      </c>
      <c r="E41">
        <f>(((E5^2)/E6)+((E11^2)/E12))^2</f>
        <v>9.3001282509486973E-4</v>
      </c>
    </row>
    <row r="42" spans="1:6" ht="47.25" customHeight="1" x14ac:dyDescent="0.25">
      <c r="A42" s="7">
        <v>1</v>
      </c>
      <c r="B42" s="7">
        <v>3</v>
      </c>
      <c r="D42" t="s">
        <v>9</v>
      </c>
      <c r="E42">
        <f>(((E5^2)/E6)^2)/(E6-1)</f>
        <v>3.0743037501011567E-6</v>
      </c>
    </row>
    <row r="43" spans="1:6" ht="43.5" customHeight="1" x14ac:dyDescent="0.25">
      <c r="A43" s="7">
        <v>2</v>
      </c>
      <c r="B43" s="7">
        <v>5</v>
      </c>
      <c r="D43" t="s">
        <v>10</v>
      </c>
      <c r="E43">
        <f>(((E11^2)/E12)^2)/(E12-1)</f>
        <v>2.0336761242733811E-6</v>
      </c>
    </row>
    <row r="44" spans="1:6" x14ac:dyDescent="0.25">
      <c r="A44" s="7">
        <v>4</v>
      </c>
      <c r="B44" s="7">
        <v>4</v>
      </c>
    </row>
    <row r="45" spans="1:6" x14ac:dyDescent="0.25">
      <c r="A45" s="7">
        <v>4</v>
      </c>
      <c r="B45" s="7">
        <v>1</v>
      </c>
      <c r="D45" t="s">
        <v>7</v>
      </c>
      <c r="E45">
        <f>E41/(E42+E43)</f>
        <v>182.07057348845723</v>
      </c>
      <c r="F45" s="6" t="s">
        <v>12</v>
      </c>
    </row>
    <row r="46" spans="1:6" x14ac:dyDescent="0.25">
      <c r="A46" s="7">
        <v>5</v>
      </c>
      <c r="B46" s="7">
        <v>3</v>
      </c>
    </row>
    <row r="47" spans="1:6" x14ac:dyDescent="0.25">
      <c r="A47" s="7">
        <v>1</v>
      </c>
      <c r="B47" s="7">
        <v>3</v>
      </c>
      <c r="D47" t="s">
        <v>13</v>
      </c>
      <c r="E47">
        <v>0.05</v>
      </c>
      <c r="F47" s="6" t="s">
        <v>12</v>
      </c>
    </row>
    <row r="48" spans="1:6" x14ac:dyDescent="0.25">
      <c r="A48" s="7">
        <v>3</v>
      </c>
      <c r="B48" s="7">
        <v>4</v>
      </c>
    </row>
    <row r="49" spans="1:5" x14ac:dyDescent="0.25">
      <c r="A49" s="7">
        <v>4</v>
      </c>
      <c r="B49" s="7">
        <v>3</v>
      </c>
    </row>
    <row r="50" spans="1:5" x14ac:dyDescent="0.25">
      <c r="A50" s="7">
        <v>3</v>
      </c>
      <c r="B50" s="7">
        <v>3</v>
      </c>
    </row>
    <row r="51" spans="1:5" x14ac:dyDescent="0.25">
      <c r="A51" s="7">
        <v>3</v>
      </c>
      <c r="B51" s="7">
        <v>3</v>
      </c>
      <c r="D51" s="2"/>
      <c r="E51" s="2"/>
    </row>
    <row r="52" spans="1:5" x14ac:dyDescent="0.25">
      <c r="A52" s="7">
        <v>4</v>
      </c>
      <c r="B52" s="7">
        <v>1</v>
      </c>
      <c r="D52" t="s">
        <v>16</v>
      </c>
      <c r="E52">
        <f>_xlfn.T.INV.2T(E47,E45)</f>
        <v>1.9730840773359002</v>
      </c>
    </row>
    <row r="53" spans="1:5" x14ac:dyDescent="0.25">
      <c r="A53" s="7">
        <v>5</v>
      </c>
      <c r="B53" s="7">
        <v>5</v>
      </c>
      <c r="D53" t="s">
        <v>17</v>
      </c>
      <c r="E53">
        <f>_xlfn.T.INV(E47, E45)</f>
        <v>-1.6532690237054619</v>
      </c>
    </row>
    <row r="54" spans="1:5" x14ac:dyDescent="0.25">
      <c r="A54" s="7">
        <v>3</v>
      </c>
      <c r="B54" s="7">
        <v>5</v>
      </c>
    </row>
    <row r="55" spans="1:5" x14ac:dyDescent="0.25">
      <c r="A55" s="7">
        <v>3</v>
      </c>
      <c r="B55" s="7">
        <v>3</v>
      </c>
      <c r="D55" t="s">
        <v>18</v>
      </c>
      <c r="E55">
        <f>TTEST(A:A,B:B,2,2)</f>
        <v>2.3862572097866651E-2</v>
      </c>
    </row>
    <row r="56" spans="1:5" x14ac:dyDescent="0.25">
      <c r="A56" s="7">
        <v>3</v>
      </c>
      <c r="B56" s="7">
        <v>2</v>
      </c>
      <c r="D56" t="s">
        <v>19</v>
      </c>
      <c r="E56">
        <f>TTEST(A:A,B:B,1,2)</f>
        <v>1.1931286048933325E-2</v>
      </c>
    </row>
    <row r="57" spans="1:5" x14ac:dyDescent="0.25">
      <c r="A57" s="7">
        <v>3</v>
      </c>
      <c r="B57" s="7">
        <v>5</v>
      </c>
    </row>
    <row r="58" spans="1:5" x14ac:dyDescent="0.25">
      <c r="A58" s="7">
        <v>2</v>
      </c>
      <c r="B58" s="7">
        <v>4</v>
      </c>
    </row>
    <row r="59" spans="1:5" x14ac:dyDescent="0.25">
      <c r="A59" s="7">
        <v>3</v>
      </c>
      <c r="B59" s="7">
        <v>5</v>
      </c>
      <c r="D59" s="2" t="s">
        <v>20</v>
      </c>
      <c r="E59" s="2"/>
    </row>
    <row r="60" spans="1:5" x14ac:dyDescent="0.25">
      <c r="A60" s="7">
        <v>3</v>
      </c>
      <c r="B60" s="7">
        <v>4</v>
      </c>
    </row>
    <row r="61" spans="1:5" x14ac:dyDescent="0.25">
      <c r="A61" s="7">
        <v>2</v>
      </c>
      <c r="B61" s="7">
        <v>3</v>
      </c>
      <c r="D61" t="s">
        <v>21</v>
      </c>
    </row>
    <row r="62" spans="1:5" x14ac:dyDescent="0.25">
      <c r="A62" s="7">
        <v>4</v>
      </c>
      <c r="B62" s="7">
        <v>3</v>
      </c>
      <c r="D62" t="s">
        <v>22</v>
      </c>
    </row>
    <row r="63" spans="1:5" x14ac:dyDescent="0.25">
      <c r="A63" s="7">
        <v>5</v>
      </c>
      <c r="B63" s="7">
        <v>4</v>
      </c>
    </row>
    <row r="64" spans="1:5" x14ac:dyDescent="0.25">
      <c r="A64" s="7">
        <v>5</v>
      </c>
      <c r="B64" s="7">
        <v>4</v>
      </c>
    </row>
    <row r="65" spans="1:4" x14ac:dyDescent="0.25">
      <c r="A65" s="7">
        <v>3</v>
      </c>
      <c r="B65" s="7">
        <v>5</v>
      </c>
    </row>
    <row r="66" spans="1:4" x14ac:dyDescent="0.25">
      <c r="A66" s="7">
        <v>3</v>
      </c>
      <c r="B66" s="7">
        <v>4</v>
      </c>
      <c r="D66" t="s">
        <v>23</v>
      </c>
    </row>
    <row r="67" spans="1:4" x14ac:dyDescent="0.25">
      <c r="A67" s="7">
        <v>3</v>
      </c>
      <c r="B67" s="7">
        <v>3</v>
      </c>
      <c r="D67" t="str">
        <f>"Dos Colas: Si t calculado ("&amp;E29&amp;") &gt; a t critico  ("&amp;E52&amp;") (de tabla) ---&gt; Se rechaza la hipotesis nula"</f>
        <v>Dos Colas: Si t calculado (-2.27822462150425) &gt; a t critico  (1.9730840773359) (de tabla) ---&gt; Se rechaza la hipotesis nula</v>
      </c>
    </row>
    <row r="68" spans="1:4" x14ac:dyDescent="0.25">
      <c r="A68" s="7">
        <v>4</v>
      </c>
      <c r="B68" s="7">
        <v>1</v>
      </c>
      <c r="D68" t="str">
        <f>"Una Cola: Si t calculado ("&amp;E29&amp;") &gt; a t critico  ("&amp;E53&amp;") (de tabla) ---&gt; Se rechaza la hipotesis nula"</f>
        <v>Una Cola: Si t calculado (-2.27822462150425) &gt; a t critico  (-1.65326902370546) (de tabla) ---&gt; Se rechaza la hipotesis nula</v>
      </c>
    </row>
    <row r="69" spans="1:4" x14ac:dyDescent="0.25">
      <c r="A69" s="7">
        <v>5</v>
      </c>
      <c r="B69" s="7">
        <v>2</v>
      </c>
    </row>
    <row r="70" spans="1:4" x14ac:dyDescent="0.25">
      <c r="A70" s="7">
        <v>5</v>
      </c>
      <c r="B70" s="7">
        <v>5</v>
      </c>
    </row>
    <row r="71" spans="1:4" x14ac:dyDescent="0.25">
      <c r="A71" s="7">
        <v>4</v>
      </c>
      <c r="B71" s="7">
        <v>2</v>
      </c>
    </row>
    <row r="72" spans="1:4" x14ac:dyDescent="0.25">
      <c r="A72" s="7">
        <v>3</v>
      </c>
      <c r="B72" s="7">
        <v>3</v>
      </c>
      <c r="D72" t="s">
        <v>48</v>
      </c>
    </row>
    <row r="73" spans="1:4" x14ac:dyDescent="0.25">
      <c r="A73" s="7">
        <v>4</v>
      </c>
      <c r="B73" s="7">
        <v>3</v>
      </c>
      <c r="D73" t="str">
        <f>"Dos Colas: Si p valor ("&amp;E55&amp;") &lt; Nivel Significancia (0.05) ---&gt; Se rechaza la hipotesis nula"</f>
        <v>Dos Colas: Si p valor (0.0238625720978667) &lt; Nivel Significancia (0.05) ---&gt; Se rechaza la hipotesis nula</v>
      </c>
    </row>
    <row r="74" spans="1:4" x14ac:dyDescent="0.25">
      <c r="A74" s="7">
        <v>4</v>
      </c>
      <c r="B74" s="7">
        <v>4</v>
      </c>
      <c r="D74" t="str">
        <f>"Una Cola: Si p valor ("&amp;E56&amp;") &lt; Nivel Significancia (0.05) ---&gt; Se rechaza la hipotesis nula"</f>
        <v>Una Cola: Si p valor (0.0119312860489333) &lt; Nivel Significancia (0.05) ---&gt; Se rechaza la hipotesis nula</v>
      </c>
    </row>
    <row r="75" spans="1:4" x14ac:dyDescent="0.25">
      <c r="A75" s="7">
        <v>2</v>
      </c>
      <c r="B75" s="7">
        <v>4</v>
      </c>
    </row>
    <row r="76" spans="1:4" x14ac:dyDescent="0.25">
      <c r="A76" s="7">
        <v>4</v>
      </c>
      <c r="B76" s="7">
        <v>4</v>
      </c>
    </row>
    <row r="77" spans="1:4" x14ac:dyDescent="0.25">
      <c r="A77" s="7">
        <v>3</v>
      </c>
      <c r="B77" s="7">
        <v>5</v>
      </c>
    </row>
    <row r="78" spans="1:4" x14ac:dyDescent="0.25">
      <c r="A78" s="7">
        <v>3</v>
      </c>
      <c r="B78" s="7">
        <v>4</v>
      </c>
    </row>
    <row r="79" spans="1:4" x14ac:dyDescent="0.25">
      <c r="A79" s="7">
        <v>4</v>
      </c>
      <c r="B79" s="7">
        <v>4</v>
      </c>
    </row>
    <row r="80" spans="1:4" x14ac:dyDescent="0.25">
      <c r="A80" s="7">
        <v>3</v>
      </c>
      <c r="B80" s="7">
        <v>4</v>
      </c>
    </row>
    <row r="81" spans="1:2" x14ac:dyDescent="0.25">
      <c r="A81" s="7">
        <v>2</v>
      </c>
      <c r="B81" s="7">
        <v>3</v>
      </c>
    </row>
    <row r="82" spans="1:2" x14ac:dyDescent="0.25">
      <c r="A82" s="7">
        <v>1</v>
      </c>
      <c r="B82" s="7">
        <v>4</v>
      </c>
    </row>
    <row r="83" spans="1:2" x14ac:dyDescent="0.25">
      <c r="A83" s="7">
        <v>5</v>
      </c>
      <c r="B83" s="7">
        <v>5</v>
      </c>
    </row>
    <row r="84" spans="1:2" x14ac:dyDescent="0.25">
      <c r="A84" s="7">
        <v>2</v>
      </c>
      <c r="B84" s="7">
        <v>1</v>
      </c>
    </row>
    <row r="85" spans="1:2" x14ac:dyDescent="0.25">
      <c r="A85" s="7">
        <v>3</v>
      </c>
      <c r="B85" s="7">
        <v>2</v>
      </c>
    </row>
    <row r="86" spans="1:2" x14ac:dyDescent="0.25">
      <c r="A86" s="7">
        <v>4</v>
      </c>
      <c r="B86" s="7">
        <v>3</v>
      </c>
    </row>
    <row r="87" spans="1:2" x14ac:dyDescent="0.25">
      <c r="A87" s="7">
        <v>4</v>
      </c>
      <c r="B87" s="7">
        <v>1</v>
      </c>
    </row>
    <row r="88" spans="1:2" x14ac:dyDescent="0.25">
      <c r="A88" s="7">
        <v>1</v>
      </c>
      <c r="B88" s="7">
        <v>3</v>
      </c>
    </row>
    <row r="89" spans="1:2" x14ac:dyDescent="0.25">
      <c r="A89" s="7">
        <v>3</v>
      </c>
      <c r="B89" s="7">
        <v>1</v>
      </c>
    </row>
    <row r="90" spans="1:2" x14ac:dyDescent="0.25">
      <c r="A90" s="7">
        <v>4</v>
      </c>
      <c r="B90" s="7">
        <v>5</v>
      </c>
    </row>
    <row r="91" spans="1:2" x14ac:dyDescent="0.25">
      <c r="A91" s="7">
        <v>3</v>
      </c>
      <c r="B91" s="7">
        <v>4</v>
      </c>
    </row>
    <row r="92" spans="1:2" x14ac:dyDescent="0.25">
      <c r="A92" s="7">
        <v>4</v>
      </c>
      <c r="B92" s="7">
        <v>4</v>
      </c>
    </row>
    <row r="93" spans="1:2" x14ac:dyDescent="0.25">
      <c r="A93" s="7">
        <v>5</v>
      </c>
      <c r="B93" s="7">
        <v>5</v>
      </c>
    </row>
    <row r="94" spans="1:2" x14ac:dyDescent="0.25">
      <c r="A94" s="7">
        <v>5</v>
      </c>
      <c r="B94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15" zoomScaleNormal="115" workbookViewId="0">
      <selection activeCell="D1" sqref="D1"/>
    </sheetView>
  </sheetViews>
  <sheetFormatPr baseColWidth="10" defaultColWidth="9.140625" defaultRowHeight="15" x14ac:dyDescent="0.25"/>
  <cols>
    <col min="1" max="1" width="36.5703125" customWidth="1"/>
    <col min="2" max="2" width="33.140625" customWidth="1"/>
    <col min="4" max="4" width="38.5703125" customWidth="1"/>
    <col min="5" max="5" width="21.5703125" customWidth="1"/>
    <col min="6" max="6" width="17.85546875" customWidth="1"/>
    <col min="7" max="7" width="20" customWidth="1"/>
  </cols>
  <sheetData>
    <row r="1" spans="1:5" ht="135" x14ac:dyDescent="0.25">
      <c r="A1" s="12" t="s">
        <v>36</v>
      </c>
      <c r="B1" s="12" t="s">
        <v>37</v>
      </c>
    </row>
    <row r="2" spans="1:5" x14ac:dyDescent="0.25">
      <c r="A2" s="7">
        <v>4</v>
      </c>
      <c r="B2" s="7">
        <v>3</v>
      </c>
      <c r="D2" s="1" t="s">
        <v>46</v>
      </c>
      <c r="E2">
        <f>AVERAGE(A:A)</f>
        <v>3.5483870967741935</v>
      </c>
    </row>
    <row r="3" spans="1:5" x14ac:dyDescent="0.25">
      <c r="A3" s="7">
        <v>2</v>
      </c>
      <c r="B3" s="7">
        <v>4</v>
      </c>
      <c r="D3" s="1" t="s">
        <v>0</v>
      </c>
      <c r="E3">
        <f>MEDIAN(A:A)</f>
        <v>4</v>
      </c>
    </row>
    <row r="4" spans="1:5" x14ac:dyDescent="0.25">
      <c r="A4" s="7">
        <v>3</v>
      </c>
      <c r="B4" s="7">
        <v>3</v>
      </c>
      <c r="D4" s="1" t="s">
        <v>1</v>
      </c>
      <c r="E4">
        <f>MODE(A:A)</f>
        <v>4</v>
      </c>
    </row>
    <row r="5" spans="1:5" x14ac:dyDescent="0.25">
      <c r="A5" s="7">
        <v>3</v>
      </c>
      <c r="B5" s="7">
        <v>4</v>
      </c>
      <c r="D5" s="1" t="s">
        <v>15</v>
      </c>
      <c r="E5">
        <f>STDEV(A:A)</f>
        <v>1.0479392721396437</v>
      </c>
    </row>
    <row r="6" spans="1:5" x14ac:dyDescent="0.25">
      <c r="A6" s="7">
        <v>4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4</v>
      </c>
      <c r="B7" s="7">
        <v>1</v>
      </c>
    </row>
    <row r="8" spans="1:5" x14ac:dyDescent="0.25">
      <c r="A8" s="7">
        <v>5</v>
      </c>
      <c r="B8" s="7">
        <v>4</v>
      </c>
      <c r="D8" s="3" t="s">
        <v>47</v>
      </c>
      <c r="E8">
        <f>AVERAGE(B:B)</f>
        <v>3.2688172043010755</v>
      </c>
    </row>
    <row r="9" spans="1:5" x14ac:dyDescent="0.25">
      <c r="A9" s="7">
        <v>5</v>
      </c>
      <c r="B9" s="7">
        <v>4</v>
      </c>
      <c r="D9" s="3" t="s">
        <v>2</v>
      </c>
      <c r="E9">
        <f>MEDIAN(B:B)</f>
        <v>3</v>
      </c>
    </row>
    <row r="10" spans="1:5" x14ac:dyDescent="0.25">
      <c r="A10" s="7">
        <v>4</v>
      </c>
      <c r="B10" s="7">
        <v>2</v>
      </c>
      <c r="D10" s="3" t="s">
        <v>3</v>
      </c>
      <c r="E10">
        <f>MODE(B:B)</f>
        <v>3</v>
      </c>
    </row>
    <row r="11" spans="1:5" x14ac:dyDescent="0.25">
      <c r="A11" s="7">
        <v>4</v>
      </c>
      <c r="B11" s="7">
        <v>3</v>
      </c>
      <c r="D11" s="3" t="s">
        <v>14</v>
      </c>
      <c r="E11">
        <f>STDEV(B:B)</f>
        <v>1.2865507048781768</v>
      </c>
    </row>
    <row r="12" spans="1:5" x14ac:dyDescent="0.25">
      <c r="A12" s="7">
        <v>5</v>
      </c>
      <c r="B12" s="7">
        <v>5</v>
      </c>
      <c r="D12" s="5" t="s">
        <v>5</v>
      </c>
      <c r="E12">
        <f>COUNT(B:B)</f>
        <v>93</v>
      </c>
    </row>
    <row r="13" spans="1:5" x14ac:dyDescent="0.25">
      <c r="A13" s="7">
        <v>5</v>
      </c>
      <c r="B13" s="7">
        <v>5</v>
      </c>
    </row>
    <row r="14" spans="1:5" x14ac:dyDescent="0.25">
      <c r="A14" s="7">
        <v>3</v>
      </c>
      <c r="B14" s="7">
        <v>5</v>
      </c>
    </row>
    <row r="15" spans="1:5" x14ac:dyDescent="0.25">
      <c r="A15" s="7">
        <v>4</v>
      </c>
      <c r="B15" s="7">
        <v>3</v>
      </c>
    </row>
    <row r="16" spans="1:5" x14ac:dyDescent="0.25">
      <c r="A16" s="7">
        <v>4</v>
      </c>
      <c r="B16" s="7">
        <v>4</v>
      </c>
    </row>
    <row r="17" spans="1:5" x14ac:dyDescent="0.25">
      <c r="A17" s="7">
        <v>3</v>
      </c>
      <c r="B17" s="7">
        <v>5</v>
      </c>
      <c r="D17" s="2" t="s">
        <v>6</v>
      </c>
      <c r="E17" s="2"/>
    </row>
    <row r="18" spans="1:5" x14ac:dyDescent="0.25">
      <c r="A18" s="7">
        <v>3</v>
      </c>
      <c r="B18" s="7">
        <v>1</v>
      </c>
    </row>
    <row r="19" spans="1:5" x14ac:dyDescent="0.25">
      <c r="A19" s="7">
        <v>5</v>
      </c>
      <c r="B19" s="7">
        <v>3</v>
      </c>
    </row>
    <row r="20" spans="1:5" x14ac:dyDescent="0.25">
      <c r="A20" s="7">
        <v>2</v>
      </c>
      <c r="B20" s="7">
        <v>4</v>
      </c>
    </row>
    <row r="21" spans="1:5" x14ac:dyDescent="0.25">
      <c r="A21" s="7">
        <v>3</v>
      </c>
      <c r="B21" s="7">
        <v>3</v>
      </c>
    </row>
    <row r="22" spans="1:5" x14ac:dyDescent="0.25">
      <c r="A22" s="7">
        <v>5</v>
      </c>
      <c r="B22" s="7">
        <v>3</v>
      </c>
    </row>
    <row r="23" spans="1:5" x14ac:dyDescent="0.25">
      <c r="A23" s="7">
        <v>2</v>
      </c>
      <c r="B23" s="7">
        <v>5</v>
      </c>
    </row>
    <row r="24" spans="1:5" x14ac:dyDescent="0.25">
      <c r="A24" s="7">
        <v>2</v>
      </c>
      <c r="B24" s="7">
        <v>4</v>
      </c>
    </row>
    <row r="25" spans="1:5" x14ac:dyDescent="0.25">
      <c r="A25" s="7">
        <v>5</v>
      </c>
      <c r="B25" s="7">
        <v>2</v>
      </c>
    </row>
    <row r="26" spans="1:5" x14ac:dyDescent="0.25">
      <c r="A26" s="7">
        <v>4</v>
      </c>
      <c r="B26" s="7">
        <v>4</v>
      </c>
    </row>
    <row r="27" spans="1:5" x14ac:dyDescent="0.25">
      <c r="A27" s="7">
        <v>2</v>
      </c>
      <c r="B27" s="7">
        <v>3</v>
      </c>
    </row>
    <row r="28" spans="1:5" x14ac:dyDescent="0.25">
      <c r="A28" s="7">
        <v>3</v>
      </c>
      <c r="B28" s="7">
        <v>4</v>
      </c>
    </row>
    <row r="29" spans="1:5" x14ac:dyDescent="0.25">
      <c r="A29" s="7">
        <v>4</v>
      </c>
      <c r="B29" s="7">
        <v>5</v>
      </c>
      <c r="D29" t="s">
        <v>11</v>
      </c>
      <c r="E29">
        <f>(E2-E8)/SQRT(((E5^2)/E6)+((E11^2)/E12))</f>
        <v>1.6247930507494832</v>
      </c>
    </row>
    <row r="30" spans="1:5" x14ac:dyDescent="0.25">
      <c r="A30" s="7">
        <v>4</v>
      </c>
      <c r="B30" s="7">
        <v>5</v>
      </c>
    </row>
    <row r="31" spans="1:5" x14ac:dyDescent="0.25">
      <c r="A31" s="7">
        <v>4</v>
      </c>
      <c r="B31" s="7">
        <v>4</v>
      </c>
      <c r="D31" s="2" t="s">
        <v>7</v>
      </c>
      <c r="E31" s="2"/>
    </row>
    <row r="32" spans="1:5" x14ac:dyDescent="0.25">
      <c r="A32" s="7">
        <v>3</v>
      </c>
      <c r="B32" s="7">
        <v>4</v>
      </c>
    </row>
    <row r="33" spans="1:6" x14ac:dyDescent="0.25">
      <c r="A33" s="7">
        <v>3</v>
      </c>
      <c r="B33" s="7">
        <v>5</v>
      </c>
    </row>
    <row r="34" spans="1:6" x14ac:dyDescent="0.25">
      <c r="A34" s="7">
        <v>4</v>
      </c>
      <c r="B34" s="7">
        <v>2</v>
      </c>
    </row>
    <row r="35" spans="1:6" x14ac:dyDescent="0.25">
      <c r="A35" s="7">
        <v>3</v>
      </c>
      <c r="B35" s="7">
        <v>1</v>
      </c>
    </row>
    <row r="36" spans="1:6" x14ac:dyDescent="0.25">
      <c r="A36" s="7">
        <v>3</v>
      </c>
      <c r="B36" s="7">
        <v>2</v>
      </c>
    </row>
    <row r="37" spans="1:6" x14ac:dyDescent="0.25">
      <c r="A37" s="7">
        <v>5</v>
      </c>
      <c r="B37" s="7">
        <v>2</v>
      </c>
    </row>
    <row r="38" spans="1:6" x14ac:dyDescent="0.25">
      <c r="A38" s="7">
        <v>4</v>
      </c>
      <c r="B38" s="7">
        <v>4</v>
      </c>
    </row>
    <row r="39" spans="1:6" x14ac:dyDescent="0.25">
      <c r="A39" s="7">
        <v>3</v>
      </c>
      <c r="B39" s="7">
        <v>1</v>
      </c>
    </row>
    <row r="40" spans="1:6" x14ac:dyDescent="0.25">
      <c r="A40" s="7">
        <v>2</v>
      </c>
      <c r="B40" s="7">
        <v>4</v>
      </c>
    </row>
    <row r="41" spans="1:6" ht="29.25" customHeight="1" x14ac:dyDescent="0.25">
      <c r="A41" s="7">
        <v>3</v>
      </c>
      <c r="B41" s="7">
        <v>1</v>
      </c>
      <c r="D41" t="s">
        <v>8</v>
      </c>
      <c r="E41">
        <f>(((E5^2)/E6)+((E11^2)/E12))^2</f>
        <v>8.7653524997086671E-4</v>
      </c>
    </row>
    <row r="42" spans="1:6" ht="47.25" customHeight="1" x14ac:dyDescent="0.25">
      <c r="A42" s="7">
        <v>3</v>
      </c>
      <c r="B42" s="7">
        <v>1</v>
      </c>
      <c r="D42" t="s">
        <v>9</v>
      </c>
      <c r="E42">
        <f>(((E5^2)/E6)^2)/(E6-1)</f>
        <v>1.5156214392221262E-6</v>
      </c>
    </row>
    <row r="43" spans="1:6" ht="43.5" customHeight="1" x14ac:dyDescent="0.25">
      <c r="A43" s="7">
        <v>5</v>
      </c>
      <c r="B43" s="7">
        <v>3</v>
      </c>
      <c r="D43" t="s">
        <v>10</v>
      </c>
      <c r="E43">
        <f>(((E11^2)/E12)^2)/(E12-1)</f>
        <v>3.4431338329447213E-6</v>
      </c>
    </row>
    <row r="44" spans="1:6" x14ac:dyDescent="0.25">
      <c r="A44" s="7">
        <v>4</v>
      </c>
      <c r="B44" s="7">
        <v>1</v>
      </c>
    </row>
    <row r="45" spans="1:6" x14ac:dyDescent="0.25">
      <c r="A45" s="7">
        <v>3</v>
      </c>
      <c r="B45" s="7">
        <v>3</v>
      </c>
      <c r="D45" t="s">
        <v>7</v>
      </c>
      <c r="E45">
        <f>E41/(E42+E43)</f>
        <v>176.76517631164396</v>
      </c>
      <c r="F45" s="6" t="s">
        <v>12</v>
      </c>
    </row>
    <row r="46" spans="1:6" x14ac:dyDescent="0.25">
      <c r="A46" s="7">
        <v>4</v>
      </c>
      <c r="B46" s="7">
        <v>4</v>
      </c>
    </row>
    <row r="47" spans="1:6" x14ac:dyDescent="0.25">
      <c r="A47" s="7">
        <v>4</v>
      </c>
      <c r="B47" s="7">
        <v>4</v>
      </c>
      <c r="D47" t="s">
        <v>13</v>
      </c>
      <c r="E47">
        <v>0.05</v>
      </c>
      <c r="F47" s="6" t="s">
        <v>12</v>
      </c>
    </row>
    <row r="48" spans="1:6" x14ac:dyDescent="0.25">
      <c r="A48" s="7">
        <v>4</v>
      </c>
      <c r="B48" s="7">
        <v>3</v>
      </c>
    </row>
    <row r="49" spans="1:5" x14ac:dyDescent="0.25">
      <c r="A49" s="7">
        <v>5</v>
      </c>
      <c r="B49" s="7">
        <v>5</v>
      </c>
    </row>
    <row r="50" spans="1:5" x14ac:dyDescent="0.25">
      <c r="A50" s="7">
        <v>4</v>
      </c>
      <c r="B50" s="7">
        <v>3</v>
      </c>
    </row>
    <row r="51" spans="1:5" x14ac:dyDescent="0.25">
      <c r="A51" s="7">
        <v>4</v>
      </c>
      <c r="B51" s="7">
        <v>1</v>
      </c>
      <c r="D51" s="2"/>
      <c r="E51" s="2"/>
    </row>
    <row r="52" spans="1:5" x14ac:dyDescent="0.25">
      <c r="A52" s="7">
        <v>4</v>
      </c>
      <c r="B52" s="7">
        <v>4</v>
      </c>
      <c r="D52" t="s">
        <v>16</v>
      </c>
      <c r="E52">
        <f>_xlfn.T.INV.2T(E47,E45)</f>
        <v>1.9735343877061042</v>
      </c>
    </row>
    <row r="53" spans="1:5" x14ac:dyDescent="0.25">
      <c r="A53" s="7">
        <v>5</v>
      </c>
      <c r="B53" s="7">
        <v>2</v>
      </c>
      <c r="D53" t="s">
        <v>17</v>
      </c>
      <c r="E53">
        <f>_xlfn.T.INV(E47, E45)</f>
        <v>-1.6535574354559317</v>
      </c>
    </row>
    <row r="54" spans="1:5" x14ac:dyDescent="0.25">
      <c r="A54" s="7">
        <v>2</v>
      </c>
      <c r="B54" s="7">
        <v>2</v>
      </c>
    </row>
    <row r="55" spans="1:5" x14ac:dyDescent="0.25">
      <c r="A55" s="7">
        <v>3</v>
      </c>
      <c r="B55" s="7">
        <v>1</v>
      </c>
      <c r="D55" t="s">
        <v>18</v>
      </c>
      <c r="E55">
        <f>TTEST(A:A,B:B,2,2)</f>
        <v>0.10591836499094433</v>
      </c>
    </row>
    <row r="56" spans="1:5" x14ac:dyDescent="0.25">
      <c r="A56" s="7">
        <v>3</v>
      </c>
      <c r="B56" s="7">
        <v>1</v>
      </c>
      <c r="D56" t="s">
        <v>19</v>
      </c>
      <c r="E56">
        <f>TTEST(A:A,B:B,1,2)</f>
        <v>5.2959182495472164E-2</v>
      </c>
    </row>
    <row r="57" spans="1:5" x14ac:dyDescent="0.25">
      <c r="A57" s="7">
        <v>2</v>
      </c>
      <c r="B57" s="7">
        <v>3</v>
      </c>
    </row>
    <row r="58" spans="1:5" x14ac:dyDescent="0.25">
      <c r="A58" s="7">
        <v>3</v>
      </c>
      <c r="B58" s="7">
        <v>1</v>
      </c>
    </row>
    <row r="59" spans="1:5" x14ac:dyDescent="0.25">
      <c r="A59" s="7">
        <v>5</v>
      </c>
      <c r="B59" s="7">
        <v>3</v>
      </c>
      <c r="D59" s="2" t="s">
        <v>20</v>
      </c>
      <c r="E59" s="2"/>
    </row>
    <row r="60" spans="1:5" x14ac:dyDescent="0.25">
      <c r="A60" s="7">
        <v>3</v>
      </c>
      <c r="B60" s="7">
        <v>5</v>
      </c>
    </row>
    <row r="61" spans="1:5" x14ac:dyDescent="0.25">
      <c r="A61" s="7">
        <v>3</v>
      </c>
      <c r="B61" s="7">
        <v>3</v>
      </c>
      <c r="D61" t="s">
        <v>21</v>
      </c>
    </row>
    <row r="62" spans="1:5" x14ac:dyDescent="0.25">
      <c r="A62" s="7">
        <v>3</v>
      </c>
      <c r="B62" s="7">
        <v>3</v>
      </c>
      <c r="D62" t="s">
        <v>22</v>
      </c>
    </row>
    <row r="63" spans="1:5" x14ac:dyDescent="0.25">
      <c r="A63" s="7">
        <v>4</v>
      </c>
      <c r="B63" s="7">
        <v>4</v>
      </c>
    </row>
    <row r="64" spans="1:5" x14ac:dyDescent="0.25">
      <c r="A64" s="7">
        <v>5</v>
      </c>
      <c r="B64" s="7">
        <v>3</v>
      </c>
    </row>
    <row r="65" spans="1:4" x14ac:dyDescent="0.25">
      <c r="A65" s="7">
        <v>4</v>
      </c>
      <c r="B65" s="7">
        <v>3</v>
      </c>
    </row>
    <row r="66" spans="1:4" x14ac:dyDescent="0.25">
      <c r="A66" s="7">
        <v>4</v>
      </c>
      <c r="B66" s="7">
        <v>5</v>
      </c>
      <c r="D66" t="s">
        <v>23</v>
      </c>
    </row>
    <row r="67" spans="1:4" x14ac:dyDescent="0.25">
      <c r="A67" s="7">
        <v>3</v>
      </c>
      <c r="B67" s="7">
        <v>3</v>
      </c>
      <c r="D67" t="str">
        <f>"Dos Colas: Si t calculado ("&amp;E29&amp;") &gt; a t critico  ("&amp;E52&amp;") (de tabla) ---&gt; Se rechaza la hipotesis nula"</f>
        <v>Dos Colas: Si t calculado (1.62479305074948) &gt; a t critico  (1.9735343877061) (de tabla) ---&gt; Se rechaza la hipotesis nula</v>
      </c>
    </row>
    <row r="68" spans="1:4" x14ac:dyDescent="0.25">
      <c r="A68" s="7">
        <v>3</v>
      </c>
      <c r="B68" s="7">
        <v>3</v>
      </c>
      <c r="D68" t="str">
        <f>"Una Cola: Si t calculado ("&amp;E29&amp;") &gt; a t critico  ("&amp;E53&amp;") (de tabla) ---&gt; Se rechaza la hipotesis nula"</f>
        <v>Una Cola: Si t calculado (1.62479305074948) &gt; a t critico  (-1.65355743545593) (de tabla) ---&gt; Se rechaza la hipotesis nula</v>
      </c>
    </row>
    <row r="69" spans="1:4" x14ac:dyDescent="0.25">
      <c r="A69" s="7">
        <v>4</v>
      </c>
      <c r="B69" s="7">
        <v>3</v>
      </c>
    </row>
    <row r="70" spans="1:4" x14ac:dyDescent="0.25">
      <c r="A70" s="7">
        <v>1</v>
      </c>
      <c r="B70" s="7">
        <v>5</v>
      </c>
    </row>
    <row r="71" spans="1:4" x14ac:dyDescent="0.25">
      <c r="A71" s="7">
        <v>3</v>
      </c>
      <c r="B71" s="7">
        <v>5</v>
      </c>
    </row>
    <row r="72" spans="1:4" x14ac:dyDescent="0.25">
      <c r="A72" s="7">
        <v>4</v>
      </c>
      <c r="B72" s="7">
        <v>4</v>
      </c>
      <c r="D72" t="s">
        <v>48</v>
      </c>
    </row>
    <row r="73" spans="1:4" x14ac:dyDescent="0.25">
      <c r="A73" s="7">
        <v>5</v>
      </c>
      <c r="B73" s="7">
        <v>1</v>
      </c>
      <c r="D73" t="str">
        <f>"Dos Colas: Si p valor ("&amp;E55&amp;") &lt; Nivel Significancia (0.05) ---&gt; Se rechaza la hipotesis nula"</f>
        <v>Dos Colas: Si p valor (0.105918364990944) &lt; Nivel Significancia (0.05) ---&gt; Se rechaza la hipotesis nula</v>
      </c>
    </row>
    <row r="74" spans="1:4" x14ac:dyDescent="0.25">
      <c r="A74" s="7">
        <v>5</v>
      </c>
      <c r="B74" s="7">
        <v>4</v>
      </c>
      <c r="D74" t="str">
        <f>"Una Cola: Si p valor ("&amp;E56&amp;") &lt; Nivel Significancia (0.05) ---&gt; Se rechaza la hipotesis nula"</f>
        <v>Una Cola: Si p valor (0.0529591824954722) &lt; Nivel Significancia (0.05) ---&gt; Se rechaza la hipotesis nula</v>
      </c>
    </row>
    <row r="75" spans="1:4" x14ac:dyDescent="0.25">
      <c r="A75" s="7">
        <v>4</v>
      </c>
      <c r="B75" s="7">
        <v>3</v>
      </c>
    </row>
    <row r="76" spans="1:4" x14ac:dyDescent="0.25">
      <c r="A76" s="7">
        <v>5</v>
      </c>
      <c r="B76" s="7">
        <v>4</v>
      </c>
    </row>
    <row r="77" spans="1:4" x14ac:dyDescent="0.25">
      <c r="A77" s="7">
        <v>4</v>
      </c>
      <c r="B77" s="7">
        <v>4</v>
      </c>
    </row>
    <row r="78" spans="1:4" x14ac:dyDescent="0.25">
      <c r="A78" s="7">
        <v>4</v>
      </c>
      <c r="B78" s="7">
        <v>2</v>
      </c>
    </row>
    <row r="79" spans="1:4" x14ac:dyDescent="0.25">
      <c r="A79" s="7">
        <v>4</v>
      </c>
      <c r="B79" s="7">
        <v>3</v>
      </c>
    </row>
    <row r="80" spans="1:4" x14ac:dyDescent="0.25">
      <c r="A80" s="7">
        <v>2</v>
      </c>
      <c r="B80" s="7">
        <v>5</v>
      </c>
    </row>
    <row r="81" spans="1:2" x14ac:dyDescent="0.25">
      <c r="A81" s="7">
        <v>5</v>
      </c>
      <c r="B81" s="7">
        <v>4</v>
      </c>
    </row>
    <row r="82" spans="1:2" x14ac:dyDescent="0.25">
      <c r="A82" s="7">
        <v>3</v>
      </c>
      <c r="B82" s="7">
        <v>5</v>
      </c>
    </row>
    <row r="83" spans="1:2" x14ac:dyDescent="0.25">
      <c r="A83" s="7">
        <v>4</v>
      </c>
      <c r="B83" s="7">
        <v>3</v>
      </c>
    </row>
    <row r="84" spans="1:2" x14ac:dyDescent="0.25">
      <c r="A84" s="7">
        <v>1</v>
      </c>
      <c r="B84" s="7">
        <v>3</v>
      </c>
    </row>
    <row r="85" spans="1:2" x14ac:dyDescent="0.25">
      <c r="A85" s="7">
        <v>5</v>
      </c>
      <c r="B85" s="7">
        <v>5</v>
      </c>
    </row>
    <row r="86" spans="1:2" x14ac:dyDescent="0.25">
      <c r="A86" s="7">
        <v>4</v>
      </c>
      <c r="B86" s="7">
        <v>4</v>
      </c>
    </row>
    <row r="87" spans="1:2" x14ac:dyDescent="0.25">
      <c r="A87" s="7">
        <v>1</v>
      </c>
      <c r="B87" s="7">
        <v>4</v>
      </c>
    </row>
    <row r="88" spans="1:2" x14ac:dyDescent="0.25">
      <c r="A88" s="7">
        <v>2</v>
      </c>
      <c r="B88" s="7">
        <v>1</v>
      </c>
    </row>
    <row r="89" spans="1:2" x14ac:dyDescent="0.25">
      <c r="A89" s="7">
        <v>2</v>
      </c>
      <c r="B89" s="7">
        <v>1</v>
      </c>
    </row>
    <row r="90" spans="1:2" x14ac:dyDescent="0.25">
      <c r="A90" s="7">
        <v>4</v>
      </c>
      <c r="B90" s="7">
        <v>5</v>
      </c>
    </row>
    <row r="91" spans="1:2" x14ac:dyDescent="0.25">
      <c r="A91" s="7">
        <v>4</v>
      </c>
      <c r="B91" s="7">
        <v>3</v>
      </c>
    </row>
    <row r="92" spans="1:2" x14ac:dyDescent="0.25">
      <c r="A92" s="7">
        <v>3</v>
      </c>
      <c r="B92" s="7">
        <v>4</v>
      </c>
    </row>
    <row r="93" spans="1:2" x14ac:dyDescent="0.25">
      <c r="A93" s="7">
        <v>2</v>
      </c>
      <c r="B93" s="7">
        <v>4</v>
      </c>
    </row>
    <row r="94" spans="1:2" x14ac:dyDescent="0.25">
      <c r="A94" s="7">
        <v>3</v>
      </c>
      <c r="B94" s="7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F7" sqref="F7"/>
    </sheetView>
  </sheetViews>
  <sheetFormatPr baseColWidth="10" defaultColWidth="9.140625" defaultRowHeight="15" x14ac:dyDescent="0.25"/>
  <cols>
    <col min="1" max="1" width="28.42578125" customWidth="1"/>
    <col min="2" max="2" width="30" customWidth="1"/>
    <col min="4" max="4" width="37.7109375" customWidth="1"/>
    <col min="5" max="5" width="21.5703125" customWidth="1"/>
    <col min="6" max="6" width="17.85546875" customWidth="1"/>
    <col min="7" max="7" width="20" customWidth="1"/>
  </cols>
  <sheetData>
    <row r="1" spans="1:5" ht="120" x14ac:dyDescent="0.25">
      <c r="A1" s="8" t="s">
        <v>38</v>
      </c>
      <c r="B1" s="8" t="s">
        <v>39</v>
      </c>
    </row>
    <row r="2" spans="1:5" x14ac:dyDescent="0.25">
      <c r="A2" s="7">
        <v>4</v>
      </c>
      <c r="B2" s="7">
        <v>4</v>
      </c>
      <c r="D2" s="1" t="s">
        <v>46</v>
      </c>
      <c r="E2">
        <f>AVERAGE(A:A)</f>
        <v>3.4301075268817205</v>
      </c>
    </row>
    <row r="3" spans="1:5" x14ac:dyDescent="0.25">
      <c r="A3" s="7">
        <v>3</v>
      </c>
      <c r="B3" s="7">
        <v>3</v>
      </c>
      <c r="D3" s="1" t="s">
        <v>0</v>
      </c>
      <c r="E3">
        <f>MEDIAN(A:A)</f>
        <v>3</v>
      </c>
    </row>
    <row r="4" spans="1:5" x14ac:dyDescent="0.25">
      <c r="A4" s="7">
        <v>4</v>
      </c>
      <c r="B4" s="7">
        <v>4</v>
      </c>
      <c r="D4" s="1" t="s">
        <v>1</v>
      </c>
      <c r="E4">
        <f>MODE(A:A)</f>
        <v>3</v>
      </c>
    </row>
    <row r="5" spans="1:5" x14ac:dyDescent="0.25">
      <c r="A5" s="7">
        <v>5</v>
      </c>
      <c r="B5" s="7">
        <v>3</v>
      </c>
      <c r="D5" s="1" t="s">
        <v>15</v>
      </c>
      <c r="E5">
        <f>STDEV(A:A)</f>
        <v>1.0672786346425516</v>
      </c>
    </row>
    <row r="6" spans="1:5" x14ac:dyDescent="0.25">
      <c r="A6" s="7">
        <v>3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4</v>
      </c>
      <c r="B7" s="7">
        <v>5</v>
      </c>
    </row>
    <row r="8" spans="1:5" x14ac:dyDescent="0.25">
      <c r="A8" s="7">
        <v>3</v>
      </c>
      <c r="B8" s="7">
        <v>1</v>
      </c>
      <c r="D8" s="3" t="s">
        <v>47</v>
      </c>
      <c r="E8">
        <f>AVERAGE(B:B)</f>
        <v>3.3978494623655915</v>
      </c>
    </row>
    <row r="9" spans="1:5" x14ac:dyDescent="0.25">
      <c r="A9" s="7">
        <v>5</v>
      </c>
      <c r="B9" s="7">
        <v>5</v>
      </c>
      <c r="D9" s="3" t="s">
        <v>2</v>
      </c>
      <c r="E9">
        <f>MEDIAN(B:B)</f>
        <v>3</v>
      </c>
    </row>
    <row r="10" spans="1:5" x14ac:dyDescent="0.25">
      <c r="A10" s="7">
        <v>3</v>
      </c>
      <c r="B10" s="7">
        <v>3</v>
      </c>
      <c r="D10" s="3" t="s">
        <v>3</v>
      </c>
      <c r="E10">
        <f>MODE(B:B)</f>
        <v>4</v>
      </c>
    </row>
    <row r="11" spans="1:5" x14ac:dyDescent="0.25">
      <c r="A11" s="7">
        <v>3</v>
      </c>
      <c r="B11" s="7">
        <v>4</v>
      </c>
      <c r="D11" s="3" t="s">
        <v>14</v>
      </c>
      <c r="E11">
        <f>STDEV(B:B)</f>
        <v>1.1808230820089614</v>
      </c>
    </row>
    <row r="12" spans="1:5" x14ac:dyDescent="0.25">
      <c r="A12" s="7">
        <v>5</v>
      </c>
      <c r="B12" s="7">
        <v>5</v>
      </c>
      <c r="D12" s="5" t="s">
        <v>5</v>
      </c>
      <c r="E12">
        <f>COUNT(B:B)</f>
        <v>93</v>
      </c>
    </row>
    <row r="13" spans="1:5" x14ac:dyDescent="0.25">
      <c r="A13" s="7">
        <v>4</v>
      </c>
      <c r="B13" s="7">
        <v>5</v>
      </c>
    </row>
    <row r="14" spans="1:5" x14ac:dyDescent="0.25">
      <c r="A14" s="7">
        <v>5</v>
      </c>
      <c r="B14" s="7">
        <v>5</v>
      </c>
    </row>
    <row r="15" spans="1:5" x14ac:dyDescent="0.25">
      <c r="A15" s="7">
        <v>5</v>
      </c>
      <c r="B15" s="7">
        <v>2</v>
      </c>
    </row>
    <row r="16" spans="1:5" x14ac:dyDescent="0.25">
      <c r="A16" s="7">
        <v>1</v>
      </c>
      <c r="B16" s="7">
        <v>4</v>
      </c>
    </row>
    <row r="17" spans="1:5" x14ac:dyDescent="0.25">
      <c r="A17" s="7">
        <v>4</v>
      </c>
      <c r="B17" s="7">
        <v>1</v>
      </c>
      <c r="D17" s="2" t="s">
        <v>6</v>
      </c>
      <c r="E17" s="2"/>
    </row>
    <row r="18" spans="1:5" x14ac:dyDescent="0.25">
      <c r="A18" s="7">
        <v>2</v>
      </c>
      <c r="B18" s="7">
        <v>3</v>
      </c>
    </row>
    <row r="19" spans="1:5" x14ac:dyDescent="0.25">
      <c r="A19" s="7">
        <v>4</v>
      </c>
      <c r="B19" s="7">
        <v>4</v>
      </c>
    </row>
    <row r="20" spans="1:5" x14ac:dyDescent="0.25">
      <c r="A20" s="7">
        <v>3</v>
      </c>
      <c r="B20" s="7">
        <v>3</v>
      </c>
    </row>
    <row r="21" spans="1:5" x14ac:dyDescent="0.25">
      <c r="A21" s="7">
        <v>3</v>
      </c>
      <c r="B21" s="7">
        <v>3</v>
      </c>
    </row>
    <row r="22" spans="1:5" x14ac:dyDescent="0.25">
      <c r="A22" s="7">
        <v>3</v>
      </c>
      <c r="B22" s="7">
        <v>3</v>
      </c>
    </row>
    <row r="23" spans="1:5" x14ac:dyDescent="0.25">
      <c r="A23" s="7">
        <v>3</v>
      </c>
      <c r="B23" s="7">
        <v>4</v>
      </c>
    </row>
    <row r="24" spans="1:5" x14ac:dyDescent="0.25">
      <c r="A24" s="7">
        <v>4</v>
      </c>
      <c r="B24" s="7">
        <v>4</v>
      </c>
    </row>
    <row r="25" spans="1:5" x14ac:dyDescent="0.25">
      <c r="A25" s="7">
        <v>4</v>
      </c>
      <c r="B25" s="7">
        <v>2</v>
      </c>
    </row>
    <row r="26" spans="1:5" x14ac:dyDescent="0.25">
      <c r="A26" s="7">
        <v>2</v>
      </c>
      <c r="B26" s="7">
        <v>1</v>
      </c>
    </row>
    <row r="27" spans="1:5" x14ac:dyDescent="0.25">
      <c r="A27" s="7">
        <v>2</v>
      </c>
      <c r="B27" s="7">
        <v>2</v>
      </c>
    </row>
    <row r="28" spans="1:5" x14ac:dyDescent="0.25">
      <c r="A28" s="7">
        <v>1</v>
      </c>
      <c r="B28" s="7">
        <v>4</v>
      </c>
    </row>
    <row r="29" spans="1:5" x14ac:dyDescent="0.25">
      <c r="A29" s="7">
        <v>5</v>
      </c>
      <c r="B29" s="7">
        <v>3</v>
      </c>
      <c r="D29" t="s">
        <v>11</v>
      </c>
      <c r="E29">
        <f>(E2-E8)/SQRT(((E5^2)/E6)+((E11^2)/E12))</f>
        <v>0.19544546475123181</v>
      </c>
    </row>
    <row r="30" spans="1:5" x14ac:dyDescent="0.25">
      <c r="A30" s="7">
        <v>3</v>
      </c>
      <c r="B30" s="7">
        <v>4</v>
      </c>
    </row>
    <row r="31" spans="1:5" x14ac:dyDescent="0.25">
      <c r="A31" s="7">
        <v>2</v>
      </c>
      <c r="B31" s="7">
        <v>3</v>
      </c>
      <c r="D31" s="2" t="s">
        <v>7</v>
      </c>
      <c r="E31" s="2"/>
    </row>
    <row r="32" spans="1:5" x14ac:dyDescent="0.25">
      <c r="A32" s="7">
        <v>5</v>
      </c>
      <c r="B32" s="7">
        <v>4</v>
      </c>
    </row>
    <row r="33" spans="1:6" x14ac:dyDescent="0.25">
      <c r="A33" s="7">
        <v>5</v>
      </c>
      <c r="B33" s="7">
        <v>3</v>
      </c>
    </row>
    <row r="34" spans="1:6" x14ac:dyDescent="0.25">
      <c r="A34" s="7">
        <v>3</v>
      </c>
      <c r="B34" s="7">
        <v>5</v>
      </c>
    </row>
    <row r="35" spans="1:6" x14ac:dyDescent="0.25">
      <c r="A35" s="7">
        <v>3</v>
      </c>
      <c r="B35" s="7">
        <v>4</v>
      </c>
    </row>
    <row r="36" spans="1:6" x14ac:dyDescent="0.25">
      <c r="A36" s="7">
        <v>2</v>
      </c>
      <c r="B36" s="7">
        <v>2</v>
      </c>
    </row>
    <row r="37" spans="1:6" x14ac:dyDescent="0.25">
      <c r="A37" s="7">
        <v>5</v>
      </c>
      <c r="B37" s="7">
        <v>4</v>
      </c>
    </row>
    <row r="38" spans="1:6" x14ac:dyDescent="0.25">
      <c r="A38" s="7">
        <v>3</v>
      </c>
      <c r="B38" s="7">
        <v>5</v>
      </c>
    </row>
    <row r="39" spans="1:6" x14ac:dyDescent="0.25">
      <c r="A39" s="7">
        <v>4</v>
      </c>
      <c r="B39" s="7">
        <v>5</v>
      </c>
    </row>
    <row r="40" spans="1:6" x14ac:dyDescent="0.25">
      <c r="A40" s="7">
        <v>5</v>
      </c>
      <c r="B40" s="7">
        <v>1</v>
      </c>
    </row>
    <row r="41" spans="1:6" ht="29.25" customHeight="1" x14ac:dyDescent="0.25">
      <c r="A41" s="7">
        <v>5</v>
      </c>
      <c r="B41" s="7">
        <v>3</v>
      </c>
      <c r="D41" t="s">
        <v>8</v>
      </c>
      <c r="E41">
        <f>(((E5^2)/E6)+((E11^2)/E12))^2</f>
        <v>7.4208018593411283E-4</v>
      </c>
    </row>
    <row r="42" spans="1:6" ht="47.25" customHeight="1" x14ac:dyDescent="0.25">
      <c r="A42" s="7">
        <v>2</v>
      </c>
      <c r="B42" s="7">
        <v>4</v>
      </c>
      <c r="D42" t="s">
        <v>9</v>
      </c>
      <c r="E42">
        <f>(((E5^2)/E6)^2)/(E6-1)</f>
        <v>1.6306379212903054E-6</v>
      </c>
    </row>
    <row r="43" spans="1:6" ht="43.5" customHeight="1" x14ac:dyDescent="0.25">
      <c r="A43" s="7">
        <v>3</v>
      </c>
      <c r="B43" s="7">
        <v>2</v>
      </c>
      <c r="D43" t="s">
        <v>10</v>
      </c>
      <c r="E43">
        <f>(((E11^2)/E12)^2)/(E12-1)</f>
        <v>2.4433495990425494E-6</v>
      </c>
    </row>
    <row r="44" spans="1:6" x14ac:dyDescent="0.25">
      <c r="A44" s="7">
        <v>3</v>
      </c>
      <c r="B44" s="7">
        <v>2</v>
      </c>
    </row>
    <row r="45" spans="1:6" x14ac:dyDescent="0.25">
      <c r="A45" s="7">
        <v>4</v>
      </c>
      <c r="B45" s="7">
        <v>4</v>
      </c>
      <c r="D45" t="s">
        <v>7</v>
      </c>
      <c r="E45">
        <f>E41/(E42+E43)</f>
        <v>182.15082452522657</v>
      </c>
      <c r="F45" s="6" t="s">
        <v>12</v>
      </c>
    </row>
    <row r="46" spans="1:6" x14ac:dyDescent="0.25">
      <c r="A46" s="7">
        <v>2</v>
      </c>
      <c r="B46" s="7">
        <v>3</v>
      </c>
    </row>
    <row r="47" spans="1:6" x14ac:dyDescent="0.25">
      <c r="A47" s="7">
        <v>4</v>
      </c>
      <c r="B47" s="7">
        <v>3</v>
      </c>
      <c r="D47" t="s">
        <v>13</v>
      </c>
      <c r="E47">
        <v>0.05</v>
      </c>
      <c r="F47" s="6" t="s">
        <v>12</v>
      </c>
    </row>
    <row r="48" spans="1:6" x14ac:dyDescent="0.25">
      <c r="A48" s="7">
        <v>2</v>
      </c>
      <c r="B48" s="7">
        <v>3</v>
      </c>
    </row>
    <row r="49" spans="1:5" x14ac:dyDescent="0.25">
      <c r="A49" s="7">
        <v>4</v>
      </c>
      <c r="B49" s="7">
        <v>5</v>
      </c>
    </row>
    <row r="50" spans="1:5" x14ac:dyDescent="0.25">
      <c r="A50" s="7">
        <v>4</v>
      </c>
      <c r="B50" s="7">
        <v>2</v>
      </c>
    </row>
    <row r="51" spans="1:5" x14ac:dyDescent="0.25">
      <c r="A51" s="7">
        <v>3</v>
      </c>
      <c r="B51" s="7">
        <v>3</v>
      </c>
      <c r="D51" s="2"/>
      <c r="E51" s="2"/>
    </row>
    <row r="52" spans="1:5" x14ac:dyDescent="0.25">
      <c r="A52" s="7">
        <v>4</v>
      </c>
      <c r="B52" s="7">
        <v>4</v>
      </c>
      <c r="D52" t="s">
        <v>16</v>
      </c>
      <c r="E52">
        <f>_xlfn.T.INV.2T(E47,E45)</f>
        <v>1.9730840773359002</v>
      </c>
    </row>
    <row r="53" spans="1:5" x14ac:dyDescent="0.25">
      <c r="A53" s="7">
        <v>3</v>
      </c>
      <c r="B53" s="7">
        <v>4</v>
      </c>
      <c r="D53" t="s">
        <v>17</v>
      </c>
      <c r="E53">
        <f>_xlfn.T.INV(E47, E45)</f>
        <v>-1.6532690237054619</v>
      </c>
    </row>
    <row r="54" spans="1:5" x14ac:dyDescent="0.25">
      <c r="A54" s="7">
        <v>3</v>
      </c>
      <c r="B54" s="7">
        <v>5</v>
      </c>
    </row>
    <row r="55" spans="1:5" x14ac:dyDescent="0.25">
      <c r="A55" s="7">
        <v>4</v>
      </c>
      <c r="B55" s="7">
        <v>5</v>
      </c>
      <c r="D55" t="s">
        <v>18</v>
      </c>
      <c r="E55">
        <f>TTEST(A:A,B:B,2,2)</f>
        <v>0.84525988648097461</v>
      </c>
    </row>
    <row r="56" spans="1:5" x14ac:dyDescent="0.25">
      <c r="A56" s="7">
        <v>2</v>
      </c>
      <c r="B56" s="7">
        <v>3</v>
      </c>
      <c r="D56" t="s">
        <v>19</v>
      </c>
      <c r="E56">
        <f>TTEST(A:A,B:B,1,2)</f>
        <v>0.4226299432404873</v>
      </c>
    </row>
    <row r="57" spans="1:5" x14ac:dyDescent="0.25">
      <c r="A57" s="7">
        <v>4</v>
      </c>
      <c r="B57" s="7">
        <v>5</v>
      </c>
    </row>
    <row r="58" spans="1:5" x14ac:dyDescent="0.25">
      <c r="A58" s="7">
        <v>3</v>
      </c>
      <c r="B58" s="7">
        <v>4</v>
      </c>
    </row>
    <row r="59" spans="1:5" x14ac:dyDescent="0.25">
      <c r="A59" s="7">
        <v>2</v>
      </c>
      <c r="B59" s="7">
        <v>3</v>
      </c>
      <c r="D59" s="2" t="s">
        <v>20</v>
      </c>
      <c r="E59" s="2"/>
    </row>
    <row r="60" spans="1:5" x14ac:dyDescent="0.25">
      <c r="A60" s="7">
        <v>3</v>
      </c>
      <c r="B60" s="7">
        <v>5</v>
      </c>
    </row>
    <row r="61" spans="1:5" x14ac:dyDescent="0.25">
      <c r="A61" s="7">
        <v>5</v>
      </c>
      <c r="B61" s="7">
        <v>1</v>
      </c>
      <c r="D61" t="s">
        <v>21</v>
      </c>
    </row>
    <row r="62" spans="1:5" x14ac:dyDescent="0.25">
      <c r="A62" s="7">
        <v>1</v>
      </c>
      <c r="B62" s="7">
        <v>4</v>
      </c>
      <c r="D62" t="s">
        <v>22</v>
      </c>
    </row>
    <row r="63" spans="1:5" x14ac:dyDescent="0.25">
      <c r="A63" s="7">
        <v>3</v>
      </c>
      <c r="B63" s="7">
        <v>4</v>
      </c>
    </row>
    <row r="64" spans="1:5" x14ac:dyDescent="0.25">
      <c r="A64" s="7">
        <v>4</v>
      </c>
      <c r="B64" s="7">
        <v>4</v>
      </c>
    </row>
    <row r="65" spans="1:4" x14ac:dyDescent="0.25">
      <c r="A65" s="7">
        <v>5</v>
      </c>
      <c r="B65" s="7">
        <v>4</v>
      </c>
    </row>
    <row r="66" spans="1:4" x14ac:dyDescent="0.25">
      <c r="A66" s="7">
        <v>3</v>
      </c>
      <c r="B66" s="7">
        <v>5</v>
      </c>
      <c r="D66" t="s">
        <v>23</v>
      </c>
    </row>
    <row r="67" spans="1:4" x14ac:dyDescent="0.25">
      <c r="A67" s="7">
        <v>3</v>
      </c>
      <c r="B67" s="7">
        <v>3</v>
      </c>
      <c r="D67" t="str">
        <f>"Dos Colas: Si t calculado ("&amp;E29&amp;") &gt; a t critico  ("&amp;E52&amp;") (de tabla) ---&gt; Se rechaza la hipotesis nula"</f>
        <v>Dos Colas: Si t calculado (0.195445464751232) &gt; a t critico  (1.9730840773359) (de tabla) ---&gt; Se rechaza la hipotesis nula</v>
      </c>
    </row>
    <row r="68" spans="1:4" x14ac:dyDescent="0.25">
      <c r="A68" s="7">
        <v>3</v>
      </c>
      <c r="B68" s="7">
        <v>1</v>
      </c>
      <c r="D68" t="str">
        <f>"Una Cola: Si t calculado ("&amp;E29&amp;") &gt; a t critico  ("&amp;E53&amp;") (de tabla) ---&gt; Se rechaza la hipotesis nula"</f>
        <v>Una Cola: Si t calculado (0.195445464751232) &gt; a t critico  (-1.65326902370546) (de tabla) ---&gt; Se rechaza la hipotesis nula</v>
      </c>
    </row>
    <row r="69" spans="1:4" x14ac:dyDescent="0.25">
      <c r="A69" s="7">
        <v>2</v>
      </c>
      <c r="B69" s="7">
        <v>4</v>
      </c>
    </row>
    <row r="70" spans="1:4" x14ac:dyDescent="0.25">
      <c r="A70" s="7">
        <v>3</v>
      </c>
      <c r="B70" s="7">
        <v>3</v>
      </c>
    </row>
    <row r="71" spans="1:4" x14ac:dyDescent="0.25">
      <c r="A71" s="7">
        <v>5</v>
      </c>
      <c r="B71" s="7">
        <v>3</v>
      </c>
    </row>
    <row r="72" spans="1:4" x14ac:dyDescent="0.25">
      <c r="A72" s="7">
        <v>4</v>
      </c>
      <c r="B72" s="7">
        <v>2</v>
      </c>
      <c r="D72" t="s">
        <v>48</v>
      </c>
    </row>
    <row r="73" spans="1:4" x14ac:dyDescent="0.25">
      <c r="A73" s="7">
        <v>4</v>
      </c>
      <c r="B73" s="7">
        <v>4</v>
      </c>
      <c r="D73" t="str">
        <f>"Dos Colas: Si p valor ("&amp;E55&amp;") &lt; Nivel Significancia (0.05) ---&gt; Se rechaza la hipotesis nula"</f>
        <v>Dos Colas: Si p valor (0.845259886480975) &lt; Nivel Significancia (0.05) ---&gt; Se rechaza la hipotesis nula</v>
      </c>
    </row>
    <row r="74" spans="1:4" x14ac:dyDescent="0.25">
      <c r="A74" s="7">
        <v>3</v>
      </c>
      <c r="B74" s="7">
        <v>4</v>
      </c>
      <c r="D74" t="str">
        <f>"Una Cola: Si p valor ("&amp;E56&amp;") &lt; Nivel Significancia (0.05) ---&gt; Se rechaza la hipotesis nula"</f>
        <v>Una Cola: Si p valor (0.422629943240487) &lt; Nivel Significancia (0.05) ---&gt; Se rechaza la hipotesis nula</v>
      </c>
    </row>
    <row r="75" spans="1:4" x14ac:dyDescent="0.25">
      <c r="A75" s="7">
        <v>5</v>
      </c>
      <c r="B75" s="7">
        <v>4</v>
      </c>
    </row>
    <row r="76" spans="1:4" x14ac:dyDescent="0.25">
      <c r="A76" s="7">
        <v>3</v>
      </c>
      <c r="B76" s="7">
        <v>3</v>
      </c>
    </row>
    <row r="77" spans="1:4" x14ac:dyDescent="0.25">
      <c r="A77" s="7">
        <v>3</v>
      </c>
      <c r="B77" s="7">
        <v>2</v>
      </c>
    </row>
    <row r="78" spans="1:4" x14ac:dyDescent="0.25">
      <c r="A78" s="7">
        <v>2</v>
      </c>
      <c r="B78" s="7">
        <v>5</v>
      </c>
    </row>
    <row r="79" spans="1:4" x14ac:dyDescent="0.25">
      <c r="A79" s="7">
        <v>4</v>
      </c>
      <c r="B79" s="7">
        <v>4</v>
      </c>
    </row>
    <row r="80" spans="1:4" x14ac:dyDescent="0.25">
      <c r="A80" s="7">
        <v>2</v>
      </c>
      <c r="B80" s="7">
        <v>2</v>
      </c>
    </row>
    <row r="81" spans="1:2" x14ac:dyDescent="0.25">
      <c r="A81" s="7">
        <v>5</v>
      </c>
      <c r="B81" s="7">
        <v>2</v>
      </c>
    </row>
    <row r="82" spans="1:2" x14ac:dyDescent="0.25">
      <c r="A82" s="7">
        <v>2</v>
      </c>
      <c r="B82" s="7">
        <v>1</v>
      </c>
    </row>
    <row r="83" spans="1:2" x14ac:dyDescent="0.25">
      <c r="A83" s="7">
        <v>5</v>
      </c>
      <c r="B83" s="7">
        <v>3</v>
      </c>
    </row>
    <row r="84" spans="1:2" x14ac:dyDescent="0.25">
      <c r="A84" s="7">
        <v>4</v>
      </c>
      <c r="B84" s="7">
        <v>4</v>
      </c>
    </row>
    <row r="85" spans="1:2" x14ac:dyDescent="0.25">
      <c r="A85" s="7">
        <v>3</v>
      </c>
      <c r="B85" s="7">
        <v>3</v>
      </c>
    </row>
    <row r="86" spans="1:2" x14ac:dyDescent="0.25">
      <c r="A86" s="7">
        <v>5</v>
      </c>
      <c r="B86" s="7">
        <v>3</v>
      </c>
    </row>
    <row r="87" spans="1:2" x14ac:dyDescent="0.25">
      <c r="A87" s="7">
        <v>4</v>
      </c>
      <c r="B87" s="7">
        <v>5</v>
      </c>
    </row>
    <row r="88" spans="1:2" x14ac:dyDescent="0.25">
      <c r="A88" s="7">
        <v>3</v>
      </c>
      <c r="B88" s="7">
        <v>3</v>
      </c>
    </row>
    <row r="89" spans="1:2" x14ac:dyDescent="0.25">
      <c r="A89" s="7">
        <v>3</v>
      </c>
      <c r="B89" s="7">
        <v>3</v>
      </c>
    </row>
    <row r="90" spans="1:2" x14ac:dyDescent="0.25">
      <c r="A90" s="7">
        <v>3</v>
      </c>
      <c r="B90" s="7">
        <v>5</v>
      </c>
    </row>
    <row r="91" spans="1:2" x14ac:dyDescent="0.25">
      <c r="A91" s="7">
        <v>3</v>
      </c>
      <c r="B91" s="7">
        <v>3</v>
      </c>
    </row>
    <row r="92" spans="1:2" x14ac:dyDescent="0.25">
      <c r="A92" s="7">
        <v>3</v>
      </c>
      <c r="B92" s="7">
        <v>3</v>
      </c>
    </row>
    <row r="93" spans="1:2" x14ac:dyDescent="0.25">
      <c r="A93" s="7">
        <v>4</v>
      </c>
      <c r="B93" s="7">
        <v>1</v>
      </c>
    </row>
    <row r="94" spans="1:2" x14ac:dyDescent="0.25">
      <c r="A94" s="7">
        <v>4</v>
      </c>
      <c r="B94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30" zoomScaleNormal="130" workbookViewId="0">
      <selection activeCell="G20" sqref="G20"/>
    </sheetView>
  </sheetViews>
  <sheetFormatPr baseColWidth="10" defaultColWidth="9.140625" defaultRowHeight="15" x14ac:dyDescent="0.25"/>
  <cols>
    <col min="1" max="1" width="33" customWidth="1"/>
    <col min="2" max="2" width="28.5703125" customWidth="1"/>
    <col min="4" max="4" width="37.28515625" customWidth="1"/>
    <col min="5" max="5" width="21.5703125" customWidth="1"/>
    <col min="6" max="6" width="17.85546875" customWidth="1"/>
    <col min="7" max="7" width="20" customWidth="1"/>
  </cols>
  <sheetData>
    <row r="1" spans="1:5" ht="138" customHeight="1" x14ac:dyDescent="0.25">
      <c r="A1" s="11" t="s">
        <v>40</v>
      </c>
      <c r="B1" s="9" t="s">
        <v>41</v>
      </c>
    </row>
    <row r="2" spans="1:5" x14ac:dyDescent="0.25">
      <c r="A2" s="7">
        <v>1</v>
      </c>
      <c r="B2" s="7">
        <v>5</v>
      </c>
      <c r="D2" s="1" t="s">
        <v>46</v>
      </c>
      <c r="E2">
        <f>AVERAGE(A:A)</f>
        <v>3.4301075268817205</v>
      </c>
    </row>
    <row r="3" spans="1:5" x14ac:dyDescent="0.25">
      <c r="A3" s="7">
        <v>5</v>
      </c>
      <c r="B3" s="7">
        <v>3</v>
      </c>
      <c r="D3" s="1" t="s">
        <v>0</v>
      </c>
      <c r="E3">
        <f>MEDIAN(A:A)</f>
        <v>3</v>
      </c>
    </row>
    <row r="4" spans="1:5" x14ac:dyDescent="0.25">
      <c r="A4" s="7">
        <v>3</v>
      </c>
      <c r="B4" s="7">
        <v>3</v>
      </c>
      <c r="D4" s="1" t="s">
        <v>1</v>
      </c>
      <c r="E4">
        <f>MODE(A:A)</f>
        <v>3</v>
      </c>
    </row>
    <row r="5" spans="1:5" x14ac:dyDescent="0.25">
      <c r="A5" s="7">
        <v>3</v>
      </c>
      <c r="B5" s="7">
        <v>4</v>
      </c>
      <c r="D5" s="1" t="s">
        <v>15</v>
      </c>
      <c r="E5">
        <f>STDEV(A:A)</f>
        <v>1.1363351605085303</v>
      </c>
    </row>
    <row r="6" spans="1:5" x14ac:dyDescent="0.25">
      <c r="A6" s="7">
        <v>3</v>
      </c>
      <c r="B6" s="7">
        <v>1</v>
      </c>
      <c r="D6" s="4" t="s">
        <v>4</v>
      </c>
      <c r="E6">
        <f>COUNT(A:A)</f>
        <v>93</v>
      </c>
    </row>
    <row r="7" spans="1:5" x14ac:dyDescent="0.25">
      <c r="A7" s="7">
        <v>5</v>
      </c>
      <c r="B7" s="7">
        <v>2</v>
      </c>
    </row>
    <row r="8" spans="1:5" x14ac:dyDescent="0.25">
      <c r="A8" s="7">
        <v>2</v>
      </c>
      <c r="B8" s="7">
        <v>3</v>
      </c>
      <c r="D8" s="3" t="s">
        <v>47</v>
      </c>
      <c r="E8">
        <f>AVERAGE(B:B)</f>
        <v>3.225806451612903</v>
      </c>
    </row>
    <row r="9" spans="1:5" x14ac:dyDescent="0.25">
      <c r="A9" s="7">
        <v>2</v>
      </c>
      <c r="B9" s="7">
        <v>3</v>
      </c>
      <c r="D9" s="3" t="s">
        <v>2</v>
      </c>
      <c r="E9">
        <f>MEDIAN(B:B)</f>
        <v>3</v>
      </c>
    </row>
    <row r="10" spans="1:5" x14ac:dyDescent="0.25">
      <c r="A10" s="7">
        <v>3</v>
      </c>
      <c r="B10" s="7">
        <v>3</v>
      </c>
      <c r="D10" s="3" t="s">
        <v>3</v>
      </c>
      <c r="E10">
        <f>MODE(B:B)</f>
        <v>3</v>
      </c>
    </row>
    <row r="11" spans="1:5" x14ac:dyDescent="0.25">
      <c r="A11" s="7">
        <v>3</v>
      </c>
      <c r="B11" s="7">
        <v>1</v>
      </c>
      <c r="D11" s="3" t="s">
        <v>14</v>
      </c>
      <c r="E11">
        <f>STDEV(B:B)</f>
        <v>1.1337608851695904</v>
      </c>
    </row>
    <row r="12" spans="1:5" x14ac:dyDescent="0.25">
      <c r="A12" s="7">
        <v>2</v>
      </c>
      <c r="B12" s="7">
        <v>3</v>
      </c>
      <c r="D12" s="5" t="s">
        <v>5</v>
      </c>
      <c r="E12">
        <f>COUNT(B:B)</f>
        <v>93</v>
      </c>
    </row>
    <row r="13" spans="1:5" x14ac:dyDescent="0.25">
      <c r="A13" s="7">
        <v>3</v>
      </c>
      <c r="B13" s="7">
        <v>3</v>
      </c>
    </row>
    <row r="14" spans="1:5" x14ac:dyDescent="0.25">
      <c r="A14" s="7">
        <v>5</v>
      </c>
      <c r="B14" s="7">
        <v>2</v>
      </c>
    </row>
    <row r="15" spans="1:5" x14ac:dyDescent="0.25">
      <c r="A15" s="7">
        <v>3</v>
      </c>
      <c r="B15" s="7">
        <v>4</v>
      </c>
    </row>
    <row r="16" spans="1:5" x14ac:dyDescent="0.25">
      <c r="A16" s="7">
        <v>3</v>
      </c>
      <c r="B16" s="7">
        <v>2</v>
      </c>
    </row>
    <row r="17" spans="1:5" x14ac:dyDescent="0.25">
      <c r="A17" s="7">
        <v>4</v>
      </c>
      <c r="B17" s="7">
        <v>4</v>
      </c>
      <c r="D17" s="2" t="s">
        <v>6</v>
      </c>
      <c r="E17" s="2"/>
    </row>
    <row r="18" spans="1:5" x14ac:dyDescent="0.25">
      <c r="A18" s="7">
        <v>3</v>
      </c>
      <c r="B18" s="7">
        <v>4</v>
      </c>
    </row>
    <row r="19" spans="1:5" x14ac:dyDescent="0.25">
      <c r="A19" s="7">
        <v>1</v>
      </c>
      <c r="B19" s="7">
        <v>4</v>
      </c>
    </row>
    <row r="20" spans="1:5" x14ac:dyDescent="0.25">
      <c r="A20" s="7">
        <v>2</v>
      </c>
      <c r="B20" s="7">
        <v>1</v>
      </c>
    </row>
    <row r="21" spans="1:5" x14ac:dyDescent="0.25">
      <c r="A21" s="7">
        <v>4</v>
      </c>
      <c r="B21" s="7">
        <v>2</v>
      </c>
    </row>
    <row r="22" spans="1:5" x14ac:dyDescent="0.25">
      <c r="A22" s="7">
        <v>5</v>
      </c>
      <c r="B22" s="7">
        <v>3</v>
      </c>
    </row>
    <row r="23" spans="1:5" x14ac:dyDescent="0.25">
      <c r="A23" s="7">
        <v>1</v>
      </c>
      <c r="B23" s="7">
        <v>3</v>
      </c>
    </row>
    <row r="24" spans="1:5" x14ac:dyDescent="0.25">
      <c r="A24" s="7">
        <v>2</v>
      </c>
      <c r="B24" s="7">
        <v>3</v>
      </c>
    </row>
    <row r="25" spans="1:5" x14ac:dyDescent="0.25">
      <c r="A25" s="7">
        <v>5</v>
      </c>
      <c r="B25" s="7">
        <v>1</v>
      </c>
    </row>
    <row r="26" spans="1:5" x14ac:dyDescent="0.25">
      <c r="A26" s="7">
        <v>2</v>
      </c>
      <c r="B26" s="7">
        <v>3</v>
      </c>
    </row>
    <row r="27" spans="1:5" x14ac:dyDescent="0.25">
      <c r="A27" s="7">
        <v>2</v>
      </c>
      <c r="B27" s="7">
        <v>4</v>
      </c>
    </row>
    <row r="28" spans="1:5" x14ac:dyDescent="0.25">
      <c r="A28" s="7">
        <v>3</v>
      </c>
      <c r="B28" s="7">
        <v>5</v>
      </c>
    </row>
    <row r="29" spans="1:5" x14ac:dyDescent="0.25">
      <c r="A29" s="7">
        <v>3</v>
      </c>
      <c r="B29" s="7">
        <v>2</v>
      </c>
      <c r="D29" t="s">
        <v>11</v>
      </c>
      <c r="E29">
        <f>(E2-E8)/SQRT(((E5^2)/E6)+((E11^2)/E12))</f>
        <v>1.227390091800066</v>
      </c>
    </row>
    <row r="30" spans="1:5" x14ac:dyDescent="0.25">
      <c r="A30" s="7">
        <v>4</v>
      </c>
      <c r="B30" s="7">
        <v>3</v>
      </c>
    </row>
    <row r="31" spans="1:5" x14ac:dyDescent="0.25">
      <c r="A31" s="7">
        <v>5</v>
      </c>
      <c r="B31" s="7">
        <v>4</v>
      </c>
      <c r="D31" s="2" t="s">
        <v>7</v>
      </c>
      <c r="E31" s="2"/>
    </row>
    <row r="32" spans="1:5" x14ac:dyDescent="0.25">
      <c r="A32" s="7">
        <v>4</v>
      </c>
      <c r="B32" s="7">
        <v>5</v>
      </c>
    </row>
    <row r="33" spans="1:6" x14ac:dyDescent="0.25">
      <c r="A33" s="7">
        <v>2</v>
      </c>
      <c r="B33" s="7">
        <v>2</v>
      </c>
    </row>
    <row r="34" spans="1:6" x14ac:dyDescent="0.25">
      <c r="A34" s="7">
        <v>5</v>
      </c>
      <c r="B34" s="7">
        <v>5</v>
      </c>
    </row>
    <row r="35" spans="1:6" x14ac:dyDescent="0.25">
      <c r="A35" s="7">
        <v>4</v>
      </c>
      <c r="B35" s="7">
        <v>3</v>
      </c>
    </row>
    <row r="36" spans="1:6" x14ac:dyDescent="0.25">
      <c r="A36" s="7">
        <v>4</v>
      </c>
      <c r="B36" s="7">
        <v>1</v>
      </c>
    </row>
    <row r="37" spans="1:6" x14ac:dyDescent="0.25">
      <c r="A37" s="7">
        <v>3</v>
      </c>
      <c r="B37" s="7">
        <v>4</v>
      </c>
    </row>
    <row r="38" spans="1:6" x14ac:dyDescent="0.25">
      <c r="A38" s="7">
        <v>2</v>
      </c>
      <c r="B38" s="7">
        <v>4</v>
      </c>
    </row>
    <row r="39" spans="1:6" x14ac:dyDescent="0.25">
      <c r="A39" s="7">
        <v>4</v>
      </c>
      <c r="B39" s="7">
        <v>3</v>
      </c>
    </row>
    <row r="40" spans="1:6" x14ac:dyDescent="0.25">
      <c r="A40" s="7">
        <v>4</v>
      </c>
      <c r="B40" s="7">
        <v>2</v>
      </c>
    </row>
    <row r="41" spans="1:6" ht="29.25" customHeight="1" x14ac:dyDescent="0.25">
      <c r="A41" s="7">
        <v>3</v>
      </c>
      <c r="B41" s="7">
        <v>3</v>
      </c>
      <c r="D41" t="s">
        <v>8</v>
      </c>
      <c r="E41">
        <f>(((E5^2)/E6)+((E11^2)/E12))^2</f>
        <v>7.6763038540732058E-4</v>
      </c>
    </row>
    <row r="42" spans="1:6" ht="47.25" customHeight="1" x14ac:dyDescent="0.25">
      <c r="A42" s="7">
        <v>4</v>
      </c>
      <c r="B42" s="7">
        <v>1</v>
      </c>
      <c r="D42" t="s">
        <v>9</v>
      </c>
      <c r="E42">
        <f>(((E5^2)/E6)^2)/(E6-1)</f>
        <v>2.0954246807003811E-6</v>
      </c>
    </row>
    <row r="43" spans="1:6" ht="43.5" customHeight="1" x14ac:dyDescent="0.25">
      <c r="A43" s="7">
        <v>4</v>
      </c>
      <c r="B43" s="7">
        <v>5</v>
      </c>
      <c r="D43" t="s">
        <v>10</v>
      </c>
      <c r="E43">
        <f>(((E11^2)/E12)^2)/(E12-1)</f>
        <v>2.0765010470774214E-6</v>
      </c>
    </row>
    <row r="44" spans="1:6" x14ac:dyDescent="0.25">
      <c r="A44" s="7">
        <v>4</v>
      </c>
      <c r="B44" s="7">
        <v>3</v>
      </c>
    </row>
    <row r="45" spans="1:6" x14ac:dyDescent="0.25">
      <c r="A45" s="7">
        <v>5</v>
      </c>
      <c r="B45" s="7">
        <v>3</v>
      </c>
      <c r="D45" t="s">
        <v>7</v>
      </c>
      <c r="E45">
        <f>E41/(E42+E43)</f>
        <v>183.99905355366974</v>
      </c>
      <c r="F45" s="6" t="s">
        <v>12</v>
      </c>
    </row>
    <row r="46" spans="1:6" x14ac:dyDescent="0.25">
      <c r="A46" s="7">
        <v>4</v>
      </c>
      <c r="B46" s="7">
        <v>2</v>
      </c>
    </row>
    <row r="47" spans="1:6" x14ac:dyDescent="0.25">
      <c r="A47" s="7">
        <v>3</v>
      </c>
      <c r="B47" s="7">
        <v>4</v>
      </c>
      <c r="D47" t="s">
        <v>13</v>
      </c>
      <c r="E47">
        <v>0.05</v>
      </c>
      <c r="F47" s="6" t="s">
        <v>12</v>
      </c>
    </row>
    <row r="48" spans="1:6" x14ac:dyDescent="0.25">
      <c r="A48" s="7">
        <v>4</v>
      </c>
      <c r="B48" s="7">
        <v>2</v>
      </c>
    </row>
    <row r="49" spans="1:5" x14ac:dyDescent="0.25">
      <c r="A49" s="7">
        <v>2</v>
      </c>
      <c r="B49" s="7">
        <v>3</v>
      </c>
    </row>
    <row r="50" spans="1:5" x14ac:dyDescent="0.25">
      <c r="A50" s="7">
        <v>4</v>
      </c>
      <c r="B50" s="7">
        <v>4</v>
      </c>
    </row>
    <row r="51" spans="1:5" x14ac:dyDescent="0.25">
      <c r="A51" s="7">
        <v>3</v>
      </c>
      <c r="B51" s="7">
        <v>5</v>
      </c>
      <c r="D51" s="2"/>
      <c r="E51" s="2"/>
    </row>
    <row r="52" spans="1:5" x14ac:dyDescent="0.25">
      <c r="A52" s="7">
        <v>3</v>
      </c>
      <c r="B52" s="7">
        <v>2</v>
      </c>
      <c r="D52" t="s">
        <v>16</v>
      </c>
      <c r="E52">
        <f>_xlfn.T.INV.2T(E47,E45)</f>
        <v>1.9730119151362655</v>
      </c>
    </row>
    <row r="53" spans="1:5" x14ac:dyDescent="0.25">
      <c r="A53" s="7">
        <v>5</v>
      </c>
      <c r="B53" s="7">
        <v>5</v>
      </c>
      <c r="D53" t="s">
        <v>17</v>
      </c>
      <c r="E53">
        <f>_xlfn.T.INV(E47, E45)</f>
        <v>-1.6532228031457243</v>
      </c>
    </row>
    <row r="54" spans="1:5" x14ac:dyDescent="0.25">
      <c r="A54" s="7">
        <v>3</v>
      </c>
      <c r="B54" s="7">
        <v>4</v>
      </c>
    </row>
    <row r="55" spans="1:5" x14ac:dyDescent="0.25">
      <c r="A55" s="7">
        <v>4</v>
      </c>
      <c r="B55" s="7">
        <v>4</v>
      </c>
      <c r="D55" t="s">
        <v>18</v>
      </c>
      <c r="E55">
        <f>TTEST(A:A,B:B,2,2)</f>
        <v>0.22124400796768406</v>
      </c>
    </row>
    <row r="56" spans="1:5" x14ac:dyDescent="0.25">
      <c r="A56" s="7">
        <v>1</v>
      </c>
      <c r="B56" s="7">
        <v>2</v>
      </c>
      <c r="D56" t="s">
        <v>19</v>
      </c>
      <c r="E56">
        <f>TTEST(A:A,B:B,1,2)</f>
        <v>0.11062200398384203</v>
      </c>
    </row>
    <row r="57" spans="1:5" x14ac:dyDescent="0.25">
      <c r="A57" s="7">
        <v>5</v>
      </c>
      <c r="B57" s="7">
        <v>3</v>
      </c>
    </row>
    <row r="58" spans="1:5" x14ac:dyDescent="0.25">
      <c r="A58" s="7">
        <v>4</v>
      </c>
      <c r="B58" s="7">
        <v>2</v>
      </c>
    </row>
    <row r="59" spans="1:5" x14ac:dyDescent="0.25">
      <c r="A59" s="7">
        <v>5</v>
      </c>
      <c r="B59" s="7">
        <v>4</v>
      </c>
      <c r="D59" s="2" t="s">
        <v>20</v>
      </c>
      <c r="E59" s="2"/>
    </row>
    <row r="60" spans="1:5" x14ac:dyDescent="0.25">
      <c r="A60" s="7">
        <v>1</v>
      </c>
      <c r="B60" s="7">
        <v>3</v>
      </c>
    </row>
    <row r="61" spans="1:5" x14ac:dyDescent="0.25">
      <c r="A61" s="7">
        <v>3</v>
      </c>
      <c r="B61" s="7">
        <v>3</v>
      </c>
      <c r="D61" t="s">
        <v>21</v>
      </c>
    </row>
    <row r="62" spans="1:5" x14ac:dyDescent="0.25">
      <c r="A62" s="7">
        <v>3</v>
      </c>
      <c r="B62" s="7">
        <v>2</v>
      </c>
      <c r="D62" t="s">
        <v>22</v>
      </c>
    </row>
    <row r="63" spans="1:5" x14ac:dyDescent="0.25">
      <c r="A63" s="7">
        <v>5</v>
      </c>
      <c r="B63" s="7">
        <v>2</v>
      </c>
    </row>
    <row r="64" spans="1:5" x14ac:dyDescent="0.25">
      <c r="A64" s="7">
        <v>3</v>
      </c>
      <c r="B64" s="7">
        <v>5</v>
      </c>
    </row>
    <row r="65" spans="1:4" x14ac:dyDescent="0.25">
      <c r="A65" s="7">
        <v>4</v>
      </c>
      <c r="B65" s="7">
        <v>3</v>
      </c>
    </row>
    <row r="66" spans="1:4" x14ac:dyDescent="0.25">
      <c r="A66" s="7">
        <v>2</v>
      </c>
      <c r="B66" s="7">
        <v>5</v>
      </c>
      <c r="D66" t="s">
        <v>23</v>
      </c>
    </row>
    <row r="67" spans="1:4" x14ac:dyDescent="0.25">
      <c r="A67" s="7">
        <v>4</v>
      </c>
      <c r="B67" s="7">
        <v>3</v>
      </c>
      <c r="D67" t="str">
        <f>"Dos Colas: Si t calculado ("&amp;E29&amp;") &gt; a t critico  ("&amp;E52&amp;") (de tabla) ---&gt; Se rechaza la hipotesis nula"</f>
        <v>Dos Colas: Si t calculado (1.22739009180007) &gt; a t critico  (1.97301191513627) (de tabla) ---&gt; Se rechaza la hipotesis nula</v>
      </c>
    </row>
    <row r="68" spans="1:4" x14ac:dyDescent="0.25">
      <c r="A68" s="7">
        <v>4</v>
      </c>
      <c r="B68" s="7">
        <v>4</v>
      </c>
      <c r="D68" t="str">
        <f>"Una Cola: Si t calculado ("&amp;E29&amp;") &gt; a t critico  ("&amp;E53&amp;") (de tabla) ---&gt; Se rechaza la hipotesis nula"</f>
        <v>Una Cola: Si t calculado (1.22739009180007) &gt; a t critico  (-1.65322280314572) (de tabla) ---&gt; Se rechaza la hipotesis nula</v>
      </c>
    </row>
    <row r="69" spans="1:4" x14ac:dyDescent="0.25">
      <c r="A69" s="7">
        <v>5</v>
      </c>
      <c r="B69" s="7">
        <v>4</v>
      </c>
    </row>
    <row r="70" spans="1:4" x14ac:dyDescent="0.25">
      <c r="A70" s="7">
        <v>3</v>
      </c>
      <c r="B70" s="7">
        <v>4</v>
      </c>
    </row>
    <row r="71" spans="1:4" x14ac:dyDescent="0.25">
      <c r="A71" s="7">
        <v>3</v>
      </c>
      <c r="B71" s="7">
        <v>3</v>
      </c>
    </row>
    <row r="72" spans="1:4" x14ac:dyDescent="0.25">
      <c r="A72" s="7">
        <v>5</v>
      </c>
      <c r="B72" s="7">
        <v>4</v>
      </c>
      <c r="D72" t="s">
        <v>48</v>
      </c>
    </row>
    <row r="73" spans="1:4" x14ac:dyDescent="0.25">
      <c r="A73" s="7">
        <v>3</v>
      </c>
      <c r="B73" s="7">
        <v>3</v>
      </c>
      <c r="D73" t="str">
        <f>"Dos Colas: Si p valor ("&amp;E55&amp;") &lt; Nivel Significancia (0.05) ---&gt; Se rechaza la hipotesis nula"</f>
        <v>Dos Colas: Si p valor (0.221244007967684) &lt; Nivel Significancia (0.05) ---&gt; Se rechaza la hipotesis nula</v>
      </c>
    </row>
    <row r="74" spans="1:4" x14ac:dyDescent="0.25">
      <c r="A74" s="7">
        <v>4</v>
      </c>
      <c r="B74" s="7">
        <v>4</v>
      </c>
      <c r="D74" t="str">
        <f>"Una Cola: Si p valor ("&amp;E56&amp;") &lt; Nivel Significancia (0.05) ---&gt; Se rechaza la hipotesis nula"</f>
        <v>Una Cola: Si p valor (0.110622003983842) &lt; Nivel Significancia (0.05) ---&gt; Se rechaza la hipotesis nula</v>
      </c>
    </row>
    <row r="75" spans="1:4" x14ac:dyDescent="0.25">
      <c r="A75" s="7">
        <v>3</v>
      </c>
      <c r="B75" s="7">
        <v>5</v>
      </c>
    </row>
    <row r="76" spans="1:4" x14ac:dyDescent="0.25">
      <c r="A76" s="7">
        <v>4</v>
      </c>
      <c r="B76" s="7">
        <v>2</v>
      </c>
    </row>
    <row r="77" spans="1:4" x14ac:dyDescent="0.25">
      <c r="A77" s="7">
        <v>4</v>
      </c>
      <c r="B77" s="7">
        <v>4</v>
      </c>
    </row>
    <row r="78" spans="1:4" x14ac:dyDescent="0.25">
      <c r="A78" s="7">
        <v>3</v>
      </c>
      <c r="B78" s="7">
        <v>4</v>
      </c>
    </row>
    <row r="79" spans="1:4" x14ac:dyDescent="0.25">
      <c r="A79" s="7">
        <v>5</v>
      </c>
      <c r="B79" s="7">
        <v>3</v>
      </c>
    </row>
    <row r="80" spans="1:4" x14ac:dyDescent="0.25">
      <c r="A80" s="7">
        <v>4</v>
      </c>
      <c r="B80" s="7">
        <v>4</v>
      </c>
    </row>
    <row r="81" spans="1:2" x14ac:dyDescent="0.25">
      <c r="A81" s="7">
        <v>2</v>
      </c>
      <c r="B81" s="7">
        <v>5</v>
      </c>
    </row>
    <row r="82" spans="1:2" x14ac:dyDescent="0.25">
      <c r="A82" s="7">
        <v>1</v>
      </c>
      <c r="B82" s="7">
        <v>4</v>
      </c>
    </row>
    <row r="83" spans="1:2" x14ac:dyDescent="0.25">
      <c r="A83" s="7">
        <v>4</v>
      </c>
      <c r="B83" s="7">
        <v>1</v>
      </c>
    </row>
    <row r="84" spans="1:2" x14ac:dyDescent="0.25">
      <c r="A84" s="7">
        <v>4</v>
      </c>
      <c r="B84" s="7">
        <v>3</v>
      </c>
    </row>
    <row r="85" spans="1:2" x14ac:dyDescent="0.25">
      <c r="A85" s="7">
        <v>3</v>
      </c>
      <c r="B85" s="7">
        <v>3</v>
      </c>
    </row>
    <row r="86" spans="1:2" x14ac:dyDescent="0.25">
      <c r="A86" s="7">
        <v>4</v>
      </c>
      <c r="B86" s="7">
        <v>3</v>
      </c>
    </row>
    <row r="87" spans="1:2" x14ac:dyDescent="0.25">
      <c r="A87" s="7">
        <v>5</v>
      </c>
      <c r="B87" s="7">
        <v>4</v>
      </c>
    </row>
    <row r="88" spans="1:2" x14ac:dyDescent="0.25">
      <c r="A88" s="7">
        <v>5</v>
      </c>
      <c r="B88" s="7">
        <v>4</v>
      </c>
    </row>
    <row r="89" spans="1:2" x14ac:dyDescent="0.25">
      <c r="A89" s="7">
        <v>3</v>
      </c>
      <c r="B89" s="7">
        <v>3</v>
      </c>
    </row>
    <row r="90" spans="1:2" x14ac:dyDescent="0.25">
      <c r="A90" s="7">
        <v>3</v>
      </c>
      <c r="B90" s="7">
        <v>5</v>
      </c>
    </row>
    <row r="91" spans="1:2" x14ac:dyDescent="0.25">
      <c r="A91" s="7">
        <v>5</v>
      </c>
      <c r="B91" s="7">
        <v>4</v>
      </c>
    </row>
    <row r="92" spans="1:2" x14ac:dyDescent="0.25">
      <c r="A92" s="7">
        <v>4</v>
      </c>
      <c r="B92" s="7">
        <v>4</v>
      </c>
    </row>
    <row r="93" spans="1:2" x14ac:dyDescent="0.25">
      <c r="A93" s="7">
        <v>4</v>
      </c>
      <c r="B93" s="7">
        <v>4</v>
      </c>
    </row>
    <row r="94" spans="1:2" x14ac:dyDescent="0.25">
      <c r="A94" s="7">
        <v>3</v>
      </c>
      <c r="B94" s="7">
        <v>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30" zoomScaleNormal="130" workbookViewId="0">
      <selection activeCell="D1" sqref="D1"/>
    </sheetView>
  </sheetViews>
  <sheetFormatPr baseColWidth="10" defaultColWidth="9.140625" defaultRowHeight="15" x14ac:dyDescent="0.25"/>
  <cols>
    <col min="1" max="1" width="30.5703125" customWidth="1"/>
    <col min="2" max="2" width="27.7109375" customWidth="1"/>
    <col min="4" max="4" width="37.85546875" customWidth="1"/>
    <col min="5" max="5" width="21.5703125" customWidth="1"/>
    <col min="6" max="6" width="17.85546875" customWidth="1"/>
    <col min="7" max="7" width="20" customWidth="1"/>
  </cols>
  <sheetData>
    <row r="1" spans="1:5" ht="138" customHeight="1" x14ac:dyDescent="0.25">
      <c r="A1" s="8" t="s">
        <v>42</v>
      </c>
      <c r="B1" s="10" t="s">
        <v>45</v>
      </c>
    </row>
    <row r="2" spans="1:5" x14ac:dyDescent="0.25">
      <c r="A2" s="7">
        <v>4</v>
      </c>
      <c r="B2" s="7">
        <v>4</v>
      </c>
      <c r="D2" s="1" t="s">
        <v>46</v>
      </c>
      <c r="E2">
        <f>AVERAGE(A:A)</f>
        <v>3.4516129032258065</v>
      </c>
    </row>
    <row r="3" spans="1:5" x14ac:dyDescent="0.25">
      <c r="A3" s="7">
        <v>5</v>
      </c>
      <c r="B3" s="7">
        <v>3</v>
      </c>
      <c r="D3" s="1" t="s">
        <v>0</v>
      </c>
      <c r="E3">
        <f>MEDIAN(A:A)</f>
        <v>4</v>
      </c>
    </row>
    <row r="4" spans="1:5" x14ac:dyDescent="0.25">
      <c r="A4" s="7">
        <v>4</v>
      </c>
      <c r="B4" s="7">
        <v>3</v>
      </c>
      <c r="D4" s="1" t="s">
        <v>1</v>
      </c>
      <c r="E4">
        <f>MODE(A:A)</f>
        <v>4</v>
      </c>
    </row>
    <row r="5" spans="1:5" x14ac:dyDescent="0.25">
      <c r="A5" s="7">
        <v>3</v>
      </c>
      <c r="B5" s="7">
        <v>4</v>
      </c>
      <c r="D5" s="1" t="s">
        <v>15</v>
      </c>
      <c r="E5">
        <f>STDEV(A:A)</f>
        <v>1.0375151023757598</v>
      </c>
    </row>
    <row r="6" spans="1:5" x14ac:dyDescent="0.25">
      <c r="A6" s="7">
        <v>2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2</v>
      </c>
      <c r="B7" s="7">
        <v>4</v>
      </c>
    </row>
    <row r="8" spans="1:5" x14ac:dyDescent="0.25">
      <c r="A8" s="7">
        <v>4</v>
      </c>
      <c r="B8" s="7">
        <v>4</v>
      </c>
      <c r="D8" s="3" t="s">
        <v>47</v>
      </c>
      <c r="E8">
        <f>AVERAGE(B:B)</f>
        <v>3.3978494623655915</v>
      </c>
    </row>
    <row r="9" spans="1:5" x14ac:dyDescent="0.25">
      <c r="A9" s="7">
        <v>3</v>
      </c>
      <c r="B9" s="7">
        <v>4</v>
      </c>
      <c r="D9" s="3" t="s">
        <v>2</v>
      </c>
      <c r="E9">
        <f>MEDIAN(B:B)</f>
        <v>3</v>
      </c>
    </row>
    <row r="10" spans="1:5" x14ac:dyDescent="0.25">
      <c r="A10" s="7">
        <v>4</v>
      </c>
      <c r="B10" s="7">
        <v>3</v>
      </c>
      <c r="D10" s="3" t="s">
        <v>3</v>
      </c>
      <c r="E10">
        <f>MODE(B:B)</f>
        <v>3</v>
      </c>
    </row>
    <row r="11" spans="1:5" x14ac:dyDescent="0.25">
      <c r="A11" s="7">
        <v>4</v>
      </c>
      <c r="B11" s="7">
        <v>4</v>
      </c>
      <c r="D11" s="3" t="s">
        <v>14</v>
      </c>
      <c r="E11">
        <f>STDEV(B:B)</f>
        <v>1.0948474675004272</v>
      </c>
    </row>
    <row r="12" spans="1:5" x14ac:dyDescent="0.25">
      <c r="A12" s="7">
        <v>2</v>
      </c>
      <c r="B12" s="7">
        <v>4</v>
      </c>
      <c r="D12" s="5" t="s">
        <v>5</v>
      </c>
      <c r="E12">
        <f>COUNT(B:B)</f>
        <v>93</v>
      </c>
    </row>
    <row r="13" spans="1:5" x14ac:dyDescent="0.25">
      <c r="A13" s="7">
        <v>5</v>
      </c>
      <c r="B13" s="7">
        <v>3</v>
      </c>
    </row>
    <row r="14" spans="1:5" x14ac:dyDescent="0.25">
      <c r="A14" s="7">
        <v>5</v>
      </c>
      <c r="B14" s="7">
        <v>1</v>
      </c>
    </row>
    <row r="15" spans="1:5" x14ac:dyDescent="0.25">
      <c r="A15" s="7">
        <v>4</v>
      </c>
      <c r="B15" s="7">
        <v>3</v>
      </c>
    </row>
    <row r="16" spans="1:5" x14ac:dyDescent="0.25">
      <c r="A16" s="7">
        <v>5</v>
      </c>
      <c r="B16" s="7">
        <v>5</v>
      </c>
    </row>
    <row r="17" spans="1:5" x14ac:dyDescent="0.25">
      <c r="A17" s="7">
        <v>4</v>
      </c>
      <c r="B17" s="7">
        <v>5</v>
      </c>
      <c r="D17" s="2" t="s">
        <v>6</v>
      </c>
      <c r="E17" s="2"/>
    </row>
    <row r="18" spans="1:5" x14ac:dyDescent="0.25">
      <c r="A18" s="7">
        <v>3</v>
      </c>
      <c r="B18" s="7">
        <v>1</v>
      </c>
    </row>
    <row r="19" spans="1:5" x14ac:dyDescent="0.25">
      <c r="A19" s="7">
        <v>4</v>
      </c>
      <c r="B19" s="7">
        <v>4</v>
      </c>
    </row>
    <row r="20" spans="1:5" x14ac:dyDescent="0.25">
      <c r="A20" s="7">
        <v>2</v>
      </c>
      <c r="B20" s="7">
        <v>5</v>
      </c>
    </row>
    <row r="21" spans="1:5" x14ac:dyDescent="0.25">
      <c r="A21" s="7">
        <v>2</v>
      </c>
      <c r="B21" s="7">
        <v>3</v>
      </c>
    </row>
    <row r="22" spans="1:5" x14ac:dyDescent="0.25">
      <c r="A22" s="7">
        <v>4</v>
      </c>
      <c r="B22" s="7">
        <v>3</v>
      </c>
    </row>
    <row r="23" spans="1:5" x14ac:dyDescent="0.25">
      <c r="A23" s="7">
        <v>4</v>
      </c>
      <c r="B23" s="7">
        <v>3</v>
      </c>
    </row>
    <row r="24" spans="1:5" x14ac:dyDescent="0.25">
      <c r="A24" s="7">
        <v>4</v>
      </c>
      <c r="B24" s="7">
        <v>4</v>
      </c>
    </row>
    <row r="25" spans="1:5" x14ac:dyDescent="0.25">
      <c r="A25" s="7">
        <v>3</v>
      </c>
      <c r="B25" s="7">
        <v>5</v>
      </c>
    </row>
    <row r="26" spans="1:5" x14ac:dyDescent="0.25">
      <c r="A26" s="7">
        <v>4</v>
      </c>
      <c r="B26" s="7">
        <v>1</v>
      </c>
    </row>
    <row r="27" spans="1:5" x14ac:dyDescent="0.25">
      <c r="A27" s="7">
        <v>3</v>
      </c>
      <c r="B27" s="7">
        <v>4</v>
      </c>
    </row>
    <row r="28" spans="1:5" x14ac:dyDescent="0.25">
      <c r="A28" s="7">
        <v>4</v>
      </c>
      <c r="B28" s="7">
        <v>3</v>
      </c>
    </row>
    <row r="29" spans="1:5" x14ac:dyDescent="0.25">
      <c r="A29" s="7">
        <v>3</v>
      </c>
      <c r="B29" s="7">
        <v>3</v>
      </c>
      <c r="D29" t="s">
        <v>11</v>
      </c>
      <c r="E29">
        <f>(E2-E8)/SQRT(((E5^2)/E6)+((E11^2)/E12))</f>
        <v>0.34373642711591557</v>
      </c>
    </row>
    <row r="30" spans="1:5" x14ac:dyDescent="0.25">
      <c r="A30" s="7">
        <v>3</v>
      </c>
      <c r="B30" s="7">
        <v>3</v>
      </c>
    </row>
    <row r="31" spans="1:5" x14ac:dyDescent="0.25">
      <c r="A31" s="7">
        <v>4</v>
      </c>
      <c r="B31" s="7">
        <v>4</v>
      </c>
      <c r="D31" s="2" t="s">
        <v>7</v>
      </c>
      <c r="E31" s="2"/>
    </row>
    <row r="32" spans="1:5" x14ac:dyDescent="0.25">
      <c r="A32" s="7">
        <v>1</v>
      </c>
      <c r="B32" s="7">
        <v>4</v>
      </c>
    </row>
    <row r="33" spans="1:6" x14ac:dyDescent="0.25">
      <c r="A33" s="7">
        <v>3</v>
      </c>
      <c r="B33" s="7">
        <v>3</v>
      </c>
    </row>
    <row r="34" spans="1:6" x14ac:dyDescent="0.25">
      <c r="A34" s="7">
        <v>5</v>
      </c>
      <c r="B34" s="7">
        <v>2</v>
      </c>
    </row>
    <row r="35" spans="1:6" x14ac:dyDescent="0.25">
      <c r="A35" s="7">
        <v>2</v>
      </c>
      <c r="B35" s="7">
        <v>2</v>
      </c>
    </row>
    <row r="36" spans="1:6" x14ac:dyDescent="0.25">
      <c r="A36" s="7">
        <v>3</v>
      </c>
      <c r="B36" s="7">
        <v>5</v>
      </c>
    </row>
    <row r="37" spans="1:6" x14ac:dyDescent="0.25">
      <c r="A37" s="7">
        <v>2</v>
      </c>
      <c r="B37" s="7">
        <v>5</v>
      </c>
    </row>
    <row r="38" spans="1:6" x14ac:dyDescent="0.25">
      <c r="A38" s="7">
        <v>2</v>
      </c>
      <c r="B38" s="7">
        <v>2</v>
      </c>
    </row>
    <row r="39" spans="1:6" x14ac:dyDescent="0.25">
      <c r="A39" s="7">
        <v>4</v>
      </c>
      <c r="B39" s="7">
        <v>3</v>
      </c>
    </row>
    <row r="40" spans="1:6" x14ac:dyDescent="0.25">
      <c r="A40" s="7">
        <v>5</v>
      </c>
      <c r="B40" s="7">
        <v>2</v>
      </c>
    </row>
    <row r="41" spans="1:6" ht="29.25" customHeight="1" x14ac:dyDescent="0.25">
      <c r="A41" s="7">
        <v>4</v>
      </c>
      <c r="B41" s="7">
        <v>4</v>
      </c>
      <c r="D41" t="s">
        <v>8</v>
      </c>
      <c r="E41">
        <f>(((E5^2)/E6)+((E11^2)/E12))^2</f>
        <v>5.9847496660201868E-4</v>
      </c>
    </row>
    <row r="42" spans="1:6" ht="47.25" customHeight="1" x14ac:dyDescent="0.25">
      <c r="A42" s="7">
        <v>3</v>
      </c>
      <c r="B42" s="7">
        <v>3</v>
      </c>
      <c r="D42" t="s">
        <v>9</v>
      </c>
      <c r="E42">
        <f>(((E5^2)/E6)^2)/(E6-1)</f>
        <v>1.4562099163543765E-6</v>
      </c>
    </row>
    <row r="43" spans="1:6" ht="43.5" customHeight="1" x14ac:dyDescent="0.25">
      <c r="A43" s="7">
        <v>3</v>
      </c>
      <c r="B43" s="7">
        <v>3</v>
      </c>
      <c r="D43" t="s">
        <v>10</v>
      </c>
      <c r="E43">
        <f>(((E11^2)/E12)^2)/(E12-1)</f>
        <v>1.8057629916527302E-6</v>
      </c>
    </row>
    <row r="44" spans="1:6" x14ac:dyDescent="0.25">
      <c r="A44" s="7">
        <v>4</v>
      </c>
      <c r="B44" s="7">
        <v>3</v>
      </c>
    </row>
    <row r="45" spans="1:6" x14ac:dyDescent="0.25">
      <c r="A45" s="7">
        <v>5</v>
      </c>
      <c r="B45" s="7">
        <v>4</v>
      </c>
      <c r="D45" t="s">
        <v>7</v>
      </c>
      <c r="E45">
        <f>E41/(E42+E43)</f>
        <v>183.47024438276384</v>
      </c>
      <c r="F45" s="6" t="s">
        <v>12</v>
      </c>
    </row>
    <row r="46" spans="1:6" x14ac:dyDescent="0.25">
      <c r="A46" s="7">
        <v>2</v>
      </c>
      <c r="B46" s="7">
        <v>5</v>
      </c>
    </row>
    <row r="47" spans="1:6" x14ac:dyDescent="0.25">
      <c r="A47" s="7">
        <v>1</v>
      </c>
      <c r="B47" s="7">
        <v>3</v>
      </c>
      <c r="D47" t="s">
        <v>13</v>
      </c>
      <c r="E47">
        <v>0.05</v>
      </c>
      <c r="F47" s="6" t="s">
        <v>12</v>
      </c>
    </row>
    <row r="48" spans="1:6" x14ac:dyDescent="0.25">
      <c r="A48" s="7">
        <v>3</v>
      </c>
      <c r="B48" s="7">
        <v>4</v>
      </c>
    </row>
    <row r="49" spans="1:5" x14ac:dyDescent="0.25">
      <c r="A49" s="7">
        <v>4</v>
      </c>
      <c r="B49" s="7">
        <v>4</v>
      </c>
    </row>
    <row r="50" spans="1:5" x14ac:dyDescent="0.25">
      <c r="A50" s="7">
        <v>4</v>
      </c>
      <c r="B50" s="7">
        <v>1</v>
      </c>
    </row>
    <row r="51" spans="1:5" x14ac:dyDescent="0.25">
      <c r="A51" s="7">
        <v>5</v>
      </c>
      <c r="B51" s="7">
        <v>4</v>
      </c>
      <c r="D51" s="2"/>
      <c r="E51" s="2"/>
    </row>
    <row r="52" spans="1:5" x14ac:dyDescent="0.25">
      <c r="A52" s="7">
        <v>2</v>
      </c>
      <c r="B52" s="7">
        <v>2</v>
      </c>
      <c r="D52" t="s">
        <v>16</v>
      </c>
      <c r="E52">
        <f>_xlfn.T.INV.2T(E47,E45)</f>
        <v>1.9730119151362655</v>
      </c>
    </row>
    <row r="53" spans="1:5" x14ac:dyDescent="0.25">
      <c r="A53" s="7">
        <v>5</v>
      </c>
      <c r="B53" s="7">
        <v>4</v>
      </c>
      <c r="D53" t="s">
        <v>17</v>
      </c>
      <c r="E53">
        <f>_xlfn.T.INV(E47, E45)</f>
        <v>-1.6532228031457243</v>
      </c>
    </row>
    <row r="54" spans="1:5" x14ac:dyDescent="0.25">
      <c r="A54" s="7">
        <v>3</v>
      </c>
      <c r="B54" s="7">
        <v>3</v>
      </c>
    </row>
    <row r="55" spans="1:5" x14ac:dyDescent="0.25">
      <c r="A55" s="7">
        <v>4</v>
      </c>
      <c r="B55" s="7">
        <v>1</v>
      </c>
      <c r="D55" t="s">
        <v>18</v>
      </c>
      <c r="E55">
        <f>TTEST(A:A,B:B,2,2)</f>
        <v>0.73143698401427693</v>
      </c>
    </row>
    <row r="56" spans="1:5" x14ac:dyDescent="0.25">
      <c r="A56" s="7">
        <v>3</v>
      </c>
      <c r="B56" s="7">
        <v>5</v>
      </c>
      <c r="D56" t="s">
        <v>19</v>
      </c>
      <c r="E56">
        <f>TTEST(A:A,B:B,1,2)</f>
        <v>0.36571849200713846</v>
      </c>
    </row>
    <row r="57" spans="1:5" x14ac:dyDescent="0.25">
      <c r="A57" s="7">
        <v>3</v>
      </c>
      <c r="B57" s="7">
        <v>5</v>
      </c>
    </row>
    <row r="58" spans="1:5" x14ac:dyDescent="0.25">
      <c r="A58" s="7">
        <v>2</v>
      </c>
      <c r="B58" s="7">
        <v>4</v>
      </c>
    </row>
    <row r="59" spans="1:5" x14ac:dyDescent="0.25">
      <c r="A59" s="7">
        <v>4</v>
      </c>
      <c r="B59" s="7">
        <v>5</v>
      </c>
      <c r="D59" s="2" t="s">
        <v>20</v>
      </c>
      <c r="E59" s="2"/>
    </row>
    <row r="60" spans="1:5" x14ac:dyDescent="0.25">
      <c r="A60" s="7">
        <v>5</v>
      </c>
      <c r="B60" s="7">
        <v>3</v>
      </c>
    </row>
    <row r="61" spans="1:5" x14ac:dyDescent="0.25">
      <c r="A61" s="7">
        <v>5</v>
      </c>
      <c r="B61" s="7">
        <v>2</v>
      </c>
      <c r="D61" t="s">
        <v>21</v>
      </c>
    </row>
    <row r="62" spans="1:5" x14ac:dyDescent="0.25">
      <c r="A62" s="7">
        <v>2</v>
      </c>
      <c r="B62" s="7">
        <v>4</v>
      </c>
      <c r="D62" t="s">
        <v>22</v>
      </c>
    </row>
    <row r="63" spans="1:5" x14ac:dyDescent="0.25">
      <c r="A63" s="7">
        <v>2</v>
      </c>
      <c r="B63" s="7">
        <v>4</v>
      </c>
    </row>
    <row r="64" spans="1:5" x14ac:dyDescent="0.25">
      <c r="A64" s="7">
        <v>3</v>
      </c>
      <c r="B64" s="7">
        <v>4</v>
      </c>
    </row>
    <row r="65" spans="1:4" x14ac:dyDescent="0.25">
      <c r="A65" s="7">
        <v>3</v>
      </c>
      <c r="B65" s="7">
        <v>3</v>
      </c>
    </row>
    <row r="66" spans="1:4" x14ac:dyDescent="0.25">
      <c r="A66" s="7">
        <v>3</v>
      </c>
      <c r="B66" s="7">
        <v>5</v>
      </c>
      <c r="D66" t="s">
        <v>23</v>
      </c>
    </row>
    <row r="67" spans="1:4" x14ac:dyDescent="0.25">
      <c r="A67" s="7">
        <v>4</v>
      </c>
      <c r="B67" s="7">
        <v>3</v>
      </c>
      <c r="D67" t="str">
        <f>"Dos Colas: Si t calculado ("&amp;E29&amp;") &gt; a t critico  ("&amp;E52&amp;") (de tabla) ---&gt; Se rechaza la hipotesis nula"</f>
        <v>Dos Colas: Si t calculado (0.343736427115916) &gt; a t critico  (1.97301191513627) (de tabla) ---&gt; Se rechaza la hipotesis nula</v>
      </c>
    </row>
    <row r="68" spans="1:4" x14ac:dyDescent="0.25">
      <c r="A68" s="7">
        <v>2</v>
      </c>
      <c r="B68" s="7">
        <v>3</v>
      </c>
      <c r="D68" t="str">
        <f>"Una Cola: Si t calculado ("&amp;E29&amp;") &gt; a t critico  ("&amp;E53&amp;") (de tabla) ---&gt; Se rechaza la hipotesis nula"</f>
        <v>Una Cola: Si t calculado (0.343736427115916) &gt; a t critico  (-1.65322280314572) (de tabla) ---&gt; Se rechaza la hipotesis nula</v>
      </c>
    </row>
    <row r="69" spans="1:4" x14ac:dyDescent="0.25">
      <c r="A69" s="7">
        <v>4</v>
      </c>
      <c r="B69" s="7">
        <v>3</v>
      </c>
    </row>
    <row r="70" spans="1:4" x14ac:dyDescent="0.25">
      <c r="A70" s="7">
        <v>4</v>
      </c>
      <c r="B70" s="7">
        <v>4</v>
      </c>
    </row>
    <row r="71" spans="1:4" x14ac:dyDescent="0.25">
      <c r="A71" s="7">
        <v>3</v>
      </c>
      <c r="B71" s="7">
        <v>3</v>
      </c>
    </row>
    <row r="72" spans="1:4" x14ac:dyDescent="0.25">
      <c r="A72" s="7">
        <v>5</v>
      </c>
      <c r="B72" s="7">
        <v>5</v>
      </c>
      <c r="D72" t="s">
        <v>48</v>
      </c>
    </row>
    <row r="73" spans="1:4" x14ac:dyDescent="0.25">
      <c r="A73" s="7">
        <v>4</v>
      </c>
      <c r="B73" s="7">
        <v>4</v>
      </c>
      <c r="D73" t="str">
        <f>"Dos Colas: Si p valor ("&amp;E55&amp;") &lt; Nivel Significancia (0.05) ---&gt; Se rechaza la hipotesis nula"</f>
        <v>Dos Colas: Si p valor (0.731436984014277) &lt; Nivel Significancia (0.05) ---&gt; Se rechaza la hipotesis nula</v>
      </c>
    </row>
    <row r="74" spans="1:4" x14ac:dyDescent="0.25">
      <c r="A74" s="7">
        <v>3</v>
      </c>
      <c r="B74" s="7">
        <v>2</v>
      </c>
      <c r="D74" t="str">
        <f>"Una Cola: Si p valor ("&amp;E56&amp;") &lt; Nivel Significancia (0.05) ---&gt; Se rechaza la hipotesis nula"</f>
        <v>Una Cola: Si p valor (0.365718492007138) &lt; Nivel Significancia (0.05) ---&gt; Se rechaza la hipotesis nula</v>
      </c>
    </row>
    <row r="75" spans="1:4" x14ac:dyDescent="0.25">
      <c r="A75" s="7">
        <v>5</v>
      </c>
      <c r="B75" s="7">
        <v>3</v>
      </c>
    </row>
    <row r="76" spans="1:4" x14ac:dyDescent="0.25">
      <c r="A76" s="7">
        <v>3</v>
      </c>
      <c r="B76" s="7">
        <v>5</v>
      </c>
    </row>
    <row r="77" spans="1:4" x14ac:dyDescent="0.25">
      <c r="A77" s="7">
        <v>4</v>
      </c>
      <c r="B77" s="7">
        <v>4</v>
      </c>
    </row>
    <row r="78" spans="1:4" x14ac:dyDescent="0.25">
      <c r="A78" s="7">
        <v>4</v>
      </c>
      <c r="B78" s="7">
        <v>4</v>
      </c>
    </row>
    <row r="79" spans="1:4" x14ac:dyDescent="0.25">
      <c r="A79" s="7">
        <v>4</v>
      </c>
      <c r="B79" s="7">
        <v>4</v>
      </c>
    </row>
    <row r="80" spans="1:4" x14ac:dyDescent="0.25">
      <c r="A80" s="7">
        <v>4</v>
      </c>
      <c r="B80" s="7">
        <v>4</v>
      </c>
    </row>
    <row r="81" spans="1:2" x14ac:dyDescent="0.25">
      <c r="A81" s="7">
        <v>3</v>
      </c>
      <c r="B81" s="7">
        <v>5</v>
      </c>
    </row>
    <row r="82" spans="1:2" x14ac:dyDescent="0.25">
      <c r="A82" s="7">
        <v>4</v>
      </c>
      <c r="B82" s="7">
        <v>3</v>
      </c>
    </row>
    <row r="83" spans="1:2" x14ac:dyDescent="0.25">
      <c r="A83" s="7">
        <v>3</v>
      </c>
      <c r="B83" s="7">
        <v>3</v>
      </c>
    </row>
    <row r="84" spans="1:2" x14ac:dyDescent="0.25">
      <c r="A84" s="7">
        <v>3</v>
      </c>
      <c r="B84" s="7">
        <v>3</v>
      </c>
    </row>
    <row r="85" spans="1:2" x14ac:dyDescent="0.25">
      <c r="A85" s="7">
        <v>3</v>
      </c>
      <c r="B85" s="7">
        <v>3</v>
      </c>
    </row>
    <row r="86" spans="1:2" x14ac:dyDescent="0.25">
      <c r="A86" s="7">
        <v>1</v>
      </c>
      <c r="B86" s="7">
        <v>5</v>
      </c>
    </row>
    <row r="87" spans="1:2" x14ac:dyDescent="0.25">
      <c r="A87" s="7">
        <v>3</v>
      </c>
      <c r="B87" s="7">
        <v>1</v>
      </c>
    </row>
    <row r="88" spans="1:2" x14ac:dyDescent="0.25">
      <c r="A88" s="7">
        <v>4</v>
      </c>
      <c r="B88" s="7">
        <v>2</v>
      </c>
    </row>
    <row r="89" spans="1:2" x14ac:dyDescent="0.25">
      <c r="A89" s="7">
        <v>5</v>
      </c>
      <c r="B89" s="7">
        <v>2</v>
      </c>
    </row>
    <row r="90" spans="1:2" x14ac:dyDescent="0.25">
      <c r="A90" s="7">
        <v>4</v>
      </c>
      <c r="B90" s="7">
        <v>2</v>
      </c>
    </row>
    <row r="91" spans="1:2" x14ac:dyDescent="0.25">
      <c r="A91" s="7">
        <v>3</v>
      </c>
      <c r="B91" s="7">
        <v>2</v>
      </c>
    </row>
    <row r="92" spans="1:2" x14ac:dyDescent="0.25">
      <c r="A92" s="7">
        <v>5</v>
      </c>
      <c r="B92" s="7">
        <v>3</v>
      </c>
    </row>
    <row r="93" spans="1:2" x14ac:dyDescent="0.25">
      <c r="A93" s="7">
        <v>3</v>
      </c>
      <c r="B93" s="7">
        <v>4</v>
      </c>
    </row>
    <row r="94" spans="1:2" x14ac:dyDescent="0.25">
      <c r="A94" s="7">
        <v>3</v>
      </c>
      <c r="B94" s="7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N27" sqref="N27"/>
    </sheetView>
  </sheetViews>
  <sheetFormatPr baseColWidth="10" defaultColWidth="9.140625" defaultRowHeight="15" x14ac:dyDescent="0.25"/>
  <cols>
    <col min="1" max="1" width="30.42578125" customWidth="1"/>
    <col min="2" max="2" width="32.5703125" customWidth="1"/>
    <col min="4" max="4" width="37.5703125" customWidth="1"/>
    <col min="5" max="5" width="21.5703125" customWidth="1"/>
    <col min="6" max="6" width="17.85546875" customWidth="1"/>
    <col min="7" max="7" width="20" customWidth="1"/>
  </cols>
  <sheetData>
    <row r="1" spans="1:5" ht="138" customHeight="1" x14ac:dyDescent="0.25">
      <c r="A1" s="11" t="s">
        <v>43</v>
      </c>
      <c r="B1" s="10" t="s">
        <v>44</v>
      </c>
    </row>
    <row r="2" spans="1:5" x14ac:dyDescent="0.25">
      <c r="A2" s="7">
        <v>3</v>
      </c>
      <c r="B2" s="7">
        <v>2</v>
      </c>
      <c r="D2" s="1" t="s">
        <v>46</v>
      </c>
      <c r="E2">
        <f>AVERAGE(A:A)</f>
        <v>3.161290322580645</v>
      </c>
    </row>
    <row r="3" spans="1:5" x14ac:dyDescent="0.25">
      <c r="A3" s="7">
        <v>3</v>
      </c>
      <c r="B3" s="7">
        <v>3</v>
      </c>
      <c r="D3" s="1" t="s">
        <v>0</v>
      </c>
      <c r="E3">
        <f>MEDIAN(A:A)</f>
        <v>3</v>
      </c>
    </row>
    <row r="4" spans="1:5" x14ac:dyDescent="0.25">
      <c r="A4" s="7">
        <v>4</v>
      </c>
      <c r="B4" s="7">
        <v>3</v>
      </c>
      <c r="D4" s="1" t="s">
        <v>1</v>
      </c>
      <c r="E4">
        <f>MODE(A:A)</f>
        <v>4</v>
      </c>
    </row>
    <row r="5" spans="1:5" x14ac:dyDescent="0.25">
      <c r="A5" s="7">
        <v>4</v>
      </c>
      <c r="B5" s="7">
        <v>4</v>
      </c>
      <c r="D5" s="1" t="s">
        <v>15</v>
      </c>
      <c r="E5">
        <f>STDEV(A:A)</f>
        <v>1.2536062985455825</v>
      </c>
    </row>
    <row r="6" spans="1:5" x14ac:dyDescent="0.25">
      <c r="A6" s="7">
        <v>2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2</v>
      </c>
      <c r="B7" s="7">
        <v>2</v>
      </c>
    </row>
    <row r="8" spans="1:5" x14ac:dyDescent="0.25">
      <c r="A8" s="7">
        <v>3</v>
      </c>
      <c r="B8" s="7">
        <v>3</v>
      </c>
      <c r="D8" s="3" t="s">
        <v>47</v>
      </c>
      <c r="E8">
        <f>AVERAGE(B:B)</f>
        <v>3.5591397849462365</v>
      </c>
    </row>
    <row r="9" spans="1:5" x14ac:dyDescent="0.25">
      <c r="A9" s="7">
        <v>4</v>
      </c>
      <c r="B9" s="7">
        <v>3</v>
      </c>
      <c r="D9" s="3" t="s">
        <v>2</v>
      </c>
      <c r="E9">
        <f>MEDIAN(B:B)</f>
        <v>4</v>
      </c>
    </row>
    <row r="10" spans="1:5" x14ac:dyDescent="0.25">
      <c r="A10" s="7">
        <v>3</v>
      </c>
      <c r="B10" s="7">
        <v>4</v>
      </c>
      <c r="D10" s="3" t="s">
        <v>3</v>
      </c>
      <c r="E10">
        <f>MODE(B:B)</f>
        <v>3</v>
      </c>
    </row>
    <row r="11" spans="1:5" x14ac:dyDescent="0.25">
      <c r="A11" s="7">
        <v>4</v>
      </c>
      <c r="B11" s="7">
        <v>3</v>
      </c>
      <c r="D11" s="3" t="s">
        <v>14</v>
      </c>
      <c r="E11">
        <f>STDEV(B:B)</f>
        <v>1.0780655541030111</v>
      </c>
    </row>
    <row r="12" spans="1:5" x14ac:dyDescent="0.25">
      <c r="A12" s="7">
        <v>5</v>
      </c>
      <c r="B12" s="7">
        <v>4</v>
      </c>
      <c r="D12" s="5" t="s">
        <v>5</v>
      </c>
      <c r="E12">
        <f>COUNT(B:B)</f>
        <v>93</v>
      </c>
    </row>
    <row r="13" spans="1:5" x14ac:dyDescent="0.25">
      <c r="A13" s="7">
        <v>1</v>
      </c>
      <c r="B13" s="7">
        <v>3</v>
      </c>
    </row>
    <row r="14" spans="1:5" x14ac:dyDescent="0.25">
      <c r="A14" s="7">
        <v>5</v>
      </c>
      <c r="B14" s="7">
        <v>4</v>
      </c>
    </row>
    <row r="15" spans="1:5" x14ac:dyDescent="0.25">
      <c r="A15" s="7">
        <v>1</v>
      </c>
      <c r="B15" s="7">
        <v>4</v>
      </c>
    </row>
    <row r="16" spans="1:5" x14ac:dyDescent="0.25">
      <c r="A16" s="7">
        <v>4</v>
      </c>
      <c r="B16" s="7">
        <v>3</v>
      </c>
    </row>
    <row r="17" spans="1:5" x14ac:dyDescent="0.25">
      <c r="A17" s="7">
        <v>4</v>
      </c>
      <c r="B17" s="7">
        <v>2</v>
      </c>
      <c r="D17" s="2" t="s">
        <v>6</v>
      </c>
      <c r="E17" s="2"/>
    </row>
    <row r="18" spans="1:5" x14ac:dyDescent="0.25">
      <c r="A18" s="7">
        <v>3</v>
      </c>
      <c r="B18" s="7">
        <v>5</v>
      </c>
    </row>
    <row r="19" spans="1:5" x14ac:dyDescent="0.25">
      <c r="A19" s="7">
        <v>2</v>
      </c>
      <c r="B19" s="7">
        <v>2</v>
      </c>
    </row>
    <row r="20" spans="1:5" x14ac:dyDescent="0.25">
      <c r="A20" s="7">
        <v>3</v>
      </c>
      <c r="B20" s="7">
        <v>4</v>
      </c>
    </row>
    <row r="21" spans="1:5" x14ac:dyDescent="0.25">
      <c r="A21" s="7">
        <v>2</v>
      </c>
      <c r="B21" s="7">
        <v>4</v>
      </c>
    </row>
    <row r="22" spans="1:5" x14ac:dyDescent="0.25">
      <c r="A22" s="7">
        <v>3</v>
      </c>
      <c r="B22" s="7">
        <v>5</v>
      </c>
    </row>
    <row r="23" spans="1:5" x14ac:dyDescent="0.25">
      <c r="A23" s="7">
        <v>3</v>
      </c>
      <c r="B23" s="7">
        <v>4</v>
      </c>
    </row>
    <row r="24" spans="1:5" x14ac:dyDescent="0.25">
      <c r="A24" s="7">
        <v>2</v>
      </c>
      <c r="B24" s="7">
        <v>3</v>
      </c>
    </row>
    <row r="25" spans="1:5" x14ac:dyDescent="0.25">
      <c r="A25" s="7">
        <v>4</v>
      </c>
      <c r="B25" s="7">
        <v>5</v>
      </c>
    </row>
    <row r="26" spans="1:5" x14ac:dyDescent="0.25">
      <c r="A26" s="7">
        <v>3</v>
      </c>
      <c r="B26" s="7">
        <v>3</v>
      </c>
    </row>
    <row r="27" spans="1:5" x14ac:dyDescent="0.25">
      <c r="A27" s="7">
        <v>4</v>
      </c>
      <c r="B27" s="7">
        <v>2</v>
      </c>
    </row>
    <row r="28" spans="1:5" x14ac:dyDescent="0.25">
      <c r="A28" s="7">
        <v>1</v>
      </c>
      <c r="B28" s="7">
        <v>5</v>
      </c>
    </row>
    <row r="29" spans="1:5" x14ac:dyDescent="0.25">
      <c r="A29" s="7">
        <v>1</v>
      </c>
      <c r="B29" s="7">
        <v>3</v>
      </c>
      <c r="D29" t="s">
        <v>11</v>
      </c>
      <c r="E29">
        <f>(E2-E8)/SQRT(((E5^2)/E6)+((E11^2)/E12))</f>
        <v>-2.3204944115014197</v>
      </c>
    </row>
    <row r="30" spans="1:5" x14ac:dyDescent="0.25">
      <c r="A30" s="7">
        <v>5</v>
      </c>
      <c r="B30" s="7">
        <v>4</v>
      </c>
    </row>
    <row r="31" spans="1:5" x14ac:dyDescent="0.25">
      <c r="A31" s="7">
        <v>3</v>
      </c>
      <c r="B31" s="7">
        <v>3</v>
      </c>
      <c r="D31" s="2" t="s">
        <v>7</v>
      </c>
      <c r="E31" s="2"/>
    </row>
    <row r="32" spans="1:5" x14ac:dyDescent="0.25">
      <c r="A32" s="7">
        <v>1</v>
      </c>
      <c r="B32" s="7">
        <v>4</v>
      </c>
    </row>
    <row r="33" spans="1:6" x14ac:dyDescent="0.25">
      <c r="A33" s="7">
        <v>4</v>
      </c>
      <c r="B33" s="7">
        <v>5</v>
      </c>
    </row>
    <row r="34" spans="1:6" x14ac:dyDescent="0.25">
      <c r="A34" s="7">
        <v>3</v>
      </c>
      <c r="B34" s="7">
        <v>5</v>
      </c>
    </row>
    <row r="35" spans="1:6" x14ac:dyDescent="0.25">
      <c r="A35" s="7">
        <v>1</v>
      </c>
      <c r="B35" s="7">
        <v>5</v>
      </c>
    </row>
    <row r="36" spans="1:6" x14ac:dyDescent="0.25">
      <c r="A36" s="7">
        <v>5</v>
      </c>
      <c r="B36" s="7">
        <v>5</v>
      </c>
    </row>
    <row r="37" spans="1:6" x14ac:dyDescent="0.25">
      <c r="A37" s="7">
        <v>3</v>
      </c>
      <c r="B37" s="7">
        <v>3</v>
      </c>
    </row>
    <row r="38" spans="1:6" x14ac:dyDescent="0.25">
      <c r="A38" s="7">
        <v>4</v>
      </c>
      <c r="B38" s="7">
        <v>2</v>
      </c>
    </row>
    <row r="39" spans="1:6" x14ac:dyDescent="0.25">
      <c r="A39" s="7">
        <v>1</v>
      </c>
      <c r="B39" s="7">
        <v>2</v>
      </c>
    </row>
    <row r="40" spans="1:6" x14ac:dyDescent="0.25">
      <c r="A40" s="7">
        <v>1</v>
      </c>
      <c r="B40" s="7">
        <v>3</v>
      </c>
    </row>
    <row r="41" spans="1:6" ht="29.25" customHeight="1" x14ac:dyDescent="0.25">
      <c r="A41" s="7">
        <v>1</v>
      </c>
      <c r="B41" s="7">
        <v>5</v>
      </c>
      <c r="D41" t="s">
        <v>8</v>
      </c>
      <c r="E41">
        <f>(((E5^2)/E6)+((E11^2)/E12))^2</f>
        <v>8.6407809323625043E-4</v>
      </c>
    </row>
    <row r="42" spans="1:6" ht="47.25" customHeight="1" x14ac:dyDescent="0.25">
      <c r="A42" s="7">
        <v>4</v>
      </c>
      <c r="B42" s="7">
        <v>4</v>
      </c>
      <c r="D42" t="s">
        <v>9</v>
      </c>
      <c r="E42">
        <f>(((E5^2)/E6)^2)/(E6-1)</f>
        <v>3.1037800519623188E-6</v>
      </c>
    </row>
    <row r="43" spans="1:6" ht="43.5" customHeight="1" x14ac:dyDescent="0.25">
      <c r="A43" s="7">
        <v>2</v>
      </c>
      <c r="B43" s="7">
        <v>4</v>
      </c>
      <c r="D43" t="s">
        <v>10</v>
      </c>
      <c r="E43">
        <f>(((E11^2)/E12)^2)/(E12-1)</f>
        <v>1.697567120705304E-6</v>
      </c>
    </row>
    <row r="44" spans="1:6" x14ac:dyDescent="0.25">
      <c r="A44" s="7">
        <v>2</v>
      </c>
      <c r="B44" s="7">
        <v>4</v>
      </c>
    </row>
    <row r="45" spans="1:6" x14ac:dyDescent="0.25">
      <c r="A45" s="7">
        <v>4</v>
      </c>
      <c r="B45" s="7">
        <v>3</v>
      </c>
      <c r="D45" t="s">
        <v>7</v>
      </c>
      <c r="E45">
        <f>E41/(E42+E43)</f>
        <v>179.96576005899814</v>
      </c>
      <c r="F45" s="6" t="s">
        <v>12</v>
      </c>
    </row>
    <row r="46" spans="1:6" x14ac:dyDescent="0.25">
      <c r="A46" s="7">
        <v>2</v>
      </c>
      <c r="B46" s="7">
        <v>3</v>
      </c>
    </row>
    <row r="47" spans="1:6" x14ac:dyDescent="0.25">
      <c r="A47" s="7">
        <v>5</v>
      </c>
      <c r="B47" s="7">
        <v>4</v>
      </c>
      <c r="D47" t="s">
        <v>13</v>
      </c>
      <c r="E47">
        <v>0.05</v>
      </c>
      <c r="F47" s="6" t="s">
        <v>12</v>
      </c>
    </row>
    <row r="48" spans="1:6" x14ac:dyDescent="0.25">
      <c r="A48" s="7">
        <v>3</v>
      </c>
      <c r="B48" s="7">
        <v>4</v>
      </c>
    </row>
    <row r="49" spans="1:5" x14ac:dyDescent="0.25">
      <c r="A49" s="7">
        <v>4</v>
      </c>
      <c r="B49" s="7">
        <v>2</v>
      </c>
    </row>
    <row r="50" spans="1:5" x14ac:dyDescent="0.25">
      <c r="A50" s="7">
        <v>5</v>
      </c>
      <c r="B50" s="7">
        <v>3</v>
      </c>
    </row>
    <row r="51" spans="1:5" x14ac:dyDescent="0.25">
      <c r="A51" s="7">
        <v>5</v>
      </c>
      <c r="B51" s="7">
        <v>4</v>
      </c>
      <c r="D51" s="2"/>
      <c r="E51" s="2"/>
    </row>
    <row r="52" spans="1:5" x14ac:dyDescent="0.25">
      <c r="A52" s="7">
        <v>3</v>
      </c>
      <c r="B52" s="7">
        <v>2</v>
      </c>
      <c r="D52" t="s">
        <v>16</v>
      </c>
      <c r="E52">
        <f>_xlfn.T.INV.2T(E47,E45)</f>
        <v>1.9733054338414706</v>
      </c>
    </row>
    <row r="53" spans="1:5" x14ac:dyDescent="0.25">
      <c r="A53" s="7">
        <v>4</v>
      </c>
      <c r="B53" s="7">
        <v>1</v>
      </c>
      <c r="D53" t="s">
        <v>17</v>
      </c>
      <c r="E53">
        <f>_xlfn.T.INV(E47, E45)</f>
        <v>-1.6534108001234091</v>
      </c>
    </row>
    <row r="54" spans="1:5" x14ac:dyDescent="0.25">
      <c r="A54" s="7">
        <v>3</v>
      </c>
      <c r="B54" s="7">
        <v>4</v>
      </c>
    </row>
    <row r="55" spans="1:5" x14ac:dyDescent="0.25">
      <c r="A55" s="7">
        <v>5</v>
      </c>
      <c r="B55" s="7">
        <v>4</v>
      </c>
      <c r="D55" t="s">
        <v>18</v>
      </c>
      <c r="E55">
        <f>TTEST(A:A,B:B,2,2)</f>
        <v>2.1410813350055072E-2</v>
      </c>
    </row>
    <row r="56" spans="1:5" x14ac:dyDescent="0.25">
      <c r="A56" s="7">
        <v>4</v>
      </c>
      <c r="B56" s="7">
        <v>3</v>
      </c>
      <c r="D56" t="s">
        <v>19</v>
      </c>
      <c r="E56">
        <f>TTEST(A:A,B:B,1,2)</f>
        <v>1.0705406675027536E-2</v>
      </c>
    </row>
    <row r="57" spans="1:5" x14ac:dyDescent="0.25">
      <c r="A57" s="7">
        <v>3</v>
      </c>
      <c r="B57" s="7">
        <v>1</v>
      </c>
    </row>
    <row r="58" spans="1:5" x14ac:dyDescent="0.25">
      <c r="A58" s="7">
        <v>2</v>
      </c>
      <c r="B58" s="7">
        <v>2</v>
      </c>
    </row>
    <row r="59" spans="1:5" x14ac:dyDescent="0.25">
      <c r="A59" s="7">
        <v>4</v>
      </c>
      <c r="B59" s="7">
        <v>5</v>
      </c>
      <c r="D59" s="2" t="s">
        <v>20</v>
      </c>
      <c r="E59" s="2"/>
    </row>
    <row r="60" spans="1:5" x14ac:dyDescent="0.25">
      <c r="A60" s="7">
        <v>3</v>
      </c>
      <c r="B60" s="7">
        <v>4</v>
      </c>
    </row>
    <row r="61" spans="1:5" x14ac:dyDescent="0.25">
      <c r="A61" s="7">
        <v>2</v>
      </c>
      <c r="B61" s="7">
        <v>3</v>
      </c>
      <c r="D61" t="s">
        <v>21</v>
      </c>
    </row>
    <row r="62" spans="1:5" x14ac:dyDescent="0.25">
      <c r="A62" s="7">
        <v>3</v>
      </c>
      <c r="B62" s="7">
        <v>3</v>
      </c>
      <c r="D62" t="s">
        <v>22</v>
      </c>
    </row>
    <row r="63" spans="1:5" x14ac:dyDescent="0.25">
      <c r="A63" s="7">
        <v>4</v>
      </c>
      <c r="B63" s="7">
        <v>5</v>
      </c>
    </row>
    <row r="64" spans="1:5" x14ac:dyDescent="0.25">
      <c r="A64" s="7">
        <v>5</v>
      </c>
      <c r="B64" s="7">
        <v>2</v>
      </c>
    </row>
    <row r="65" spans="1:4" x14ac:dyDescent="0.25">
      <c r="A65" s="7">
        <v>2</v>
      </c>
      <c r="B65" s="7">
        <v>3</v>
      </c>
    </row>
    <row r="66" spans="1:4" x14ac:dyDescent="0.25">
      <c r="A66" s="7">
        <v>5</v>
      </c>
      <c r="B66" s="7">
        <v>2</v>
      </c>
      <c r="D66" t="s">
        <v>23</v>
      </c>
    </row>
    <row r="67" spans="1:4" x14ac:dyDescent="0.25">
      <c r="A67" s="7">
        <v>2</v>
      </c>
      <c r="B67" s="7">
        <v>2</v>
      </c>
      <c r="D67" t="str">
        <f>"Dos Colas: Si t calculado ("&amp;E29&amp;") &gt; a t critico  ("&amp;E52&amp;") (de tabla) ---&gt; Se rechaza la hipotesis nula"</f>
        <v>Dos Colas: Si t calculado (-2.32049441150142) &gt; a t critico  (1.97330543384147) (de tabla) ---&gt; Se rechaza la hipotesis nula</v>
      </c>
    </row>
    <row r="68" spans="1:4" x14ac:dyDescent="0.25">
      <c r="A68" s="7">
        <v>3</v>
      </c>
      <c r="B68" s="7">
        <v>3</v>
      </c>
      <c r="D68" t="str">
        <f>"Una Cola: Si t calculado ("&amp;E29&amp;") &gt; a t critico  ("&amp;E53&amp;") (de tabla) ---&gt; Se rechaza la hipotesis nula"</f>
        <v>Una Cola: Si t calculado (-2.32049441150142) &gt; a t critico  (-1.65341080012341) (de tabla) ---&gt; Se rechaza la hipotesis nula</v>
      </c>
    </row>
    <row r="69" spans="1:4" x14ac:dyDescent="0.25">
      <c r="A69" s="7">
        <v>1</v>
      </c>
      <c r="B69" s="7">
        <v>4</v>
      </c>
    </row>
    <row r="70" spans="1:4" x14ac:dyDescent="0.25">
      <c r="A70" s="7">
        <v>2</v>
      </c>
      <c r="B70" s="7">
        <v>3</v>
      </c>
    </row>
    <row r="71" spans="1:4" x14ac:dyDescent="0.25">
      <c r="A71" s="7">
        <v>1</v>
      </c>
      <c r="B71" s="7">
        <v>5</v>
      </c>
    </row>
    <row r="72" spans="1:4" x14ac:dyDescent="0.25">
      <c r="A72" s="7">
        <v>4</v>
      </c>
      <c r="B72" s="7">
        <v>3</v>
      </c>
      <c r="D72" t="s">
        <v>48</v>
      </c>
    </row>
    <row r="73" spans="1:4" x14ac:dyDescent="0.25">
      <c r="A73" s="7">
        <v>3</v>
      </c>
      <c r="B73" s="7">
        <v>5</v>
      </c>
      <c r="D73" t="str">
        <f>"Dos Colas: Si p valor ("&amp;E55&amp;") &lt; Nivel Significancia (0.05) ---&gt; Se rechaza la hipotesis nula"</f>
        <v>Dos Colas: Si p valor (0.0214108133500551) &lt; Nivel Significancia (0.05) ---&gt; Se rechaza la hipotesis nula</v>
      </c>
    </row>
    <row r="74" spans="1:4" x14ac:dyDescent="0.25">
      <c r="A74" s="7">
        <v>4</v>
      </c>
      <c r="B74" s="7">
        <v>3</v>
      </c>
      <c r="D74" t="str">
        <f>"Una Cola: Si p valor ("&amp;E56&amp;") &lt; Nivel Significancia (0.05) ---&gt; Se rechaza la hipotesis nula"</f>
        <v>Una Cola: Si p valor (0.0107054066750275) &lt; Nivel Significancia (0.05) ---&gt; Se rechaza la hipotesis nula</v>
      </c>
    </row>
    <row r="75" spans="1:4" x14ac:dyDescent="0.25">
      <c r="A75" s="7">
        <v>4</v>
      </c>
      <c r="B75" s="7">
        <v>4</v>
      </c>
    </row>
    <row r="76" spans="1:4" x14ac:dyDescent="0.25">
      <c r="A76" s="7">
        <v>3</v>
      </c>
      <c r="B76" s="7">
        <v>5</v>
      </c>
    </row>
    <row r="77" spans="1:4" x14ac:dyDescent="0.25">
      <c r="A77" s="7">
        <v>2</v>
      </c>
      <c r="B77" s="7">
        <v>5</v>
      </c>
    </row>
    <row r="78" spans="1:4" x14ac:dyDescent="0.25">
      <c r="A78" s="7">
        <v>1</v>
      </c>
      <c r="B78" s="7">
        <v>5</v>
      </c>
    </row>
    <row r="79" spans="1:4" x14ac:dyDescent="0.25">
      <c r="A79" s="7">
        <v>3</v>
      </c>
      <c r="B79" s="7">
        <v>3</v>
      </c>
    </row>
    <row r="80" spans="1:4" x14ac:dyDescent="0.25">
      <c r="A80" s="7">
        <v>4</v>
      </c>
      <c r="B80" s="7">
        <v>3</v>
      </c>
    </row>
    <row r="81" spans="1:2" x14ac:dyDescent="0.25">
      <c r="A81" s="7">
        <v>4</v>
      </c>
      <c r="B81" s="7">
        <v>3</v>
      </c>
    </row>
    <row r="82" spans="1:2" x14ac:dyDescent="0.25">
      <c r="A82" s="7">
        <v>3</v>
      </c>
      <c r="B82" s="7">
        <v>5</v>
      </c>
    </row>
    <row r="83" spans="1:2" x14ac:dyDescent="0.25">
      <c r="A83" s="7">
        <v>4</v>
      </c>
      <c r="B83" s="7">
        <v>5</v>
      </c>
    </row>
    <row r="84" spans="1:2" x14ac:dyDescent="0.25">
      <c r="A84" s="7">
        <v>5</v>
      </c>
      <c r="B84" s="7">
        <v>5</v>
      </c>
    </row>
    <row r="85" spans="1:2" x14ac:dyDescent="0.25">
      <c r="A85" s="7">
        <v>4</v>
      </c>
      <c r="B85" s="7">
        <v>5</v>
      </c>
    </row>
    <row r="86" spans="1:2" x14ac:dyDescent="0.25">
      <c r="A86" s="7">
        <v>4</v>
      </c>
      <c r="B86" s="7">
        <v>2</v>
      </c>
    </row>
    <row r="87" spans="1:2" x14ac:dyDescent="0.25">
      <c r="A87" s="7">
        <v>4</v>
      </c>
      <c r="B87" s="7">
        <v>4</v>
      </c>
    </row>
    <row r="88" spans="1:2" x14ac:dyDescent="0.25">
      <c r="A88" s="7">
        <v>4</v>
      </c>
      <c r="B88" s="7">
        <v>4</v>
      </c>
    </row>
    <row r="89" spans="1:2" x14ac:dyDescent="0.25">
      <c r="A89" s="7">
        <v>5</v>
      </c>
      <c r="B89" s="7">
        <v>5</v>
      </c>
    </row>
    <row r="90" spans="1:2" x14ac:dyDescent="0.25">
      <c r="A90" s="7">
        <v>5</v>
      </c>
      <c r="B90" s="7">
        <v>4</v>
      </c>
    </row>
    <row r="91" spans="1:2" x14ac:dyDescent="0.25">
      <c r="A91" s="7">
        <v>1</v>
      </c>
      <c r="B91" s="7">
        <v>3</v>
      </c>
    </row>
    <row r="92" spans="1:2" x14ac:dyDescent="0.25">
      <c r="A92" s="7">
        <v>4</v>
      </c>
      <c r="B92" s="7">
        <v>3</v>
      </c>
    </row>
    <row r="93" spans="1:2" x14ac:dyDescent="0.25">
      <c r="A93" s="7">
        <v>4</v>
      </c>
      <c r="B93" s="7">
        <v>4</v>
      </c>
    </row>
    <row r="94" spans="1:2" x14ac:dyDescent="0.25">
      <c r="A94" s="7">
        <v>3</v>
      </c>
      <c r="B94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2026-06-01T18:06:22Z</dcterms:modified>
</cp:coreProperties>
</file>
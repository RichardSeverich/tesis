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chi-cuadrado\"/>
    </mc:Choice>
  </mc:AlternateContent>
  <bookViews>
    <workbookView xWindow="0" yWindow="0" windowWidth="28800" windowHeight="12435" tabRatio="929" activeTab="1"/>
  </bookViews>
  <sheets>
    <sheet name="Objetivo" sheetId="2" r:id="rId1"/>
    <sheet name="Resumen" sheetId="11" r:id="rId2"/>
    <sheet name="Participas-actividades" sheetId="12" r:id="rId3"/>
    <sheet name="Comprensión contenidos" sheetId="13" r:id="rId4"/>
    <sheet name="Herramientas-tecnológicas" sheetId="1" r:id="rId5"/>
    <sheet name="Recursos-tecnológicos" sheetId="3" r:id="rId6"/>
    <sheet name="Percepción-evaluaciones" sheetId="4" r:id="rId7"/>
    <sheet name="Retroalimentación-oportuna" sheetId="5" r:id="rId8"/>
    <sheet name="Calificación" sheetId="6" r:id="rId9"/>
    <sheet name="Nivel-comprensión" sheetId="7" r:id="rId10"/>
    <sheet name="Habilidades-tareas" sheetId="8" r:id="rId11"/>
    <sheet name="Resolución-problemas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A19" i="12" l="1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B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3" i="12"/>
  <c r="A12" i="12"/>
  <c r="G11" i="12"/>
  <c r="F11" i="12"/>
  <c r="E11" i="12"/>
  <c r="D11" i="12"/>
  <c r="C11" i="12"/>
  <c r="B11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F12" i="12"/>
  <c r="D23" i="12" s="1"/>
  <c r="E23" i="12" s="1"/>
  <c r="F23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G5" i="9" s="1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8" l="1"/>
  <c r="C13" i="8" s="1"/>
  <c r="D25" i="8" s="1"/>
  <c r="E25" i="8" s="1"/>
  <c r="F25" i="8" s="1"/>
  <c r="B13" i="13"/>
  <c r="D24" i="13" s="1"/>
  <c r="E24" i="13" s="1"/>
  <c r="F24" i="13" s="1"/>
  <c r="C13" i="13"/>
  <c r="D25" i="13" s="1"/>
  <c r="E25" i="13" s="1"/>
  <c r="F25" i="13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F13" i="9"/>
  <c r="D28" i="9" s="1"/>
  <c r="E28" i="9" s="1"/>
  <c r="F28" i="9" s="1"/>
  <c r="C13" i="9"/>
  <c r="D25" i="9" s="1"/>
  <c r="E25" i="9" s="1"/>
  <c r="F25" i="9" s="1"/>
  <c r="E12" i="9"/>
  <c r="D22" i="9" s="1"/>
  <c r="E22" i="9" s="1"/>
  <c r="F22" i="9" s="1"/>
  <c r="D13" i="9"/>
  <c r="D26" i="9" s="1"/>
  <c r="E26" i="9" s="1"/>
  <c r="F26" i="9" s="1"/>
  <c r="B12" i="9"/>
  <c r="C12" i="9"/>
  <c r="D20" i="9" s="1"/>
  <c r="E20" i="9" s="1"/>
  <c r="F20" i="9" s="1"/>
  <c r="D12" i="9"/>
  <c r="D21" i="9" s="1"/>
  <c r="E21" i="9" s="1"/>
  <c r="F21" i="9" s="1"/>
  <c r="E13" i="9"/>
  <c r="D27" i="9" s="1"/>
  <c r="E27" i="9" s="1"/>
  <c r="F27" i="9" s="1"/>
  <c r="B13" i="9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8" l="1"/>
  <c r="D21" i="8" s="1"/>
  <c r="E21" i="8" s="1"/>
  <c r="F21" i="8" s="1"/>
  <c r="C12" i="8"/>
  <c r="D20" i="8" s="1"/>
  <c r="E20" i="8" s="1"/>
  <c r="F20" i="8" s="1"/>
  <c r="D13" i="8"/>
  <c r="D26" i="8" s="1"/>
  <c r="E26" i="8" s="1"/>
  <c r="F26" i="8" s="1"/>
  <c r="E12" i="8"/>
  <c r="D22" i="8" s="1"/>
  <c r="E22" i="8" s="1"/>
  <c r="F22" i="8" s="1"/>
  <c r="B13" i="8"/>
  <c r="D24" i="8" s="1"/>
  <c r="E24" i="8" s="1"/>
  <c r="F24" i="8" s="1"/>
  <c r="B12" i="8"/>
  <c r="D19" i="8" s="1"/>
  <c r="E19" i="8" s="1"/>
  <c r="F19" i="8" s="1"/>
  <c r="F12" i="8"/>
  <c r="D23" i="8" s="1"/>
  <c r="E23" i="8" s="1"/>
  <c r="F23" i="8" s="1"/>
  <c r="E13" i="8"/>
  <c r="D27" i="8" s="1"/>
  <c r="E27" i="8" s="1"/>
  <c r="F27" i="8" s="1"/>
  <c r="F13" i="8"/>
  <c r="D28" i="8" s="1"/>
  <c r="E28" i="8" s="1"/>
  <c r="F28" i="8" s="1"/>
  <c r="G12" i="13"/>
  <c r="G13" i="13"/>
  <c r="G12" i="12"/>
  <c r="G13" i="12"/>
  <c r="B35" i="13"/>
  <c r="B3" i="11" s="1"/>
  <c r="B35" i="12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G13" i="9"/>
  <c r="G12" i="9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8" l="1"/>
  <c r="G13" i="8"/>
  <c r="B2" i="11"/>
  <c r="B47" i="12"/>
  <c r="D2" i="11" s="1"/>
  <c r="B47" i="13"/>
  <c r="D3" i="11" s="1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D9" i="11" s="1"/>
  <c r="B9" i="11"/>
  <c r="B56" i="13"/>
  <c r="B56" i="12"/>
  <c r="B59" i="10"/>
  <c r="B47" i="10"/>
  <c r="D12" i="11" s="1"/>
  <c r="B59" i="9"/>
  <c r="B47" i="9"/>
  <c r="D11" i="11" s="1"/>
  <c r="B47" i="8"/>
  <c r="D10" i="11" s="1"/>
  <c r="B59" i="8"/>
  <c r="B59" i="7"/>
  <c r="B59" i="6"/>
  <c r="B47" i="6"/>
  <c r="D8" i="11" s="1"/>
  <c r="B47" i="5"/>
  <c r="D7" i="11" s="1"/>
  <c r="B59" i="5"/>
  <c r="B59" i="4"/>
  <c r="B47" i="4"/>
  <c r="D6" i="11" s="1"/>
  <c r="B35" i="3"/>
  <c r="B5" i="11" s="1"/>
  <c r="G5" i="1"/>
  <c r="C12" i="1" s="1"/>
  <c r="B56" i="10" l="1"/>
  <c r="B56" i="9"/>
  <c r="B56" i="8"/>
  <c r="B56" i="7"/>
  <c r="B56" i="6"/>
  <c r="B56" i="5"/>
  <c r="B56" i="4"/>
  <c r="B47" i="3"/>
  <c r="D5" i="11" s="1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D4" i="11" s="1"/>
  <c r="B56" i="1" l="1"/>
</calcChain>
</file>

<file path=xl/sharedStrings.xml><?xml version="1.0" encoding="utf-8"?>
<sst xmlns="http://schemas.openxmlformats.org/spreadsheetml/2006/main" count="474" uniqueCount="73">
  <si>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</si>
  <si>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</si>
  <si>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</si>
  <si>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</si>
  <si>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</si>
  <si>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</si>
  <si>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</si>
  <si>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</si>
  <si>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</si>
  <si>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</si>
  <si>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</si>
  <si>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</si>
  <si>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</si>
  <si>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</si>
  <si>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</si>
  <si>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</si>
  <si>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</si>
  <si>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</si>
  <si>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</si>
  <si>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</si>
  <si>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</si>
  <si>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</si>
  <si>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</si>
  <si>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</si>
  <si>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</si>
  <si>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</si>
  <si>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</si>
  <si>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</si>
  <si>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</si>
  <si>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>a) Siempre</t>
  </si>
  <si>
    <t>b) Frecuente</t>
  </si>
  <si>
    <t>c) A veces</t>
  </si>
  <si>
    <t>d) Raro</t>
  </si>
  <si>
    <t>e) Nunca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</si>
  <si>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</si>
  <si>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</si>
  <si>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</si>
  <si>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</si>
  <si>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</si>
  <si>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</si>
  <si>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</si>
  <si>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</si>
  <si>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</si>
  <si>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</si>
  <si>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</si>
  <si>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</si>
  <si>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</si>
  <si>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</si>
  <si>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</si>
  <si>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</si>
  <si>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</si>
  <si>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</si>
  <si>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</si>
  <si>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</si>
  <si>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</si>
  <si>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</si>
  <si>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</si>
  <si>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</si>
  <si>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</si>
  <si>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</si>
  <si>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</si>
  <si>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</si>
  <si>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</si>
  <si>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</si>
  <si>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</si>
  <si>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</si>
  <si>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Grupo Experimental - Post Test</t>
  </si>
  <si>
    <r>
      <t>✅</t>
    </r>
    <r>
      <rPr>
        <sz val="16"/>
        <color rgb="FF2E74B5"/>
        <rFont val="Calibri Light"/>
        <family val="2"/>
      </rPr>
      <t xml:space="preserve"> Chi-cuadrado (Post-test)</t>
    </r>
  </si>
  <si>
    <t xml:space="preserve">Grupo Control – Post Test </t>
  </si>
  <si>
    <t>Grupo Experimental – Post Test</t>
  </si>
  <si>
    <t>Evaluar si existe relación significativa entre las variables analizadas en el grupo control y  el grupo experimental después de la implementación de la intervencion (post-test), con el fin  de determinar el efecto de la intervencion en la mejora de los resultados.</t>
  </si>
  <si>
    <t>Demuestra que la intervencion si genera cambio</t>
  </si>
  <si>
    <t xml:space="preserve">Grupo Control - Post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</si>
</sst>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160" zoomScaleNormal="160" workbookViewId="0">
      <selection activeCell="A14" sqref="A14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67</v>
      </c>
    </row>
    <row r="2" spans="1:1" x14ac:dyDescent="0.25">
      <c r="A2" t="s">
        <v>71</v>
      </c>
    </row>
    <row r="4" spans="1:1" ht="15.75" x14ac:dyDescent="0.25">
      <c r="A4" s="9" t="s">
        <v>27</v>
      </c>
    </row>
    <row r="5" spans="1:1" ht="45" x14ac:dyDescent="0.25">
      <c r="A5" s="11" t="s">
        <v>70</v>
      </c>
    </row>
    <row r="6" spans="1:1" ht="15.75" x14ac:dyDescent="0.25">
      <c r="A6" s="21"/>
    </row>
    <row r="7" spans="1:1" ht="15.75" x14ac:dyDescent="0.25">
      <c r="A7" s="9" t="s">
        <v>28</v>
      </c>
    </row>
    <row r="8" spans="1:1" x14ac:dyDescent="0.25">
      <c r="A8" s="10" t="s">
        <v>68</v>
      </c>
    </row>
    <row r="9" spans="1:1" x14ac:dyDescent="0.25">
      <c r="A9" s="1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75" zoomScaleNormal="175" workbookViewId="0">
      <selection activeCell="C16" sqref="C16"/>
    </sheetView>
  </sheetViews>
  <sheetFormatPr baseColWidth="10" defaultRowHeight="15" x14ac:dyDescent="0.25"/>
  <cols>
    <col min="1" max="1" width="25.140625" customWidth="1"/>
    <col min="2" max="2" width="12.7109375" bestFit="1" customWidth="1"/>
    <col min="3" max="3" width="13.85546875" customWidth="1"/>
    <col min="4" max="4" width="14.140625" customWidth="1"/>
    <col min="5" max="5" width="12.5703125" customWidth="1"/>
  </cols>
  <sheetData>
    <row r="1" spans="1:5" ht="45" x14ac:dyDescent="0.25">
      <c r="A1" s="16" t="s">
        <v>37</v>
      </c>
      <c r="B1" s="18" t="s">
        <v>51</v>
      </c>
      <c r="C1" s="18" t="s">
        <v>49</v>
      </c>
      <c r="D1" s="18" t="s">
        <v>50</v>
      </c>
      <c r="E1" s="18" t="s">
        <v>52</v>
      </c>
    </row>
    <row r="2" spans="1:5" x14ac:dyDescent="0.25">
      <c r="A2" s="17" t="s">
        <v>38</v>
      </c>
      <c r="B2" s="19">
        <f>ROUND('Participas-actividades'!B35, 4)</f>
        <v>30.565100000000001</v>
      </c>
      <c r="C2" s="19">
        <f>ROUND('Participas-actividades'!B46, 4)</f>
        <v>9.4877000000000002</v>
      </c>
      <c r="D2" s="19">
        <f>'Participas-actividades'!B47</f>
        <v>3.7549036270840955E-6</v>
      </c>
      <c r="E2" s="16">
        <v>0.05</v>
      </c>
    </row>
    <row r="3" spans="1:5" x14ac:dyDescent="0.25">
      <c r="A3" s="17" t="s">
        <v>39</v>
      </c>
      <c r="B3" s="19">
        <f>ROUND('Comprensión contenidos'!B35, 4)</f>
        <v>12.993399999999999</v>
      </c>
      <c r="C3" s="19">
        <f>ROUND('Comprensión contenidos'!B46, 4)</f>
        <v>9.4877000000000002</v>
      </c>
      <c r="D3" s="19">
        <f>'Comprensión contenidos'!B47</f>
        <v>1.1307938864992513E-2</v>
      </c>
      <c r="E3" s="16">
        <v>0.05</v>
      </c>
    </row>
    <row r="4" spans="1:5" x14ac:dyDescent="0.25">
      <c r="A4" s="17" t="s">
        <v>40</v>
      </c>
      <c r="B4" s="19">
        <f>ROUND('Herramientas-tecnológicas'!B35, 4)</f>
        <v>16.9377</v>
      </c>
      <c r="C4" s="19">
        <f>ROUND('Herramientas-tecnológicas'!B46, 4)</f>
        <v>9.4877000000000002</v>
      </c>
      <c r="D4" s="19">
        <f>'Herramientas-tecnológicas'!B47</f>
        <v>1.9875862862421679E-3</v>
      </c>
      <c r="E4" s="16">
        <v>0.05</v>
      </c>
    </row>
    <row r="5" spans="1:5" x14ac:dyDescent="0.25">
      <c r="A5" s="17" t="s">
        <v>41</v>
      </c>
      <c r="B5" s="19">
        <f>ROUND('Recursos-tecnológicos'!B35,4)</f>
        <v>27.664999999999999</v>
      </c>
      <c r="C5" s="19">
        <f>ROUND('Recursos-tecnológicos'!B46,4)</f>
        <v>9.4877000000000002</v>
      </c>
      <c r="D5" s="19">
        <f>'Recursos-tecnológicos'!B47</f>
        <v>1.4582859888177276E-5</v>
      </c>
      <c r="E5" s="16">
        <v>0.05</v>
      </c>
    </row>
    <row r="6" spans="1:5" x14ac:dyDescent="0.25">
      <c r="A6" s="17" t="s">
        <v>42</v>
      </c>
      <c r="B6" s="19">
        <f>ROUND('Percepción-evaluaciones'!B35,4)</f>
        <v>20.968299999999999</v>
      </c>
      <c r="C6" s="19">
        <f>ROUND('Percepción-evaluaciones'!B46,4)</f>
        <v>9.4877000000000002</v>
      </c>
      <c r="D6" s="19">
        <f>'Percepción-evaluaciones'!B47</f>
        <v>3.2128373218938026E-4</v>
      </c>
      <c r="E6" s="16">
        <v>0.05</v>
      </c>
    </row>
    <row r="7" spans="1:5" x14ac:dyDescent="0.25">
      <c r="A7" s="17" t="s">
        <v>43</v>
      </c>
      <c r="B7" s="19">
        <f>ROUND('Retroalimentación-oportuna'!B35,4)</f>
        <v>28.180299999999999</v>
      </c>
      <c r="C7" s="19">
        <f>ROUND('Retroalimentación-oportuna'!B46,4)</f>
        <v>9.4877000000000002</v>
      </c>
      <c r="D7" s="19">
        <f>'Retroalimentación-oportuna'!B47</f>
        <v>1.1466038688687748E-5</v>
      </c>
      <c r="E7" s="16">
        <v>0.05</v>
      </c>
    </row>
    <row r="8" spans="1:5" x14ac:dyDescent="0.25">
      <c r="A8" s="17" t="s">
        <v>44</v>
      </c>
      <c r="B8" s="19">
        <f>ROUND(Calificación!B35,4)</f>
        <v>19.146799999999999</v>
      </c>
      <c r="C8" s="19">
        <f>ROUND(Calificación!B46,4)</f>
        <v>9.4877000000000002</v>
      </c>
      <c r="D8" s="19">
        <f>Calificación!B47</f>
        <v>7.3544222935210154E-4</v>
      </c>
      <c r="E8" s="16">
        <v>0.05</v>
      </c>
    </row>
    <row r="9" spans="1:5" x14ac:dyDescent="0.25">
      <c r="A9" s="17" t="s">
        <v>45</v>
      </c>
      <c r="B9" s="19">
        <f>ROUND('Nivel-comprensión'!B35,4)</f>
        <v>36.360300000000002</v>
      </c>
      <c r="C9" s="19">
        <f>ROUND('Nivel-comprensión'!B46,4)</f>
        <v>9.4877000000000002</v>
      </c>
      <c r="D9" s="19">
        <f>'Nivel-comprensión'!B47</f>
        <v>2.4395228523664082E-7</v>
      </c>
      <c r="E9" s="16">
        <v>0.05</v>
      </c>
    </row>
    <row r="10" spans="1:5" x14ac:dyDescent="0.25">
      <c r="A10" s="17" t="s">
        <v>46</v>
      </c>
      <c r="B10" s="19">
        <f>ROUND('Habilidades-tareas'!B35,4)</f>
        <v>27.4101</v>
      </c>
      <c r="C10" s="19">
        <f>ROUND('Habilidades-tareas'!B46,4)</f>
        <v>9.4877000000000002</v>
      </c>
      <c r="D10" s="19">
        <f>'Habilidades-tareas'!B47</f>
        <v>1.6422267910939215E-5</v>
      </c>
      <c r="E10" s="16">
        <v>0.05</v>
      </c>
    </row>
    <row r="11" spans="1:5" x14ac:dyDescent="0.25">
      <c r="A11" s="17" t="s">
        <v>47</v>
      </c>
      <c r="B11" s="19">
        <f>ROUND('Resolución-problemas'!B35,4)</f>
        <v>29.735700000000001</v>
      </c>
      <c r="C11" s="19">
        <f>ROUND('Resolución-problemas'!B46,4)</f>
        <v>9.4877000000000002</v>
      </c>
      <c r="D11" s="19">
        <f>'Resolución-problemas'!B47</f>
        <v>5.5398911669534622E-6</v>
      </c>
      <c r="E11" s="16">
        <v>0.05</v>
      </c>
    </row>
    <row r="12" spans="1:5" x14ac:dyDescent="0.25">
      <c r="A12" s="17" t="s">
        <v>48</v>
      </c>
      <c r="B12" s="19">
        <f>ROUND(Motivación!B35,4)</f>
        <v>25.286799999999999</v>
      </c>
      <c r="C12" s="19">
        <f>ROUND(Motivación!B46,4)</f>
        <v>9.4877000000000002</v>
      </c>
      <c r="D12" s="19">
        <f>Motivación!B47</f>
        <v>4.4052578505579322E-5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45" zoomScaleNormal="145" workbookViewId="0">
      <selection activeCell="H4" sqref="H4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12</v>
      </c>
      <c r="C3" s="22">
        <v>22</v>
      </c>
      <c r="D3" s="22">
        <v>33</v>
      </c>
      <c r="E3" s="22">
        <v>19</v>
      </c>
      <c r="F3" s="22">
        <v>7</v>
      </c>
      <c r="G3" s="13">
        <f>SUM(B3:F3)</f>
        <v>93</v>
      </c>
    </row>
    <row r="4" spans="1:7" x14ac:dyDescent="0.25">
      <c r="A4" t="s">
        <v>66</v>
      </c>
      <c r="B4" s="13">
        <v>34</v>
      </c>
      <c r="C4" s="13">
        <v>35</v>
      </c>
      <c r="D4" s="13">
        <v>18</v>
      </c>
      <c r="E4" s="13">
        <v>5</v>
      </c>
      <c r="F4" s="13">
        <v>1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46</v>
      </c>
      <c r="C5" s="13">
        <f t="shared" si="0"/>
        <v>57</v>
      </c>
      <c r="D5" s="13">
        <f t="shared" si="0"/>
        <v>51</v>
      </c>
      <c r="E5" s="13">
        <f t="shared" si="0"/>
        <v>24</v>
      </c>
      <c r="F5" s="13">
        <f t="shared" si="0"/>
        <v>8</v>
      </c>
      <c r="G5" s="13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23</v>
      </c>
      <c r="C12" s="6">
        <f>(G3*C5)/G5</f>
        <v>28.5</v>
      </c>
      <c r="D12" s="6">
        <f>(G3*D5)/G5</f>
        <v>25.5</v>
      </c>
      <c r="E12" s="6">
        <f>(G3*E5)/G5</f>
        <v>12</v>
      </c>
      <c r="F12" s="6">
        <f>(G3*F5)/G5</f>
        <v>4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3">
        <f>(G4*B5)/G5</f>
        <v>23</v>
      </c>
      <c r="C13" s="13">
        <f>(G4*C5)/G5</f>
        <v>28.5</v>
      </c>
      <c r="D13" s="13">
        <f>(G4*D5)/G5</f>
        <v>25.5</v>
      </c>
      <c r="E13" s="13">
        <f>(G4*E5)/G5</f>
        <v>12</v>
      </c>
      <c r="F13" s="13">
        <f>(G4*F5)/G5</f>
        <v>4</v>
      </c>
      <c r="G13" s="13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3" t="str">
        <f>B2</f>
        <v>a) Siempre</v>
      </c>
      <c r="C19" s="13">
        <f>B3</f>
        <v>12</v>
      </c>
      <c r="D19" s="13">
        <f>B12</f>
        <v>23</v>
      </c>
      <c r="E19" s="13">
        <f>(C19-D19)^2</f>
        <v>121</v>
      </c>
      <c r="F19" s="13">
        <f>E19/D19</f>
        <v>5.2608695652173916</v>
      </c>
    </row>
    <row r="20" spans="1:7" x14ac:dyDescent="0.25">
      <c r="A20" t="str">
        <f>A3</f>
        <v xml:space="preserve">Grupo Control - Post Test </v>
      </c>
      <c r="B20" s="13" t="str">
        <f>C2</f>
        <v>b) Frecuente</v>
      </c>
      <c r="C20" s="13">
        <f>C3</f>
        <v>22</v>
      </c>
      <c r="D20" s="13">
        <f>C12</f>
        <v>28.5</v>
      </c>
      <c r="E20" s="13">
        <f t="shared" ref="E20:E28" si="2">(C20-D20)^2</f>
        <v>42.25</v>
      </c>
      <c r="F20" s="13">
        <f t="shared" ref="F20:F28" si="3">E20/D20</f>
        <v>1.4824561403508771</v>
      </c>
    </row>
    <row r="21" spans="1:7" x14ac:dyDescent="0.25">
      <c r="A21" t="str">
        <f>A3</f>
        <v xml:space="preserve">Grupo Control - Post Test </v>
      </c>
      <c r="B21" s="13" t="str">
        <f>D2</f>
        <v>c) A veces</v>
      </c>
      <c r="C21" s="13">
        <f>D3</f>
        <v>33</v>
      </c>
      <c r="D21" s="13">
        <f>D12</f>
        <v>25.5</v>
      </c>
      <c r="E21" s="13">
        <f t="shared" si="2"/>
        <v>56.25</v>
      </c>
      <c r="F21" s="13">
        <f t="shared" si="3"/>
        <v>2.2058823529411766</v>
      </c>
    </row>
    <row r="22" spans="1:7" x14ac:dyDescent="0.25">
      <c r="A22" t="str">
        <f>A3</f>
        <v xml:space="preserve">Grupo Control - Post Test </v>
      </c>
      <c r="B22" s="13" t="str">
        <f>E2</f>
        <v>d) Raro</v>
      </c>
      <c r="C22" s="13">
        <f>E3</f>
        <v>19</v>
      </c>
      <c r="D22" s="13">
        <f>E12</f>
        <v>12</v>
      </c>
      <c r="E22" s="13">
        <f t="shared" si="2"/>
        <v>49</v>
      </c>
      <c r="F22" s="13">
        <f t="shared" si="3"/>
        <v>4.083333333333333</v>
      </c>
    </row>
    <row r="23" spans="1:7" x14ac:dyDescent="0.25">
      <c r="A23" t="str">
        <f>A3</f>
        <v xml:space="preserve">Grupo Control - Post Test </v>
      </c>
      <c r="B23" s="13" t="str">
        <f>F2</f>
        <v>e) Nunca</v>
      </c>
      <c r="C23" s="13">
        <f>F3</f>
        <v>7</v>
      </c>
      <c r="D23" s="13">
        <f>F12</f>
        <v>4</v>
      </c>
      <c r="E23" s="13">
        <f t="shared" si="2"/>
        <v>9</v>
      </c>
      <c r="F23" s="13">
        <f t="shared" si="3"/>
        <v>2.25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34</v>
      </c>
      <c r="D24" s="13">
        <f>B13</f>
        <v>23</v>
      </c>
      <c r="E24" s="13">
        <f t="shared" si="2"/>
        <v>121</v>
      </c>
      <c r="F24" s="13">
        <f t="shared" si="3"/>
        <v>5.2608695652173916</v>
      </c>
    </row>
    <row r="25" spans="1:7" x14ac:dyDescent="0.25">
      <c r="A25" t="str">
        <f>A4</f>
        <v>Grupo Experimental - Post Test</v>
      </c>
      <c r="B25" s="13" t="str">
        <f>C2</f>
        <v>b) Frecuente</v>
      </c>
      <c r="C25" s="13">
        <f>C4</f>
        <v>35</v>
      </c>
      <c r="D25" s="13">
        <f>C13</f>
        <v>28.5</v>
      </c>
      <c r="E25" s="13">
        <f t="shared" si="2"/>
        <v>42.25</v>
      </c>
      <c r="F25" s="13">
        <f t="shared" si="3"/>
        <v>1.4824561403508771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18</v>
      </c>
      <c r="D26" s="13">
        <f>D13</f>
        <v>25.5</v>
      </c>
      <c r="E26" s="13">
        <f t="shared" si="2"/>
        <v>56.25</v>
      </c>
      <c r="F26" s="13">
        <f t="shared" si="3"/>
        <v>2.2058823529411766</v>
      </c>
    </row>
    <row r="27" spans="1:7" x14ac:dyDescent="0.25">
      <c r="A27" t="str">
        <f>A4</f>
        <v>Grupo Experimental - Post Test</v>
      </c>
      <c r="B27" s="13" t="str">
        <f>E2</f>
        <v>d) Raro</v>
      </c>
      <c r="C27" s="13">
        <f>E4</f>
        <v>5</v>
      </c>
      <c r="D27" s="13">
        <f>E13</f>
        <v>12</v>
      </c>
      <c r="E27" s="13">
        <f t="shared" si="2"/>
        <v>49</v>
      </c>
      <c r="F27" s="13">
        <f t="shared" si="3"/>
        <v>4.083333333333333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1</v>
      </c>
      <c r="D28" s="13">
        <f>F13</f>
        <v>4</v>
      </c>
      <c r="E28" s="13">
        <f t="shared" si="2"/>
        <v>9</v>
      </c>
      <c r="F28" s="13">
        <f t="shared" si="3"/>
        <v>2.25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3">
        <f>SUM(F19:F28)</f>
        <v>30.565082783685554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3">
        <v>2</v>
      </c>
    </row>
    <row r="40" spans="1:7" x14ac:dyDescent="0.25">
      <c r="A40" s="23" t="s">
        <v>12</v>
      </c>
      <c r="B40" s="23"/>
      <c r="C40" s="13">
        <v>5</v>
      </c>
    </row>
    <row r="41" spans="1:7" x14ac:dyDescent="0.25">
      <c r="A41" s="23" t="s">
        <v>14</v>
      </c>
      <c r="B41" s="23"/>
      <c r="C41" s="13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3.7549036270840955E-6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3">
        <f>B45</f>
        <v>0.05</v>
      </c>
    </row>
    <row r="56" spans="1:7" x14ac:dyDescent="0.25">
      <c r="A56" s="14" t="s">
        <v>19</v>
      </c>
      <c r="B56" s="13">
        <f>B47</f>
        <v>3.7549036270840955E-6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3">
        <f>B35</f>
        <v>30.565082783685554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B3" sqref="B3:F3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20</v>
      </c>
      <c r="C3" s="22">
        <v>22</v>
      </c>
      <c r="D3" s="22">
        <v>27</v>
      </c>
      <c r="E3" s="22">
        <v>14</v>
      </c>
      <c r="F3" s="22">
        <v>10</v>
      </c>
      <c r="G3" s="13">
        <f>SUM(B3:F3)</f>
        <v>93</v>
      </c>
    </row>
    <row r="4" spans="1:7" x14ac:dyDescent="0.25">
      <c r="A4" t="s">
        <v>66</v>
      </c>
      <c r="B4" s="13">
        <v>39</v>
      </c>
      <c r="C4" s="13">
        <v>23</v>
      </c>
      <c r="D4" s="13">
        <v>21</v>
      </c>
      <c r="E4" s="13">
        <v>7</v>
      </c>
      <c r="F4" s="13">
        <v>3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59</v>
      </c>
      <c r="C5" s="13">
        <f t="shared" si="0"/>
        <v>45</v>
      </c>
      <c r="D5" s="13">
        <f t="shared" si="0"/>
        <v>48</v>
      </c>
      <c r="E5" s="13">
        <f t="shared" si="0"/>
        <v>21</v>
      </c>
      <c r="F5" s="13">
        <f t="shared" si="0"/>
        <v>13</v>
      </c>
      <c r="G5" s="13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>D2</f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29.5</v>
      </c>
      <c r="C12" s="6">
        <f>(G3*C5)/G5</f>
        <v>22.5</v>
      </c>
      <c r="D12" s="6">
        <f>(G3*D5)/G5</f>
        <v>24</v>
      </c>
      <c r="E12" s="6">
        <f>(G3*E5)/G5</f>
        <v>10.5</v>
      </c>
      <c r="F12" s="6">
        <f>(G3*F5)/G5</f>
        <v>6.5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3">
        <f>(G4*B5)/G5</f>
        <v>29.5</v>
      </c>
      <c r="C13" s="13">
        <f>(G4*C5)/G5</f>
        <v>22.5</v>
      </c>
      <c r="D13" s="13">
        <f>(G4*D5)/G5</f>
        <v>24</v>
      </c>
      <c r="E13" s="13">
        <f>(G4*E5)/G5</f>
        <v>10.5</v>
      </c>
      <c r="F13" s="13">
        <f>(G4*F5)/G5</f>
        <v>6.5</v>
      </c>
      <c r="G13" s="13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3" t="str">
        <f>B2</f>
        <v>a) Siempre</v>
      </c>
      <c r="C19" s="13">
        <f>B3</f>
        <v>20</v>
      </c>
      <c r="D19" s="13">
        <f>B12</f>
        <v>29.5</v>
      </c>
      <c r="E19" s="13">
        <f>(C19-D19)^2</f>
        <v>90.25</v>
      </c>
      <c r="F19" s="13">
        <f>E19/D19</f>
        <v>3.0593220338983049</v>
      </c>
    </row>
    <row r="20" spans="1:7" x14ac:dyDescent="0.25">
      <c r="A20" t="str">
        <f>A3</f>
        <v xml:space="preserve">Grupo Control - Post Test </v>
      </c>
      <c r="B20" s="13" t="str">
        <f>C2</f>
        <v>b) Muchas veces</v>
      </c>
      <c r="C20" s="13">
        <f>C3</f>
        <v>22</v>
      </c>
      <c r="D20" s="13">
        <f>C12</f>
        <v>22.5</v>
      </c>
      <c r="E20" s="13">
        <f t="shared" ref="E20:E28" si="2">(C20-D20)^2</f>
        <v>0.25</v>
      </c>
      <c r="F20" s="13">
        <f t="shared" ref="F20:F28" si="3">E20/D20</f>
        <v>1.1111111111111112E-2</v>
      </c>
    </row>
    <row r="21" spans="1:7" x14ac:dyDescent="0.25">
      <c r="A21" t="str">
        <f>A3</f>
        <v xml:space="preserve">Grupo Control - Post Test </v>
      </c>
      <c r="B21" s="13" t="str">
        <f>D2</f>
        <v>c) A veces</v>
      </c>
      <c r="C21" s="13">
        <f>D3</f>
        <v>27</v>
      </c>
      <c r="D21" s="13">
        <f>D12</f>
        <v>24</v>
      </c>
      <c r="E21" s="13">
        <f t="shared" si="2"/>
        <v>9</v>
      </c>
      <c r="F21" s="13">
        <f t="shared" si="3"/>
        <v>0.375</v>
      </c>
    </row>
    <row r="22" spans="1:7" x14ac:dyDescent="0.25">
      <c r="A22" t="str">
        <f>A3</f>
        <v xml:space="preserve">Grupo Control - Post Test </v>
      </c>
      <c r="B22" s="13" t="str">
        <f>E2</f>
        <v>d) Pocas veces</v>
      </c>
      <c r="C22" s="13">
        <f>E3</f>
        <v>14</v>
      </c>
      <c r="D22" s="13">
        <f>E12</f>
        <v>10.5</v>
      </c>
      <c r="E22" s="13">
        <f t="shared" si="2"/>
        <v>12.25</v>
      </c>
      <c r="F22" s="13">
        <f t="shared" si="3"/>
        <v>1.1666666666666667</v>
      </c>
    </row>
    <row r="23" spans="1:7" x14ac:dyDescent="0.25">
      <c r="A23" t="str">
        <f>A3</f>
        <v xml:space="preserve">Grupo Control - Post Test </v>
      </c>
      <c r="B23" s="13" t="str">
        <f>F2</f>
        <v>e) Nunca</v>
      </c>
      <c r="C23" s="13">
        <f>F3</f>
        <v>10</v>
      </c>
      <c r="D23" s="13">
        <f>F12</f>
        <v>6.5</v>
      </c>
      <c r="E23" s="13">
        <f t="shared" si="2"/>
        <v>12.25</v>
      </c>
      <c r="F23" s="13">
        <f t="shared" si="3"/>
        <v>1.8846153846153846</v>
      </c>
    </row>
    <row r="24" spans="1:7" x14ac:dyDescent="0.25">
      <c r="A24" t="str">
        <f>A4</f>
        <v>Grupo Experimental - Post Test</v>
      </c>
      <c r="B24" s="13" t="str">
        <f>B2</f>
        <v>a) Siempre</v>
      </c>
      <c r="C24" s="13">
        <f>B4</f>
        <v>39</v>
      </c>
      <c r="D24" s="13">
        <f>B13</f>
        <v>29.5</v>
      </c>
      <c r="E24" s="13">
        <f t="shared" si="2"/>
        <v>90.25</v>
      </c>
      <c r="F24" s="13">
        <f t="shared" si="3"/>
        <v>3.0593220338983049</v>
      </c>
    </row>
    <row r="25" spans="1:7" x14ac:dyDescent="0.25">
      <c r="A25" t="str">
        <f>A4</f>
        <v>Grupo Experimental - Post Test</v>
      </c>
      <c r="B25" s="13" t="str">
        <f>C2</f>
        <v>b) Muchas veces</v>
      </c>
      <c r="C25" s="13">
        <f>C4</f>
        <v>23</v>
      </c>
      <c r="D25" s="13">
        <f>C13</f>
        <v>22.5</v>
      </c>
      <c r="E25" s="13">
        <f t="shared" si="2"/>
        <v>0.25</v>
      </c>
      <c r="F25" s="13">
        <f t="shared" si="3"/>
        <v>1.1111111111111112E-2</v>
      </c>
    </row>
    <row r="26" spans="1:7" x14ac:dyDescent="0.25">
      <c r="A26" t="str">
        <f>A4</f>
        <v>Grupo Experimental - Post Test</v>
      </c>
      <c r="B26" s="13" t="str">
        <f>D2</f>
        <v>c) A veces</v>
      </c>
      <c r="C26" s="13">
        <f>D4</f>
        <v>21</v>
      </c>
      <c r="D26" s="13">
        <f>D13</f>
        <v>24</v>
      </c>
      <c r="E26" s="13">
        <f t="shared" si="2"/>
        <v>9</v>
      </c>
      <c r="F26" s="13">
        <f t="shared" si="3"/>
        <v>0.375</v>
      </c>
    </row>
    <row r="27" spans="1:7" x14ac:dyDescent="0.25">
      <c r="A27" t="str">
        <f>A4</f>
        <v>Grupo Experimental - Post Test</v>
      </c>
      <c r="B27" s="13" t="str">
        <f>E2</f>
        <v>d) Pocas veces</v>
      </c>
      <c r="C27" s="13">
        <f>E4</f>
        <v>7</v>
      </c>
      <c r="D27" s="13">
        <f>E13</f>
        <v>10.5</v>
      </c>
      <c r="E27" s="13">
        <f t="shared" si="2"/>
        <v>12.25</v>
      </c>
      <c r="F27" s="13">
        <f t="shared" si="3"/>
        <v>1.1666666666666667</v>
      </c>
    </row>
    <row r="28" spans="1:7" x14ac:dyDescent="0.25">
      <c r="A28" t="str">
        <f>A4</f>
        <v>Grupo Experimental - Post Test</v>
      </c>
      <c r="B28" s="13" t="str">
        <f>F2</f>
        <v>e) Nunca</v>
      </c>
      <c r="C28" s="13">
        <f>F4</f>
        <v>3</v>
      </c>
      <c r="D28" s="13">
        <f>F13</f>
        <v>6.5</v>
      </c>
      <c r="E28" s="13">
        <f t="shared" si="2"/>
        <v>12.25</v>
      </c>
      <c r="F28" s="13">
        <f t="shared" si="3"/>
        <v>1.8846153846153846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3">
        <f>SUM(F19:F28)</f>
        <v>12.993430392582933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3">
        <v>2</v>
      </c>
    </row>
    <row r="40" spans="1:7" x14ac:dyDescent="0.25">
      <c r="A40" s="23" t="s">
        <v>12</v>
      </c>
      <c r="B40" s="23"/>
      <c r="C40" s="13">
        <v>5</v>
      </c>
    </row>
    <row r="41" spans="1:7" x14ac:dyDescent="0.25">
      <c r="A41" s="23" t="s">
        <v>14</v>
      </c>
      <c r="B41" s="23"/>
      <c r="C41" s="13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1.1307938864992513E-2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3">
        <f>B45</f>
        <v>0.05</v>
      </c>
    </row>
    <row r="56" spans="1:7" x14ac:dyDescent="0.25">
      <c r="A56" s="14" t="s">
        <v>19</v>
      </c>
      <c r="B56" s="13">
        <f>B47</f>
        <v>1.1307938864992513E-2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3">
        <f>B35</f>
        <v>12.993430392582933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B3" sqref="B3:F3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20</v>
      </c>
      <c r="C3" s="22">
        <v>19</v>
      </c>
      <c r="D3" s="22">
        <v>34</v>
      </c>
      <c r="E3" s="22">
        <v>15</v>
      </c>
      <c r="F3" s="22">
        <v>5</v>
      </c>
      <c r="G3" s="2">
        <f>SUM(B3:F3)</f>
        <v>93</v>
      </c>
    </row>
    <row r="4" spans="1:7" x14ac:dyDescent="0.25">
      <c r="A4" t="s">
        <v>66</v>
      </c>
      <c r="B4" s="2">
        <v>34</v>
      </c>
      <c r="C4" s="2">
        <v>31</v>
      </c>
      <c r="D4" s="2">
        <v>16</v>
      </c>
      <c r="E4" s="2">
        <v>6</v>
      </c>
      <c r="F4" s="2">
        <v>6</v>
      </c>
      <c r="G4" s="2">
        <f>SUM(B4:F4)</f>
        <v>93</v>
      </c>
    </row>
    <row r="5" spans="1:7" x14ac:dyDescent="0.25">
      <c r="A5" t="s">
        <v>1</v>
      </c>
      <c r="B5" s="2">
        <f t="shared" ref="B5:F5" si="0">SUM(B3:B4)</f>
        <v>54</v>
      </c>
      <c r="C5" s="2">
        <f t="shared" si="0"/>
        <v>50</v>
      </c>
      <c r="D5" s="2">
        <f t="shared" si="0"/>
        <v>50</v>
      </c>
      <c r="E5" s="2">
        <f t="shared" si="0"/>
        <v>21</v>
      </c>
      <c r="F5" s="2">
        <f t="shared" si="0"/>
        <v>11</v>
      </c>
      <c r="G5" s="2">
        <f t="shared" ref="G5" si="1">SUM(G3:G4)</f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Frecuente</v>
      </c>
      <c r="D11" s="3" t="str">
        <f t="shared" si="2"/>
        <v>c) A veces</v>
      </c>
      <c r="E11" s="3" t="str">
        <f t="shared" si="2"/>
        <v>d) Raro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27</v>
      </c>
      <c r="C12" s="6">
        <f>(G3*C5)/G5</f>
        <v>25</v>
      </c>
      <c r="D12" s="6">
        <f>(G3*D5)/G5</f>
        <v>25</v>
      </c>
      <c r="E12" s="6">
        <f>(G3*E5)/G5</f>
        <v>10.5</v>
      </c>
      <c r="F12" s="6">
        <f>(G3*F5)/G5</f>
        <v>5.5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2">
        <f>(G4*B5)/G5</f>
        <v>27</v>
      </c>
      <c r="C13" s="2">
        <f>(G4*C5)/G5</f>
        <v>25</v>
      </c>
      <c r="D13" s="2">
        <f>(G4*D5)/G5</f>
        <v>25</v>
      </c>
      <c r="E13" s="2">
        <f>(G4*E5)/G5</f>
        <v>10.5</v>
      </c>
      <c r="F13" s="2">
        <f>(G4*F5)/G5</f>
        <v>5.5</v>
      </c>
      <c r="G13" s="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2" t="str">
        <f>B2</f>
        <v>a) Siempre</v>
      </c>
      <c r="C19" s="2">
        <f>B3</f>
        <v>20</v>
      </c>
      <c r="D19" s="2">
        <f>B12</f>
        <v>27</v>
      </c>
      <c r="E19" s="2">
        <f>(C19-D19)^2</f>
        <v>49</v>
      </c>
      <c r="F19" s="2">
        <f>E19/D19</f>
        <v>1.8148148148148149</v>
      </c>
    </row>
    <row r="20" spans="1:7" x14ac:dyDescent="0.25">
      <c r="A20" t="str">
        <f>A3</f>
        <v xml:space="preserve">Grupo Control - Post Test </v>
      </c>
      <c r="B20" s="2" t="str">
        <f>C2</f>
        <v>b) Frecuente</v>
      </c>
      <c r="C20" s="2">
        <f>C3</f>
        <v>19</v>
      </c>
      <c r="D20" s="2">
        <f>C12</f>
        <v>25</v>
      </c>
      <c r="E20" s="2">
        <f t="shared" ref="E20:E28" si="3">(C20-D20)^2</f>
        <v>36</v>
      </c>
      <c r="F20" s="2">
        <f t="shared" ref="F20:F28" si="4">E20/D20</f>
        <v>1.44</v>
      </c>
    </row>
    <row r="21" spans="1:7" x14ac:dyDescent="0.25">
      <c r="A21" t="str">
        <f>A3</f>
        <v xml:space="preserve">Grupo Control - Post Test </v>
      </c>
      <c r="B21" s="2" t="str">
        <f>D2</f>
        <v>c) A veces</v>
      </c>
      <c r="C21" s="2">
        <f>D3</f>
        <v>34</v>
      </c>
      <c r="D21" s="2">
        <f>D12</f>
        <v>25</v>
      </c>
      <c r="E21" s="2">
        <f t="shared" si="3"/>
        <v>81</v>
      </c>
      <c r="F21" s="2">
        <f t="shared" si="4"/>
        <v>3.24</v>
      </c>
    </row>
    <row r="22" spans="1:7" x14ac:dyDescent="0.25">
      <c r="A22" t="str">
        <f>A3</f>
        <v xml:space="preserve">Grupo Control - Post Test </v>
      </c>
      <c r="B22" s="2" t="str">
        <f>E2</f>
        <v>d) Raro</v>
      </c>
      <c r="C22" s="2">
        <f>E3</f>
        <v>15</v>
      </c>
      <c r="D22" s="2">
        <f>E12</f>
        <v>10.5</v>
      </c>
      <c r="E22" s="2">
        <f t="shared" si="3"/>
        <v>20.25</v>
      </c>
      <c r="F22" s="2">
        <f t="shared" si="4"/>
        <v>1.9285714285714286</v>
      </c>
    </row>
    <row r="23" spans="1:7" x14ac:dyDescent="0.25">
      <c r="A23" t="str">
        <f>A3</f>
        <v xml:space="preserve">Grupo Control - Post Test </v>
      </c>
      <c r="B23" s="2" t="str">
        <f>F2</f>
        <v>e) Nunca</v>
      </c>
      <c r="C23" s="2">
        <f>F3</f>
        <v>5</v>
      </c>
      <c r="D23" s="2">
        <f>F12</f>
        <v>5.5</v>
      </c>
      <c r="E23" s="2">
        <f t="shared" si="3"/>
        <v>0.25</v>
      </c>
      <c r="F23" s="2">
        <f t="shared" si="4"/>
        <v>4.5454545454545456E-2</v>
      </c>
    </row>
    <row r="24" spans="1:7" x14ac:dyDescent="0.25">
      <c r="A24" t="str">
        <f>A4</f>
        <v>Grupo Experimental - Post Test</v>
      </c>
      <c r="B24" s="2" t="str">
        <f>B2</f>
        <v>a) Siempre</v>
      </c>
      <c r="C24" s="2">
        <f>B4</f>
        <v>34</v>
      </c>
      <c r="D24" s="2">
        <f>B13</f>
        <v>27</v>
      </c>
      <c r="E24" s="2">
        <f t="shared" si="3"/>
        <v>49</v>
      </c>
      <c r="F24" s="2">
        <f t="shared" si="4"/>
        <v>1.8148148148148149</v>
      </c>
    </row>
    <row r="25" spans="1:7" x14ac:dyDescent="0.25">
      <c r="A25" t="str">
        <f>A4</f>
        <v>Grupo Experimental - Post Test</v>
      </c>
      <c r="B25" s="2" t="str">
        <f>C2</f>
        <v>b) Frecuente</v>
      </c>
      <c r="C25" s="2">
        <f>C4</f>
        <v>31</v>
      </c>
      <c r="D25" s="2">
        <f>C13</f>
        <v>25</v>
      </c>
      <c r="E25" s="2">
        <f t="shared" si="3"/>
        <v>36</v>
      </c>
      <c r="F25" s="2">
        <f t="shared" si="4"/>
        <v>1.44</v>
      </c>
    </row>
    <row r="26" spans="1:7" x14ac:dyDescent="0.25">
      <c r="A26" t="str">
        <f>A4</f>
        <v>Grupo Experimental - Post Test</v>
      </c>
      <c r="B26" s="2" t="str">
        <f>D2</f>
        <v>c) A veces</v>
      </c>
      <c r="C26" s="2">
        <f>D4</f>
        <v>16</v>
      </c>
      <c r="D26" s="2">
        <f>D13</f>
        <v>25</v>
      </c>
      <c r="E26" s="2">
        <f t="shared" si="3"/>
        <v>81</v>
      </c>
      <c r="F26" s="2">
        <f t="shared" si="4"/>
        <v>3.24</v>
      </c>
    </row>
    <row r="27" spans="1:7" x14ac:dyDescent="0.25">
      <c r="A27" t="str">
        <f>A4</f>
        <v>Grupo Experimental - Post Test</v>
      </c>
      <c r="B27" s="2" t="str">
        <f>E2</f>
        <v>d) Raro</v>
      </c>
      <c r="C27" s="2">
        <f>E4</f>
        <v>6</v>
      </c>
      <c r="D27" s="2">
        <f>E13</f>
        <v>10.5</v>
      </c>
      <c r="E27" s="2">
        <f t="shared" si="3"/>
        <v>20.25</v>
      </c>
      <c r="F27" s="2">
        <f t="shared" si="4"/>
        <v>1.9285714285714286</v>
      </c>
    </row>
    <row r="28" spans="1:7" x14ac:dyDescent="0.25">
      <c r="A28" t="str">
        <f>A4</f>
        <v>Grupo Experimental - Post Test</v>
      </c>
      <c r="B28" s="2" t="str">
        <f>F2</f>
        <v>e) Nunca</v>
      </c>
      <c r="C28" s="2">
        <f>F4</f>
        <v>6</v>
      </c>
      <c r="D28" s="2">
        <f>F13</f>
        <v>5.5</v>
      </c>
      <c r="E28" s="2">
        <f t="shared" si="3"/>
        <v>0.25</v>
      </c>
      <c r="F28" s="2">
        <f t="shared" si="4"/>
        <v>4.5454545454545456E-2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2">
        <f>SUM(F19:F28)</f>
        <v>16.937681577681577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2">
        <v>2</v>
      </c>
    </row>
    <row r="40" spans="1:7" x14ac:dyDescent="0.25">
      <c r="A40" s="23" t="s">
        <v>12</v>
      </c>
      <c r="B40" s="23"/>
      <c r="C40" s="2">
        <v>5</v>
      </c>
    </row>
    <row r="41" spans="1:7" x14ac:dyDescent="0.25">
      <c r="A41" s="23" t="s">
        <v>14</v>
      </c>
      <c r="B41" s="23"/>
      <c r="C41" s="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1.9875862862421679E-3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2">
        <f>B45</f>
        <v>0.05</v>
      </c>
    </row>
    <row r="56" spans="1:7" x14ac:dyDescent="0.25">
      <c r="A56" s="14" t="s">
        <v>19</v>
      </c>
      <c r="B56" s="2">
        <f>B47</f>
        <v>1.9875862862421679E-3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2">
        <f>B35</f>
        <v>16.937681577681577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B3" sqref="B3:F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21</v>
      </c>
      <c r="C3" s="22">
        <v>20</v>
      </c>
      <c r="D3" s="22">
        <v>29</v>
      </c>
      <c r="E3" s="22">
        <v>13</v>
      </c>
      <c r="F3" s="22">
        <v>10</v>
      </c>
      <c r="G3" s="12">
        <f>SUM(B3:F3)</f>
        <v>93</v>
      </c>
    </row>
    <row r="4" spans="1:7" x14ac:dyDescent="0.25">
      <c r="A4" t="s">
        <v>66</v>
      </c>
      <c r="B4" s="12">
        <v>45</v>
      </c>
      <c r="C4" s="12">
        <v>27</v>
      </c>
      <c r="D4" s="12">
        <v>17</v>
      </c>
      <c r="E4" s="12">
        <v>4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66</v>
      </c>
      <c r="C5" s="12">
        <f t="shared" si="0"/>
        <v>47</v>
      </c>
      <c r="D5" s="12">
        <f t="shared" si="0"/>
        <v>46</v>
      </c>
      <c r="E5" s="12">
        <f t="shared" si="0"/>
        <v>17</v>
      </c>
      <c r="F5" s="12">
        <f t="shared" si="0"/>
        <v>10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33</v>
      </c>
      <c r="C12" s="6">
        <f>(G3*C5)/G5</f>
        <v>23.5</v>
      </c>
      <c r="D12" s="6">
        <f>(G3*D5)/G5</f>
        <v>23</v>
      </c>
      <c r="E12" s="6">
        <f>(G3*E5)/G5</f>
        <v>8.5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33</v>
      </c>
      <c r="C13" s="12">
        <f>(G4*C5)/G5</f>
        <v>23.5</v>
      </c>
      <c r="D13" s="12">
        <f>(G4*D5)/G5</f>
        <v>23</v>
      </c>
      <c r="E13" s="12">
        <f>(G4*E5)/G5</f>
        <v>8.5</v>
      </c>
      <c r="F13" s="12">
        <f>(G4*F5)/G5</f>
        <v>5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21</v>
      </c>
      <c r="D19" s="12">
        <f>B12</f>
        <v>33</v>
      </c>
      <c r="E19" s="12">
        <f>(C19-D19)^2</f>
        <v>144</v>
      </c>
      <c r="F19" s="12">
        <f>E19/D19</f>
        <v>4.3636363636363633</v>
      </c>
    </row>
    <row r="20" spans="1:7" x14ac:dyDescent="0.25">
      <c r="A20" t="str">
        <f>A3</f>
        <v xml:space="preserve">Grupo Control - Post Test </v>
      </c>
      <c r="B20" s="12" t="str">
        <f>C2</f>
        <v>b) Muchas veces</v>
      </c>
      <c r="C20" s="12">
        <f>C3</f>
        <v>20</v>
      </c>
      <c r="D20" s="12">
        <f>C12</f>
        <v>23.5</v>
      </c>
      <c r="E20" s="12">
        <f t="shared" ref="E20:E28" si="2">(C20-D20)^2</f>
        <v>12.25</v>
      </c>
      <c r="F20" s="12">
        <f t="shared" ref="F20:F28" si="3">E20/D20</f>
        <v>0.52127659574468088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29</v>
      </c>
      <c r="D21" s="12">
        <f>D12</f>
        <v>23</v>
      </c>
      <c r="E21" s="12">
        <f t="shared" si="2"/>
        <v>36</v>
      </c>
      <c r="F21" s="12">
        <f t="shared" si="3"/>
        <v>1.5652173913043479</v>
      </c>
    </row>
    <row r="22" spans="1:7" x14ac:dyDescent="0.25">
      <c r="A22" t="str">
        <f>A3</f>
        <v xml:space="preserve">Grupo Control - Post Test </v>
      </c>
      <c r="B22" s="12" t="str">
        <f>E2</f>
        <v>d) Pocas veces</v>
      </c>
      <c r="C22" s="12">
        <f>E3</f>
        <v>13</v>
      </c>
      <c r="D22" s="12">
        <f>E12</f>
        <v>8.5</v>
      </c>
      <c r="E22" s="12">
        <f t="shared" si="2"/>
        <v>20.25</v>
      </c>
      <c r="F22" s="12">
        <f t="shared" si="3"/>
        <v>2.3823529411764706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10</v>
      </c>
      <c r="D23" s="12">
        <f>F12</f>
        <v>5</v>
      </c>
      <c r="E23" s="12">
        <f t="shared" si="2"/>
        <v>25</v>
      </c>
      <c r="F23" s="12">
        <f t="shared" si="3"/>
        <v>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45</v>
      </c>
      <c r="D24" s="12">
        <f>B13</f>
        <v>33</v>
      </c>
      <c r="E24" s="12">
        <f t="shared" si="2"/>
        <v>144</v>
      </c>
      <c r="F24" s="12">
        <f t="shared" si="3"/>
        <v>4.3636363636363633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27</v>
      </c>
      <c r="D25" s="12">
        <f>C13</f>
        <v>23.5</v>
      </c>
      <c r="E25" s="12">
        <f t="shared" si="2"/>
        <v>12.25</v>
      </c>
      <c r="F25" s="12">
        <f t="shared" si="3"/>
        <v>0.52127659574468088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17</v>
      </c>
      <c r="D26" s="12">
        <f>D13</f>
        <v>23</v>
      </c>
      <c r="E26" s="12">
        <f t="shared" si="2"/>
        <v>36</v>
      </c>
      <c r="F26" s="12">
        <f t="shared" si="3"/>
        <v>1.5652173913043479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4</v>
      </c>
      <c r="D27" s="12">
        <f>E13</f>
        <v>8.5</v>
      </c>
      <c r="E27" s="12">
        <f t="shared" si="2"/>
        <v>20.25</v>
      </c>
      <c r="F27" s="12">
        <f t="shared" si="3"/>
        <v>2.3823529411764706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0</v>
      </c>
      <c r="D28" s="12">
        <f>F13</f>
        <v>5</v>
      </c>
      <c r="E28" s="12">
        <f t="shared" si="2"/>
        <v>25</v>
      </c>
      <c r="F28" s="12">
        <f t="shared" si="3"/>
        <v>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27.664966583723725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1.4582859888177276E-5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1.4582859888177276E-5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27.664966583723725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B3" sqref="B3:F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12</v>
      </c>
      <c r="C3" s="22">
        <v>33</v>
      </c>
      <c r="D3" s="22">
        <v>31</v>
      </c>
      <c r="E3" s="22">
        <v>14</v>
      </c>
      <c r="F3" s="22">
        <v>3</v>
      </c>
      <c r="G3" s="12">
        <f>SUM(B3:F3)</f>
        <v>93</v>
      </c>
    </row>
    <row r="4" spans="1:7" x14ac:dyDescent="0.25">
      <c r="A4" t="s">
        <v>66</v>
      </c>
      <c r="B4" s="12">
        <v>39</v>
      </c>
      <c r="C4" s="12">
        <v>27</v>
      </c>
      <c r="D4" s="12">
        <v>16</v>
      </c>
      <c r="E4" s="12">
        <v>9</v>
      </c>
      <c r="F4" s="20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51</v>
      </c>
      <c r="C5" s="12">
        <f t="shared" si="0"/>
        <v>60</v>
      </c>
      <c r="D5" s="12">
        <f t="shared" si="0"/>
        <v>47</v>
      </c>
      <c r="E5" s="12">
        <f t="shared" si="0"/>
        <v>23</v>
      </c>
      <c r="F5" s="12">
        <f t="shared" si="0"/>
        <v>5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25.5</v>
      </c>
      <c r="C12" s="6">
        <f>(G3*C5)/G5</f>
        <v>30</v>
      </c>
      <c r="D12" s="6">
        <f>(G3*D5)/G5</f>
        <v>23.5</v>
      </c>
      <c r="E12" s="6">
        <f>(G3*E5)/G5</f>
        <v>11.5</v>
      </c>
      <c r="F12" s="6">
        <f>(G3*F5)/G5</f>
        <v>2.5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25.5</v>
      </c>
      <c r="C13" s="12">
        <f>(G4*C5)/G5</f>
        <v>30</v>
      </c>
      <c r="D13" s="12">
        <f>(G4*D5)/G5</f>
        <v>23.5</v>
      </c>
      <c r="E13" s="12">
        <f>(G4*E5)/G5</f>
        <v>11.5</v>
      </c>
      <c r="F13" s="12">
        <f>(G4*F5)/G5</f>
        <v>2.5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12</v>
      </c>
      <c r="D19" s="12">
        <f>B12</f>
        <v>25.5</v>
      </c>
      <c r="E19" s="12">
        <f>(C19-D19)^2</f>
        <v>182.25</v>
      </c>
      <c r="F19" s="12">
        <f>E19/D19</f>
        <v>7.1470588235294121</v>
      </c>
    </row>
    <row r="20" spans="1:7" x14ac:dyDescent="0.25">
      <c r="A20" t="str">
        <f>A3</f>
        <v xml:space="preserve">Grupo Control - Post Test </v>
      </c>
      <c r="B20" s="12" t="str">
        <f>C2</f>
        <v>b) Frecuente</v>
      </c>
      <c r="C20" s="12">
        <f>C3</f>
        <v>33</v>
      </c>
      <c r="D20" s="12">
        <f>C12</f>
        <v>30</v>
      </c>
      <c r="E20" s="12">
        <f t="shared" ref="E20:E28" si="2">(C20-D20)^2</f>
        <v>9</v>
      </c>
      <c r="F20" s="12">
        <f t="shared" ref="F20:F28" si="3">E20/D20</f>
        <v>0.3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31</v>
      </c>
      <c r="D21" s="12">
        <f>D12</f>
        <v>23.5</v>
      </c>
      <c r="E21" s="12">
        <f t="shared" si="2"/>
        <v>56.25</v>
      </c>
      <c r="F21" s="12">
        <f t="shared" si="3"/>
        <v>2.3936170212765959</v>
      </c>
    </row>
    <row r="22" spans="1:7" x14ac:dyDescent="0.25">
      <c r="A22" t="str">
        <f>A3</f>
        <v xml:space="preserve">Grupo Control - Post Test </v>
      </c>
      <c r="B22" s="12" t="str">
        <f>E2</f>
        <v>d) Raro</v>
      </c>
      <c r="C22" s="12">
        <f>E3</f>
        <v>14</v>
      </c>
      <c r="D22" s="12">
        <f>E12</f>
        <v>11.5</v>
      </c>
      <c r="E22" s="12">
        <f t="shared" si="2"/>
        <v>6.25</v>
      </c>
      <c r="F22" s="12">
        <f t="shared" si="3"/>
        <v>0.54347826086956519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3</v>
      </c>
      <c r="D23" s="12">
        <f>F12</f>
        <v>2.5</v>
      </c>
      <c r="E23" s="12">
        <f t="shared" si="2"/>
        <v>0.25</v>
      </c>
      <c r="F23" s="12">
        <f t="shared" si="3"/>
        <v>0.1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39</v>
      </c>
      <c r="D24" s="12">
        <f>B13</f>
        <v>25.5</v>
      </c>
      <c r="E24" s="12">
        <f t="shared" si="2"/>
        <v>182.25</v>
      </c>
      <c r="F24" s="12">
        <f t="shared" si="3"/>
        <v>7.1470588235294121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27</v>
      </c>
      <c r="D25" s="12">
        <f>C13</f>
        <v>30</v>
      </c>
      <c r="E25" s="12">
        <f t="shared" si="2"/>
        <v>9</v>
      </c>
      <c r="F25" s="12">
        <f t="shared" si="3"/>
        <v>0.3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23.5</v>
      </c>
      <c r="E26" s="12">
        <f t="shared" si="2"/>
        <v>56.25</v>
      </c>
      <c r="F26" s="12">
        <f t="shared" si="3"/>
        <v>2.3936170212765959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9</v>
      </c>
      <c r="D27" s="12">
        <f>E13</f>
        <v>11.5</v>
      </c>
      <c r="E27" s="12">
        <f t="shared" si="2"/>
        <v>6.25</v>
      </c>
      <c r="F27" s="12">
        <f t="shared" si="3"/>
        <v>0.54347826086956519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2.5</v>
      </c>
      <c r="E28" s="12">
        <f t="shared" si="2"/>
        <v>0.25</v>
      </c>
      <c r="F28" s="12">
        <f t="shared" si="3"/>
        <v>0.1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20.96830821135115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3.2128373218938026E-4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3.2128373218938026E-4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20.96830821135115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10" sqref="H10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17</v>
      </c>
      <c r="C3" s="22">
        <v>24</v>
      </c>
      <c r="D3" s="22">
        <v>34</v>
      </c>
      <c r="E3" s="22">
        <v>8</v>
      </c>
      <c r="F3" s="22">
        <v>10</v>
      </c>
      <c r="G3" s="12">
        <f>SUM(B3:F3)</f>
        <v>93</v>
      </c>
    </row>
    <row r="4" spans="1:7" x14ac:dyDescent="0.25">
      <c r="A4" t="s">
        <v>66</v>
      </c>
      <c r="B4" s="12">
        <v>39</v>
      </c>
      <c r="C4" s="12">
        <v>34</v>
      </c>
      <c r="D4" s="12">
        <v>16</v>
      </c>
      <c r="E4" s="12">
        <v>4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56</v>
      </c>
      <c r="C5" s="12">
        <f t="shared" si="0"/>
        <v>58</v>
      </c>
      <c r="D5" s="12">
        <f t="shared" si="0"/>
        <v>50</v>
      </c>
      <c r="E5" s="12">
        <f t="shared" si="0"/>
        <v>12</v>
      </c>
      <c r="F5" s="12">
        <f t="shared" si="0"/>
        <v>10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28</v>
      </c>
      <c r="C12" s="6">
        <f>(G3*C5)/G5</f>
        <v>29</v>
      </c>
      <c r="D12" s="6">
        <f>(G3*D5)/G5</f>
        <v>25</v>
      </c>
      <c r="E12" s="6">
        <f>(G3*E5)/G5</f>
        <v>6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28</v>
      </c>
      <c r="C13" s="12">
        <f>(G4*C5)/G5</f>
        <v>29</v>
      </c>
      <c r="D13" s="12">
        <f>(G4*D5)/G5</f>
        <v>25</v>
      </c>
      <c r="E13" s="12">
        <f>(G4*E5)/G5</f>
        <v>6</v>
      </c>
      <c r="F13" s="12">
        <f>(G4*F5)/G5</f>
        <v>5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17</v>
      </c>
      <c r="D19" s="12">
        <f>B12</f>
        <v>28</v>
      </c>
      <c r="E19" s="12">
        <f>(C19-D19)^2</f>
        <v>121</v>
      </c>
      <c r="F19" s="12">
        <f>E19/D19</f>
        <v>4.3214285714285712</v>
      </c>
    </row>
    <row r="20" spans="1:7" x14ac:dyDescent="0.25">
      <c r="A20" t="str">
        <f>A3</f>
        <v xml:space="preserve">Grupo Control - Post Test </v>
      </c>
      <c r="B20" s="12" t="str">
        <f>C2</f>
        <v>b) Muchas veces</v>
      </c>
      <c r="C20" s="12">
        <f>C3</f>
        <v>24</v>
      </c>
      <c r="D20" s="12">
        <f>C12</f>
        <v>29</v>
      </c>
      <c r="E20" s="12">
        <f t="shared" ref="E20:E28" si="2">(C20-D20)^2</f>
        <v>25</v>
      </c>
      <c r="F20" s="12">
        <f t="shared" ref="F20:F28" si="3">E20/D20</f>
        <v>0.86206896551724133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34</v>
      </c>
      <c r="D21" s="12">
        <f>D12</f>
        <v>25</v>
      </c>
      <c r="E21" s="12">
        <f t="shared" si="2"/>
        <v>81</v>
      </c>
      <c r="F21" s="12">
        <f t="shared" si="3"/>
        <v>3.24</v>
      </c>
    </row>
    <row r="22" spans="1:7" x14ac:dyDescent="0.25">
      <c r="A22" t="str">
        <f>A3</f>
        <v xml:space="preserve">Grupo Control - Post Test </v>
      </c>
      <c r="B22" s="12" t="str">
        <f>E2</f>
        <v>d) Pocas veces</v>
      </c>
      <c r="C22" s="12">
        <f>E3</f>
        <v>8</v>
      </c>
      <c r="D22" s="12">
        <f>E12</f>
        <v>6</v>
      </c>
      <c r="E22" s="12">
        <f t="shared" si="2"/>
        <v>4</v>
      </c>
      <c r="F22" s="12">
        <f t="shared" si="3"/>
        <v>0.66666666666666663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10</v>
      </c>
      <c r="D23" s="12">
        <f>F12</f>
        <v>5</v>
      </c>
      <c r="E23" s="12">
        <f t="shared" si="2"/>
        <v>25</v>
      </c>
      <c r="F23" s="12">
        <f t="shared" si="3"/>
        <v>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39</v>
      </c>
      <c r="D24" s="12">
        <f>B13</f>
        <v>28</v>
      </c>
      <c r="E24" s="12">
        <f t="shared" si="2"/>
        <v>121</v>
      </c>
      <c r="F24" s="12">
        <f t="shared" si="3"/>
        <v>4.3214285714285712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34</v>
      </c>
      <c r="D25" s="12">
        <f>C13</f>
        <v>29</v>
      </c>
      <c r="E25" s="12">
        <f t="shared" si="2"/>
        <v>25</v>
      </c>
      <c r="F25" s="12">
        <f t="shared" si="3"/>
        <v>0.86206896551724133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16</v>
      </c>
      <c r="D26" s="12">
        <f>D13</f>
        <v>25</v>
      </c>
      <c r="E26" s="12">
        <f t="shared" si="2"/>
        <v>81</v>
      </c>
      <c r="F26" s="12">
        <f t="shared" si="3"/>
        <v>3.24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4</v>
      </c>
      <c r="D27" s="12">
        <f>E13</f>
        <v>6</v>
      </c>
      <c r="E27" s="12">
        <f t="shared" si="2"/>
        <v>4</v>
      </c>
      <c r="F27" s="12">
        <f t="shared" si="3"/>
        <v>0.66666666666666663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0</v>
      </c>
      <c r="D28" s="12">
        <f>F13</f>
        <v>5</v>
      </c>
      <c r="E28" s="12">
        <f t="shared" si="2"/>
        <v>25</v>
      </c>
      <c r="F28" s="12">
        <f t="shared" si="3"/>
        <v>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28.180328407224959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1.1466038688687748E-5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1.1466038688687748E-5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28.180328407224959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H4" sqref="H4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56</v>
      </c>
      <c r="C2" s="5" t="s">
        <v>57</v>
      </c>
      <c r="D2" s="5" t="s">
        <v>58</v>
      </c>
      <c r="E2" s="5" t="s">
        <v>59</v>
      </c>
      <c r="F2" s="5" t="s">
        <v>60</v>
      </c>
      <c r="G2" s="5" t="s">
        <v>1</v>
      </c>
    </row>
    <row r="3" spans="1:7" x14ac:dyDescent="0.25">
      <c r="A3" t="s">
        <v>72</v>
      </c>
      <c r="B3" s="22">
        <v>22</v>
      </c>
      <c r="C3" s="22">
        <v>25</v>
      </c>
      <c r="D3" s="22">
        <v>24</v>
      </c>
      <c r="E3" s="22">
        <v>14</v>
      </c>
      <c r="F3" s="22">
        <v>8</v>
      </c>
      <c r="G3" s="12">
        <f>SUM(B3:F3)</f>
        <v>93</v>
      </c>
    </row>
    <row r="4" spans="1:7" x14ac:dyDescent="0.25">
      <c r="A4" t="s">
        <v>66</v>
      </c>
      <c r="B4" s="12">
        <v>41</v>
      </c>
      <c r="C4" s="12">
        <v>29</v>
      </c>
      <c r="D4" s="12">
        <v>18</v>
      </c>
      <c r="E4" s="12">
        <v>5</v>
      </c>
      <c r="F4" s="12">
        <v>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63</v>
      </c>
      <c r="C5" s="12">
        <f t="shared" si="0"/>
        <v>54</v>
      </c>
      <c r="D5" s="12">
        <f t="shared" si="0"/>
        <v>42</v>
      </c>
      <c r="E5" s="12">
        <f t="shared" si="0"/>
        <v>19</v>
      </c>
      <c r="F5" s="12">
        <f t="shared" si="0"/>
        <v>8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31.5</v>
      </c>
      <c r="C12" s="6">
        <f>(G3*C5)/G5</f>
        <v>27</v>
      </c>
      <c r="D12" s="6">
        <f>(G3*D5)/G5</f>
        <v>21</v>
      </c>
      <c r="E12" s="6">
        <f>(G3*E5)/G5</f>
        <v>9.5</v>
      </c>
      <c r="F12" s="6">
        <f>(G3*F5)/G5</f>
        <v>4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31.5</v>
      </c>
      <c r="C13" s="12">
        <f>(G4*C5)/G5</f>
        <v>27</v>
      </c>
      <c r="D13" s="12">
        <f>(G4*D5)/G5</f>
        <v>21</v>
      </c>
      <c r="E13" s="12">
        <f>(G4*E5)/G5</f>
        <v>9.5</v>
      </c>
      <c r="F13" s="12">
        <f>(G4*F5)/G5</f>
        <v>4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81 - 100</v>
      </c>
      <c r="C19" s="12">
        <f>B3</f>
        <v>22</v>
      </c>
      <c r="D19" s="12">
        <f>B12</f>
        <v>31.5</v>
      </c>
      <c r="E19" s="12">
        <f>(C19-D19)^2</f>
        <v>90.25</v>
      </c>
      <c r="F19" s="12">
        <f>E19/D19</f>
        <v>2.8650793650793651</v>
      </c>
    </row>
    <row r="20" spans="1:7" x14ac:dyDescent="0.25">
      <c r="A20" t="str">
        <f>A3</f>
        <v xml:space="preserve">Grupo Control - Post Test </v>
      </c>
      <c r="B20" s="12" t="str">
        <f>C2</f>
        <v>b) 61 – 80</v>
      </c>
      <c r="C20" s="12">
        <f>C3</f>
        <v>25</v>
      </c>
      <c r="D20" s="12">
        <f>C12</f>
        <v>27</v>
      </c>
      <c r="E20" s="12">
        <f t="shared" ref="E20:E28" si="2">(C20-D20)^2</f>
        <v>4</v>
      </c>
      <c r="F20" s="12">
        <f t="shared" ref="F20:F28" si="3">E20/D20</f>
        <v>0.14814814814814814</v>
      </c>
    </row>
    <row r="21" spans="1:7" x14ac:dyDescent="0.25">
      <c r="A21" t="str">
        <f>A3</f>
        <v xml:space="preserve">Grupo Control - Post Test </v>
      </c>
      <c r="B21" s="12" t="str">
        <f>D2</f>
        <v>c) 41 - 60</v>
      </c>
      <c r="C21" s="12">
        <f>D3</f>
        <v>24</v>
      </c>
      <c r="D21" s="12">
        <f>D12</f>
        <v>21</v>
      </c>
      <c r="E21" s="12">
        <f t="shared" si="2"/>
        <v>9</v>
      </c>
      <c r="F21" s="12">
        <f t="shared" si="3"/>
        <v>0.42857142857142855</v>
      </c>
    </row>
    <row r="22" spans="1:7" x14ac:dyDescent="0.25">
      <c r="A22" t="str">
        <f>A3</f>
        <v xml:space="preserve">Grupo Control - Post Test </v>
      </c>
      <c r="B22" s="12" t="str">
        <f>E2</f>
        <v>d) 21 - 40</v>
      </c>
      <c r="C22" s="12">
        <f>E3</f>
        <v>14</v>
      </c>
      <c r="D22" s="12">
        <f>E12</f>
        <v>9.5</v>
      </c>
      <c r="E22" s="12">
        <f t="shared" si="2"/>
        <v>20.25</v>
      </c>
      <c r="F22" s="12">
        <f t="shared" si="3"/>
        <v>2.1315789473684212</v>
      </c>
    </row>
    <row r="23" spans="1:7" x14ac:dyDescent="0.25">
      <c r="A23" t="str">
        <f>A3</f>
        <v xml:space="preserve">Grupo Control - Post Test </v>
      </c>
      <c r="B23" s="12" t="str">
        <f>F2</f>
        <v>e) 0 - 20</v>
      </c>
      <c r="C23" s="12">
        <f>F3</f>
        <v>8</v>
      </c>
      <c r="D23" s="12">
        <f>F12</f>
        <v>4</v>
      </c>
      <c r="E23" s="12">
        <f t="shared" si="2"/>
        <v>16</v>
      </c>
      <c r="F23" s="12">
        <f t="shared" si="3"/>
        <v>4</v>
      </c>
    </row>
    <row r="24" spans="1:7" x14ac:dyDescent="0.25">
      <c r="A24" t="str">
        <f>A4</f>
        <v>Grupo Experimental - Post Test</v>
      </c>
      <c r="B24" s="12" t="str">
        <f>B2</f>
        <v>a) 81 - 100</v>
      </c>
      <c r="C24" s="12">
        <f>B4</f>
        <v>41</v>
      </c>
      <c r="D24" s="12">
        <f>B13</f>
        <v>31.5</v>
      </c>
      <c r="E24" s="12">
        <f t="shared" si="2"/>
        <v>90.25</v>
      </c>
      <c r="F24" s="12">
        <f t="shared" si="3"/>
        <v>2.8650793650793651</v>
      </c>
    </row>
    <row r="25" spans="1:7" x14ac:dyDescent="0.25">
      <c r="A25" t="str">
        <f>A4</f>
        <v>Grupo Experimental - Post Test</v>
      </c>
      <c r="B25" s="12" t="str">
        <f>C2</f>
        <v>b) 61 – 80</v>
      </c>
      <c r="C25" s="12">
        <f>C4</f>
        <v>29</v>
      </c>
      <c r="D25" s="12">
        <f>C13</f>
        <v>27</v>
      </c>
      <c r="E25" s="12">
        <f t="shared" si="2"/>
        <v>4</v>
      </c>
      <c r="F25" s="12">
        <f t="shared" si="3"/>
        <v>0.14814814814814814</v>
      </c>
    </row>
    <row r="26" spans="1:7" x14ac:dyDescent="0.25">
      <c r="A26" t="str">
        <f>A4</f>
        <v>Grupo Experimental - Post Test</v>
      </c>
      <c r="B26" s="12" t="str">
        <f>D2</f>
        <v>c) 41 - 60</v>
      </c>
      <c r="C26" s="12">
        <f>D4</f>
        <v>18</v>
      </c>
      <c r="D26" s="12">
        <f>D13</f>
        <v>21</v>
      </c>
      <c r="E26" s="12">
        <f t="shared" si="2"/>
        <v>9</v>
      </c>
      <c r="F26" s="12">
        <f t="shared" si="3"/>
        <v>0.42857142857142855</v>
      </c>
    </row>
    <row r="27" spans="1:7" x14ac:dyDescent="0.25">
      <c r="A27" t="str">
        <f>A4</f>
        <v>Grupo Experimental - Post Test</v>
      </c>
      <c r="B27" s="12" t="str">
        <f>E2</f>
        <v>d) 21 - 40</v>
      </c>
      <c r="C27" s="12">
        <f>E4</f>
        <v>5</v>
      </c>
      <c r="D27" s="12">
        <f>E13</f>
        <v>9.5</v>
      </c>
      <c r="E27" s="12">
        <f t="shared" si="2"/>
        <v>20.25</v>
      </c>
      <c r="F27" s="12">
        <f t="shared" si="3"/>
        <v>2.1315789473684212</v>
      </c>
    </row>
    <row r="28" spans="1:7" x14ac:dyDescent="0.25">
      <c r="A28" t="str">
        <f>A4</f>
        <v>Grupo Experimental - Post Test</v>
      </c>
      <c r="B28" s="12" t="str">
        <f>F2</f>
        <v>e) 0 - 20</v>
      </c>
      <c r="C28" s="12">
        <f>F4</f>
        <v>0</v>
      </c>
      <c r="D28" s="12">
        <f>F13</f>
        <v>4</v>
      </c>
      <c r="E28" s="12">
        <f t="shared" si="2"/>
        <v>16</v>
      </c>
      <c r="F28" s="12">
        <f t="shared" si="3"/>
        <v>4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19.146755778334729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7.3544222935210154E-4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7.3544222935210154E-4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19.146755778334729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J30" sqref="J30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1</v>
      </c>
    </row>
    <row r="3" spans="1:7" x14ac:dyDescent="0.25">
      <c r="A3" t="s">
        <v>72</v>
      </c>
      <c r="B3" s="22">
        <v>15</v>
      </c>
      <c r="C3" s="22">
        <v>23</v>
      </c>
      <c r="D3" s="22">
        <v>34</v>
      </c>
      <c r="E3" s="22">
        <v>15</v>
      </c>
      <c r="F3" s="22">
        <v>6</v>
      </c>
      <c r="G3" s="12">
        <f>SUM(B3:F3)</f>
        <v>93</v>
      </c>
    </row>
    <row r="4" spans="1:7" x14ac:dyDescent="0.25">
      <c r="A4" t="s">
        <v>66</v>
      </c>
      <c r="B4" s="12">
        <v>51</v>
      </c>
      <c r="C4" s="12">
        <v>22</v>
      </c>
      <c r="D4" s="12">
        <v>14</v>
      </c>
      <c r="E4" s="12">
        <v>4</v>
      </c>
      <c r="F4" s="12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66</v>
      </c>
      <c r="C5" s="12">
        <f t="shared" si="0"/>
        <v>45</v>
      </c>
      <c r="D5" s="12">
        <f t="shared" si="0"/>
        <v>48</v>
      </c>
      <c r="E5" s="12">
        <f t="shared" si="0"/>
        <v>19</v>
      </c>
      <c r="F5" s="12">
        <f t="shared" si="0"/>
        <v>8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33</v>
      </c>
      <c r="C12" s="6">
        <f>(G3*C5)/G5</f>
        <v>22.5</v>
      </c>
      <c r="D12" s="6">
        <f>(G3*D5)/G5</f>
        <v>24</v>
      </c>
      <c r="E12" s="6">
        <f>(G3*E5)/G5</f>
        <v>9.5</v>
      </c>
      <c r="F12" s="6">
        <f>(G3*F5)/G5</f>
        <v>4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33</v>
      </c>
      <c r="C13" s="12">
        <f>(G4*C5)/G5</f>
        <v>22.5</v>
      </c>
      <c r="D13" s="12">
        <f>(G4*D5)/G5</f>
        <v>24</v>
      </c>
      <c r="E13" s="12">
        <f>(G4*E5)/G5</f>
        <v>9.5</v>
      </c>
      <c r="F13" s="12">
        <f>(G4*F5)/G5</f>
        <v>4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Muy Bueno</v>
      </c>
      <c r="C19" s="12">
        <f>B3</f>
        <v>15</v>
      </c>
      <c r="D19" s="12">
        <f>B12</f>
        <v>33</v>
      </c>
      <c r="E19" s="12">
        <f>(C19-D19)^2</f>
        <v>324</v>
      </c>
      <c r="F19" s="12">
        <f>E19/D19</f>
        <v>9.8181818181818183</v>
      </c>
    </row>
    <row r="20" spans="1:7" x14ac:dyDescent="0.25">
      <c r="A20" t="str">
        <f>A3</f>
        <v xml:space="preserve">Grupo Control - Post Test </v>
      </c>
      <c r="B20" s="12" t="str">
        <f>C2</f>
        <v>b) bueno</v>
      </c>
      <c r="C20" s="12">
        <f>C3</f>
        <v>23</v>
      </c>
      <c r="D20" s="12">
        <f>C12</f>
        <v>22.5</v>
      </c>
      <c r="E20" s="12">
        <f t="shared" ref="E20:E28" si="2">(C20-D20)^2</f>
        <v>0.25</v>
      </c>
      <c r="F20" s="12">
        <f t="shared" ref="F20:F28" si="3">E20/D20</f>
        <v>1.1111111111111112E-2</v>
      </c>
    </row>
    <row r="21" spans="1:7" x14ac:dyDescent="0.25">
      <c r="A21" t="str">
        <f>A3</f>
        <v xml:space="preserve">Grupo Control - Post Test </v>
      </c>
      <c r="B21" s="12" t="str">
        <f>D2</f>
        <v>c) Regular</v>
      </c>
      <c r="C21" s="12">
        <f>D3</f>
        <v>34</v>
      </c>
      <c r="D21" s="12">
        <f>D12</f>
        <v>24</v>
      </c>
      <c r="E21" s="12">
        <f t="shared" si="2"/>
        <v>100</v>
      </c>
      <c r="F21" s="12">
        <f t="shared" si="3"/>
        <v>4.166666666666667</v>
      </c>
    </row>
    <row r="22" spans="1:7" x14ac:dyDescent="0.25">
      <c r="A22" t="str">
        <f>A3</f>
        <v xml:space="preserve">Grupo Control - Post Test </v>
      </c>
      <c r="B22" s="12" t="str">
        <f>E2</f>
        <v>d) Malo</v>
      </c>
      <c r="C22" s="12">
        <f>E3</f>
        <v>15</v>
      </c>
      <c r="D22" s="12">
        <f>E12</f>
        <v>9.5</v>
      </c>
      <c r="E22" s="12">
        <f t="shared" si="2"/>
        <v>30.25</v>
      </c>
      <c r="F22" s="12">
        <f t="shared" si="3"/>
        <v>3.1842105263157894</v>
      </c>
    </row>
    <row r="23" spans="1:7" x14ac:dyDescent="0.25">
      <c r="A23" t="str">
        <f>A3</f>
        <v xml:space="preserve">Grupo Control - Post Test </v>
      </c>
      <c r="B23" s="12" t="str">
        <f>F2</f>
        <v>e) Muy malo</v>
      </c>
      <c r="C23" s="12">
        <f>F3</f>
        <v>6</v>
      </c>
      <c r="D23" s="12">
        <f>F12</f>
        <v>4</v>
      </c>
      <c r="E23" s="12">
        <f t="shared" si="2"/>
        <v>4</v>
      </c>
      <c r="F23" s="12">
        <f t="shared" si="3"/>
        <v>1</v>
      </c>
    </row>
    <row r="24" spans="1:7" x14ac:dyDescent="0.25">
      <c r="A24" t="str">
        <f>A4</f>
        <v>Grupo Experimental - Post Test</v>
      </c>
      <c r="B24" s="12" t="str">
        <f>B2</f>
        <v>a) Muy Bueno</v>
      </c>
      <c r="C24" s="12">
        <f>B4</f>
        <v>51</v>
      </c>
      <c r="D24" s="12">
        <f>B13</f>
        <v>33</v>
      </c>
      <c r="E24" s="12">
        <f t="shared" si="2"/>
        <v>324</v>
      </c>
      <c r="F24" s="12">
        <f t="shared" si="3"/>
        <v>9.8181818181818183</v>
      </c>
    </row>
    <row r="25" spans="1:7" x14ac:dyDescent="0.25">
      <c r="A25" t="str">
        <f>A4</f>
        <v>Grupo Experimental - Post Test</v>
      </c>
      <c r="B25" s="12" t="str">
        <f>C2</f>
        <v>b) bueno</v>
      </c>
      <c r="C25" s="12">
        <f>C4</f>
        <v>22</v>
      </c>
      <c r="D25" s="12">
        <f>C13</f>
        <v>22.5</v>
      </c>
      <c r="E25" s="12">
        <f t="shared" si="2"/>
        <v>0.25</v>
      </c>
      <c r="F25" s="12">
        <f t="shared" si="3"/>
        <v>1.1111111111111112E-2</v>
      </c>
    </row>
    <row r="26" spans="1:7" x14ac:dyDescent="0.25">
      <c r="A26" t="str">
        <f>A4</f>
        <v>Grupo Experimental - Post Test</v>
      </c>
      <c r="B26" s="12" t="str">
        <f>D2</f>
        <v>c) Regular</v>
      </c>
      <c r="C26" s="12">
        <f>D4</f>
        <v>14</v>
      </c>
      <c r="D26" s="12">
        <f>D13</f>
        <v>24</v>
      </c>
      <c r="E26" s="12">
        <f t="shared" si="2"/>
        <v>100</v>
      </c>
      <c r="F26" s="12">
        <f t="shared" si="3"/>
        <v>4.166666666666667</v>
      </c>
    </row>
    <row r="27" spans="1:7" x14ac:dyDescent="0.25">
      <c r="A27" t="str">
        <f>A4</f>
        <v>Grupo Experimental - Post Test</v>
      </c>
      <c r="B27" s="12" t="str">
        <f>E2</f>
        <v>d) Malo</v>
      </c>
      <c r="C27" s="12">
        <f>E4</f>
        <v>4</v>
      </c>
      <c r="D27" s="12">
        <f>E13</f>
        <v>9.5</v>
      </c>
      <c r="E27" s="12">
        <f t="shared" si="2"/>
        <v>30.25</v>
      </c>
      <c r="F27" s="12">
        <f t="shared" si="3"/>
        <v>3.1842105263157894</v>
      </c>
    </row>
    <row r="28" spans="1:7" x14ac:dyDescent="0.25">
      <c r="A28" t="str">
        <f>A4</f>
        <v>Grupo Experimental - Post Test</v>
      </c>
      <c r="B28" s="12" t="str">
        <f>F2</f>
        <v>e) Muy malo</v>
      </c>
      <c r="C28" s="12">
        <f>F4</f>
        <v>2</v>
      </c>
      <c r="D28" s="12">
        <f>F13</f>
        <v>4</v>
      </c>
      <c r="E28" s="12">
        <f t="shared" si="2"/>
        <v>4</v>
      </c>
      <c r="F28" s="12">
        <f t="shared" si="3"/>
        <v>1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36.36034024455077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2.4395228523664082E-7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2.4395228523664082E-7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36.36034024455077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J12" sqref="J12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54</v>
      </c>
      <c r="D2" s="5" t="s">
        <v>31</v>
      </c>
      <c r="E2" s="5" t="s">
        <v>55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13</v>
      </c>
      <c r="C3" s="22">
        <v>23</v>
      </c>
      <c r="D3" s="22">
        <v>39</v>
      </c>
      <c r="E3" s="22">
        <v>14</v>
      </c>
      <c r="F3" s="22">
        <v>4</v>
      </c>
      <c r="G3" s="12">
        <f>SUM(B3:F3)</f>
        <v>93</v>
      </c>
    </row>
    <row r="4" spans="1:7" x14ac:dyDescent="0.25">
      <c r="A4" t="s">
        <v>66</v>
      </c>
      <c r="B4" s="12">
        <v>37</v>
      </c>
      <c r="C4" s="12">
        <v>30</v>
      </c>
      <c r="D4" s="12">
        <v>18</v>
      </c>
      <c r="E4" s="12">
        <v>3</v>
      </c>
      <c r="F4" s="12">
        <v>5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50</v>
      </c>
      <c r="C5" s="12">
        <f t="shared" si="0"/>
        <v>53</v>
      </c>
      <c r="D5" s="12">
        <f t="shared" si="0"/>
        <v>57</v>
      </c>
      <c r="E5" s="12">
        <f t="shared" si="0"/>
        <v>17</v>
      </c>
      <c r="F5" s="12">
        <f t="shared" si="0"/>
        <v>9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25</v>
      </c>
      <c r="C12" s="6">
        <f>(G3*C5)/G5</f>
        <v>26.5</v>
      </c>
      <c r="D12" s="6">
        <f>(G3*D5)/G5</f>
        <v>28.5</v>
      </c>
      <c r="E12" s="6">
        <f>(G3*E5)/G5</f>
        <v>8.5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25</v>
      </c>
      <c r="C13" s="12">
        <f>(G4*C5)/G5</f>
        <v>26.5</v>
      </c>
      <c r="D13" s="12">
        <f>(G4*D5)/G5</f>
        <v>28.5</v>
      </c>
      <c r="E13" s="12">
        <f>(G4*E5)/G5</f>
        <v>8.5</v>
      </c>
      <c r="F13" s="12">
        <f>(G4*F5)/G5</f>
        <v>4.5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13</v>
      </c>
      <c r="D19" s="12">
        <f>B12</f>
        <v>25</v>
      </c>
      <c r="E19" s="12">
        <f>(C19-D19)^2</f>
        <v>144</v>
      </c>
      <c r="F19" s="12">
        <f>E19/D19</f>
        <v>5.76</v>
      </c>
    </row>
    <row r="20" spans="1:7" x14ac:dyDescent="0.25">
      <c r="A20" t="str">
        <f>A3</f>
        <v xml:space="preserve">Grupo Control - Post Test </v>
      </c>
      <c r="B20" s="12" t="str">
        <f>C2</f>
        <v>b) Muchas veces</v>
      </c>
      <c r="C20" s="12">
        <f>C3</f>
        <v>23</v>
      </c>
      <c r="D20" s="12">
        <f>C12</f>
        <v>26.5</v>
      </c>
      <c r="E20" s="12">
        <f t="shared" ref="E20:E28" si="2">(C20-D20)^2</f>
        <v>12.25</v>
      </c>
      <c r="F20" s="12">
        <f t="shared" ref="F20:F28" si="3">E20/D20</f>
        <v>0.46226415094339623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39</v>
      </c>
      <c r="D21" s="12">
        <f>D12</f>
        <v>28.5</v>
      </c>
      <c r="E21" s="12">
        <f t="shared" si="2"/>
        <v>110.25</v>
      </c>
      <c r="F21" s="12">
        <f t="shared" si="3"/>
        <v>3.8684210526315788</v>
      </c>
    </row>
    <row r="22" spans="1:7" x14ac:dyDescent="0.25">
      <c r="A22" t="str">
        <f>A3</f>
        <v xml:space="preserve">Grupo Control - Post Test </v>
      </c>
      <c r="B22" s="12" t="str">
        <f>E2</f>
        <v>d) Pocas veces</v>
      </c>
      <c r="C22" s="12">
        <f>E3</f>
        <v>14</v>
      </c>
      <c r="D22" s="12">
        <f>E12</f>
        <v>8.5</v>
      </c>
      <c r="E22" s="12">
        <f t="shared" si="2"/>
        <v>30.25</v>
      </c>
      <c r="F22" s="12">
        <f t="shared" si="3"/>
        <v>3.5588235294117645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4</v>
      </c>
      <c r="D23" s="12">
        <f>F12</f>
        <v>4.5</v>
      </c>
      <c r="E23" s="12">
        <f t="shared" si="2"/>
        <v>0.25</v>
      </c>
      <c r="F23" s="12">
        <f t="shared" si="3"/>
        <v>5.5555555555555552E-2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37</v>
      </c>
      <c r="D24" s="12">
        <f>B13</f>
        <v>25</v>
      </c>
      <c r="E24" s="12">
        <f t="shared" si="2"/>
        <v>144</v>
      </c>
      <c r="F24" s="12">
        <f t="shared" si="3"/>
        <v>5.76</v>
      </c>
    </row>
    <row r="25" spans="1:7" x14ac:dyDescent="0.25">
      <c r="A25" t="str">
        <f>A4</f>
        <v>Grupo Experimental - Post Test</v>
      </c>
      <c r="B25" s="12" t="str">
        <f>C2</f>
        <v>b) Muchas veces</v>
      </c>
      <c r="C25" s="12">
        <f>C4</f>
        <v>30</v>
      </c>
      <c r="D25" s="12">
        <f>C13</f>
        <v>26.5</v>
      </c>
      <c r="E25" s="12">
        <f t="shared" si="2"/>
        <v>12.25</v>
      </c>
      <c r="F25" s="12">
        <f t="shared" si="3"/>
        <v>0.46226415094339623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18</v>
      </c>
      <c r="D26" s="12">
        <f>D13</f>
        <v>28.5</v>
      </c>
      <c r="E26" s="12">
        <f t="shared" si="2"/>
        <v>110.25</v>
      </c>
      <c r="F26" s="12">
        <f t="shared" si="3"/>
        <v>3.8684210526315788</v>
      </c>
    </row>
    <row r="27" spans="1:7" x14ac:dyDescent="0.25">
      <c r="A27" t="str">
        <f>A4</f>
        <v>Grupo Experimental - Post Test</v>
      </c>
      <c r="B27" s="12" t="str">
        <f>E2</f>
        <v>d) Pocas veces</v>
      </c>
      <c r="C27" s="12">
        <f>E4</f>
        <v>3</v>
      </c>
      <c r="D27" s="12">
        <f>E13</f>
        <v>8.5</v>
      </c>
      <c r="E27" s="12">
        <f t="shared" si="2"/>
        <v>30.25</v>
      </c>
      <c r="F27" s="12">
        <f t="shared" si="3"/>
        <v>3.5588235294117645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5</v>
      </c>
      <c r="D28" s="12">
        <f>F13</f>
        <v>4.5</v>
      </c>
      <c r="E28" s="12">
        <f t="shared" si="2"/>
        <v>0.25</v>
      </c>
      <c r="F28" s="12">
        <f t="shared" si="3"/>
        <v>5.5555555555555552E-2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27.410128577084592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1.6422267910939215E-5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1.6422267910939215E-5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27.410128577084592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activeCell="B3" sqref="B3:F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18</v>
      </c>
      <c r="C3" s="22">
        <v>25</v>
      </c>
      <c r="D3" s="22">
        <v>33</v>
      </c>
      <c r="E3" s="22">
        <v>10</v>
      </c>
      <c r="F3" s="22">
        <v>7</v>
      </c>
      <c r="G3" s="12">
        <f>SUM(B3:F3)</f>
        <v>93</v>
      </c>
    </row>
    <row r="4" spans="1:7" x14ac:dyDescent="0.25">
      <c r="A4" t="s">
        <v>66</v>
      </c>
      <c r="B4" s="12">
        <v>42</v>
      </c>
      <c r="C4" s="12">
        <v>35</v>
      </c>
      <c r="D4" s="12">
        <v>10</v>
      </c>
      <c r="E4" s="12">
        <v>5</v>
      </c>
      <c r="F4" s="12">
        <v>1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60</v>
      </c>
      <c r="C5" s="12">
        <f t="shared" si="0"/>
        <v>60</v>
      </c>
      <c r="D5" s="12">
        <f t="shared" si="0"/>
        <v>43</v>
      </c>
      <c r="E5" s="12">
        <f t="shared" si="0"/>
        <v>15</v>
      </c>
      <c r="F5" s="12">
        <f t="shared" si="0"/>
        <v>8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30</v>
      </c>
      <c r="C12" s="6">
        <f>(G3*C5)/G5</f>
        <v>30</v>
      </c>
      <c r="D12" s="6">
        <f>(G3*D5)/G5</f>
        <v>21.5</v>
      </c>
      <c r="E12" s="6">
        <f>(G3*E5)/G5</f>
        <v>7.5</v>
      </c>
      <c r="F12" s="6">
        <f>(G3*F5)/G5</f>
        <v>4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30</v>
      </c>
      <c r="C13" s="12">
        <f>(G4*C5)/G5</f>
        <v>30</v>
      </c>
      <c r="D13" s="12">
        <f>(G4*D5)/G5</f>
        <v>21.5</v>
      </c>
      <c r="E13" s="12">
        <f>(G4*E5)/G5</f>
        <v>7.5</v>
      </c>
      <c r="F13" s="12">
        <f>(G4*F5)/G5</f>
        <v>4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18</v>
      </c>
      <c r="D19" s="12">
        <f>B12</f>
        <v>30</v>
      </c>
      <c r="E19" s="12">
        <f>(C19-D19)^2</f>
        <v>144</v>
      </c>
      <c r="F19" s="12">
        <f>E19/D19</f>
        <v>4.8</v>
      </c>
    </row>
    <row r="20" spans="1:7" x14ac:dyDescent="0.25">
      <c r="A20" t="str">
        <f>A3</f>
        <v xml:space="preserve">Grupo Control - Post Test </v>
      </c>
      <c r="B20" s="12" t="str">
        <f>C2</f>
        <v>b) Frecuente</v>
      </c>
      <c r="C20" s="12">
        <f>C3</f>
        <v>25</v>
      </c>
      <c r="D20" s="12">
        <f>C12</f>
        <v>30</v>
      </c>
      <c r="E20" s="12">
        <f t="shared" ref="E20:E28" si="2">(C20-D20)^2</f>
        <v>25</v>
      </c>
      <c r="F20" s="12">
        <f t="shared" ref="F20:F28" si="3">E20/D20</f>
        <v>0.83333333333333337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33</v>
      </c>
      <c r="D21" s="12">
        <f>D12</f>
        <v>21.5</v>
      </c>
      <c r="E21" s="12">
        <f t="shared" si="2"/>
        <v>132.25</v>
      </c>
      <c r="F21" s="12">
        <f t="shared" si="3"/>
        <v>6.1511627906976747</v>
      </c>
    </row>
    <row r="22" spans="1:7" x14ac:dyDescent="0.25">
      <c r="A22" t="str">
        <f>A3</f>
        <v xml:space="preserve">Grupo Control - Post Test </v>
      </c>
      <c r="B22" s="12" t="str">
        <f>E2</f>
        <v>d) Raro</v>
      </c>
      <c r="C22" s="12">
        <f>E3</f>
        <v>10</v>
      </c>
      <c r="D22" s="12">
        <f>E12</f>
        <v>7.5</v>
      </c>
      <c r="E22" s="12">
        <f t="shared" si="2"/>
        <v>6.25</v>
      </c>
      <c r="F22" s="12">
        <f t="shared" si="3"/>
        <v>0.83333333333333337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7</v>
      </c>
      <c r="D23" s="12">
        <f>F12</f>
        <v>4</v>
      </c>
      <c r="E23" s="12">
        <f t="shared" si="2"/>
        <v>9</v>
      </c>
      <c r="F23" s="12">
        <f t="shared" si="3"/>
        <v>2.25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42</v>
      </c>
      <c r="D24" s="12">
        <f>B13</f>
        <v>30</v>
      </c>
      <c r="E24" s="12">
        <f t="shared" si="2"/>
        <v>144</v>
      </c>
      <c r="F24" s="12">
        <f t="shared" si="3"/>
        <v>4.8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35</v>
      </c>
      <c r="D25" s="12">
        <f>C13</f>
        <v>30</v>
      </c>
      <c r="E25" s="12">
        <f t="shared" si="2"/>
        <v>25</v>
      </c>
      <c r="F25" s="12">
        <f t="shared" si="3"/>
        <v>0.83333333333333337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10</v>
      </c>
      <c r="D26" s="12">
        <f>D13</f>
        <v>21.5</v>
      </c>
      <c r="E26" s="12">
        <f t="shared" si="2"/>
        <v>132.25</v>
      </c>
      <c r="F26" s="12">
        <f t="shared" si="3"/>
        <v>6.1511627906976747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5</v>
      </c>
      <c r="D27" s="12">
        <f>E13</f>
        <v>7.5</v>
      </c>
      <c r="E27" s="12">
        <f t="shared" si="2"/>
        <v>6.25</v>
      </c>
      <c r="F27" s="12">
        <f t="shared" si="3"/>
        <v>0.83333333333333337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1</v>
      </c>
      <c r="D28" s="12">
        <f>F13</f>
        <v>4</v>
      </c>
      <c r="E28" s="12">
        <f t="shared" si="2"/>
        <v>9</v>
      </c>
      <c r="F28" s="12">
        <f t="shared" si="3"/>
        <v>2.25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29.735658914728681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5.5398911669534622E-6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5.5398911669534622E-6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29.735658914728681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I11" sqref="I1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8" t="s">
        <v>7</v>
      </c>
      <c r="B1" s="29"/>
      <c r="C1" s="29"/>
      <c r="D1" s="29"/>
      <c r="E1" s="29"/>
      <c r="F1" s="29"/>
      <c r="G1" s="30"/>
    </row>
    <row r="2" spans="1:7" x14ac:dyDescent="0.25">
      <c r="A2" s="1" t="s">
        <v>0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1</v>
      </c>
    </row>
    <row r="3" spans="1:7" x14ac:dyDescent="0.25">
      <c r="A3" t="s">
        <v>72</v>
      </c>
      <c r="B3" s="22">
        <v>17</v>
      </c>
      <c r="C3" s="22">
        <v>23</v>
      </c>
      <c r="D3" s="22">
        <v>24</v>
      </c>
      <c r="E3" s="22">
        <v>23</v>
      </c>
      <c r="F3" s="22">
        <v>6</v>
      </c>
      <c r="G3" s="12">
        <f>SUM(B3:F3)</f>
        <v>93</v>
      </c>
    </row>
    <row r="4" spans="1:7" x14ac:dyDescent="0.25">
      <c r="A4" t="s">
        <v>66</v>
      </c>
      <c r="B4" s="12">
        <v>40</v>
      </c>
      <c r="C4" s="12">
        <v>32</v>
      </c>
      <c r="D4" s="12">
        <v>12</v>
      </c>
      <c r="E4" s="12">
        <v>7</v>
      </c>
      <c r="F4" s="12">
        <v>2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57</v>
      </c>
      <c r="C5" s="12">
        <f t="shared" si="0"/>
        <v>55</v>
      </c>
      <c r="D5" s="12">
        <f t="shared" si="0"/>
        <v>36</v>
      </c>
      <c r="E5" s="12">
        <f t="shared" si="0"/>
        <v>30</v>
      </c>
      <c r="F5" s="12">
        <f t="shared" si="0"/>
        <v>8</v>
      </c>
      <c r="G5" s="12">
        <f t="shared" si="0"/>
        <v>186</v>
      </c>
    </row>
    <row r="7" spans="1:7" x14ac:dyDescent="0.25">
      <c r="A7" s="28" t="s">
        <v>8</v>
      </c>
      <c r="B7" s="29"/>
      <c r="C7" s="29"/>
      <c r="D7" s="29"/>
      <c r="E7" s="29"/>
      <c r="F7" s="29"/>
      <c r="G7" s="30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Post Test </v>
      </c>
      <c r="B12" s="6">
        <f>(G3*B5)/G5</f>
        <v>28.5</v>
      </c>
      <c r="C12" s="6">
        <f>(G3*C5)/G5</f>
        <v>27.5</v>
      </c>
      <c r="D12" s="6">
        <f>(G3*D5)/G5</f>
        <v>18</v>
      </c>
      <c r="E12" s="6">
        <f>(G3*E5)/G5</f>
        <v>15</v>
      </c>
      <c r="F12" s="6">
        <f>(G3*F5)/G5</f>
        <v>4</v>
      </c>
      <c r="G12" s="6">
        <f>SUM(B12:F12)</f>
        <v>93</v>
      </c>
    </row>
    <row r="13" spans="1:7" x14ac:dyDescent="0.25">
      <c r="A13" t="str">
        <f>A4</f>
        <v>Grupo Experimental - Post Test</v>
      </c>
      <c r="B13" s="12">
        <f>(G4*B5)/G5</f>
        <v>28.5</v>
      </c>
      <c r="C13" s="12">
        <f>(G4*C5)/G5</f>
        <v>27.5</v>
      </c>
      <c r="D13" s="12">
        <f>(G4*D5)/G5</f>
        <v>18</v>
      </c>
      <c r="E13" s="12">
        <f>(G4*E5)/G5</f>
        <v>15</v>
      </c>
      <c r="F13" s="12">
        <f>(G4*F5)/G5</f>
        <v>4</v>
      </c>
      <c r="G13" s="12">
        <f>SUM(B13:F13)</f>
        <v>93</v>
      </c>
    </row>
    <row r="16" spans="1:7" x14ac:dyDescent="0.25">
      <c r="A16" s="28" t="s">
        <v>3</v>
      </c>
      <c r="B16" s="29"/>
      <c r="C16" s="29"/>
      <c r="D16" s="29"/>
      <c r="E16" s="29"/>
      <c r="F16" s="29"/>
      <c r="G16" s="30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Post Test </v>
      </c>
      <c r="B19" s="12" t="str">
        <f>B2</f>
        <v>a) Siempre</v>
      </c>
      <c r="C19" s="12">
        <f>B3</f>
        <v>17</v>
      </c>
      <c r="D19" s="12">
        <f>B12</f>
        <v>28.5</v>
      </c>
      <c r="E19" s="12">
        <f>(C19-D19)^2</f>
        <v>132.25</v>
      </c>
      <c r="F19" s="12">
        <f>E19/D19</f>
        <v>4.6403508771929829</v>
      </c>
    </row>
    <row r="20" spans="1:7" x14ac:dyDescent="0.25">
      <c r="A20" t="str">
        <f>A3</f>
        <v xml:space="preserve">Grupo Control - Post Test </v>
      </c>
      <c r="B20" s="12" t="str">
        <f>C2</f>
        <v>b) Frecuente</v>
      </c>
      <c r="C20" s="12">
        <f>C3</f>
        <v>23</v>
      </c>
      <c r="D20" s="12">
        <f>C12</f>
        <v>27.5</v>
      </c>
      <c r="E20" s="12">
        <f t="shared" ref="E20:E28" si="2">(C20-D20)^2</f>
        <v>20.25</v>
      </c>
      <c r="F20" s="12">
        <f t="shared" ref="F20:F28" si="3">E20/D20</f>
        <v>0.73636363636363633</v>
      </c>
    </row>
    <row r="21" spans="1:7" x14ac:dyDescent="0.25">
      <c r="A21" t="str">
        <f>A3</f>
        <v xml:space="preserve">Grupo Control - Post Test </v>
      </c>
      <c r="B21" s="12" t="str">
        <f>D2</f>
        <v>c) A veces</v>
      </c>
      <c r="C21" s="12">
        <f>D3</f>
        <v>24</v>
      </c>
      <c r="D21" s="12">
        <f>D12</f>
        <v>18</v>
      </c>
      <c r="E21" s="12">
        <f t="shared" si="2"/>
        <v>36</v>
      </c>
      <c r="F21" s="12">
        <f t="shared" si="3"/>
        <v>2</v>
      </c>
    </row>
    <row r="22" spans="1:7" x14ac:dyDescent="0.25">
      <c r="A22" t="str">
        <f>A3</f>
        <v xml:space="preserve">Grupo Control - Post Test </v>
      </c>
      <c r="B22" s="12" t="str">
        <f>E2</f>
        <v>d) Raro</v>
      </c>
      <c r="C22" s="12">
        <f>E3</f>
        <v>23</v>
      </c>
      <c r="D22" s="12">
        <f>E12</f>
        <v>15</v>
      </c>
      <c r="E22" s="12">
        <f t="shared" si="2"/>
        <v>64</v>
      </c>
      <c r="F22" s="12">
        <f t="shared" si="3"/>
        <v>4.2666666666666666</v>
      </c>
    </row>
    <row r="23" spans="1:7" x14ac:dyDescent="0.25">
      <c r="A23" t="str">
        <f>A3</f>
        <v xml:space="preserve">Grupo Control - Post Test </v>
      </c>
      <c r="B23" s="12" t="str">
        <f>F2</f>
        <v>e) Nunca</v>
      </c>
      <c r="C23" s="12">
        <f>F3</f>
        <v>6</v>
      </c>
      <c r="D23" s="12">
        <f>F12</f>
        <v>4</v>
      </c>
      <c r="E23" s="12">
        <f t="shared" si="2"/>
        <v>4</v>
      </c>
      <c r="F23" s="12">
        <f t="shared" si="3"/>
        <v>1</v>
      </c>
    </row>
    <row r="24" spans="1:7" x14ac:dyDescent="0.25">
      <c r="A24" t="str">
        <f>A4</f>
        <v>Grupo Experimental - Post Test</v>
      </c>
      <c r="B24" s="12" t="str">
        <f>B2</f>
        <v>a) Siempre</v>
      </c>
      <c r="C24" s="12">
        <f>B4</f>
        <v>40</v>
      </c>
      <c r="D24" s="12">
        <f>B13</f>
        <v>28.5</v>
      </c>
      <c r="E24" s="12">
        <f t="shared" si="2"/>
        <v>132.25</v>
      </c>
      <c r="F24" s="12">
        <f t="shared" si="3"/>
        <v>4.6403508771929829</v>
      </c>
    </row>
    <row r="25" spans="1:7" x14ac:dyDescent="0.25">
      <c r="A25" t="str">
        <f>A4</f>
        <v>Grupo Experimental - Post Test</v>
      </c>
      <c r="B25" s="12" t="str">
        <f>C2</f>
        <v>b) Frecuente</v>
      </c>
      <c r="C25" s="12">
        <f>C4</f>
        <v>32</v>
      </c>
      <c r="D25" s="12">
        <f>C13</f>
        <v>27.5</v>
      </c>
      <c r="E25" s="12">
        <f t="shared" si="2"/>
        <v>20.25</v>
      </c>
      <c r="F25" s="12">
        <f t="shared" si="3"/>
        <v>0.73636363636363633</v>
      </c>
    </row>
    <row r="26" spans="1:7" x14ac:dyDescent="0.25">
      <c r="A26" t="str">
        <f>A4</f>
        <v>Grupo Experimental - Post Test</v>
      </c>
      <c r="B26" s="12" t="str">
        <f>D2</f>
        <v>c) A veces</v>
      </c>
      <c r="C26" s="12">
        <f>D4</f>
        <v>12</v>
      </c>
      <c r="D26" s="12">
        <f>D13</f>
        <v>18</v>
      </c>
      <c r="E26" s="12">
        <f t="shared" si="2"/>
        <v>36</v>
      </c>
      <c r="F26" s="12">
        <f t="shared" si="3"/>
        <v>2</v>
      </c>
    </row>
    <row r="27" spans="1:7" x14ac:dyDescent="0.25">
      <c r="A27" t="str">
        <f>A4</f>
        <v>Grupo Experimental - Post Test</v>
      </c>
      <c r="B27" s="12" t="str">
        <f>E2</f>
        <v>d) Raro</v>
      </c>
      <c r="C27" s="12">
        <f>E4</f>
        <v>7</v>
      </c>
      <c r="D27" s="12">
        <f>E13</f>
        <v>15</v>
      </c>
      <c r="E27" s="12">
        <f t="shared" si="2"/>
        <v>64</v>
      </c>
      <c r="F27" s="12">
        <f t="shared" si="3"/>
        <v>4.2666666666666666</v>
      </c>
    </row>
    <row r="28" spans="1:7" x14ac:dyDescent="0.25">
      <c r="A28" t="str">
        <f>A4</f>
        <v>Grupo Experimental - Post Test</v>
      </c>
      <c r="B28" s="12" t="str">
        <f>F2</f>
        <v>e) Nunca</v>
      </c>
      <c r="C28" s="12">
        <f>F4</f>
        <v>2</v>
      </c>
      <c r="D28" s="12">
        <f>F13</f>
        <v>4</v>
      </c>
      <c r="E28" s="12">
        <f t="shared" si="2"/>
        <v>4</v>
      </c>
      <c r="F28" s="12">
        <f t="shared" si="3"/>
        <v>1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25.286762360446573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3" t="s">
        <v>11</v>
      </c>
      <c r="B39" s="23"/>
      <c r="C39" s="12">
        <v>2</v>
      </c>
    </row>
    <row r="40" spans="1:7" x14ac:dyDescent="0.25">
      <c r="A40" s="23" t="s">
        <v>12</v>
      </c>
      <c r="B40" s="23"/>
      <c r="C40" s="12">
        <v>5</v>
      </c>
    </row>
    <row r="41" spans="1:7" x14ac:dyDescent="0.25">
      <c r="A41" s="23" t="s">
        <v>14</v>
      </c>
      <c r="B41" s="23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4.4052578505579322E-5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3" t="s">
        <v>35</v>
      </c>
      <c r="B54" s="23"/>
      <c r="C54" s="23"/>
    </row>
    <row r="55" spans="1:7" x14ac:dyDescent="0.25">
      <c r="A55" s="15" t="s">
        <v>53</v>
      </c>
      <c r="B55" s="12">
        <f>B45</f>
        <v>0.05</v>
      </c>
    </row>
    <row r="56" spans="1:7" x14ac:dyDescent="0.25">
      <c r="A56" s="14" t="s">
        <v>19</v>
      </c>
      <c r="B56" s="12">
        <f>B47</f>
        <v>4.4052578505579322E-5</v>
      </c>
    </row>
    <row r="58" spans="1:7" x14ac:dyDescent="0.25">
      <c r="A58" s="23" t="s">
        <v>36</v>
      </c>
      <c r="B58" s="23"/>
      <c r="C58" s="23"/>
    </row>
    <row r="59" spans="1:7" x14ac:dyDescent="0.25">
      <c r="A59" t="s">
        <v>34</v>
      </c>
      <c r="B59" s="12">
        <f>B35</f>
        <v>25.286762360446573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Comprensión 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2026-06-10T20:38:06Z</dcterms:modified>
</cp:coreProperties>
</file>
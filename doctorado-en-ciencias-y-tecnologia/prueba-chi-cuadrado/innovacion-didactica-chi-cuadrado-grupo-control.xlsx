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chi-cuadrado\"/>
    </mc:Choice>
  </mc:AlternateContent>
  <bookViews>
    <workbookView xWindow="0" yWindow="0" windowWidth="28800" windowHeight="12435" tabRatio="929" activeTab="1"/>
  </bookViews>
  <sheets>
    <sheet name="Objetivo" sheetId="2" r:id="rId1"/>
    <sheet name="Resumen" sheetId="11" r:id="rId2"/>
    <sheet name="Participas-actividades" sheetId="12" r:id="rId3"/>
    <sheet name="Comprensión contenidos" sheetId="13" r:id="rId4"/>
    <sheet name="Herramientas-tecnológicas" sheetId="1" r:id="rId5"/>
    <sheet name="Recursos-tecnológicos" sheetId="3" r:id="rId6"/>
    <sheet name="Percepción-evaluaciones" sheetId="4" r:id="rId7"/>
    <sheet name="Retroalimentación-oportuna" sheetId="5" r:id="rId8"/>
    <sheet name="Calificación" sheetId="6" r:id="rId9"/>
    <sheet name="Nivel-comprensión" sheetId="7" r:id="rId10"/>
    <sheet name="Habilidades-tareas" sheetId="8" r:id="rId11"/>
    <sheet name="Resolución-problemas" sheetId="9" r:id="rId12"/>
    <sheet name="Motivación" sheetId="10" r:id="rId13"/>
  </sheets>
  <calcPr calcId="152511"/>
</workbook>
</file>

<file path=xl/calcChain.xml><?xml version="1.0" encoding="utf-8"?>
<calcChain xmlns="http://schemas.openxmlformats.org/spreadsheetml/2006/main">
  <c r="D12" i="11" l="1"/>
  <c r="D11" i="11"/>
  <c r="D10" i="11"/>
  <c r="D9" i="11"/>
  <c r="D8" i="11"/>
  <c r="D7" i="11"/>
  <c r="D6" i="11"/>
  <c r="D5" i="11"/>
  <c r="D4" i="11"/>
  <c r="D3" i="11"/>
  <c r="D2" i="11"/>
  <c r="C12" i="11"/>
  <c r="C11" i="11"/>
  <c r="C10" i="11"/>
  <c r="C9" i="11"/>
  <c r="C8" i="11"/>
  <c r="C7" i="11"/>
  <c r="C6" i="11"/>
  <c r="C5" i="11"/>
  <c r="C4" i="11"/>
  <c r="C3" i="11"/>
  <c r="C2" i="11"/>
  <c r="B12" i="11"/>
  <c r="B11" i="11"/>
  <c r="B10" i="11"/>
  <c r="B9" i="11"/>
  <c r="B8" i="11"/>
  <c r="B7" i="11"/>
  <c r="B6" i="11"/>
  <c r="B5" i="11"/>
  <c r="B4" i="11"/>
  <c r="B3" i="11"/>
  <c r="B2" i="11"/>
  <c r="B47" i="12" l="1"/>
  <c r="D11" i="13"/>
  <c r="B55" i="13"/>
  <c r="C41" i="13"/>
  <c r="B44" i="13" s="1"/>
  <c r="B46" i="13" s="1"/>
  <c r="B60" i="13" s="1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A13" i="13"/>
  <c r="A12" i="13"/>
  <c r="G11" i="13"/>
  <c r="F11" i="13"/>
  <c r="E11" i="13"/>
  <c r="C11" i="13"/>
  <c r="B11" i="13"/>
  <c r="F5" i="13"/>
  <c r="E5" i="13"/>
  <c r="D5" i="13"/>
  <c r="C5" i="13"/>
  <c r="B5" i="13"/>
  <c r="G4" i="13"/>
  <c r="G3" i="13"/>
  <c r="B55" i="12"/>
  <c r="C41" i="12"/>
  <c r="B44" i="12" s="1"/>
  <c r="B46" i="12" s="1"/>
  <c r="B60" i="12" s="1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C20" i="12"/>
  <c r="B20" i="12"/>
  <c r="A20" i="12"/>
  <c r="C19" i="12"/>
  <c r="B19" i="12"/>
  <c r="A19" i="12"/>
  <c r="A13" i="12"/>
  <c r="A12" i="12"/>
  <c r="G11" i="12"/>
  <c r="F11" i="12"/>
  <c r="E11" i="12"/>
  <c r="D11" i="12"/>
  <c r="C11" i="12"/>
  <c r="B11" i="12"/>
  <c r="F5" i="12"/>
  <c r="E5" i="12"/>
  <c r="D5" i="12"/>
  <c r="C5" i="12"/>
  <c r="B5" i="12"/>
  <c r="G4" i="12"/>
  <c r="G3" i="12"/>
  <c r="G5" i="13" l="1"/>
  <c r="F12" i="13" s="1"/>
  <c r="D23" i="13" s="1"/>
  <c r="E23" i="13" s="1"/>
  <c r="F23" i="13" s="1"/>
  <c r="C13" i="13"/>
  <c r="D25" i="13" s="1"/>
  <c r="E25" i="13" s="1"/>
  <c r="F25" i="13" s="1"/>
  <c r="G5" i="12"/>
  <c r="E12" i="12" s="1"/>
  <c r="D22" i="12" s="1"/>
  <c r="E22" i="12" s="1"/>
  <c r="F22" i="12" s="1"/>
  <c r="F12" i="12"/>
  <c r="D23" i="12" s="1"/>
  <c r="E23" i="12" s="1"/>
  <c r="F23" i="12" s="1"/>
  <c r="B13" i="13"/>
  <c r="D12" i="12"/>
  <c r="D21" i="12" s="1"/>
  <c r="E21" i="12" s="1"/>
  <c r="F21" i="12" s="1"/>
  <c r="B55" i="10"/>
  <c r="C41" i="10"/>
  <c r="B44" i="10" s="1"/>
  <c r="B46" i="10" s="1"/>
  <c r="B60" i="10" s="1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A13" i="10"/>
  <c r="A12" i="10"/>
  <c r="G11" i="10"/>
  <c r="F11" i="10"/>
  <c r="E11" i="10"/>
  <c r="D11" i="10"/>
  <c r="C11" i="10"/>
  <c r="B11" i="10"/>
  <c r="F5" i="10"/>
  <c r="E5" i="10"/>
  <c r="D5" i="10"/>
  <c r="C5" i="10"/>
  <c r="B5" i="10"/>
  <c r="G4" i="10"/>
  <c r="G3" i="10"/>
  <c r="B55" i="9"/>
  <c r="C41" i="9"/>
  <c r="B44" i="9" s="1"/>
  <c r="B46" i="9" s="1"/>
  <c r="B60" i="9" s="1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A13" i="9"/>
  <c r="A12" i="9"/>
  <c r="G11" i="9"/>
  <c r="F11" i="9"/>
  <c r="E11" i="9"/>
  <c r="D11" i="9"/>
  <c r="C11" i="9"/>
  <c r="B11" i="9"/>
  <c r="G5" i="9"/>
  <c r="F5" i="9"/>
  <c r="E5" i="9"/>
  <c r="D5" i="9"/>
  <c r="C5" i="9"/>
  <c r="B5" i="9"/>
  <c r="G4" i="9"/>
  <c r="G3" i="9"/>
  <c r="B55" i="8"/>
  <c r="C41" i="8"/>
  <c r="B44" i="8" s="1"/>
  <c r="B46" i="8" s="1"/>
  <c r="B60" i="8" s="1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A13" i="8"/>
  <c r="A12" i="8"/>
  <c r="G11" i="8"/>
  <c r="F11" i="8"/>
  <c r="E11" i="8"/>
  <c r="D11" i="8"/>
  <c r="C11" i="8"/>
  <c r="B11" i="8"/>
  <c r="F5" i="8"/>
  <c r="E5" i="8"/>
  <c r="D5" i="8"/>
  <c r="C5" i="8"/>
  <c r="B5" i="8"/>
  <c r="G4" i="8"/>
  <c r="G5" i="8" s="1"/>
  <c r="G3" i="8"/>
  <c r="B55" i="7"/>
  <c r="C41" i="7"/>
  <c r="B44" i="7" s="1"/>
  <c r="B46" i="7" s="1"/>
  <c r="B60" i="7" s="1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A13" i="7"/>
  <c r="A12" i="7"/>
  <c r="G11" i="7"/>
  <c r="F11" i="7"/>
  <c r="E11" i="7"/>
  <c r="D11" i="7"/>
  <c r="C11" i="7"/>
  <c r="B11" i="7"/>
  <c r="F5" i="7"/>
  <c r="E5" i="7"/>
  <c r="D5" i="7"/>
  <c r="C5" i="7"/>
  <c r="B5" i="7"/>
  <c r="G4" i="7"/>
  <c r="G3" i="7"/>
  <c r="B55" i="6"/>
  <c r="C41" i="6"/>
  <c r="B44" i="6" s="1"/>
  <c r="B46" i="6" s="1"/>
  <c r="B60" i="6" s="1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A13" i="6"/>
  <c r="A12" i="6"/>
  <c r="G11" i="6"/>
  <c r="F11" i="6"/>
  <c r="E11" i="6"/>
  <c r="D11" i="6"/>
  <c r="C11" i="6"/>
  <c r="B11" i="6"/>
  <c r="F5" i="6"/>
  <c r="E5" i="6"/>
  <c r="D5" i="6"/>
  <c r="C5" i="6"/>
  <c r="B5" i="6"/>
  <c r="G4" i="6"/>
  <c r="G3" i="6"/>
  <c r="B55" i="5"/>
  <c r="C41" i="5"/>
  <c r="B44" i="5" s="1"/>
  <c r="B46" i="5" s="1"/>
  <c r="B60" i="5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A13" i="5"/>
  <c r="A12" i="5"/>
  <c r="G11" i="5"/>
  <c r="F11" i="5"/>
  <c r="E11" i="5"/>
  <c r="D11" i="5"/>
  <c r="C11" i="5"/>
  <c r="B11" i="5"/>
  <c r="F5" i="5"/>
  <c r="E5" i="5"/>
  <c r="D5" i="5"/>
  <c r="C5" i="5"/>
  <c r="B5" i="5"/>
  <c r="G4" i="5"/>
  <c r="G3" i="5"/>
  <c r="B55" i="4"/>
  <c r="C41" i="4"/>
  <c r="B44" i="4" s="1"/>
  <c r="B46" i="4" s="1"/>
  <c r="B60" i="4" s="1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A13" i="4"/>
  <c r="A12" i="4"/>
  <c r="G11" i="4"/>
  <c r="F11" i="4"/>
  <c r="E11" i="4"/>
  <c r="D11" i="4"/>
  <c r="C11" i="4"/>
  <c r="B11" i="4"/>
  <c r="F5" i="4"/>
  <c r="E5" i="4"/>
  <c r="D5" i="4"/>
  <c r="C5" i="4"/>
  <c r="B5" i="4"/>
  <c r="G4" i="4"/>
  <c r="G3" i="4"/>
  <c r="B55" i="3"/>
  <c r="C41" i="3"/>
  <c r="B44" i="3" s="1"/>
  <c r="B46" i="3" s="1"/>
  <c r="B60" i="3" s="1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A13" i="3"/>
  <c r="A12" i="3"/>
  <c r="G11" i="3"/>
  <c r="F11" i="3"/>
  <c r="E11" i="3"/>
  <c r="D11" i="3"/>
  <c r="C11" i="3"/>
  <c r="B11" i="3"/>
  <c r="F5" i="3"/>
  <c r="E5" i="3"/>
  <c r="D5" i="3"/>
  <c r="C5" i="3"/>
  <c r="B5" i="3"/>
  <c r="G4" i="3"/>
  <c r="G3" i="3"/>
  <c r="C12" i="13" l="1"/>
  <c r="D20" i="13" s="1"/>
  <c r="E20" i="13" s="1"/>
  <c r="F20" i="13" s="1"/>
  <c r="F13" i="13"/>
  <c r="D28" i="13" s="1"/>
  <c r="E28" i="13" s="1"/>
  <c r="F28" i="13" s="1"/>
  <c r="B12" i="13"/>
  <c r="D13" i="13"/>
  <c r="D26" i="13" s="1"/>
  <c r="E26" i="13" s="1"/>
  <c r="F26" i="13" s="1"/>
  <c r="E13" i="13"/>
  <c r="D27" i="13" s="1"/>
  <c r="E27" i="13" s="1"/>
  <c r="F27" i="13" s="1"/>
  <c r="E12" i="13"/>
  <c r="D22" i="13" s="1"/>
  <c r="E22" i="13" s="1"/>
  <c r="F22" i="13" s="1"/>
  <c r="D12" i="13"/>
  <c r="D21" i="13" s="1"/>
  <c r="E21" i="13" s="1"/>
  <c r="F21" i="13" s="1"/>
  <c r="B12" i="12"/>
  <c r="D19" i="12" s="1"/>
  <c r="E19" i="12" s="1"/>
  <c r="F19" i="12" s="1"/>
  <c r="D13" i="12"/>
  <c r="D26" i="12" s="1"/>
  <c r="E26" i="12" s="1"/>
  <c r="F26" i="12" s="1"/>
  <c r="C12" i="12"/>
  <c r="D20" i="12" s="1"/>
  <c r="E20" i="12" s="1"/>
  <c r="F20" i="12" s="1"/>
  <c r="F13" i="12"/>
  <c r="D28" i="12" s="1"/>
  <c r="E28" i="12" s="1"/>
  <c r="F28" i="12" s="1"/>
  <c r="B13" i="12"/>
  <c r="D24" i="12" s="1"/>
  <c r="E24" i="12" s="1"/>
  <c r="F24" i="12" s="1"/>
  <c r="C13" i="12"/>
  <c r="D25" i="12" s="1"/>
  <c r="E25" i="12" s="1"/>
  <c r="F25" i="12" s="1"/>
  <c r="E13" i="12"/>
  <c r="D27" i="12" s="1"/>
  <c r="E27" i="12" s="1"/>
  <c r="F27" i="12" s="1"/>
  <c r="D24" i="13"/>
  <c r="E24" i="13" s="1"/>
  <c r="F24" i="13" s="1"/>
  <c r="D19" i="13"/>
  <c r="E19" i="13" s="1"/>
  <c r="F19" i="13" s="1"/>
  <c r="G5" i="10"/>
  <c r="B13" i="10" s="1"/>
  <c r="F12" i="9"/>
  <c r="D23" i="9" s="1"/>
  <c r="E23" i="9" s="1"/>
  <c r="F23" i="9" s="1"/>
  <c r="F13" i="9"/>
  <c r="D28" i="9" s="1"/>
  <c r="C13" i="9"/>
  <c r="D25" i="9" s="1"/>
  <c r="E25" i="9" s="1"/>
  <c r="F25" i="9" s="1"/>
  <c r="E12" i="9"/>
  <c r="D22" i="9" s="1"/>
  <c r="E22" i="9" s="1"/>
  <c r="F22" i="9" s="1"/>
  <c r="D13" i="9"/>
  <c r="D26" i="9" s="1"/>
  <c r="E26" i="9" s="1"/>
  <c r="F26" i="9" s="1"/>
  <c r="E28" i="9"/>
  <c r="F28" i="9" s="1"/>
  <c r="B12" i="9"/>
  <c r="C12" i="9"/>
  <c r="D20" i="9" s="1"/>
  <c r="E20" i="9" s="1"/>
  <c r="F20" i="9" s="1"/>
  <c r="D12" i="9"/>
  <c r="D21" i="9" s="1"/>
  <c r="E21" i="9" s="1"/>
  <c r="F21" i="9" s="1"/>
  <c r="E13" i="9"/>
  <c r="D27" i="9" s="1"/>
  <c r="E27" i="9" s="1"/>
  <c r="F27" i="9" s="1"/>
  <c r="B13" i="9"/>
  <c r="C13" i="8"/>
  <c r="D25" i="8" s="1"/>
  <c r="E25" i="8" s="1"/>
  <c r="F25" i="8" s="1"/>
  <c r="F12" i="8"/>
  <c r="D23" i="8" s="1"/>
  <c r="E23" i="8" s="1"/>
  <c r="F23" i="8" s="1"/>
  <c r="E12" i="8"/>
  <c r="D22" i="8" s="1"/>
  <c r="E22" i="8" s="1"/>
  <c r="F22" i="8" s="1"/>
  <c r="D13" i="8"/>
  <c r="D26" i="8" s="1"/>
  <c r="E26" i="8" s="1"/>
  <c r="F26" i="8" s="1"/>
  <c r="F13" i="8"/>
  <c r="D28" i="8" s="1"/>
  <c r="E28" i="8" s="1"/>
  <c r="F28" i="8" s="1"/>
  <c r="B12" i="8"/>
  <c r="C12" i="8"/>
  <c r="D20" i="8" s="1"/>
  <c r="E20" i="8" s="1"/>
  <c r="F20" i="8" s="1"/>
  <c r="D12" i="8"/>
  <c r="D21" i="8" s="1"/>
  <c r="E21" i="8" s="1"/>
  <c r="F21" i="8" s="1"/>
  <c r="E13" i="8"/>
  <c r="D27" i="8" s="1"/>
  <c r="E27" i="8" s="1"/>
  <c r="F27" i="8" s="1"/>
  <c r="B13" i="8"/>
  <c r="G5" i="7"/>
  <c r="F12" i="7" s="1"/>
  <c r="D23" i="7" s="1"/>
  <c r="E23" i="7" s="1"/>
  <c r="F23" i="7" s="1"/>
  <c r="G5" i="6"/>
  <c r="E12" i="6" s="1"/>
  <c r="D22" i="6" s="1"/>
  <c r="E22" i="6" s="1"/>
  <c r="F22" i="6" s="1"/>
  <c r="G5" i="5"/>
  <c r="F12" i="5" s="1"/>
  <c r="D23" i="5" s="1"/>
  <c r="E23" i="5" s="1"/>
  <c r="F23" i="5" s="1"/>
  <c r="G5" i="4"/>
  <c r="F12" i="4" s="1"/>
  <c r="D23" i="4" s="1"/>
  <c r="E23" i="4" s="1"/>
  <c r="F23" i="4" s="1"/>
  <c r="G5" i="3"/>
  <c r="D12" i="3" s="1"/>
  <c r="D21" i="3" s="1"/>
  <c r="E21" i="3" s="1"/>
  <c r="F21" i="3" s="1"/>
  <c r="C19" i="1"/>
  <c r="B60" i="1"/>
  <c r="G12" i="13" l="1"/>
  <c r="G13" i="13"/>
  <c r="G12" i="12"/>
  <c r="G13" i="12"/>
  <c r="B35" i="13"/>
  <c r="B35" i="12"/>
  <c r="D13" i="10"/>
  <c r="D26" i="10" s="1"/>
  <c r="E26" i="10" s="1"/>
  <c r="F26" i="10" s="1"/>
  <c r="B12" i="10"/>
  <c r="C12" i="10"/>
  <c r="D20" i="10" s="1"/>
  <c r="E20" i="10" s="1"/>
  <c r="F20" i="10" s="1"/>
  <c r="F13" i="10"/>
  <c r="D28" i="10" s="1"/>
  <c r="E28" i="10" s="1"/>
  <c r="F28" i="10" s="1"/>
  <c r="E12" i="10"/>
  <c r="D22" i="10" s="1"/>
  <c r="E22" i="10" s="1"/>
  <c r="F22" i="10" s="1"/>
  <c r="F12" i="10"/>
  <c r="D23" i="10" s="1"/>
  <c r="E23" i="10" s="1"/>
  <c r="F23" i="10" s="1"/>
  <c r="E13" i="10"/>
  <c r="D27" i="10" s="1"/>
  <c r="E27" i="10" s="1"/>
  <c r="F27" i="10" s="1"/>
  <c r="D12" i="10"/>
  <c r="D21" i="10" s="1"/>
  <c r="E21" i="10" s="1"/>
  <c r="F21" i="10" s="1"/>
  <c r="C13" i="10"/>
  <c r="D25" i="10" s="1"/>
  <c r="E25" i="10" s="1"/>
  <c r="F25" i="10" s="1"/>
  <c r="D24" i="10"/>
  <c r="E24" i="10" s="1"/>
  <c r="F24" i="10" s="1"/>
  <c r="D19" i="10"/>
  <c r="E19" i="10" s="1"/>
  <c r="F19" i="10" s="1"/>
  <c r="D24" i="9"/>
  <c r="E24" i="9" s="1"/>
  <c r="F24" i="9" s="1"/>
  <c r="G13" i="9"/>
  <c r="G12" i="9"/>
  <c r="D19" i="9"/>
  <c r="E19" i="9" s="1"/>
  <c r="F19" i="9" s="1"/>
  <c r="D24" i="8"/>
  <c r="E24" i="8" s="1"/>
  <c r="F24" i="8" s="1"/>
  <c r="G13" i="8"/>
  <c r="G12" i="8"/>
  <c r="D19" i="8"/>
  <c r="E19" i="8" s="1"/>
  <c r="F19" i="8" s="1"/>
  <c r="B12" i="7"/>
  <c r="D19" i="7" s="1"/>
  <c r="E19" i="7" s="1"/>
  <c r="F19" i="7" s="1"/>
  <c r="B13" i="7"/>
  <c r="E12" i="7"/>
  <c r="D22" i="7" s="1"/>
  <c r="E22" i="7" s="1"/>
  <c r="F22" i="7" s="1"/>
  <c r="E13" i="7"/>
  <c r="D27" i="7" s="1"/>
  <c r="E27" i="7" s="1"/>
  <c r="F27" i="7" s="1"/>
  <c r="C13" i="7"/>
  <c r="D25" i="7" s="1"/>
  <c r="E25" i="7" s="1"/>
  <c r="F25" i="7" s="1"/>
  <c r="D12" i="7"/>
  <c r="D21" i="7" s="1"/>
  <c r="E21" i="7" s="1"/>
  <c r="F21" i="7" s="1"/>
  <c r="F13" i="7"/>
  <c r="D28" i="7" s="1"/>
  <c r="E28" i="7" s="1"/>
  <c r="F28" i="7" s="1"/>
  <c r="C12" i="7"/>
  <c r="D20" i="7" s="1"/>
  <c r="E20" i="7" s="1"/>
  <c r="F20" i="7" s="1"/>
  <c r="D13" i="7"/>
  <c r="D26" i="7" s="1"/>
  <c r="E26" i="7" s="1"/>
  <c r="F26" i="7" s="1"/>
  <c r="D24" i="7"/>
  <c r="E24" i="7" s="1"/>
  <c r="F24" i="7" s="1"/>
  <c r="F12" i="6"/>
  <c r="D23" i="6" s="1"/>
  <c r="E23" i="6" s="1"/>
  <c r="F23" i="6" s="1"/>
  <c r="C13" i="6"/>
  <c r="D25" i="6" s="1"/>
  <c r="E25" i="6" s="1"/>
  <c r="F25" i="6" s="1"/>
  <c r="C12" i="6"/>
  <c r="D20" i="6" s="1"/>
  <c r="E20" i="6" s="1"/>
  <c r="F20" i="6" s="1"/>
  <c r="F13" i="6"/>
  <c r="D28" i="6" s="1"/>
  <c r="E28" i="6" s="1"/>
  <c r="F28" i="6" s="1"/>
  <c r="B12" i="6"/>
  <c r="D19" i="6" s="1"/>
  <c r="E19" i="6" s="1"/>
  <c r="F19" i="6" s="1"/>
  <c r="E13" i="6"/>
  <c r="D27" i="6" s="1"/>
  <c r="E27" i="6" s="1"/>
  <c r="F27" i="6" s="1"/>
  <c r="D13" i="6"/>
  <c r="D26" i="6" s="1"/>
  <c r="E26" i="6" s="1"/>
  <c r="F26" i="6" s="1"/>
  <c r="B13" i="6"/>
  <c r="D12" i="6"/>
  <c r="D21" i="6" s="1"/>
  <c r="E21" i="6" s="1"/>
  <c r="F21" i="6" s="1"/>
  <c r="E13" i="5"/>
  <c r="D27" i="5" s="1"/>
  <c r="E27" i="5" s="1"/>
  <c r="F27" i="5" s="1"/>
  <c r="F13" i="5"/>
  <c r="D28" i="5" s="1"/>
  <c r="E28" i="5" s="1"/>
  <c r="F28" i="5" s="1"/>
  <c r="D12" i="5"/>
  <c r="D21" i="5" s="1"/>
  <c r="E21" i="5" s="1"/>
  <c r="F21" i="5" s="1"/>
  <c r="D13" i="5"/>
  <c r="D26" i="5" s="1"/>
  <c r="E26" i="5" s="1"/>
  <c r="F26" i="5" s="1"/>
  <c r="C12" i="5"/>
  <c r="D20" i="5" s="1"/>
  <c r="E20" i="5" s="1"/>
  <c r="F20" i="5" s="1"/>
  <c r="E12" i="5"/>
  <c r="D22" i="5" s="1"/>
  <c r="E22" i="5" s="1"/>
  <c r="F22" i="5" s="1"/>
  <c r="B13" i="5"/>
  <c r="D24" i="5" s="1"/>
  <c r="E24" i="5" s="1"/>
  <c r="F24" i="5" s="1"/>
  <c r="B12" i="5"/>
  <c r="D19" i="5" s="1"/>
  <c r="E19" i="5" s="1"/>
  <c r="F19" i="5" s="1"/>
  <c r="C13" i="5"/>
  <c r="D25" i="5" s="1"/>
  <c r="E25" i="5" s="1"/>
  <c r="F25" i="5" s="1"/>
  <c r="B12" i="4"/>
  <c r="D19" i="4" s="1"/>
  <c r="E19" i="4" s="1"/>
  <c r="F19" i="4" s="1"/>
  <c r="B13" i="4"/>
  <c r="D24" i="4" s="1"/>
  <c r="E24" i="4" s="1"/>
  <c r="F24" i="4" s="1"/>
  <c r="E12" i="4"/>
  <c r="D22" i="4" s="1"/>
  <c r="E22" i="4" s="1"/>
  <c r="F22" i="4" s="1"/>
  <c r="C12" i="4"/>
  <c r="D20" i="4" s="1"/>
  <c r="E20" i="4" s="1"/>
  <c r="F20" i="4" s="1"/>
  <c r="E13" i="4"/>
  <c r="D27" i="4" s="1"/>
  <c r="E27" i="4" s="1"/>
  <c r="F27" i="4" s="1"/>
  <c r="C13" i="4"/>
  <c r="D25" i="4" s="1"/>
  <c r="E25" i="4" s="1"/>
  <c r="F25" i="4" s="1"/>
  <c r="D13" i="4"/>
  <c r="D26" i="4" s="1"/>
  <c r="E26" i="4" s="1"/>
  <c r="F26" i="4" s="1"/>
  <c r="F13" i="4"/>
  <c r="D28" i="4" s="1"/>
  <c r="E28" i="4" s="1"/>
  <c r="F28" i="4" s="1"/>
  <c r="D12" i="4"/>
  <c r="D21" i="4" s="1"/>
  <c r="E21" i="4" s="1"/>
  <c r="F21" i="4" s="1"/>
  <c r="E13" i="3"/>
  <c r="D27" i="3" s="1"/>
  <c r="E27" i="3" s="1"/>
  <c r="F27" i="3" s="1"/>
  <c r="C13" i="3"/>
  <c r="D25" i="3" s="1"/>
  <c r="E25" i="3" s="1"/>
  <c r="F25" i="3" s="1"/>
  <c r="F13" i="3"/>
  <c r="D28" i="3" s="1"/>
  <c r="E28" i="3" s="1"/>
  <c r="F28" i="3" s="1"/>
  <c r="E12" i="3"/>
  <c r="D22" i="3" s="1"/>
  <c r="E22" i="3" s="1"/>
  <c r="F22" i="3" s="1"/>
  <c r="F12" i="3"/>
  <c r="D23" i="3" s="1"/>
  <c r="E23" i="3" s="1"/>
  <c r="F23" i="3" s="1"/>
  <c r="D13" i="3"/>
  <c r="D26" i="3" s="1"/>
  <c r="E26" i="3" s="1"/>
  <c r="F26" i="3" s="1"/>
  <c r="B13" i="3"/>
  <c r="B12" i="3"/>
  <c r="C12" i="3"/>
  <c r="D20" i="3" s="1"/>
  <c r="E20" i="3" s="1"/>
  <c r="F20" i="3" s="1"/>
  <c r="B55" i="1"/>
  <c r="C41" i="1"/>
  <c r="B44" i="1" s="1"/>
  <c r="B46" i="1" s="1"/>
  <c r="C28" i="1"/>
  <c r="C27" i="1"/>
  <c r="C26" i="1"/>
  <c r="C25" i="1"/>
  <c r="C24" i="1"/>
  <c r="B28" i="1"/>
  <c r="B27" i="1"/>
  <c r="B26" i="1"/>
  <c r="B25" i="1"/>
  <c r="B24" i="1"/>
  <c r="A28" i="1"/>
  <c r="A27" i="1"/>
  <c r="A26" i="1"/>
  <c r="A25" i="1"/>
  <c r="A24" i="1"/>
  <c r="A23" i="1"/>
  <c r="C23" i="1"/>
  <c r="C22" i="1"/>
  <c r="C21" i="1"/>
  <c r="C20" i="1"/>
  <c r="A22" i="1"/>
  <c r="A21" i="1"/>
  <c r="A20" i="1"/>
  <c r="A19" i="1"/>
  <c r="B23" i="1"/>
  <c r="B22" i="1"/>
  <c r="B21" i="1"/>
  <c r="B20" i="1"/>
  <c r="B19" i="1"/>
  <c r="A13" i="1"/>
  <c r="A12" i="1"/>
  <c r="C11" i="1"/>
  <c r="D11" i="1"/>
  <c r="E11" i="1"/>
  <c r="F11" i="1"/>
  <c r="G11" i="1"/>
  <c r="B11" i="1"/>
  <c r="F5" i="1"/>
  <c r="E5" i="1"/>
  <c r="D5" i="1"/>
  <c r="C5" i="1"/>
  <c r="B5" i="1"/>
  <c r="B47" i="13" l="1"/>
  <c r="B56" i="13" s="1"/>
  <c r="B59" i="13"/>
  <c r="B56" i="12"/>
  <c r="B59" i="12"/>
  <c r="G13" i="10"/>
  <c r="G12" i="10"/>
  <c r="B35" i="10"/>
  <c r="B35" i="9"/>
  <c r="B35" i="8"/>
  <c r="G13" i="7"/>
  <c r="B35" i="7"/>
  <c r="B47" i="7" s="1"/>
  <c r="B56" i="7" s="1"/>
  <c r="G12" i="7"/>
  <c r="G13" i="6"/>
  <c r="D24" i="6"/>
  <c r="E24" i="6" s="1"/>
  <c r="F24" i="6" s="1"/>
  <c r="B35" i="6" s="1"/>
  <c r="G12" i="6"/>
  <c r="G12" i="5"/>
  <c r="G13" i="5"/>
  <c r="B35" i="5"/>
  <c r="G12" i="4"/>
  <c r="G13" i="4"/>
  <c r="B35" i="4"/>
  <c r="G13" i="3"/>
  <c r="D24" i="3"/>
  <c r="E24" i="3" s="1"/>
  <c r="F24" i="3" s="1"/>
  <c r="G12" i="3"/>
  <c r="D19" i="3"/>
  <c r="E19" i="3" s="1"/>
  <c r="F19" i="3" s="1"/>
  <c r="G4" i="1"/>
  <c r="G3" i="1"/>
  <c r="B59" i="10" l="1"/>
  <c r="B47" i="10"/>
  <c r="B56" i="10" s="1"/>
  <c r="B59" i="9"/>
  <c r="B47" i="9"/>
  <c r="B56" i="9" s="1"/>
  <c r="B47" i="8"/>
  <c r="B56" i="8" s="1"/>
  <c r="B59" i="8"/>
  <c r="B59" i="7"/>
  <c r="B59" i="6"/>
  <c r="B47" i="6"/>
  <c r="B56" i="6" s="1"/>
  <c r="B47" i="5"/>
  <c r="B56" i="5" s="1"/>
  <c r="B59" i="5"/>
  <c r="B59" i="4"/>
  <c r="B47" i="4"/>
  <c r="B56" i="4" s="1"/>
  <c r="B35" i="3"/>
  <c r="G5" i="1"/>
  <c r="C12" i="1" s="1"/>
  <c r="B47" i="3" l="1"/>
  <c r="B56" i="3" s="1"/>
  <c r="B59" i="3"/>
  <c r="B12" i="1"/>
  <c r="D19" i="1" s="1"/>
  <c r="D13" i="1"/>
  <c r="D26" i="1" s="1"/>
  <c r="E26" i="1" s="1"/>
  <c r="F26" i="1" s="1"/>
  <c r="E13" i="1"/>
  <c r="D27" i="1" s="1"/>
  <c r="E27" i="1" s="1"/>
  <c r="F27" i="1" s="1"/>
  <c r="B13" i="1"/>
  <c r="F13" i="1"/>
  <c r="D28" i="1" s="1"/>
  <c r="E28" i="1" s="1"/>
  <c r="F28" i="1" s="1"/>
  <c r="C13" i="1"/>
  <c r="D25" i="1" s="1"/>
  <c r="E25" i="1" s="1"/>
  <c r="F25" i="1" s="1"/>
  <c r="F12" i="1"/>
  <c r="D23" i="1" s="1"/>
  <c r="E23" i="1" s="1"/>
  <c r="F23" i="1" s="1"/>
  <c r="E12" i="1"/>
  <c r="D22" i="1" s="1"/>
  <c r="E22" i="1" s="1"/>
  <c r="F22" i="1" s="1"/>
  <c r="D20" i="1"/>
  <c r="E20" i="1" s="1"/>
  <c r="F20" i="1" s="1"/>
  <c r="D12" i="1"/>
  <c r="G12" i="1" l="1"/>
  <c r="E19" i="1"/>
  <c r="F19" i="1" s="1"/>
  <c r="D21" i="1"/>
  <c r="E21" i="1" s="1"/>
  <c r="F21" i="1" s="1"/>
  <c r="D24" i="1"/>
  <c r="E24" i="1" s="1"/>
  <c r="F24" i="1" s="1"/>
  <c r="G13" i="1"/>
  <c r="B35" i="1" l="1"/>
  <c r="B59" i="1" l="1"/>
  <c r="B47" i="1"/>
  <c r="B56" i="1" s="1"/>
</calcChain>
</file>

<file path=xl/sharedStrings.xml><?xml version="1.0" encoding="utf-8"?>
<sst xmlns="http://schemas.openxmlformats.org/spreadsheetml/2006/main" count="474" uniqueCount="73">
  <si>
    <t>Grupo / Categoría</t>
  </si>
  <si>
    <t>Total</t>
  </si>
  <si>
    <t>Categoria</t>
  </si>
  <si>
    <t>Tabla completa Valores Observados (O) y Valores Esperados (E)</t>
  </si>
  <si>
    <t>Grupo</t>
  </si>
  <si>
    <t xml:space="preserve"> Valor Observado (O)</t>
  </si>
  <si>
    <t>Valor Esperado (E )</t>
  </si>
  <si>
    <t>Tabla Valores Observados</t>
  </si>
  <si>
    <t>Tabla Valores Esperados</t>
  </si>
  <si>
    <t>Calculo Chi Cuadrado</t>
  </si>
  <si>
    <t>Chi Cuadrado</t>
  </si>
  <si>
    <t>Filas = 2 (Sin sistema, Con sistema)</t>
  </si>
  <si>
    <t>Columnas = 5 (las 5 categorías)</t>
  </si>
  <si>
    <t>Calculo Grados Libertad</t>
  </si>
  <si>
    <t>Grados de libertad df</t>
  </si>
  <si>
    <t>df</t>
  </si>
  <si>
    <t>(el más usado en tesis)</t>
  </si>
  <si>
    <t>α</t>
  </si>
  <si>
    <t>valor critico</t>
  </si>
  <si>
    <t>p valor</t>
  </si>
  <si>
    <t>Interpretacion</t>
  </si>
  <si>
    <t xml:space="preserve">Busqueda de  Valor Critico en Tabla Chi Cuadrado </t>
  </si>
  <si>
    <t>Valor critico</t>
  </si>
  <si>
    <t>H0 Hipotesis Nula</t>
  </si>
  <si>
    <t>H1 Hipotesis Alternativa</t>
  </si>
  <si>
    <t>No existe relación entre los grupos y la variable</t>
  </si>
  <si>
    <t>Si existe relación entre los grupos y la variable</t>
  </si>
  <si>
    <t>Objetivo:</t>
  </si>
  <si>
    <t>Grupos:</t>
  </si>
  <si>
    <t xml:space="preserve">Grupo Control – Pre Test </t>
  </si>
  <si>
    <t>Grupo Control – Post Test</t>
  </si>
  <si>
    <r>
      <t>✅</t>
    </r>
    <r>
      <rPr>
        <sz val="16"/>
        <color rgb="FF2E74B5"/>
        <rFont val="Calibri Light"/>
        <family val="2"/>
      </rPr>
      <t xml:space="preserve"> Chi-cuadrado (Control: Pre vs Post)</t>
    </r>
  </si>
  <si>
    <t>Demuestra que el control no cambia</t>
  </si>
  <si>
    <t>a) Siempre</t>
  </si>
  <si>
    <t>b) Frecuente</t>
  </si>
  <si>
    <t>c) A veces</t>
  </si>
  <si>
    <t>d) Raro</t>
  </si>
  <si>
    <t>e) Nunca</t>
  </si>
  <si>
    <t xml:space="preserve">Grupo Control - Pre Test </t>
  </si>
  <si>
    <t>Grupo Control - Post Test</t>
  </si>
  <si>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</si>
  <si>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si </t>
    </r>
    <r>
      <rPr>
        <sz val="11"/>
        <color rgb="FFC00000"/>
        <rFont val="Calibri"/>
        <family val="2"/>
        <scheme val="minor"/>
      </rPr>
      <t>p valor</t>
    </r>
    <r>
      <rPr>
        <sz val="11"/>
        <color theme="1"/>
        <rFont val="Calibri"/>
        <family val="2"/>
        <scheme val="minor"/>
      </rPr>
      <t xml:space="preserve"> &lt; </t>
    </r>
    <r>
      <rPr>
        <sz val="11"/>
        <color rgb="FF7030A0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</si>
  <si>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r>
      <t xml:space="preserve">Si </t>
    </r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valor critico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</si>
  <si>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t>Indicador</t>
  </si>
  <si>
    <t>Participo actividades</t>
  </si>
  <si>
    <t>Comprensión contenidos</t>
  </si>
  <si>
    <t>Herramientas tecnológicas</t>
  </si>
  <si>
    <t>Recursos tecnológicos</t>
  </si>
  <si>
    <t>Percepción evaluaciones</t>
  </si>
  <si>
    <t>Retroalimentación oportuna</t>
  </si>
  <si>
    <t>Calificación</t>
  </si>
  <si>
    <t>Nivel comprensión</t>
  </si>
  <si>
    <t>Habilidades tareas</t>
  </si>
  <si>
    <t>Resolución problemas</t>
  </si>
  <si>
    <t>Motivación</t>
  </si>
  <si>
    <t>Chi Cuadrado
Valor Critico</t>
  </si>
  <si>
    <t>P-Valor</t>
  </si>
  <si>
    <t>Chi Cuadrado
Observado</t>
  </si>
  <si>
    <t>α
nivel de significancia</t>
  </si>
  <si>
    <t>α nivel de significancia</t>
  </si>
  <si>
    <t>b) Muchas veces</t>
  </si>
  <si>
    <t>d) Pocas veces</t>
  </si>
  <si>
    <t>a) 81 - 100</t>
  </si>
  <si>
    <t>b) 61 – 80</t>
  </si>
  <si>
    <t>c) 41 - 60</t>
  </si>
  <si>
    <t>d) 21 - 40</t>
  </si>
  <si>
    <t>e) 0 - 20</t>
  </si>
  <si>
    <t>a) Muy Bueno</t>
  </si>
  <si>
    <t>b) bueno</t>
  </si>
  <si>
    <t>c) Regular</t>
  </si>
  <si>
    <t>d) Malo</t>
  </si>
  <si>
    <t>e) Muy malo</t>
  </si>
  <si>
    <t>Evaluar si existen diferencias significativas en las variables analizadas dentro del grupo control entre el pre-test y el post-test, con el fin de comprobar la estabilidad de las mediciones en ausencia  de la implementación de la intervencion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</si>
</sst>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rgb="FF2E74B5"/>
      <name val="Calibri Light"/>
      <family val="2"/>
    </font>
    <font>
      <sz val="16"/>
      <color rgb="FF2E74B5"/>
      <name val="Segoe UI Symbol"/>
      <family val="2"/>
    </font>
    <font>
      <b/>
      <sz val="12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/>
    <xf numFmtId="0" fontId="0" fillId="0" borderId="0" xfId="0" applyAlignment="1">
      <alignment horizontal="left"/>
    </xf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1" fillId="2" borderId="4" xfId="1" applyFont="1" applyBorder="1" applyAlignment="1">
      <alignment horizontal="center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96"/>
          <a:ext cx="1502019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1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4414" y="38065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6971573" y="36523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8207830"/>
          <a:ext cx="1014675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zoomScale="220" zoomScaleNormal="220" workbookViewId="0">
      <selection activeCell="A11" sqref="A11"/>
    </sheetView>
  </sheetViews>
  <sheetFormatPr baseColWidth="10" defaultRowHeight="15" x14ac:dyDescent="0.25"/>
  <cols>
    <col min="1" max="1" width="97.7109375" customWidth="1"/>
  </cols>
  <sheetData>
    <row r="1" spans="1:1" ht="25.5" x14ac:dyDescent="0.25">
      <c r="A1" s="8" t="s">
        <v>31</v>
      </c>
    </row>
    <row r="2" spans="1:1" x14ac:dyDescent="0.25">
      <c r="A2" t="s">
        <v>32</v>
      </c>
    </row>
    <row r="4" spans="1:1" ht="15.75" x14ac:dyDescent="0.25">
      <c r="A4" s="9" t="s">
        <v>27</v>
      </c>
    </row>
    <row r="5" spans="1:1" ht="45" x14ac:dyDescent="0.25">
      <c r="A5" s="11" t="s">
        <v>72</v>
      </c>
    </row>
    <row r="7" spans="1:1" ht="15.75" x14ac:dyDescent="0.25">
      <c r="A7" s="9" t="s">
        <v>28</v>
      </c>
    </row>
    <row r="8" spans="1:1" x14ac:dyDescent="0.25">
      <c r="A8" s="10" t="s">
        <v>29</v>
      </c>
    </row>
    <row r="9" spans="1:1" x14ac:dyDescent="0.25">
      <c r="A9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45" zoomScaleNormal="145" workbookViewId="0">
      <selection activeCell="A17" sqref="A17"/>
    </sheetView>
  </sheetViews>
  <sheetFormatPr baseColWidth="10" defaultRowHeight="15" x14ac:dyDescent="0.25"/>
  <cols>
    <col min="1" max="1" width="25.5703125" customWidth="1"/>
    <col min="2" max="2" width="12.7109375" bestFit="1" customWidth="1"/>
    <col min="3" max="3" width="13.85546875" customWidth="1"/>
    <col min="4" max="4" width="8.7109375" customWidth="1"/>
    <col min="5" max="5" width="12.5703125" customWidth="1"/>
  </cols>
  <sheetData>
    <row r="1" spans="1:5" ht="45" x14ac:dyDescent="0.25">
      <c r="A1" s="16" t="s">
        <v>43</v>
      </c>
      <c r="B1" s="18" t="s">
        <v>57</v>
      </c>
      <c r="C1" s="18" t="s">
        <v>55</v>
      </c>
      <c r="D1" s="18" t="s">
        <v>56</v>
      </c>
      <c r="E1" s="18" t="s">
        <v>58</v>
      </c>
    </row>
    <row r="2" spans="1:5" x14ac:dyDescent="0.25">
      <c r="A2" s="17" t="s">
        <v>44</v>
      </c>
      <c r="B2" s="19">
        <f>ROUND('Participas-actividades'!B35, 4)</f>
        <v>4.0060000000000002</v>
      </c>
      <c r="C2" s="19">
        <f>ROUND('Participas-actividades'!B46, 4)</f>
        <v>9.4877000000000002</v>
      </c>
      <c r="D2" s="19">
        <f>ROUND('Participas-actividades'!B47, 4)</f>
        <v>0.4052</v>
      </c>
      <c r="E2" s="16">
        <v>0.05</v>
      </c>
    </row>
    <row r="3" spans="1:5" x14ac:dyDescent="0.25">
      <c r="A3" s="17" t="s">
        <v>45</v>
      </c>
      <c r="B3" s="19">
        <f>ROUND('Comprensión contenidos'!B35, 4)</f>
        <v>4.5629999999999997</v>
      </c>
      <c r="C3" s="19">
        <f>ROUND('Comprensión contenidos'!B46, 4)</f>
        <v>9.4877000000000002</v>
      </c>
      <c r="D3" s="19">
        <f>ROUND('Comprensión contenidos'!B47, 4)</f>
        <v>0.33510000000000001</v>
      </c>
      <c r="E3" s="16">
        <v>0.05</v>
      </c>
    </row>
    <row r="4" spans="1:5" x14ac:dyDescent="0.25">
      <c r="A4" s="17" t="s">
        <v>46</v>
      </c>
      <c r="B4" s="19">
        <f>ROUND('Herramientas-tecnológicas'!B35, 4)</f>
        <v>1.0541</v>
      </c>
      <c r="C4" s="19">
        <f>ROUND('Herramientas-tecnológicas'!B46, 4)</f>
        <v>9.4877000000000002</v>
      </c>
      <c r="D4" s="19">
        <f>ROUND('Herramientas-tecnológicas'!B47, 4)</f>
        <v>0.90149999999999997</v>
      </c>
      <c r="E4" s="16">
        <v>0.05</v>
      </c>
    </row>
    <row r="5" spans="1:5" x14ac:dyDescent="0.25">
      <c r="A5" s="17" t="s">
        <v>47</v>
      </c>
      <c r="B5" s="19">
        <f>ROUND('Recursos-tecnológicos'!B35,4)</f>
        <v>1.4125000000000001</v>
      </c>
      <c r="C5" s="19">
        <f>ROUND('Recursos-tecnológicos'!B46,4)</f>
        <v>9.4877000000000002</v>
      </c>
      <c r="D5" s="19">
        <f>ROUND('Recursos-tecnológicos'!B47,4)</f>
        <v>0.84199999999999997</v>
      </c>
      <c r="E5" s="16">
        <v>0.05</v>
      </c>
    </row>
    <row r="6" spans="1:5" x14ac:dyDescent="0.25">
      <c r="A6" s="17" t="s">
        <v>48</v>
      </c>
      <c r="B6" s="19">
        <f>ROUND('Percepción-evaluaciones'!B35,4)</f>
        <v>15.995699999999999</v>
      </c>
      <c r="C6" s="19">
        <f>ROUND('Percepción-evaluaciones'!B46,4)</f>
        <v>9.4877000000000002</v>
      </c>
      <c r="D6" s="19">
        <f>ROUND('Percepción-evaluaciones'!B47,4)</f>
        <v>3.0000000000000001E-3</v>
      </c>
      <c r="E6" s="16">
        <v>0.05</v>
      </c>
    </row>
    <row r="7" spans="1:5" x14ac:dyDescent="0.25">
      <c r="A7" s="17" t="s">
        <v>49</v>
      </c>
      <c r="B7" s="19">
        <f>ROUND('Retroalimentación-oportuna'!B35,4)</f>
        <v>3.0392000000000001</v>
      </c>
      <c r="C7" s="19">
        <f>ROUND('Retroalimentación-oportuna'!B46,4)</f>
        <v>9.4877000000000002</v>
      </c>
      <c r="D7" s="19">
        <f>ROUND('Retroalimentación-oportuna'!B47,4)</f>
        <v>0.55130000000000001</v>
      </c>
      <c r="E7" s="16">
        <v>0.05</v>
      </c>
    </row>
    <row r="8" spans="1:5" x14ac:dyDescent="0.25">
      <c r="A8" s="17" t="s">
        <v>50</v>
      </c>
      <c r="B8" s="19">
        <f>ROUND(Calificación!B35,4)</f>
        <v>4.1064999999999996</v>
      </c>
      <c r="C8" s="19">
        <f>ROUND(Calificación!B46,4)</f>
        <v>9.4877000000000002</v>
      </c>
      <c r="D8" s="19">
        <f>ROUND(Calificación!B47,4)</f>
        <v>0.39179999999999998</v>
      </c>
      <c r="E8" s="16">
        <v>0.05</v>
      </c>
    </row>
    <row r="9" spans="1:5" x14ac:dyDescent="0.25">
      <c r="A9" s="17" t="s">
        <v>51</v>
      </c>
      <c r="B9" s="19">
        <f>ROUND('Nivel-comprensión'!B35,4)</f>
        <v>1.3285</v>
      </c>
      <c r="C9" s="19">
        <f>ROUND('Nivel-comprensión'!B46,4)</f>
        <v>9.4877000000000002</v>
      </c>
      <c r="D9" s="19">
        <f>ROUND('Nivel-comprensión'!B47,4)</f>
        <v>0.85650000000000004</v>
      </c>
      <c r="E9" s="16">
        <v>0.05</v>
      </c>
    </row>
    <row r="10" spans="1:5" x14ac:dyDescent="0.25">
      <c r="A10" s="17" t="s">
        <v>52</v>
      </c>
      <c r="B10" s="19">
        <f>ROUND('Habilidades-tareas'!B35,4)</f>
        <v>3.3210999999999999</v>
      </c>
      <c r="C10" s="19">
        <f>ROUND('Habilidades-tareas'!B46,4)</f>
        <v>9.4877000000000002</v>
      </c>
      <c r="D10" s="19">
        <f>ROUND('Habilidades-tareas'!B47,4)</f>
        <v>0.50560000000000005</v>
      </c>
      <c r="E10" s="16">
        <v>0.05</v>
      </c>
    </row>
    <row r="11" spans="1:5" x14ac:dyDescent="0.25">
      <c r="A11" s="17" t="s">
        <v>53</v>
      </c>
      <c r="B11" s="19">
        <f>ROUND('Resolución-problemas'!B35,4)</f>
        <v>3.6570999999999998</v>
      </c>
      <c r="C11" s="19">
        <f>ROUND('Resolución-problemas'!B46,4)</f>
        <v>9.4877000000000002</v>
      </c>
      <c r="D11" s="19">
        <f>ROUND('Resolución-problemas'!B47,4)</f>
        <v>0.45440000000000003</v>
      </c>
      <c r="E11" s="16">
        <v>0.05</v>
      </c>
    </row>
    <row r="12" spans="1:5" x14ac:dyDescent="0.25">
      <c r="A12" s="17" t="s">
        <v>54</v>
      </c>
      <c r="B12" s="19">
        <f>ROUND(Motivación!B35,4)</f>
        <v>5.9938000000000002</v>
      </c>
      <c r="C12" s="19">
        <f>ROUND(Motivación!B46,4)</f>
        <v>9.4877000000000002</v>
      </c>
      <c r="D12" s="19">
        <f>ROUND(Motivación!B47,4)</f>
        <v>0.1996</v>
      </c>
      <c r="E12" s="16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31" zoomScale="115" zoomScaleNormal="115" workbookViewId="0">
      <selection activeCell="A46" sqref="A46:XFD46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13">
        <v>18</v>
      </c>
      <c r="C3" s="13">
        <v>28</v>
      </c>
      <c r="D3" s="13">
        <v>30</v>
      </c>
      <c r="E3" s="13">
        <v>13</v>
      </c>
      <c r="F3" s="13">
        <v>4</v>
      </c>
      <c r="G3" s="13">
        <f>SUM(B3:F3)</f>
        <v>93</v>
      </c>
    </row>
    <row r="4" spans="1:7" x14ac:dyDescent="0.25">
      <c r="A4" t="s">
        <v>39</v>
      </c>
      <c r="B4" s="13">
        <v>12</v>
      </c>
      <c r="C4" s="13">
        <v>22</v>
      </c>
      <c r="D4" s="13">
        <v>33</v>
      </c>
      <c r="E4" s="13">
        <v>19</v>
      </c>
      <c r="F4" s="13">
        <v>7</v>
      </c>
      <c r="G4" s="13">
        <f>SUM(B4:F4)</f>
        <v>93</v>
      </c>
    </row>
    <row r="5" spans="1:7" x14ac:dyDescent="0.25">
      <c r="A5" t="s">
        <v>1</v>
      </c>
      <c r="B5" s="13">
        <f t="shared" ref="B5:G5" si="0">SUM(B3:B4)</f>
        <v>30</v>
      </c>
      <c r="C5" s="13">
        <f t="shared" si="0"/>
        <v>50</v>
      </c>
      <c r="D5" s="13">
        <f t="shared" si="0"/>
        <v>63</v>
      </c>
      <c r="E5" s="13">
        <f t="shared" si="0"/>
        <v>32</v>
      </c>
      <c r="F5" s="13">
        <f t="shared" si="0"/>
        <v>11</v>
      </c>
      <c r="G5" s="13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15</v>
      </c>
      <c r="C12" s="6">
        <f>(G3*C5)/G5</f>
        <v>25</v>
      </c>
      <c r="D12" s="6">
        <f>(G3*D5)/G5</f>
        <v>31.5</v>
      </c>
      <c r="E12" s="6">
        <f>(G3*E5)/G5</f>
        <v>16</v>
      </c>
      <c r="F12" s="6">
        <f>(G3*F5)/G5</f>
        <v>5.5</v>
      </c>
      <c r="G12" s="6">
        <f>SUM(B12:F12)</f>
        <v>93</v>
      </c>
    </row>
    <row r="13" spans="1:7" x14ac:dyDescent="0.25">
      <c r="A13" t="str">
        <f>A4</f>
        <v>Grupo Control - Post Test</v>
      </c>
      <c r="B13" s="13">
        <f>(G4*B5)/G5</f>
        <v>15</v>
      </c>
      <c r="C13" s="13">
        <f>(G4*C5)/G5</f>
        <v>25</v>
      </c>
      <c r="D13" s="13">
        <f>(G4*D5)/G5</f>
        <v>31.5</v>
      </c>
      <c r="E13" s="13">
        <f>(G4*E5)/G5</f>
        <v>16</v>
      </c>
      <c r="F13" s="13">
        <f>(G4*F5)/G5</f>
        <v>5.5</v>
      </c>
      <c r="G13" s="13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3" t="str">
        <f>B2</f>
        <v>a) Siempre</v>
      </c>
      <c r="C19" s="13">
        <f>B3</f>
        <v>18</v>
      </c>
      <c r="D19" s="13">
        <f>B12</f>
        <v>15</v>
      </c>
      <c r="E19" s="13">
        <f>(C19-D19)^2</f>
        <v>9</v>
      </c>
      <c r="F19" s="13">
        <f>E19/D19</f>
        <v>0.6</v>
      </c>
    </row>
    <row r="20" spans="1:7" x14ac:dyDescent="0.25">
      <c r="A20" t="str">
        <f>A3</f>
        <v xml:space="preserve">Grupo Control - Pre Test </v>
      </c>
      <c r="B20" s="13" t="str">
        <f>C2</f>
        <v>b) Frecuente</v>
      </c>
      <c r="C20" s="13">
        <f>C3</f>
        <v>28</v>
      </c>
      <c r="D20" s="13">
        <f>C12</f>
        <v>25</v>
      </c>
      <c r="E20" s="13">
        <f t="shared" ref="E20:E28" si="2">(C20-D20)^2</f>
        <v>9</v>
      </c>
      <c r="F20" s="13">
        <f t="shared" ref="F20:F28" si="3">E20/D20</f>
        <v>0.36</v>
      </c>
    </row>
    <row r="21" spans="1:7" x14ac:dyDescent="0.25">
      <c r="A21" t="str">
        <f>A3</f>
        <v xml:space="preserve">Grupo Control - Pre Test </v>
      </c>
      <c r="B21" s="13" t="str">
        <f>D2</f>
        <v>c) A veces</v>
      </c>
      <c r="C21" s="13">
        <f>D3</f>
        <v>30</v>
      </c>
      <c r="D21" s="13">
        <f>D12</f>
        <v>31.5</v>
      </c>
      <c r="E21" s="13">
        <f t="shared" si="2"/>
        <v>2.25</v>
      </c>
      <c r="F21" s="13">
        <f t="shared" si="3"/>
        <v>7.1428571428571425E-2</v>
      </c>
    </row>
    <row r="22" spans="1:7" x14ac:dyDescent="0.25">
      <c r="A22" t="str">
        <f>A3</f>
        <v xml:space="preserve">Grupo Control - Pre Test </v>
      </c>
      <c r="B22" s="13" t="str">
        <f>E2</f>
        <v>d) Raro</v>
      </c>
      <c r="C22" s="13">
        <f>E3</f>
        <v>13</v>
      </c>
      <c r="D22" s="13">
        <f>E12</f>
        <v>16</v>
      </c>
      <c r="E22" s="13">
        <f t="shared" si="2"/>
        <v>9</v>
      </c>
      <c r="F22" s="13">
        <f t="shared" si="3"/>
        <v>0.5625</v>
      </c>
    </row>
    <row r="23" spans="1:7" x14ac:dyDescent="0.25">
      <c r="A23" t="str">
        <f>A3</f>
        <v xml:space="preserve">Grupo Control - Pre Test </v>
      </c>
      <c r="B23" s="13" t="str">
        <f>F2</f>
        <v>e) Nunca</v>
      </c>
      <c r="C23" s="13">
        <f>F3</f>
        <v>4</v>
      </c>
      <c r="D23" s="13">
        <f>F12</f>
        <v>5.5</v>
      </c>
      <c r="E23" s="13">
        <f t="shared" si="2"/>
        <v>2.25</v>
      </c>
      <c r="F23" s="13">
        <f t="shared" si="3"/>
        <v>0.40909090909090912</v>
      </c>
    </row>
    <row r="24" spans="1:7" x14ac:dyDescent="0.25">
      <c r="A24" t="str">
        <f>A4</f>
        <v>Grupo Control - Post Test</v>
      </c>
      <c r="B24" s="13" t="str">
        <f>B2</f>
        <v>a) Siempre</v>
      </c>
      <c r="C24" s="13">
        <f>B4</f>
        <v>12</v>
      </c>
      <c r="D24" s="13">
        <f>B13</f>
        <v>15</v>
      </c>
      <c r="E24" s="13">
        <f t="shared" si="2"/>
        <v>9</v>
      </c>
      <c r="F24" s="13">
        <f t="shared" si="3"/>
        <v>0.6</v>
      </c>
    </row>
    <row r="25" spans="1:7" x14ac:dyDescent="0.25">
      <c r="A25" t="str">
        <f>A4</f>
        <v>Grupo Control - Post Test</v>
      </c>
      <c r="B25" s="13" t="str">
        <f>C2</f>
        <v>b) Frecuente</v>
      </c>
      <c r="C25" s="13">
        <f>C4</f>
        <v>22</v>
      </c>
      <c r="D25" s="13">
        <f>C13</f>
        <v>25</v>
      </c>
      <c r="E25" s="13">
        <f t="shared" si="2"/>
        <v>9</v>
      </c>
      <c r="F25" s="13">
        <f t="shared" si="3"/>
        <v>0.36</v>
      </c>
    </row>
    <row r="26" spans="1:7" x14ac:dyDescent="0.25">
      <c r="A26" t="str">
        <f>A4</f>
        <v>Grupo Control - Post Test</v>
      </c>
      <c r="B26" s="13" t="str">
        <f>D2</f>
        <v>c) A veces</v>
      </c>
      <c r="C26" s="13">
        <f>D4</f>
        <v>33</v>
      </c>
      <c r="D26" s="13">
        <f>D13</f>
        <v>31.5</v>
      </c>
      <c r="E26" s="13">
        <f t="shared" si="2"/>
        <v>2.25</v>
      </c>
      <c r="F26" s="13">
        <f t="shared" si="3"/>
        <v>7.1428571428571425E-2</v>
      </c>
    </row>
    <row r="27" spans="1:7" x14ac:dyDescent="0.25">
      <c r="A27" t="str">
        <f>A4</f>
        <v>Grupo Control - Post Test</v>
      </c>
      <c r="B27" s="13" t="str">
        <f>E2</f>
        <v>d) Raro</v>
      </c>
      <c r="C27" s="13">
        <f>E4</f>
        <v>19</v>
      </c>
      <c r="D27" s="13">
        <f>E13</f>
        <v>16</v>
      </c>
      <c r="E27" s="13">
        <f t="shared" si="2"/>
        <v>9</v>
      </c>
      <c r="F27" s="13">
        <f t="shared" si="3"/>
        <v>0.5625</v>
      </c>
    </row>
    <row r="28" spans="1:7" x14ac:dyDescent="0.25">
      <c r="A28" t="str">
        <f>A4</f>
        <v>Grupo Control - Post Test</v>
      </c>
      <c r="B28" s="13" t="str">
        <f>F2</f>
        <v>e) Nunca</v>
      </c>
      <c r="C28" s="13">
        <f>F4</f>
        <v>7</v>
      </c>
      <c r="D28" s="13">
        <f>F13</f>
        <v>5.5</v>
      </c>
      <c r="E28" s="13">
        <f t="shared" si="2"/>
        <v>2.25</v>
      </c>
      <c r="F28" s="13">
        <f t="shared" si="3"/>
        <v>0.40909090909090912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3">
        <f>SUM(F19:F28)</f>
        <v>4.0060389610389606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3">
        <v>2</v>
      </c>
    </row>
    <row r="40" spans="1:7" x14ac:dyDescent="0.25">
      <c r="A40" s="20" t="s">
        <v>12</v>
      </c>
      <c r="B40" s="20"/>
      <c r="C40" s="13">
        <v>5</v>
      </c>
    </row>
    <row r="41" spans="1:7" x14ac:dyDescent="0.25">
      <c r="A41" s="20" t="s">
        <v>14</v>
      </c>
      <c r="B41" s="20"/>
      <c r="C41" s="13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0.40518918215036598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3">
        <f>B45</f>
        <v>0.05</v>
      </c>
    </row>
    <row r="56" spans="1:7" x14ac:dyDescent="0.25">
      <c r="A56" s="14" t="s">
        <v>19</v>
      </c>
      <c r="B56" s="13">
        <f>B47</f>
        <v>0.40518918215036598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3">
        <f>B35</f>
        <v>4.0060389610389606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7" zoomScaleNormal="100" workbookViewId="0">
      <selection activeCell="J23" sqref="J23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60</v>
      </c>
      <c r="D2" s="5" t="s">
        <v>35</v>
      </c>
      <c r="E2" s="5" t="s">
        <v>61</v>
      </c>
      <c r="F2" s="5" t="s">
        <v>37</v>
      </c>
      <c r="G2" s="5" t="s">
        <v>1</v>
      </c>
    </row>
    <row r="3" spans="1:7" x14ac:dyDescent="0.25">
      <c r="A3" t="s">
        <v>38</v>
      </c>
      <c r="B3" s="13">
        <v>14</v>
      </c>
      <c r="C3" s="13">
        <v>31</v>
      </c>
      <c r="D3" s="13">
        <v>26</v>
      </c>
      <c r="E3" s="13">
        <v>17</v>
      </c>
      <c r="F3" s="13">
        <v>5</v>
      </c>
      <c r="G3" s="13">
        <f>SUM(B3:F3)</f>
        <v>93</v>
      </c>
    </row>
    <row r="4" spans="1:7" x14ac:dyDescent="0.25">
      <c r="A4" t="s">
        <v>39</v>
      </c>
      <c r="B4" s="13">
        <v>20</v>
      </c>
      <c r="C4" s="13">
        <v>22</v>
      </c>
      <c r="D4" s="13">
        <v>27</v>
      </c>
      <c r="E4" s="13">
        <v>14</v>
      </c>
      <c r="F4" s="13">
        <v>10</v>
      </c>
      <c r="G4" s="13">
        <f>SUM(B4:F4)</f>
        <v>93</v>
      </c>
    </row>
    <row r="5" spans="1:7" x14ac:dyDescent="0.25">
      <c r="A5" t="s">
        <v>1</v>
      </c>
      <c r="B5" s="13">
        <f t="shared" ref="B5:G5" si="0">SUM(B3:B4)</f>
        <v>34</v>
      </c>
      <c r="C5" s="13">
        <f t="shared" si="0"/>
        <v>53</v>
      </c>
      <c r="D5" s="13">
        <f t="shared" si="0"/>
        <v>53</v>
      </c>
      <c r="E5" s="13">
        <f t="shared" si="0"/>
        <v>31</v>
      </c>
      <c r="F5" s="13">
        <f t="shared" si="0"/>
        <v>15</v>
      </c>
      <c r="G5" s="13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>D2</f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</v>
      </c>
      <c r="C12" s="6">
        <f>(G3*C5)/G5</f>
        <v>26.5</v>
      </c>
      <c r="D12" s="6">
        <f>(G3*D5)/G5</f>
        <v>26.5</v>
      </c>
      <c r="E12" s="6">
        <f>(G3*E5)/G5</f>
        <v>15.5</v>
      </c>
      <c r="F12" s="6">
        <f>(G3*F5)/G5</f>
        <v>7.5</v>
      </c>
      <c r="G12" s="6">
        <f>SUM(B12:F12)</f>
        <v>93</v>
      </c>
    </row>
    <row r="13" spans="1:7" x14ac:dyDescent="0.25">
      <c r="A13" t="str">
        <f>A4</f>
        <v>Grupo Control - Post Test</v>
      </c>
      <c r="B13" s="13">
        <f>(G4*B5)/G5</f>
        <v>17</v>
      </c>
      <c r="C13" s="13">
        <f>(G4*C5)/G5</f>
        <v>26.5</v>
      </c>
      <c r="D13" s="13">
        <f>(G4*D5)/G5</f>
        <v>26.5</v>
      </c>
      <c r="E13" s="13">
        <f>(G4*E5)/G5</f>
        <v>15.5</v>
      </c>
      <c r="F13" s="13">
        <f>(G4*F5)/G5</f>
        <v>7.5</v>
      </c>
      <c r="G13" s="13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3" t="str">
        <f>B2</f>
        <v>a) Siempre</v>
      </c>
      <c r="C19" s="13">
        <f>B3</f>
        <v>14</v>
      </c>
      <c r="D19" s="13">
        <f>B12</f>
        <v>17</v>
      </c>
      <c r="E19" s="13">
        <f>(C19-D19)^2</f>
        <v>9</v>
      </c>
      <c r="F19" s="13">
        <f>E19/D19</f>
        <v>0.52941176470588236</v>
      </c>
    </row>
    <row r="20" spans="1:7" x14ac:dyDescent="0.25">
      <c r="A20" t="str">
        <f>A3</f>
        <v xml:space="preserve">Grupo Control - Pre Test </v>
      </c>
      <c r="B20" s="13" t="str">
        <f>C2</f>
        <v>b) Muchas veces</v>
      </c>
      <c r="C20" s="13">
        <f>C3</f>
        <v>31</v>
      </c>
      <c r="D20" s="13">
        <f>C12</f>
        <v>26.5</v>
      </c>
      <c r="E20" s="13">
        <f t="shared" ref="E20:E28" si="2">(C20-D20)^2</f>
        <v>20.25</v>
      </c>
      <c r="F20" s="13">
        <f t="shared" ref="F20:F28" si="3">E20/D20</f>
        <v>0.76415094339622647</v>
      </c>
    </row>
    <row r="21" spans="1:7" x14ac:dyDescent="0.25">
      <c r="A21" t="str">
        <f>A3</f>
        <v xml:space="preserve">Grupo Control - Pre Test </v>
      </c>
      <c r="B21" s="13" t="str">
        <f>D2</f>
        <v>c) A veces</v>
      </c>
      <c r="C21" s="13">
        <f>D3</f>
        <v>26</v>
      </c>
      <c r="D21" s="13">
        <f>D12</f>
        <v>26.5</v>
      </c>
      <c r="E21" s="13">
        <f t="shared" si="2"/>
        <v>0.25</v>
      </c>
      <c r="F21" s="13">
        <f t="shared" si="3"/>
        <v>9.433962264150943E-3</v>
      </c>
    </row>
    <row r="22" spans="1:7" x14ac:dyDescent="0.25">
      <c r="A22" t="str">
        <f>A3</f>
        <v xml:space="preserve">Grupo Control - Pre Test </v>
      </c>
      <c r="B22" s="13" t="str">
        <f>E2</f>
        <v>d) Pocas veces</v>
      </c>
      <c r="C22" s="13">
        <f>E3</f>
        <v>17</v>
      </c>
      <c r="D22" s="13">
        <f>E12</f>
        <v>15.5</v>
      </c>
      <c r="E22" s="13">
        <f t="shared" si="2"/>
        <v>2.25</v>
      </c>
      <c r="F22" s="13">
        <f t="shared" si="3"/>
        <v>0.14516129032258066</v>
      </c>
    </row>
    <row r="23" spans="1:7" x14ac:dyDescent="0.25">
      <c r="A23" t="str">
        <f>A3</f>
        <v xml:space="preserve">Grupo Control - Pre Test </v>
      </c>
      <c r="B23" s="13" t="str">
        <f>F2</f>
        <v>e) Nunca</v>
      </c>
      <c r="C23" s="13">
        <f>F3</f>
        <v>5</v>
      </c>
      <c r="D23" s="13">
        <f>F12</f>
        <v>7.5</v>
      </c>
      <c r="E23" s="13">
        <f t="shared" si="2"/>
        <v>6.25</v>
      </c>
      <c r="F23" s="13">
        <f t="shared" si="3"/>
        <v>0.83333333333333337</v>
      </c>
    </row>
    <row r="24" spans="1:7" x14ac:dyDescent="0.25">
      <c r="A24" t="str">
        <f>A4</f>
        <v>Grupo Control - Post Test</v>
      </c>
      <c r="B24" s="13" t="str">
        <f>B2</f>
        <v>a) Siempre</v>
      </c>
      <c r="C24" s="13">
        <f>B4</f>
        <v>20</v>
      </c>
      <c r="D24" s="13">
        <f>B13</f>
        <v>17</v>
      </c>
      <c r="E24" s="13">
        <f t="shared" si="2"/>
        <v>9</v>
      </c>
      <c r="F24" s="13">
        <f t="shared" si="3"/>
        <v>0.52941176470588236</v>
      </c>
    </row>
    <row r="25" spans="1:7" x14ac:dyDescent="0.25">
      <c r="A25" t="str">
        <f>A4</f>
        <v>Grupo Control - Post Test</v>
      </c>
      <c r="B25" s="13" t="str">
        <f>C2</f>
        <v>b) Muchas veces</v>
      </c>
      <c r="C25" s="13">
        <f>C4</f>
        <v>22</v>
      </c>
      <c r="D25" s="13">
        <f>C13</f>
        <v>26.5</v>
      </c>
      <c r="E25" s="13">
        <f t="shared" si="2"/>
        <v>20.25</v>
      </c>
      <c r="F25" s="13">
        <f t="shared" si="3"/>
        <v>0.76415094339622647</v>
      </c>
    </row>
    <row r="26" spans="1:7" x14ac:dyDescent="0.25">
      <c r="A26" t="str">
        <f>A4</f>
        <v>Grupo Control - Post Test</v>
      </c>
      <c r="B26" s="13" t="str">
        <f>D2</f>
        <v>c) A veces</v>
      </c>
      <c r="C26" s="13">
        <f>D4</f>
        <v>27</v>
      </c>
      <c r="D26" s="13">
        <f>D13</f>
        <v>26.5</v>
      </c>
      <c r="E26" s="13">
        <f t="shared" si="2"/>
        <v>0.25</v>
      </c>
      <c r="F26" s="13">
        <f t="shared" si="3"/>
        <v>9.433962264150943E-3</v>
      </c>
    </row>
    <row r="27" spans="1:7" x14ac:dyDescent="0.25">
      <c r="A27" t="str">
        <f>A4</f>
        <v>Grupo Control - Post Test</v>
      </c>
      <c r="B27" s="13" t="str">
        <f>E2</f>
        <v>d) Pocas veces</v>
      </c>
      <c r="C27" s="13">
        <f>E4</f>
        <v>14</v>
      </c>
      <c r="D27" s="13">
        <f>E13</f>
        <v>15.5</v>
      </c>
      <c r="E27" s="13">
        <f t="shared" si="2"/>
        <v>2.25</v>
      </c>
      <c r="F27" s="13">
        <f t="shared" si="3"/>
        <v>0.14516129032258066</v>
      </c>
    </row>
    <row r="28" spans="1:7" x14ac:dyDescent="0.25">
      <c r="A28" t="str">
        <f>A4</f>
        <v>Grupo Control - Post Test</v>
      </c>
      <c r="B28" s="13" t="str">
        <f>F2</f>
        <v>e) Nunca</v>
      </c>
      <c r="C28" s="13">
        <f>F4</f>
        <v>10</v>
      </c>
      <c r="D28" s="13">
        <f>F13</f>
        <v>7.5</v>
      </c>
      <c r="E28" s="13">
        <f t="shared" si="2"/>
        <v>6.25</v>
      </c>
      <c r="F28" s="13">
        <f t="shared" si="3"/>
        <v>0.83333333333333337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3">
        <f>SUM(F19:F28)</f>
        <v>4.5629825880443473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3">
        <v>2</v>
      </c>
    </row>
    <row r="40" spans="1:7" x14ac:dyDescent="0.25">
      <c r="A40" s="20" t="s">
        <v>12</v>
      </c>
      <c r="B40" s="20"/>
      <c r="C40" s="13">
        <v>5</v>
      </c>
    </row>
    <row r="41" spans="1:7" x14ac:dyDescent="0.25">
      <c r="A41" s="20" t="s">
        <v>14</v>
      </c>
      <c r="B41" s="20"/>
      <c r="C41" s="13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0.3351445619122409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3">
        <f>B45</f>
        <v>0.05</v>
      </c>
    </row>
    <row r="56" spans="1:7" x14ac:dyDescent="0.25">
      <c r="A56" s="14" t="s">
        <v>19</v>
      </c>
      <c r="B56" s="13">
        <f>B47</f>
        <v>0.3351445619122409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3">
        <f>B35</f>
        <v>4.5629825880443473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16" zoomScale="130" zoomScaleNormal="130" workbookViewId="0">
      <selection activeCell="B2" sqref="B2:F2"/>
    </sheetView>
  </sheetViews>
  <sheetFormatPr baseColWidth="10" defaultColWidth="9.140625" defaultRowHeight="15" x14ac:dyDescent="0.25"/>
  <cols>
    <col min="1" max="1" width="39.7109375" customWidth="1"/>
    <col min="2" max="6" width="19.7109375" style="2" customWidth="1"/>
    <col min="7" max="7" width="10.7109375" style="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2">
        <v>17</v>
      </c>
      <c r="C3" s="2">
        <v>20</v>
      </c>
      <c r="D3" s="2">
        <v>32</v>
      </c>
      <c r="E3" s="2">
        <v>16</v>
      </c>
      <c r="F3" s="2">
        <v>8</v>
      </c>
      <c r="G3" s="2">
        <f>SUM(B3:F3)</f>
        <v>93</v>
      </c>
    </row>
    <row r="4" spans="1:7" x14ac:dyDescent="0.25">
      <c r="A4" t="s">
        <v>39</v>
      </c>
      <c r="B4" s="2">
        <v>20</v>
      </c>
      <c r="C4" s="2">
        <v>19</v>
      </c>
      <c r="D4" s="2">
        <v>34</v>
      </c>
      <c r="E4" s="2">
        <v>15</v>
      </c>
      <c r="F4" s="2">
        <v>5</v>
      </c>
      <c r="G4" s="2">
        <f>SUM(B4:F4)</f>
        <v>93</v>
      </c>
    </row>
    <row r="5" spans="1:7" x14ac:dyDescent="0.25">
      <c r="A5" t="s">
        <v>1</v>
      </c>
      <c r="B5" s="2">
        <f t="shared" ref="B5:F5" si="0">SUM(B3:B4)</f>
        <v>37</v>
      </c>
      <c r="C5" s="2">
        <f t="shared" si="0"/>
        <v>39</v>
      </c>
      <c r="D5" s="2">
        <f t="shared" si="0"/>
        <v>66</v>
      </c>
      <c r="E5" s="2">
        <f t="shared" si="0"/>
        <v>31</v>
      </c>
      <c r="F5" s="2">
        <f t="shared" si="0"/>
        <v>13</v>
      </c>
      <c r="G5" s="2">
        <f t="shared" ref="G5" si="1">SUM(G3:G4)</f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2">C2</f>
        <v>b) Frecuente</v>
      </c>
      <c r="D11" s="3" t="str">
        <f t="shared" si="2"/>
        <v>c) A veces</v>
      </c>
      <c r="E11" s="3" t="str">
        <f t="shared" si="2"/>
        <v>d) Raro</v>
      </c>
      <c r="F11" s="3" t="str">
        <f t="shared" si="2"/>
        <v>e) Nunca</v>
      </c>
      <c r="G11" s="3" t="str">
        <f t="shared" si="2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18.5</v>
      </c>
      <c r="C12" s="6">
        <f>(G3*C5)/G5</f>
        <v>19.5</v>
      </c>
      <c r="D12" s="6">
        <f>(G3*D5)/G5</f>
        <v>33</v>
      </c>
      <c r="E12" s="6">
        <f>(G3*E5)/G5</f>
        <v>15.5</v>
      </c>
      <c r="F12" s="6">
        <f>(G3*F5)/G5</f>
        <v>6.5</v>
      </c>
      <c r="G12" s="6">
        <f>SUM(B12:F12)</f>
        <v>93</v>
      </c>
    </row>
    <row r="13" spans="1:7" x14ac:dyDescent="0.25">
      <c r="A13" t="str">
        <f>A4</f>
        <v>Grupo Control - Post Test</v>
      </c>
      <c r="B13" s="2">
        <f>(G4*B5)/G5</f>
        <v>18.5</v>
      </c>
      <c r="C13" s="2">
        <f>(G4*C5)/G5</f>
        <v>19.5</v>
      </c>
      <c r="D13" s="2">
        <f>(G4*D5)/G5</f>
        <v>33</v>
      </c>
      <c r="E13" s="2">
        <f>(G4*E5)/G5</f>
        <v>15.5</v>
      </c>
      <c r="F13" s="2">
        <f>(G4*F5)/G5</f>
        <v>6.5</v>
      </c>
      <c r="G13" s="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2" t="str">
        <f>B2</f>
        <v>a) Siempre</v>
      </c>
      <c r="C19" s="2">
        <f>B3</f>
        <v>17</v>
      </c>
      <c r="D19" s="2">
        <f>B12</f>
        <v>18.5</v>
      </c>
      <c r="E19" s="2">
        <f>(C19-D19)^2</f>
        <v>2.25</v>
      </c>
      <c r="F19" s="2">
        <f>E19/D19</f>
        <v>0.12162162162162163</v>
      </c>
    </row>
    <row r="20" spans="1:7" x14ac:dyDescent="0.25">
      <c r="A20" t="str">
        <f>A3</f>
        <v xml:space="preserve">Grupo Control - Pre Test </v>
      </c>
      <c r="B20" s="2" t="str">
        <f>C2</f>
        <v>b) Frecuente</v>
      </c>
      <c r="C20" s="2">
        <f>C3</f>
        <v>20</v>
      </c>
      <c r="D20" s="2">
        <f>C12</f>
        <v>19.5</v>
      </c>
      <c r="E20" s="2">
        <f t="shared" ref="E20:E28" si="3">(C20-D20)^2</f>
        <v>0.25</v>
      </c>
      <c r="F20" s="2">
        <f t="shared" ref="F20:F28" si="4">E20/D20</f>
        <v>1.282051282051282E-2</v>
      </c>
    </row>
    <row r="21" spans="1:7" x14ac:dyDescent="0.25">
      <c r="A21" t="str">
        <f>A3</f>
        <v xml:space="preserve">Grupo Control - Pre Test </v>
      </c>
      <c r="B21" s="2" t="str">
        <f>D2</f>
        <v>c) A veces</v>
      </c>
      <c r="C21" s="2">
        <f>D3</f>
        <v>32</v>
      </c>
      <c r="D21" s="2">
        <f>D12</f>
        <v>33</v>
      </c>
      <c r="E21" s="2">
        <f t="shared" si="3"/>
        <v>1</v>
      </c>
      <c r="F21" s="2">
        <f t="shared" si="4"/>
        <v>3.0303030303030304E-2</v>
      </c>
    </row>
    <row r="22" spans="1:7" x14ac:dyDescent="0.25">
      <c r="A22" t="str">
        <f>A3</f>
        <v xml:space="preserve">Grupo Control - Pre Test </v>
      </c>
      <c r="B22" s="2" t="str">
        <f>E2</f>
        <v>d) Raro</v>
      </c>
      <c r="C22" s="2">
        <f>E3</f>
        <v>16</v>
      </c>
      <c r="D22" s="2">
        <f>E12</f>
        <v>15.5</v>
      </c>
      <c r="E22" s="2">
        <f t="shared" si="3"/>
        <v>0.25</v>
      </c>
      <c r="F22" s="2">
        <f t="shared" si="4"/>
        <v>1.6129032258064516E-2</v>
      </c>
    </row>
    <row r="23" spans="1:7" x14ac:dyDescent="0.25">
      <c r="A23" t="str">
        <f>A3</f>
        <v xml:space="preserve">Grupo Control - Pre Test </v>
      </c>
      <c r="B23" s="2" t="str">
        <f>F2</f>
        <v>e) Nunca</v>
      </c>
      <c r="C23" s="2">
        <f>F3</f>
        <v>8</v>
      </c>
      <c r="D23" s="2">
        <f>F12</f>
        <v>6.5</v>
      </c>
      <c r="E23" s="2">
        <f t="shared" si="3"/>
        <v>2.25</v>
      </c>
      <c r="F23" s="2">
        <f t="shared" si="4"/>
        <v>0.34615384615384615</v>
      </c>
    </row>
    <row r="24" spans="1:7" x14ac:dyDescent="0.25">
      <c r="A24" t="str">
        <f>A4</f>
        <v>Grupo Control - Post Test</v>
      </c>
      <c r="B24" s="2" t="str">
        <f>B2</f>
        <v>a) Siempre</v>
      </c>
      <c r="C24" s="2">
        <f>B4</f>
        <v>20</v>
      </c>
      <c r="D24" s="2">
        <f>B13</f>
        <v>18.5</v>
      </c>
      <c r="E24" s="2">
        <f t="shared" si="3"/>
        <v>2.25</v>
      </c>
      <c r="F24" s="2">
        <f t="shared" si="4"/>
        <v>0.12162162162162163</v>
      </c>
    </row>
    <row r="25" spans="1:7" x14ac:dyDescent="0.25">
      <c r="A25" t="str">
        <f>A4</f>
        <v>Grupo Control - Post Test</v>
      </c>
      <c r="B25" s="2" t="str">
        <f>C2</f>
        <v>b) Frecuente</v>
      </c>
      <c r="C25" s="2">
        <f>C4</f>
        <v>19</v>
      </c>
      <c r="D25" s="2">
        <f>C13</f>
        <v>19.5</v>
      </c>
      <c r="E25" s="2">
        <f t="shared" si="3"/>
        <v>0.25</v>
      </c>
      <c r="F25" s="2">
        <f t="shared" si="4"/>
        <v>1.282051282051282E-2</v>
      </c>
    </row>
    <row r="26" spans="1:7" x14ac:dyDescent="0.25">
      <c r="A26" t="str">
        <f>A4</f>
        <v>Grupo Control - Post Test</v>
      </c>
      <c r="B26" s="2" t="str">
        <f>D2</f>
        <v>c) A veces</v>
      </c>
      <c r="C26" s="2">
        <f>D4</f>
        <v>34</v>
      </c>
      <c r="D26" s="2">
        <f>D13</f>
        <v>33</v>
      </c>
      <c r="E26" s="2">
        <f t="shared" si="3"/>
        <v>1</v>
      </c>
      <c r="F26" s="2">
        <f t="shared" si="4"/>
        <v>3.0303030303030304E-2</v>
      </c>
    </row>
    <row r="27" spans="1:7" x14ac:dyDescent="0.25">
      <c r="A27" t="str">
        <f>A4</f>
        <v>Grupo Control - Post Test</v>
      </c>
      <c r="B27" s="2" t="str">
        <f>E2</f>
        <v>d) Raro</v>
      </c>
      <c r="C27" s="2">
        <f>E4</f>
        <v>15</v>
      </c>
      <c r="D27" s="2">
        <f>E13</f>
        <v>15.5</v>
      </c>
      <c r="E27" s="2">
        <f t="shared" si="3"/>
        <v>0.25</v>
      </c>
      <c r="F27" s="2">
        <f t="shared" si="4"/>
        <v>1.6129032258064516E-2</v>
      </c>
    </row>
    <row r="28" spans="1:7" x14ac:dyDescent="0.25">
      <c r="A28" t="str">
        <f>A4</f>
        <v>Grupo Control - Post Test</v>
      </c>
      <c r="B28" s="2" t="str">
        <f>F2</f>
        <v>e) Nunca</v>
      </c>
      <c r="C28" s="2">
        <f>F4</f>
        <v>5</v>
      </c>
      <c r="D28" s="2">
        <f>F13</f>
        <v>6.5</v>
      </c>
      <c r="E28" s="2">
        <f t="shared" si="3"/>
        <v>2.25</v>
      </c>
      <c r="F28" s="2">
        <f t="shared" si="4"/>
        <v>0.34615384615384615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2">
        <f>SUM(F19:F28)</f>
        <v>1.0540560863141506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2">
        <v>2</v>
      </c>
    </row>
    <row r="40" spans="1:7" x14ac:dyDescent="0.25">
      <c r="A40" s="20" t="s">
        <v>12</v>
      </c>
      <c r="B40" s="20"/>
      <c r="C40" s="2">
        <v>5</v>
      </c>
    </row>
    <row r="41" spans="1:7" x14ac:dyDescent="0.25">
      <c r="A41" s="20" t="s">
        <v>14</v>
      </c>
      <c r="B41" s="20"/>
      <c r="C41" s="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2">
        <f>C41</f>
        <v>4</v>
      </c>
    </row>
    <row r="45" spans="1:7" x14ac:dyDescent="0.25">
      <c r="A45" t="s">
        <v>17</v>
      </c>
      <c r="B45" s="2">
        <v>0.05</v>
      </c>
      <c r="C45" s="2" t="s">
        <v>16</v>
      </c>
    </row>
    <row r="46" spans="1:7" x14ac:dyDescent="0.25">
      <c r="A46" t="s">
        <v>18</v>
      </c>
      <c r="B46" s="2">
        <f>CHIINV(B45,B44)</f>
        <v>9.4877290367811575</v>
      </c>
    </row>
    <row r="47" spans="1:7" x14ac:dyDescent="0.25">
      <c r="A47" t="s">
        <v>19</v>
      </c>
      <c r="B47" s="2">
        <f>_xlfn.CHISQ.DIST.RT(B35, B44)</f>
        <v>0.90149151162408536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2">
        <f>B45</f>
        <v>0.05</v>
      </c>
    </row>
    <row r="56" spans="1:7" x14ac:dyDescent="0.25">
      <c r="A56" s="14" t="s">
        <v>19</v>
      </c>
      <c r="B56" s="2">
        <f>B47</f>
        <v>0.90149151162408536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2">
        <f>B35</f>
        <v>1.0540560863141506</v>
      </c>
    </row>
    <row r="60" spans="1:7" x14ac:dyDescent="0.25">
      <c r="A60" s="15" t="s">
        <v>22</v>
      </c>
      <c r="B60" s="2">
        <f>B46</f>
        <v>9.4877290367811575</v>
      </c>
    </row>
  </sheetData>
  <mergeCells count="14">
    <mergeCell ref="A1:G1"/>
    <mergeCell ref="A7:G7"/>
    <mergeCell ref="A16:G16"/>
    <mergeCell ref="A31:G31"/>
    <mergeCell ref="A37:G37"/>
    <mergeCell ref="A58:C58"/>
    <mergeCell ref="B51:D51"/>
    <mergeCell ref="B52:D52"/>
    <mergeCell ref="A54:C54"/>
    <mergeCell ref="A39:B39"/>
    <mergeCell ref="A40:B40"/>
    <mergeCell ref="A43:G43"/>
    <mergeCell ref="A41:B41"/>
    <mergeCell ref="A49:G4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16" zoomScale="130" zoomScaleNormal="130" workbookViewId="0">
      <selection activeCell="H23" sqref="H23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60</v>
      </c>
      <c r="D2" s="5" t="s">
        <v>35</v>
      </c>
      <c r="E2" s="5" t="s">
        <v>61</v>
      </c>
      <c r="F2" s="5" t="s">
        <v>37</v>
      </c>
      <c r="G2" s="5" t="s">
        <v>1</v>
      </c>
    </row>
    <row r="3" spans="1:7" x14ac:dyDescent="0.25">
      <c r="A3" t="s">
        <v>38</v>
      </c>
      <c r="B3" s="12">
        <v>20</v>
      </c>
      <c r="C3" s="12">
        <v>23</v>
      </c>
      <c r="D3" s="12">
        <v>33</v>
      </c>
      <c r="E3" s="12">
        <v>10</v>
      </c>
      <c r="F3" s="12">
        <v>7</v>
      </c>
      <c r="G3" s="12">
        <f>SUM(B3:F3)</f>
        <v>93</v>
      </c>
    </row>
    <row r="4" spans="1:7" x14ac:dyDescent="0.25">
      <c r="A4" t="s">
        <v>39</v>
      </c>
      <c r="B4" s="12">
        <v>21</v>
      </c>
      <c r="C4" s="12">
        <v>20</v>
      </c>
      <c r="D4" s="12">
        <v>29</v>
      </c>
      <c r="E4" s="12">
        <v>13</v>
      </c>
      <c r="F4" s="12">
        <v>10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41</v>
      </c>
      <c r="C5" s="12">
        <f t="shared" si="0"/>
        <v>43</v>
      </c>
      <c r="D5" s="12">
        <f t="shared" si="0"/>
        <v>62</v>
      </c>
      <c r="E5" s="12">
        <f t="shared" si="0"/>
        <v>23</v>
      </c>
      <c r="F5" s="12">
        <f t="shared" si="0"/>
        <v>17</v>
      </c>
      <c r="G5" s="12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20.5</v>
      </c>
      <c r="C12" s="6">
        <f>(G3*C5)/G5</f>
        <v>21.5</v>
      </c>
      <c r="D12" s="6">
        <f>(G3*D5)/G5</f>
        <v>31</v>
      </c>
      <c r="E12" s="6">
        <f>(G3*E5)/G5</f>
        <v>11.5</v>
      </c>
      <c r="F12" s="6">
        <f>(G3*F5)/G5</f>
        <v>8.5</v>
      </c>
      <c r="G12" s="6">
        <f>SUM(B12:F12)</f>
        <v>93</v>
      </c>
    </row>
    <row r="13" spans="1:7" x14ac:dyDescent="0.25">
      <c r="A13" t="str">
        <f>A4</f>
        <v>Grupo Control - Post Test</v>
      </c>
      <c r="B13" s="12">
        <f>(G4*B5)/G5</f>
        <v>20.5</v>
      </c>
      <c r="C13" s="12">
        <f>(G4*C5)/G5</f>
        <v>21.5</v>
      </c>
      <c r="D13" s="12">
        <f>(G4*D5)/G5</f>
        <v>31</v>
      </c>
      <c r="E13" s="12">
        <f>(G4*E5)/G5</f>
        <v>11.5</v>
      </c>
      <c r="F13" s="12">
        <f>(G4*F5)/G5</f>
        <v>8.5</v>
      </c>
      <c r="G13" s="1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20</v>
      </c>
      <c r="D19" s="12">
        <f>B12</f>
        <v>20.5</v>
      </c>
      <c r="E19" s="12">
        <f>(C19-D19)^2</f>
        <v>0.25</v>
      </c>
      <c r="F19" s="12">
        <f>E19/D19</f>
        <v>1.2195121951219513E-2</v>
      </c>
    </row>
    <row r="20" spans="1:7" x14ac:dyDescent="0.25">
      <c r="A20" t="str">
        <f>A3</f>
        <v xml:space="preserve">Grupo Control - Pre Test </v>
      </c>
      <c r="B20" s="12" t="str">
        <f>C2</f>
        <v>b) Muchas veces</v>
      </c>
      <c r="C20" s="12">
        <f>C3</f>
        <v>23</v>
      </c>
      <c r="D20" s="12">
        <f>C12</f>
        <v>21.5</v>
      </c>
      <c r="E20" s="12">
        <f t="shared" ref="E20:E28" si="2">(C20-D20)^2</f>
        <v>2.25</v>
      </c>
      <c r="F20" s="12">
        <f t="shared" ref="F20:F28" si="3">E20/D20</f>
        <v>0.10465116279069768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33</v>
      </c>
      <c r="D21" s="12">
        <f>D12</f>
        <v>31</v>
      </c>
      <c r="E21" s="12">
        <f t="shared" si="2"/>
        <v>4</v>
      </c>
      <c r="F21" s="12">
        <f t="shared" si="3"/>
        <v>0.12903225806451613</v>
      </c>
    </row>
    <row r="22" spans="1:7" x14ac:dyDescent="0.25">
      <c r="A22" t="str">
        <f>A3</f>
        <v xml:space="preserve">Grupo Control - Pre Test </v>
      </c>
      <c r="B22" s="12" t="str">
        <f>E2</f>
        <v>d) Pocas veces</v>
      </c>
      <c r="C22" s="12">
        <f>E3</f>
        <v>10</v>
      </c>
      <c r="D22" s="12">
        <f>E12</f>
        <v>11.5</v>
      </c>
      <c r="E22" s="12">
        <f t="shared" si="2"/>
        <v>2.25</v>
      </c>
      <c r="F22" s="12">
        <f t="shared" si="3"/>
        <v>0.19565217391304349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7</v>
      </c>
      <c r="D23" s="12">
        <f>F12</f>
        <v>8.5</v>
      </c>
      <c r="E23" s="12">
        <f t="shared" si="2"/>
        <v>2.25</v>
      </c>
      <c r="F23" s="12">
        <f t="shared" si="3"/>
        <v>0.26470588235294118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21</v>
      </c>
      <c r="D24" s="12">
        <f>B13</f>
        <v>20.5</v>
      </c>
      <c r="E24" s="12">
        <f t="shared" si="2"/>
        <v>0.25</v>
      </c>
      <c r="F24" s="12">
        <f t="shared" si="3"/>
        <v>1.2195121951219513E-2</v>
      </c>
    </row>
    <row r="25" spans="1:7" x14ac:dyDescent="0.25">
      <c r="A25" t="str">
        <f>A4</f>
        <v>Grupo Control - Post Test</v>
      </c>
      <c r="B25" s="12" t="str">
        <f>C2</f>
        <v>b) Muchas veces</v>
      </c>
      <c r="C25" s="12">
        <f>C4</f>
        <v>20</v>
      </c>
      <c r="D25" s="12">
        <f>C13</f>
        <v>21.5</v>
      </c>
      <c r="E25" s="12">
        <f t="shared" si="2"/>
        <v>2.25</v>
      </c>
      <c r="F25" s="12">
        <f t="shared" si="3"/>
        <v>0.10465116279069768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29</v>
      </c>
      <c r="D26" s="12">
        <f>D13</f>
        <v>31</v>
      </c>
      <c r="E26" s="12">
        <f t="shared" si="2"/>
        <v>4</v>
      </c>
      <c r="F26" s="12">
        <f t="shared" si="3"/>
        <v>0.12903225806451613</v>
      </c>
    </row>
    <row r="27" spans="1:7" x14ac:dyDescent="0.25">
      <c r="A27" t="str">
        <f>A4</f>
        <v>Grupo Control - Post Test</v>
      </c>
      <c r="B27" s="12" t="str">
        <f>E2</f>
        <v>d) Pocas veces</v>
      </c>
      <c r="C27" s="12">
        <f>E4</f>
        <v>13</v>
      </c>
      <c r="D27" s="12">
        <f>E13</f>
        <v>11.5</v>
      </c>
      <c r="E27" s="12">
        <f t="shared" si="2"/>
        <v>2.25</v>
      </c>
      <c r="F27" s="12">
        <f t="shared" si="3"/>
        <v>0.19565217391304349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10</v>
      </c>
      <c r="D28" s="12">
        <f>F13</f>
        <v>8.5</v>
      </c>
      <c r="E28" s="12">
        <f t="shared" si="2"/>
        <v>2.25</v>
      </c>
      <c r="F28" s="12">
        <f t="shared" si="3"/>
        <v>0.26470588235294118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1.412473198144836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2">
        <v>2</v>
      </c>
    </row>
    <row r="40" spans="1:7" x14ac:dyDescent="0.25">
      <c r="A40" s="20" t="s">
        <v>12</v>
      </c>
      <c r="B40" s="20"/>
      <c r="C40" s="12">
        <v>5</v>
      </c>
    </row>
    <row r="41" spans="1:7" x14ac:dyDescent="0.25">
      <c r="A41" s="20" t="s">
        <v>14</v>
      </c>
      <c r="B41" s="20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0.84202424284604183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2">
        <f>B45</f>
        <v>0.05</v>
      </c>
    </row>
    <row r="56" spans="1:7" x14ac:dyDescent="0.25">
      <c r="A56" s="14" t="s">
        <v>19</v>
      </c>
      <c r="B56" s="12">
        <f>B47</f>
        <v>0.84202424284604183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2">
        <f>B35</f>
        <v>1.412473198144836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19" zoomScale="115" zoomScaleNormal="115" workbookViewId="0">
      <selection activeCell="J9" sqref="J9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12">
        <v>22</v>
      </c>
      <c r="C3" s="12">
        <v>16</v>
      </c>
      <c r="D3" s="12">
        <v>23</v>
      </c>
      <c r="E3" s="12">
        <v>21</v>
      </c>
      <c r="F3" s="12">
        <v>11</v>
      </c>
      <c r="G3" s="12">
        <f>SUM(B3:F3)</f>
        <v>93</v>
      </c>
    </row>
    <row r="4" spans="1:7" x14ac:dyDescent="0.25">
      <c r="A4" t="s">
        <v>39</v>
      </c>
      <c r="B4" s="12">
        <v>12</v>
      </c>
      <c r="C4" s="12">
        <v>33</v>
      </c>
      <c r="D4" s="12">
        <v>31</v>
      </c>
      <c r="E4" s="12">
        <v>14</v>
      </c>
      <c r="F4" s="12">
        <v>3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34</v>
      </c>
      <c r="C5" s="12">
        <f t="shared" si="0"/>
        <v>49</v>
      </c>
      <c r="D5" s="12">
        <f t="shared" si="0"/>
        <v>54</v>
      </c>
      <c r="E5" s="12">
        <f t="shared" si="0"/>
        <v>35</v>
      </c>
      <c r="F5" s="12">
        <f t="shared" si="0"/>
        <v>14</v>
      </c>
      <c r="G5" s="12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</v>
      </c>
      <c r="C12" s="6">
        <f>(G3*C5)/G5</f>
        <v>24.5</v>
      </c>
      <c r="D12" s="6">
        <f>(G3*D5)/G5</f>
        <v>27</v>
      </c>
      <c r="E12" s="6">
        <f>(G3*E5)/G5</f>
        <v>17.5</v>
      </c>
      <c r="F12" s="6">
        <f>(G3*F5)/G5</f>
        <v>7</v>
      </c>
      <c r="G12" s="6">
        <f>SUM(B12:F12)</f>
        <v>93</v>
      </c>
    </row>
    <row r="13" spans="1:7" x14ac:dyDescent="0.25">
      <c r="A13" t="str">
        <f>A4</f>
        <v>Grupo Control - Post Test</v>
      </c>
      <c r="B13" s="12">
        <f>(G4*B5)/G5</f>
        <v>17</v>
      </c>
      <c r="C13" s="12">
        <f>(G4*C5)/G5</f>
        <v>24.5</v>
      </c>
      <c r="D13" s="12">
        <f>(G4*D5)/G5</f>
        <v>27</v>
      </c>
      <c r="E13" s="12">
        <f>(G4*E5)/G5</f>
        <v>17.5</v>
      </c>
      <c r="F13" s="12">
        <f>(G4*F5)/G5</f>
        <v>7</v>
      </c>
      <c r="G13" s="1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22</v>
      </c>
      <c r="D19" s="12">
        <f>B12</f>
        <v>17</v>
      </c>
      <c r="E19" s="12">
        <f>(C19-D19)^2</f>
        <v>25</v>
      </c>
      <c r="F19" s="12">
        <f>E19/D19</f>
        <v>1.4705882352941178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16</v>
      </c>
      <c r="D20" s="12">
        <f>C12</f>
        <v>24.5</v>
      </c>
      <c r="E20" s="12">
        <f t="shared" ref="E20:E28" si="2">(C20-D20)^2</f>
        <v>72.25</v>
      </c>
      <c r="F20" s="12">
        <f t="shared" ref="F20:F28" si="3">E20/D20</f>
        <v>2.9489795918367347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23</v>
      </c>
      <c r="D21" s="12">
        <f>D12</f>
        <v>27</v>
      </c>
      <c r="E21" s="12">
        <f t="shared" si="2"/>
        <v>16</v>
      </c>
      <c r="F21" s="12">
        <f t="shared" si="3"/>
        <v>0.59259259259259256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21</v>
      </c>
      <c r="D22" s="12">
        <f>E12</f>
        <v>17.5</v>
      </c>
      <c r="E22" s="12">
        <f t="shared" si="2"/>
        <v>12.25</v>
      </c>
      <c r="F22" s="12">
        <f t="shared" si="3"/>
        <v>0.7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11</v>
      </c>
      <c r="D23" s="12">
        <f>F12</f>
        <v>7</v>
      </c>
      <c r="E23" s="12">
        <f t="shared" si="2"/>
        <v>16</v>
      </c>
      <c r="F23" s="12">
        <f t="shared" si="3"/>
        <v>2.2857142857142856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12</v>
      </c>
      <c r="D24" s="12">
        <f>B13</f>
        <v>17</v>
      </c>
      <c r="E24" s="12">
        <f t="shared" si="2"/>
        <v>25</v>
      </c>
      <c r="F24" s="12">
        <f t="shared" si="3"/>
        <v>1.4705882352941178</v>
      </c>
    </row>
    <row r="25" spans="1:7" x14ac:dyDescent="0.25">
      <c r="A25" t="str">
        <f>A4</f>
        <v>Grupo Control - Post Test</v>
      </c>
      <c r="B25" s="12" t="str">
        <f>C2</f>
        <v>b) Frecuente</v>
      </c>
      <c r="C25" s="12">
        <f>C4</f>
        <v>33</v>
      </c>
      <c r="D25" s="12">
        <f>C13</f>
        <v>24.5</v>
      </c>
      <c r="E25" s="12">
        <f t="shared" si="2"/>
        <v>72.25</v>
      </c>
      <c r="F25" s="12">
        <f t="shared" si="3"/>
        <v>2.9489795918367347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31</v>
      </c>
      <c r="D26" s="12">
        <f>D13</f>
        <v>27</v>
      </c>
      <c r="E26" s="12">
        <f t="shared" si="2"/>
        <v>16</v>
      </c>
      <c r="F26" s="12">
        <f t="shared" si="3"/>
        <v>0.59259259259259256</v>
      </c>
    </row>
    <row r="27" spans="1:7" x14ac:dyDescent="0.25">
      <c r="A27" t="str">
        <f>A4</f>
        <v>Grupo Control - Post Test</v>
      </c>
      <c r="B27" s="12" t="str">
        <f>E2</f>
        <v>d) Raro</v>
      </c>
      <c r="C27" s="12">
        <f>E4</f>
        <v>14</v>
      </c>
      <c r="D27" s="12">
        <f>E13</f>
        <v>17.5</v>
      </c>
      <c r="E27" s="12">
        <f t="shared" si="2"/>
        <v>12.25</v>
      </c>
      <c r="F27" s="12">
        <f t="shared" si="3"/>
        <v>0.7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3</v>
      </c>
      <c r="D28" s="12">
        <f>F13</f>
        <v>7</v>
      </c>
      <c r="E28" s="12">
        <f t="shared" si="2"/>
        <v>16</v>
      </c>
      <c r="F28" s="12">
        <f t="shared" si="3"/>
        <v>2.2857142857142856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15.995749410875458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2">
        <v>2</v>
      </c>
    </row>
    <row r="40" spans="1:7" x14ac:dyDescent="0.25">
      <c r="A40" s="20" t="s">
        <v>12</v>
      </c>
      <c r="B40" s="20"/>
      <c r="C40" s="12">
        <v>5</v>
      </c>
    </row>
    <row r="41" spans="1:7" x14ac:dyDescent="0.25">
      <c r="A41" s="20" t="s">
        <v>14</v>
      </c>
      <c r="B41" s="20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3.0248726128877536E-3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2">
        <f>B45</f>
        <v>0.05</v>
      </c>
    </row>
    <row r="56" spans="1:7" x14ac:dyDescent="0.25">
      <c r="A56" s="14" t="s">
        <v>19</v>
      </c>
      <c r="B56" s="12">
        <f>B47</f>
        <v>3.0248726128877536E-3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2">
        <f>B35</f>
        <v>15.995749410875458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16" zoomScale="130" zoomScaleNormal="130" workbookViewId="0">
      <selection activeCell="B2" sqref="B2:F2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60</v>
      </c>
      <c r="D2" s="5" t="s">
        <v>35</v>
      </c>
      <c r="E2" s="5" t="s">
        <v>61</v>
      </c>
      <c r="F2" s="5" t="s">
        <v>37</v>
      </c>
      <c r="G2" s="5" t="s">
        <v>1</v>
      </c>
    </row>
    <row r="3" spans="1:7" x14ac:dyDescent="0.25">
      <c r="A3" t="s">
        <v>38</v>
      </c>
      <c r="B3" s="12">
        <v>15</v>
      </c>
      <c r="C3" s="12">
        <v>23</v>
      </c>
      <c r="D3" s="12">
        <v>28</v>
      </c>
      <c r="E3" s="12">
        <v>15</v>
      </c>
      <c r="F3" s="12">
        <v>12</v>
      </c>
      <c r="G3" s="12">
        <f>SUM(B3:F3)</f>
        <v>93</v>
      </c>
    </row>
    <row r="4" spans="1:7" x14ac:dyDescent="0.25">
      <c r="A4" t="s">
        <v>39</v>
      </c>
      <c r="B4" s="12">
        <v>17</v>
      </c>
      <c r="C4" s="12">
        <v>24</v>
      </c>
      <c r="D4" s="12">
        <v>34</v>
      </c>
      <c r="E4" s="12">
        <v>8</v>
      </c>
      <c r="F4" s="12">
        <v>10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32</v>
      </c>
      <c r="C5" s="12">
        <f t="shared" si="0"/>
        <v>47</v>
      </c>
      <c r="D5" s="12">
        <f t="shared" si="0"/>
        <v>62</v>
      </c>
      <c r="E5" s="12">
        <f t="shared" si="0"/>
        <v>23</v>
      </c>
      <c r="F5" s="12">
        <f t="shared" si="0"/>
        <v>22</v>
      </c>
      <c r="G5" s="12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16</v>
      </c>
      <c r="C12" s="6">
        <f>(G3*C5)/G5</f>
        <v>23.5</v>
      </c>
      <c r="D12" s="6">
        <f>(G3*D5)/G5</f>
        <v>31</v>
      </c>
      <c r="E12" s="6">
        <f>(G3*E5)/G5</f>
        <v>11.5</v>
      </c>
      <c r="F12" s="6">
        <f>(G3*F5)/G5</f>
        <v>11</v>
      </c>
      <c r="G12" s="6">
        <f>SUM(B12:F12)</f>
        <v>93</v>
      </c>
    </row>
    <row r="13" spans="1:7" x14ac:dyDescent="0.25">
      <c r="A13" t="str">
        <f>A4</f>
        <v>Grupo Control - Post Test</v>
      </c>
      <c r="B13" s="12">
        <f>(G4*B5)/G5</f>
        <v>16</v>
      </c>
      <c r="C13" s="12">
        <f>(G4*C5)/G5</f>
        <v>23.5</v>
      </c>
      <c r="D13" s="12">
        <f>(G4*D5)/G5</f>
        <v>31</v>
      </c>
      <c r="E13" s="12">
        <f>(G4*E5)/G5</f>
        <v>11.5</v>
      </c>
      <c r="F13" s="12">
        <f>(G4*F5)/G5</f>
        <v>11</v>
      </c>
      <c r="G13" s="1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15</v>
      </c>
      <c r="D19" s="12">
        <f>B12</f>
        <v>16</v>
      </c>
      <c r="E19" s="12">
        <f>(C19-D19)^2</f>
        <v>1</v>
      </c>
      <c r="F19" s="12">
        <f>E19/D19</f>
        <v>6.25E-2</v>
      </c>
    </row>
    <row r="20" spans="1:7" x14ac:dyDescent="0.25">
      <c r="A20" t="str">
        <f>A3</f>
        <v xml:space="preserve">Grupo Control - Pre Test </v>
      </c>
      <c r="B20" s="12" t="str">
        <f>C2</f>
        <v>b) Muchas veces</v>
      </c>
      <c r="C20" s="12">
        <f>C3</f>
        <v>23</v>
      </c>
      <c r="D20" s="12">
        <f>C12</f>
        <v>23.5</v>
      </c>
      <c r="E20" s="12">
        <f t="shared" ref="E20:E28" si="2">(C20-D20)^2</f>
        <v>0.25</v>
      </c>
      <c r="F20" s="12">
        <f t="shared" ref="F20:F28" si="3">E20/D20</f>
        <v>1.0638297872340425E-2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28</v>
      </c>
      <c r="D21" s="12">
        <f>D12</f>
        <v>31</v>
      </c>
      <c r="E21" s="12">
        <f t="shared" si="2"/>
        <v>9</v>
      </c>
      <c r="F21" s="12">
        <f t="shared" si="3"/>
        <v>0.29032258064516131</v>
      </c>
    </row>
    <row r="22" spans="1:7" x14ac:dyDescent="0.25">
      <c r="A22" t="str">
        <f>A3</f>
        <v xml:space="preserve">Grupo Control - Pre Test </v>
      </c>
      <c r="B22" s="12" t="str">
        <f>E2</f>
        <v>d) Pocas veces</v>
      </c>
      <c r="C22" s="12">
        <f>E3</f>
        <v>15</v>
      </c>
      <c r="D22" s="12">
        <f>E12</f>
        <v>11.5</v>
      </c>
      <c r="E22" s="12">
        <f t="shared" si="2"/>
        <v>12.25</v>
      </c>
      <c r="F22" s="12">
        <f t="shared" si="3"/>
        <v>1.0652173913043479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12</v>
      </c>
      <c r="D23" s="12">
        <f>F12</f>
        <v>11</v>
      </c>
      <c r="E23" s="12">
        <f t="shared" si="2"/>
        <v>1</v>
      </c>
      <c r="F23" s="12">
        <f t="shared" si="3"/>
        <v>9.0909090909090912E-2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17</v>
      </c>
      <c r="D24" s="12">
        <f>B13</f>
        <v>16</v>
      </c>
      <c r="E24" s="12">
        <f t="shared" si="2"/>
        <v>1</v>
      </c>
      <c r="F24" s="12">
        <f t="shared" si="3"/>
        <v>6.25E-2</v>
      </c>
    </row>
    <row r="25" spans="1:7" x14ac:dyDescent="0.25">
      <c r="A25" t="str">
        <f>A4</f>
        <v>Grupo Control - Post Test</v>
      </c>
      <c r="B25" s="12" t="str">
        <f>C2</f>
        <v>b) Muchas veces</v>
      </c>
      <c r="C25" s="12">
        <f>C4</f>
        <v>24</v>
      </c>
      <c r="D25" s="12">
        <f>C13</f>
        <v>23.5</v>
      </c>
      <c r="E25" s="12">
        <f t="shared" si="2"/>
        <v>0.25</v>
      </c>
      <c r="F25" s="12">
        <f t="shared" si="3"/>
        <v>1.0638297872340425E-2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34</v>
      </c>
      <c r="D26" s="12">
        <f>D13</f>
        <v>31</v>
      </c>
      <c r="E26" s="12">
        <f t="shared" si="2"/>
        <v>9</v>
      </c>
      <c r="F26" s="12">
        <f t="shared" si="3"/>
        <v>0.29032258064516131</v>
      </c>
    </row>
    <row r="27" spans="1:7" x14ac:dyDescent="0.25">
      <c r="A27" t="str">
        <f>A4</f>
        <v>Grupo Control - Post Test</v>
      </c>
      <c r="B27" s="12" t="str">
        <f>E2</f>
        <v>d) Pocas veces</v>
      </c>
      <c r="C27" s="12">
        <f>E4</f>
        <v>8</v>
      </c>
      <c r="D27" s="12">
        <f>E13</f>
        <v>11.5</v>
      </c>
      <c r="E27" s="12">
        <f t="shared" si="2"/>
        <v>12.25</v>
      </c>
      <c r="F27" s="12">
        <f t="shared" si="3"/>
        <v>1.0652173913043479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10</v>
      </c>
      <c r="D28" s="12">
        <f>F13</f>
        <v>11</v>
      </c>
      <c r="E28" s="12">
        <f t="shared" si="2"/>
        <v>1</v>
      </c>
      <c r="F28" s="12">
        <f t="shared" si="3"/>
        <v>9.0909090909090912E-2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3.0391747214618809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2">
        <v>2</v>
      </c>
    </row>
    <row r="40" spans="1:7" x14ac:dyDescent="0.25">
      <c r="A40" s="20" t="s">
        <v>12</v>
      </c>
      <c r="B40" s="20"/>
      <c r="C40" s="12">
        <v>5</v>
      </c>
    </row>
    <row r="41" spans="1:7" x14ac:dyDescent="0.25">
      <c r="A41" s="20" t="s">
        <v>14</v>
      </c>
      <c r="B41" s="20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0.55129114345285002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2">
        <f>B45</f>
        <v>0.05</v>
      </c>
    </row>
    <row r="56" spans="1:7" x14ac:dyDescent="0.25">
      <c r="A56" s="14" t="s">
        <v>19</v>
      </c>
      <c r="B56" s="12">
        <f>B47</f>
        <v>0.55129114345285002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2">
        <f>B35</f>
        <v>3.0391747214618809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13" zoomScale="130" zoomScaleNormal="130" workbookViewId="0">
      <selection activeCell="D63" sqref="D63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62</v>
      </c>
      <c r="C2" s="5" t="s">
        <v>63</v>
      </c>
      <c r="D2" s="5" t="s">
        <v>64</v>
      </c>
      <c r="E2" s="5" t="s">
        <v>65</v>
      </c>
      <c r="F2" s="5" t="s">
        <v>66</v>
      </c>
      <c r="G2" s="5" t="s">
        <v>1</v>
      </c>
    </row>
    <row r="3" spans="1:7" x14ac:dyDescent="0.25">
      <c r="A3" t="s">
        <v>38</v>
      </c>
      <c r="B3" s="12">
        <v>18</v>
      </c>
      <c r="C3" s="12">
        <v>33</v>
      </c>
      <c r="D3" s="12">
        <v>27</v>
      </c>
      <c r="E3" s="12">
        <v>12</v>
      </c>
      <c r="F3" s="12">
        <v>3</v>
      </c>
      <c r="G3" s="12">
        <f>SUM(B3:F3)</f>
        <v>93</v>
      </c>
    </row>
    <row r="4" spans="1:7" x14ac:dyDescent="0.25">
      <c r="A4" t="s">
        <v>39</v>
      </c>
      <c r="B4" s="12">
        <v>22</v>
      </c>
      <c r="C4" s="12">
        <v>25</v>
      </c>
      <c r="D4" s="12">
        <v>24</v>
      </c>
      <c r="E4" s="12">
        <v>14</v>
      </c>
      <c r="F4" s="12">
        <v>8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40</v>
      </c>
      <c r="C5" s="12">
        <f t="shared" si="0"/>
        <v>58</v>
      </c>
      <c r="D5" s="12">
        <f t="shared" si="0"/>
        <v>51</v>
      </c>
      <c r="E5" s="12">
        <f t="shared" si="0"/>
        <v>26</v>
      </c>
      <c r="F5" s="12">
        <f t="shared" si="0"/>
        <v>11</v>
      </c>
      <c r="G5" s="12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81 - 100</v>
      </c>
      <c r="C11" s="3" t="str">
        <f t="shared" ref="C11:G11" si="1">C2</f>
        <v>b) 61 – 80</v>
      </c>
      <c r="D11" s="3" t="str">
        <f t="shared" si="1"/>
        <v>c) 41 - 60</v>
      </c>
      <c r="E11" s="3" t="str">
        <f t="shared" si="1"/>
        <v>d) 21 - 40</v>
      </c>
      <c r="F11" s="3" t="str">
        <f t="shared" si="1"/>
        <v>e) 0 - 20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20</v>
      </c>
      <c r="C12" s="6">
        <f>(G3*C5)/G5</f>
        <v>29</v>
      </c>
      <c r="D12" s="6">
        <f>(G3*D5)/G5</f>
        <v>25.5</v>
      </c>
      <c r="E12" s="6">
        <f>(G3*E5)/G5</f>
        <v>13</v>
      </c>
      <c r="F12" s="6">
        <f>(G3*F5)/G5</f>
        <v>5.5</v>
      </c>
      <c r="G12" s="6">
        <f>SUM(B12:F12)</f>
        <v>93</v>
      </c>
    </row>
    <row r="13" spans="1:7" x14ac:dyDescent="0.25">
      <c r="A13" t="str">
        <f>A4</f>
        <v>Grupo Control - Post Test</v>
      </c>
      <c r="B13" s="12">
        <f>(G4*B5)/G5</f>
        <v>20</v>
      </c>
      <c r="C13" s="12">
        <f>(G4*C5)/G5</f>
        <v>29</v>
      </c>
      <c r="D13" s="12">
        <f>(G4*D5)/G5</f>
        <v>25.5</v>
      </c>
      <c r="E13" s="12">
        <f>(G4*E5)/G5</f>
        <v>13</v>
      </c>
      <c r="F13" s="12">
        <f>(G4*F5)/G5</f>
        <v>5.5</v>
      </c>
      <c r="G13" s="1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81 - 100</v>
      </c>
      <c r="C19" s="12">
        <f>B3</f>
        <v>18</v>
      </c>
      <c r="D19" s="12">
        <f>B12</f>
        <v>20</v>
      </c>
      <c r="E19" s="12">
        <f>(C19-D19)^2</f>
        <v>4</v>
      </c>
      <c r="F19" s="12">
        <f>E19/D19</f>
        <v>0.2</v>
      </c>
    </row>
    <row r="20" spans="1:7" x14ac:dyDescent="0.25">
      <c r="A20" t="str">
        <f>A3</f>
        <v xml:space="preserve">Grupo Control - Pre Test </v>
      </c>
      <c r="B20" s="12" t="str">
        <f>C2</f>
        <v>b) 61 – 80</v>
      </c>
      <c r="C20" s="12">
        <f>C3</f>
        <v>33</v>
      </c>
      <c r="D20" s="12">
        <f>C12</f>
        <v>29</v>
      </c>
      <c r="E20" s="12">
        <f t="shared" ref="E20:E28" si="2">(C20-D20)^2</f>
        <v>16</v>
      </c>
      <c r="F20" s="12">
        <f t="shared" ref="F20:F28" si="3">E20/D20</f>
        <v>0.55172413793103448</v>
      </c>
    </row>
    <row r="21" spans="1:7" x14ac:dyDescent="0.25">
      <c r="A21" t="str">
        <f>A3</f>
        <v xml:space="preserve">Grupo Control - Pre Test </v>
      </c>
      <c r="B21" s="12" t="str">
        <f>D2</f>
        <v>c) 41 - 60</v>
      </c>
      <c r="C21" s="12">
        <f>D3</f>
        <v>27</v>
      </c>
      <c r="D21" s="12">
        <f>D12</f>
        <v>25.5</v>
      </c>
      <c r="E21" s="12">
        <f t="shared" si="2"/>
        <v>2.25</v>
      </c>
      <c r="F21" s="12">
        <f t="shared" si="3"/>
        <v>8.8235294117647065E-2</v>
      </c>
    </row>
    <row r="22" spans="1:7" x14ac:dyDescent="0.25">
      <c r="A22" t="str">
        <f>A3</f>
        <v xml:space="preserve">Grupo Control - Pre Test </v>
      </c>
      <c r="B22" s="12" t="str">
        <f>E2</f>
        <v>d) 21 - 40</v>
      </c>
      <c r="C22" s="12">
        <f>E3</f>
        <v>12</v>
      </c>
      <c r="D22" s="12">
        <f>E12</f>
        <v>13</v>
      </c>
      <c r="E22" s="12">
        <f t="shared" si="2"/>
        <v>1</v>
      </c>
      <c r="F22" s="12">
        <f t="shared" si="3"/>
        <v>7.6923076923076927E-2</v>
      </c>
    </row>
    <row r="23" spans="1:7" x14ac:dyDescent="0.25">
      <c r="A23" t="str">
        <f>A3</f>
        <v xml:space="preserve">Grupo Control - Pre Test </v>
      </c>
      <c r="B23" s="12" t="str">
        <f>F2</f>
        <v>e) 0 - 20</v>
      </c>
      <c r="C23" s="12">
        <f>F3</f>
        <v>3</v>
      </c>
      <c r="D23" s="12">
        <f>F12</f>
        <v>5.5</v>
      </c>
      <c r="E23" s="12">
        <f t="shared" si="2"/>
        <v>6.25</v>
      </c>
      <c r="F23" s="12">
        <f t="shared" si="3"/>
        <v>1.1363636363636365</v>
      </c>
    </row>
    <row r="24" spans="1:7" x14ac:dyDescent="0.25">
      <c r="A24" t="str">
        <f>A4</f>
        <v>Grupo Control - Post Test</v>
      </c>
      <c r="B24" s="12" t="str">
        <f>B2</f>
        <v>a) 81 - 100</v>
      </c>
      <c r="C24" s="12">
        <f>B4</f>
        <v>22</v>
      </c>
      <c r="D24" s="12">
        <f>B13</f>
        <v>20</v>
      </c>
      <c r="E24" s="12">
        <f t="shared" si="2"/>
        <v>4</v>
      </c>
      <c r="F24" s="12">
        <f t="shared" si="3"/>
        <v>0.2</v>
      </c>
    </row>
    <row r="25" spans="1:7" x14ac:dyDescent="0.25">
      <c r="A25" t="str">
        <f>A4</f>
        <v>Grupo Control - Post Test</v>
      </c>
      <c r="B25" s="12" t="str">
        <f>C2</f>
        <v>b) 61 – 80</v>
      </c>
      <c r="C25" s="12">
        <f>C4</f>
        <v>25</v>
      </c>
      <c r="D25" s="12">
        <f>C13</f>
        <v>29</v>
      </c>
      <c r="E25" s="12">
        <f t="shared" si="2"/>
        <v>16</v>
      </c>
      <c r="F25" s="12">
        <f t="shared" si="3"/>
        <v>0.55172413793103448</v>
      </c>
    </row>
    <row r="26" spans="1:7" x14ac:dyDescent="0.25">
      <c r="A26" t="str">
        <f>A4</f>
        <v>Grupo Control - Post Test</v>
      </c>
      <c r="B26" s="12" t="str">
        <f>D2</f>
        <v>c) 41 - 60</v>
      </c>
      <c r="C26" s="12">
        <f>D4</f>
        <v>24</v>
      </c>
      <c r="D26" s="12">
        <f>D13</f>
        <v>25.5</v>
      </c>
      <c r="E26" s="12">
        <f t="shared" si="2"/>
        <v>2.25</v>
      </c>
      <c r="F26" s="12">
        <f t="shared" si="3"/>
        <v>8.8235294117647065E-2</v>
      </c>
    </row>
    <row r="27" spans="1:7" x14ac:dyDescent="0.25">
      <c r="A27" t="str">
        <f>A4</f>
        <v>Grupo Control - Post Test</v>
      </c>
      <c r="B27" s="12" t="str">
        <f>E2</f>
        <v>d) 21 - 40</v>
      </c>
      <c r="C27" s="12">
        <f>E4</f>
        <v>14</v>
      </c>
      <c r="D27" s="12">
        <f>E13</f>
        <v>13</v>
      </c>
      <c r="E27" s="12">
        <f t="shared" si="2"/>
        <v>1</v>
      </c>
      <c r="F27" s="12">
        <f t="shared" si="3"/>
        <v>7.6923076923076927E-2</v>
      </c>
    </row>
    <row r="28" spans="1:7" x14ac:dyDescent="0.25">
      <c r="A28" t="str">
        <f>A4</f>
        <v>Grupo Control - Post Test</v>
      </c>
      <c r="B28" s="12" t="str">
        <f>F2</f>
        <v>e) 0 - 20</v>
      </c>
      <c r="C28" s="12">
        <f>F4</f>
        <v>8</v>
      </c>
      <c r="D28" s="12">
        <f>F13</f>
        <v>5.5</v>
      </c>
      <c r="E28" s="12">
        <f t="shared" si="2"/>
        <v>6.25</v>
      </c>
      <c r="F28" s="12">
        <f t="shared" si="3"/>
        <v>1.1363636363636365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4.1064922906707908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2">
        <v>2</v>
      </c>
    </row>
    <row r="40" spans="1:7" x14ac:dyDescent="0.25">
      <c r="A40" s="20" t="s">
        <v>12</v>
      </c>
      <c r="B40" s="20"/>
      <c r="C40" s="12">
        <v>5</v>
      </c>
    </row>
    <row r="41" spans="1:7" x14ac:dyDescent="0.25">
      <c r="A41" s="20" t="s">
        <v>14</v>
      </c>
      <c r="B41" s="20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0.39178548906452415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2">
        <f>B45</f>
        <v>0.05</v>
      </c>
    </row>
    <row r="56" spans="1:7" x14ac:dyDescent="0.25">
      <c r="A56" s="14" t="s">
        <v>19</v>
      </c>
      <c r="B56" s="12">
        <f>B47</f>
        <v>0.39178548906452415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2">
        <f>B35</f>
        <v>4.1064922906707908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16" zoomScale="130" zoomScaleNormal="130" workbookViewId="0">
      <selection activeCell="H7" sqref="H7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71</v>
      </c>
      <c r="G2" s="5" t="s">
        <v>1</v>
      </c>
    </row>
    <row r="3" spans="1:7" x14ac:dyDescent="0.25">
      <c r="A3" t="s">
        <v>38</v>
      </c>
      <c r="B3" s="12">
        <v>18</v>
      </c>
      <c r="C3" s="12">
        <v>24</v>
      </c>
      <c r="D3" s="12">
        <v>34</v>
      </c>
      <c r="E3" s="12">
        <v>14</v>
      </c>
      <c r="F3" s="12">
        <v>3</v>
      </c>
      <c r="G3" s="12">
        <f>SUM(B3:F3)</f>
        <v>93</v>
      </c>
    </row>
    <row r="4" spans="1:7" x14ac:dyDescent="0.25">
      <c r="A4" t="s">
        <v>39</v>
      </c>
      <c r="B4" s="12">
        <v>15</v>
      </c>
      <c r="C4" s="12">
        <v>23</v>
      </c>
      <c r="D4" s="12">
        <v>34</v>
      </c>
      <c r="E4" s="12">
        <v>15</v>
      </c>
      <c r="F4" s="12">
        <v>6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33</v>
      </c>
      <c r="C5" s="12">
        <f t="shared" si="0"/>
        <v>47</v>
      </c>
      <c r="D5" s="12">
        <f t="shared" si="0"/>
        <v>68</v>
      </c>
      <c r="E5" s="12">
        <f t="shared" si="0"/>
        <v>29</v>
      </c>
      <c r="F5" s="12">
        <f t="shared" si="0"/>
        <v>9</v>
      </c>
      <c r="G5" s="12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Muy Bueno</v>
      </c>
      <c r="C11" s="3" t="str">
        <f t="shared" ref="C11:G11" si="1">C2</f>
        <v>b) bueno</v>
      </c>
      <c r="D11" s="3" t="str">
        <f t="shared" si="1"/>
        <v>c) Regular</v>
      </c>
      <c r="E11" s="3" t="str">
        <f t="shared" si="1"/>
        <v>d) Malo</v>
      </c>
      <c r="F11" s="3" t="str">
        <f t="shared" si="1"/>
        <v>e) Muy malo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16.5</v>
      </c>
      <c r="C12" s="6">
        <f>(G3*C5)/G5</f>
        <v>23.5</v>
      </c>
      <c r="D12" s="6">
        <f>(G3*D5)/G5</f>
        <v>34</v>
      </c>
      <c r="E12" s="6">
        <f>(G3*E5)/G5</f>
        <v>14.5</v>
      </c>
      <c r="F12" s="6">
        <f>(G3*F5)/G5</f>
        <v>4.5</v>
      </c>
      <c r="G12" s="6">
        <f>SUM(B12:F12)</f>
        <v>93</v>
      </c>
    </row>
    <row r="13" spans="1:7" x14ac:dyDescent="0.25">
      <c r="A13" t="str">
        <f>A4</f>
        <v>Grupo Control - Post Test</v>
      </c>
      <c r="B13" s="12">
        <f>(G4*B5)/G5</f>
        <v>16.5</v>
      </c>
      <c r="C13" s="12">
        <f>(G4*C5)/G5</f>
        <v>23.5</v>
      </c>
      <c r="D13" s="12">
        <f>(G4*D5)/G5</f>
        <v>34</v>
      </c>
      <c r="E13" s="12">
        <f>(G4*E5)/G5</f>
        <v>14.5</v>
      </c>
      <c r="F13" s="12">
        <f>(G4*F5)/G5</f>
        <v>4.5</v>
      </c>
      <c r="G13" s="1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Muy Bueno</v>
      </c>
      <c r="C19" s="12">
        <f>B3</f>
        <v>18</v>
      </c>
      <c r="D19" s="12">
        <f>B12</f>
        <v>16.5</v>
      </c>
      <c r="E19" s="12">
        <f>(C19-D19)^2</f>
        <v>2.25</v>
      </c>
      <c r="F19" s="12">
        <f>E19/D19</f>
        <v>0.13636363636363635</v>
      </c>
    </row>
    <row r="20" spans="1:7" x14ac:dyDescent="0.25">
      <c r="A20" t="str">
        <f>A3</f>
        <v xml:space="preserve">Grupo Control - Pre Test </v>
      </c>
      <c r="B20" s="12" t="str">
        <f>C2</f>
        <v>b) bueno</v>
      </c>
      <c r="C20" s="12">
        <f>C3</f>
        <v>24</v>
      </c>
      <c r="D20" s="12">
        <f>C12</f>
        <v>23.5</v>
      </c>
      <c r="E20" s="12">
        <f t="shared" ref="E20:E28" si="2">(C20-D20)^2</f>
        <v>0.25</v>
      </c>
      <c r="F20" s="12">
        <f t="shared" ref="F20:F28" si="3">E20/D20</f>
        <v>1.0638297872340425E-2</v>
      </c>
    </row>
    <row r="21" spans="1:7" x14ac:dyDescent="0.25">
      <c r="A21" t="str">
        <f>A3</f>
        <v xml:space="preserve">Grupo Control - Pre Test </v>
      </c>
      <c r="B21" s="12" t="str">
        <f>D2</f>
        <v>c) Regular</v>
      </c>
      <c r="C21" s="12">
        <f>D3</f>
        <v>34</v>
      </c>
      <c r="D21" s="12">
        <f>D12</f>
        <v>34</v>
      </c>
      <c r="E21" s="12">
        <f t="shared" si="2"/>
        <v>0</v>
      </c>
      <c r="F21" s="12">
        <f t="shared" si="3"/>
        <v>0</v>
      </c>
    </row>
    <row r="22" spans="1:7" x14ac:dyDescent="0.25">
      <c r="A22" t="str">
        <f>A3</f>
        <v xml:space="preserve">Grupo Control - Pre Test </v>
      </c>
      <c r="B22" s="12" t="str">
        <f>E2</f>
        <v>d) Malo</v>
      </c>
      <c r="C22" s="12">
        <f>E3</f>
        <v>14</v>
      </c>
      <c r="D22" s="12">
        <f>E12</f>
        <v>14.5</v>
      </c>
      <c r="E22" s="12">
        <f t="shared" si="2"/>
        <v>0.25</v>
      </c>
      <c r="F22" s="12">
        <f t="shared" si="3"/>
        <v>1.7241379310344827E-2</v>
      </c>
    </row>
    <row r="23" spans="1:7" x14ac:dyDescent="0.25">
      <c r="A23" t="str">
        <f>A3</f>
        <v xml:space="preserve">Grupo Control - Pre Test </v>
      </c>
      <c r="B23" s="12" t="str">
        <f>F2</f>
        <v>e) Muy malo</v>
      </c>
      <c r="C23" s="12">
        <f>F3</f>
        <v>3</v>
      </c>
      <c r="D23" s="12">
        <f>F12</f>
        <v>4.5</v>
      </c>
      <c r="E23" s="12">
        <f t="shared" si="2"/>
        <v>2.25</v>
      </c>
      <c r="F23" s="12">
        <f t="shared" si="3"/>
        <v>0.5</v>
      </c>
    </row>
    <row r="24" spans="1:7" x14ac:dyDescent="0.25">
      <c r="A24" t="str">
        <f>A4</f>
        <v>Grupo Control - Post Test</v>
      </c>
      <c r="B24" s="12" t="str">
        <f>B2</f>
        <v>a) Muy Bueno</v>
      </c>
      <c r="C24" s="12">
        <f>B4</f>
        <v>15</v>
      </c>
      <c r="D24" s="12">
        <f>B13</f>
        <v>16.5</v>
      </c>
      <c r="E24" s="12">
        <f t="shared" si="2"/>
        <v>2.25</v>
      </c>
      <c r="F24" s="12">
        <f t="shared" si="3"/>
        <v>0.13636363636363635</v>
      </c>
    </row>
    <row r="25" spans="1:7" x14ac:dyDescent="0.25">
      <c r="A25" t="str">
        <f>A4</f>
        <v>Grupo Control - Post Test</v>
      </c>
      <c r="B25" s="12" t="str">
        <f>C2</f>
        <v>b) bueno</v>
      </c>
      <c r="C25" s="12">
        <f>C4</f>
        <v>23</v>
      </c>
      <c r="D25" s="12">
        <f>C13</f>
        <v>23.5</v>
      </c>
      <c r="E25" s="12">
        <f t="shared" si="2"/>
        <v>0.25</v>
      </c>
      <c r="F25" s="12">
        <f t="shared" si="3"/>
        <v>1.0638297872340425E-2</v>
      </c>
    </row>
    <row r="26" spans="1:7" x14ac:dyDescent="0.25">
      <c r="A26" t="str">
        <f>A4</f>
        <v>Grupo Control - Post Test</v>
      </c>
      <c r="B26" s="12" t="str">
        <f>D2</f>
        <v>c) Regular</v>
      </c>
      <c r="C26" s="12">
        <f>D4</f>
        <v>34</v>
      </c>
      <c r="D26" s="12">
        <f>D13</f>
        <v>34</v>
      </c>
      <c r="E26" s="12">
        <f t="shared" si="2"/>
        <v>0</v>
      </c>
      <c r="F26" s="12">
        <f t="shared" si="3"/>
        <v>0</v>
      </c>
    </row>
    <row r="27" spans="1:7" x14ac:dyDescent="0.25">
      <c r="A27" t="str">
        <f>A4</f>
        <v>Grupo Control - Post Test</v>
      </c>
      <c r="B27" s="12" t="str">
        <f>E2</f>
        <v>d) Malo</v>
      </c>
      <c r="C27" s="12">
        <f>E4</f>
        <v>15</v>
      </c>
      <c r="D27" s="12">
        <f>E13</f>
        <v>14.5</v>
      </c>
      <c r="E27" s="12">
        <f t="shared" si="2"/>
        <v>0.25</v>
      </c>
      <c r="F27" s="12">
        <f t="shared" si="3"/>
        <v>1.7241379310344827E-2</v>
      </c>
    </row>
    <row r="28" spans="1:7" x14ac:dyDescent="0.25">
      <c r="A28" t="str">
        <f>A4</f>
        <v>Grupo Control - Post Test</v>
      </c>
      <c r="B28" s="12" t="str">
        <f>F2</f>
        <v>e) Muy malo</v>
      </c>
      <c r="C28" s="12">
        <f>F4</f>
        <v>6</v>
      </c>
      <c r="D28" s="12">
        <f>F13</f>
        <v>4.5</v>
      </c>
      <c r="E28" s="12">
        <f t="shared" si="2"/>
        <v>2.25</v>
      </c>
      <c r="F28" s="12">
        <f t="shared" si="3"/>
        <v>0.5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1.3284866270926432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2">
        <v>2</v>
      </c>
    </row>
    <row r="40" spans="1:7" x14ac:dyDescent="0.25">
      <c r="A40" s="20" t="s">
        <v>12</v>
      </c>
      <c r="B40" s="20"/>
      <c r="C40" s="12">
        <v>5</v>
      </c>
    </row>
    <row r="41" spans="1:7" x14ac:dyDescent="0.25">
      <c r="A41" s="20" t="s">
        <v>14</v>
      </c>
      <c r="B41" s="20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0.85652415489483891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2">
        <f>B45</f>
        <v>0.05</v>
      </c>
    </row>
    <row r="56" spans="1:7" x14ac:dyDescent="0.25">
      <c r="A56" s="14" t="s">
        <v>19</v>
      </c>
      <c r="B56" s="12">
        <f>B47</f>
        <v>0.85652415489483891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2">
        <f>B35</f>
        <v>1.3284866270926432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22" zoomScale="130" zoomScaleNormal="130" workbookViewId="0">
      <selection activeCell="J6" sqref="J6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60</v>
      </c>
      <c r="D2" s="5" t="s">
        <v>35</v>
      </c>
      <c r="E2" s="5" t="s">
        <v>61</v>
      </c>
      <c r="F2" s="5" t="s">
        <v>37</v>
      </c>
      <c r="G2" s="5" t="s">
        <v>1</v>
      </c>
    </row>
    <row r="3" spans="1:7" x14ac:dyDescent="0.25">
      <c r="A3" t="s">
        <v>38</v>
      </c>
      <c r="B3" s="12">
        <v>18</v>
      </c>
      <c r="C3" s="12">
        <v>28</v>
      </c>
      <c r="D3" s="12">
        <v>29</v>
      </c>
      <c r="E3" s="12">
        <v>12</v>
      </c>
      <c r="F3" s="12">
        <v>6</v>
      </c>
      <c r="G3" s="12">
        <f>SUM(B3:F3)</f>
        <v>93</v>
      </c>
    </row>
    <row r="4" spans="1:7" x14ac:dyDescent="0.25">
      <c r="A4" t="s">
        <v>39</v>
      </c>
      <c r="B4" s="12">
        <v>13</v>
      </c>
      <c r="C4" s="12">
        <v>23</v>
      </c>
      <c r="D4" s="12">
        <v>39</v>
      </c>
      <c r="E4" s="12">
        <v>14</v>
      </c>
      <c r="F4" s="12">
        <v>4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31</v>
      </c>
      <c r="C5" s="12">
        <f t="shared" si="0"/>
        <v>51</v>
      </c>
      <c r="D5" s="12">
        <f t="shared" si="0"/>
        <v>68</v>
      </c>
      <c r="E5" s="12">
        <f t="shared" si="0"/>
        <v>26</v>
      </c>
      <c r="F5" s="12">
        <f t="shared" si="0"/>
        <v>10</v>
      </c>
      <c r="G5" s="12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15.5</v>
      </c>
      <c r="C12" s="6">
        <f>(G3*C5)/G5</f>
        <v>25.5</v>
      </c>
      <c r="D12" s="6">
        <f>(G3*D5)/G5</f>
        <v>34</v>
      </c>
      <c r="E12" s="6">
        <f>(G3*E5)/G5</f>
        <v>13</v>
      </c>
      <c r="F12" s="6">
        <f>(G3*F5)/G5</f>
        <v>5</v>
      </c>
      <c r="G12" s="6">
        <f>SUM(B12:F12)</f>
        <v>93</v>
      </c>
    </row>
    <row r="13" spans="1:7" x14ac:dyDescent="0.25">
      <c r="A13" t="str">
        <f>A4</f>
        <v>Grupo Control - Post Test</v>
      </c>
      <c r="B13" s="12">
        <f>(G4*B5)/G5</f>
        <v>15.5</v>
      </c>
      <c r="C13" s="12">
        <f>(G4*C5)/G5</f>
        <v>25.5</v>
      </c>
      <c r="D13" s="12">
        <f>(G4*D5)/G5</f>
        <v>34</v>
      </c>
      <c r="E13" s="12">
        <f>(G4*E5)/G5</f>
        <v>13</v>
      </c>
      <c r="F13" s="12">
        <f>(G4*F5)/G5</f>
        <v>5</v>
      </c>
      <c r="G13" s="1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18</v>
      </c>
      <c r="D19" s="12">
        <f>B12</f>
        <v>15.5</v>
      </c>
      <c r="E19" s="12">
        <f>(C19-D19)^2</f>
        <v>6.25</v>
      </c>
      <c r="F19" s="12">
        <f>E19/D19</f>
        <v>0.40322580645161288</v>
      </c>
    </row>
    <row r="20" spans="1:7" x14ac:dyDescent="0.25">
      <c r="A20" t="str">
        <f>A3</f>
        <v xml:space="preserve">Grupo Control - Pre Test </v>
      </c>
      <c r="B20" s="12" t="str">
        <f>C2</f>
        <v>b) Muchas veces</v>
      </c>
      <c r="C20" s="12">
        <f>C3</f>
        <v>28</v>
      </c>
      <c r="D20" s="12">
        <f>C12</f>
        <v>25.5</v>
      </c>
      <c r="E20" s="12">
        <f t="shared" ref="E20:E28" si="2">(C20-D20)^2</f>
        <v>6.25</v>
      </c>
      <c r="F20" s="12">
        <f t="shared" ref="F20:F28" si="3">E20/D20</f>
        <v>0.24509803921568626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29</v>
      </c>
      <c r="D21" s="12">
        <f>D12</f>
        <v>34</v>
      </c>
      <c r="E21" s="12">
        <f t="shared" si="2"/>
        <v>25</v>
      </c>
      <c r="F21" s="12">
        <f t="shared" si="3"/>
        <v>0.73529411764705888</v>
      </c>
    </row>
    <row r="22" spans="1:7" x14ac:dyDescent="0.25">
      <c r="A22" t="str">
        <f>A3</f>
        <v xml:space="preserve">Grupo Control - Pre Test </v>
      </c>
      <c r="B22" s="12" t="str">
        <f>E2</f>
        <v>d) Pocas veces</v>
      </c>
      <c r="C22" s="12">
        <f>E3</f>
        <v>12</v>
      </c>
      <c r="D22" s="12">
        <f>E12</f>
        <v>13</v>
      </c>
      <c r="E22" s="12">
        <f t="shared" si="2"/>
        <v>1</v>
      </c>
      <c r="F22" s="12">
        <f t="shared" si="3"/>
        <v>7.6923076923076927E-2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6</v>
      </c>
      <c r="D23" s="12">
        <f>F12</f>
        <v>5</v>
      </c>
      <c r="E23" s="12">
        <f t="shared" si="2"/>
        <v>1</v>
      </c>
      <c r="F23" s="12">
        <f t="shared" si="3"/>
        <v>0.2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13</v>
      </c>
      <c r="D24" s="12">
        <f>B13</f>
        <v>15.5</v>
      </c>
      <c r="E24" s="12">
        <f t="shared" si="2"/>
        <v>6.25</v>
      </c>
      <c r="F24" s="12">
        <f t="shared" si="3"/>
        <v>0.40322580645161288</v>
      </c>
    </row>
    <row r="25" spans="1:7" x14ac:dyDescent="0.25">
      <c r="A25" t="str">
        <f>A4</f>
        <v>Grupo Control - Post Test</v>
      </c>
      <c r="B25" s="12" t="str">
        <f>C2</f>
        <v>b) Muchas veces</v>
      </c>
      <c r="C25" s="12">
        <f>C4</f>
        <v>23</v>
      </c>
      <c r="D25" s="12">
        <f>C13</f>
        <v>25.5</v>
      </c>
      <c r="E25" s="12">
        <f t="shared" si="2"/>
        <v>6.25</v>
      </c>
      <c r="F25" s="12">
        <f t="shared" si="3"/>
        <v>0.24509803921568626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39</v>
      </c>
      <c r="D26" s="12">
        <f>D13</f>
        <v>34</v>
      </c>
      <c r="E26" s="12">
        <f t="shared" si="2"/>
        <v>25</v>
      </c>
      <c r="F26" s="12">
        <f t="shared" si="3"/>
        <v>0.73529411764705888</v>
      </c>
    </row>
    <row r="27" spans="1:7" x14ac:dyDescent="0.25">
      <c r="A27" t="str">
        <f>A4</f>
        <v>Grupo Control - Post Test</v>
      </c>
      <c r="B27" s="12" t="str">
        <f>E2</f>
        <v>d) Pocas veces</v>
      </c>
      <c r="C27" s="12">
        <f>E4</f>
        <v>14</v>
      </c>
      <c r="D27" s="12">
        <f>E13</f>
        <v>13</v>
      </c>
      <c r="E27" s="12">
        <f t="shared" si="2"/>
        <v>1</v>
      </c>
      <c r="F27" s="12">
        <f t="shared" si="3"/>
        <v>7.6923076923076927E-2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4</v>
      </c>
      <c r="D28" s="12">
        <f>F13</f>
        <v>5</v>
      </c>
      <c r="E28" s="12">
        <f t="shared" si="2"/>
        <v>1</v>
      </c>
      <c r="F28" s="12">
        <f t="shared" si="3"/>
        <v>0.2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3.3210820804748704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2">
        <v>2</v>
      </c>
    </row>
    <row r="40" spans="1:7" x14ac:dyDescent="0.25">
      <c r="A40" s="20" t="s">
        <v>12</v>
      </c>
      <c r="B40" s="20"/>
      <c r="C40" s="12">
        <v>5</v>
      </c>
    </row>
    <row r="41" spans="1:7" x14ac:dyDescent="0.25">
      <c r="A41" s="20" t="s">
        <v>14</v>
      </c>
      <c r="B41" s="20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0.50559893652636378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2">
        <f>B45</f>
        <v>0.05</v>
      </c>
    </row>
    <row r="56" spans="1:7" x14ac:dyDescent="0.25">
      <c r="A56" s="14" t="s">
        <v>19</v>
      </c>
      <c r="B56" s="12">
        <f>B47</f>
        <v>0.50559893652636378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2">
        <f>B35</f>
        <v>3.3210820804748704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19" zoomScale="130" zoomScaleNormal="130" workbookViewId="0">
      <selection activeCell="J14" sqref="J14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12">
        <v>15</v>
      </c>
      <c r="C3" s="12">
        <v>32</v>
      </c>
      <c r="D3" s="12">
        <v>29</v>
      </c>
      <c r="E3" s="12">
        <v>14</v>
      </c>
      <c r="F3" s="12">
        <v>3</v>
      </c>
      <c r="G3" s="12">
        <f>SUM(B3:F3)</f>
        <v>93</v>
      </c>
    </row>
    <row r="4" spans="1:7" x14ac:dyDescent="0.25">
      <c r="A4" t="s">
        <v>39</v>
      </c>
      <c r="B4" s="12">
        <v>18</v>
      </c>
      <c r="C4" s="12">
        <v>25</v>
      </c>
      <c r="D4" s="12">
        <v>33</v>
      </c>
      <c r="E4" s="12">
        <v>10</v>
      </c>
      <c r="F4" s="12">
        <v>7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33</v>
      </c>
      <c r="C5" s="12">
        <f t="shared" si="0"/>
        <v>57</v>
      </c>
      <c r="D5" s="12">
        <f t="shared" si="0"/>
        <v>62</v>
      </c>
      <c r="E5" s="12">
        <f t="shared" si="0"/>
        <v>24</v>
      </c>
      <c r="F5" s="12">
        <f t="shared" si="0"/>
        <v>10</v>
      </c>
      <c r="G5" s="12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16.5</v>
      </c>
      <c r="C12" s="6">
        <f>(G3*C5)/G5</f>
        <v>28.5</v>
      </c>
      <c r="D12" s="6">
        <f>(G3*D5)/G5</f>
        <v>31</v>
      </c>
      <c r="E12" s="6">
        <f>(G3*E5)/G5</f>
        <v>12</v>
      </c>
      <c r="F12" s="6">
        <f>(G3*F5)/G5</f>
        <v>5</v>
      </c>
      <c r="G12" s="6">
        <f>SUM(B12:F12)</f>
        <v>93</v>
      </c>
    </row>
    <row r="13" spans="1:7" x14ac:dyDescent="0.25">
      <c r="A13" t="str">
        <f>A4</f>
        <v>Grupo Control - Post Test</v>
      </c>
      <c r="B13" s="12">
        <f>(G4*B5)/G5</f>
        <v>16.5</v>
      </c>
      <c r="C13" s="12">
        <f>(G4*C5)/G5</f>
        <v>28.5</v>
      </c>
      <c r="D13" s="12">
        <f>(G4*D5)/G5</f>
        <v>31</v>
      </c>
      <c r="E13" s="12">
        <f>(G4*E5)/G5</f>
        <v>12</v>
      </c>
      <c r="F13" s="12">
        <f>(G4*F5)/G5</f>
        <v>5</v>
      </c>
      <c r="G13" s="1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15</v>
      </c>
      <c r="D19" s="12">
        <f>B12</f>
        <v>16.5</v>
      </c>
      <c r="E19" s="12">
        <f>(C19-D19)^2</f>
        <v>2.25</v>
      </c>
      <c r="F19" s="12">
        <f>E19/D19</f>
        <v>0.13636363636363635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32</v>
      </c>
      <c r="D20" s="12">
        <f>C12</f>
        <v>28.5</v>
      </c>
      <c r="E20" s="12">
        <f t="shared" ref="E20:E28" si="2">(C20-D20)^2</f>
        <v>12.25</v>
      </c>
      <c r="F20" s="12">
        <f t="shared" ref="F20:F28" si="3">E20/D20</f>
        <v>0.42982456140350878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29</v>
      </c>
      <c r="D21" s="12">
        <f>D12</f>
        <v>31</v>
      </c>
      <c r="E21" s="12">
        <f t="shared" si="2"/>
        <v>4</v>
      </c>
      <c r="F21" s="12">
        <f t="shared" si="3"/>
        <v>0.12903225806451613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14</v>
      </c>
      <c r="D22" s="12">
        <f>E12</f>
        <v>12</v>
      </c>
      <c r="E22" s="12">
        <f t="shared" si="2"/>
        <v>4</v>
      </c>
      <c r="F22" s="12">
        <f t="shared" si="3"/>
        <v>0.33333333333333331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3</v>
      </c>
      <c r="D23" s="12">
        <f>F12</f>
        <v>5</v>
      </c>
      <c r="E23" s="12">
        <f t="shared" si="2"/>
        <v>4</v>
      </c>
      <c r="F23" s="12">
        <f t="shared" si="3"/>
        <v>0.8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18</v>
      </c>
      <c r="D24" s="12">
        <f>B13</f>
        <v>16.5</v>
      </c>
      <c r="E24" s="12">
        <f t="shared" si="2"/>
        <v>2.25</v>
      </c>
      <c r="F24" s="12">
        <f t="shared" si="3"/>
        <v>0.13636363636363635</v>
      </c>
    </row>
    <row r="25" spans="1:7" x14ac:dyDescent="0.25">
      <c r="A25" t="str">
        <f>A4</f>
        <v>Grupo Control - Post Test</v>
      </c>
      <c r="B25" s="12" t="str">
        <f>C2</f>
        <v>b) Frecuente</v>
      </c>
      <c r="C25" s="12">
        <f>C4</f>
        <v>25</v>
      </c>
      <c r="D25" s="12">
        <f>C13</f>
        <v>28.5</v>
      </c>
      <c r="E25" s="12">
        <f t="shared" si="2"/>
        <v>12.25</v>
      </c>
      <c r="F25" s="12">
        <f t="shared" si="3"/>
        <v>0.42982456140350878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33</v>
      </c>
      <c r="D26" s="12">
        <f>D13</f>
        <v>31</v>
      </c>
      <c r="E26" s="12">
        <f t="shared" si="2"/>
        <v>4</v>
      </c>
      <c r="F26" s="12">
        <f t="shared" si="3"/>
        <v>0.12903225806451613</v>
      </c>
    </row>
    <row r="27" spans="1:7" x14ac:dyDescent="0.25">
      <c r="A27" t="str">
        <f>A4</f>
        <v>Grupo Control - Post Test</v>
      </c>
      <c r="B27" s="12" t="str">
        <f>E2</f>
        <v>d) Raro</v>
      </c>
      <c r="C27" s="12">
        <f>E4</f>
        <v>10</v>
      </c>
      <c r="D27" s="12">
        <f>E13</f>
        <v>12</v>
      </c>
      <c r="E27" s="12">
        <f t="shared" si="2"/>
        <v>4</v>
      </c>
      <c r="F27" s="12">
        <f t="shared" si="3"/>
        <v>0.33333333333333331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7</v>
      </c>
      <c r="D28" s="12">
        <f>F13</f>
        <v>5</v>
      </c>
      <c r="E28" s="12">
        <f t="shared" si="2"/>
        <v>4</v>
      </c>
      <c r="F28" s="12">
        <f t="shared" si="3"/>
        <v>0.8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3.6571075783299891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2">
        <v>2</v>
      </c>
    </row>
    <row r="40" spans="1:7" x14ac:dyDescent="0.25">
      <c r="A40" s="20" t="s">
        <v>12</v>
      </c>
      <c r="B40" s="20"/>
      <c r="C40" s="12">
        <v>5</v>
      </c>
    </row>
    <row r="41" spans="1:7" x14ac:dyDescent="0.25">
      <c r="A41" s="20" t="s">
        <v>14</v>
      </c>
      <c r="B41" s="20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0.45439508109306925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2">
        <f>B45</f>
        <v>0.05</v>
      </c>
    </row>
    <row r="56" spans="1:7" x14ac:dyDescent="0.25">
      <c r="A56" s="14" t="s">
        <v>19</v>
      </c>
      <c r="B56" s="12">
        <f>B47</f>
        <v>0.45439508109306925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2">
        <f>B35</f>
        <v>3.6571075783299891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7" zoomScale="85" zoomScaleNormal="85" workbookViewId="0">
      <selection activeCell="C66" sqref="C66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1" t="s">
        <v>7</v>
      </c>
      <c r="B1" s="22"/>
      <c r="C1" s="22"/>
      <c r="D1" s="22"/>
      <c r="E1" s="22"/>
      <c r="F1" s="22"/>
      <c r="G1" s="23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12">
        <v>13</v>
      </c>
      <c r="C3" s="12">
        <v>29</v>
      </c>
      <c r="D3" s="12">
        <v>24</v>
      </c>
      <c r="E3" s="12">
        <v>14</v>
      </c>
      <c r="F3" s="12">
        <v>13</v>
      </c>
      <c r="G3" s="12">
        <f>SUM(B3:F3)</f>
        <v>93</v>
      </c>
    </row>
    <row r="4" spans="1:7" x14ac:dyDescent="0.25">
      <c r="A4" t="s">
        <v>39</v>
      </c>
      <c r="B4" s="12">
        <v>17</v>
      </c>
      <c r="C4" s="12">
        <v>23</v>
      </c>
      <c r="D4" s="12">
        <v>24</v>
      </c>
      <c r="E4" s="12">
        <v>23</v>
      </c>
      <c r="F4" s="12">
        <v>6</v>
      </c>
      <c r="G4" s="12">
        <f>SUM(B4:F4)</f>
        <v>93</v>
      </c>
    </row>
    <row r="5" spans="1:7" x14ac:dyDescent="0.25">
      <c r="A5" t="s">
        <v>1</v>
      </c>
      <c r="B5" s="12">
        <f t="shared" ref="B5:G5" si="0">SUM(B3:B4)</f>
        <v>30</v>
      </c>
      <c r="C5" s="12">
        <f t="shared" si="0"/>
        <v>52</v>
      </c>
      <c r="D5" s="12">
        <f t="shared" si="0"/>
        <v>48</v>
      </c>
      <c r="E5" s="12">
        <f t="shared" si="0"/>
        <v>37</v>
      </c>
      <c r="F5" s="12">
        <f t="shared" si="0"/>
        <v>19</v>
      </c>
      <c r="G5" s="12">
        <f t="shared" si="0"/>
        <v>186</v>
      </c>
    </row>
    <row r="7" spans="1:7" x14ac:dyDescent="0.25">
      <c r="A7" s="21" t="s">
        <v>8</v>
      </c>
      <c r="B7" s="22"/>
      <c r="C7" s="22"/>
      <c r="D7" s="22"/>
      <c r="E7" s="22"/>
      <c r="F7" s="22"/>
      <c r="G7" s="23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15</v>
      </c>
      <c r="C12" s="6">
        <f>(G3*C5)/G5</f>
        <v>26</v>
      </c>
      <c r="D12" s="6">
        <f>(G3*D5)/G5</f>
        <v>24</v>
      </c>
      <c r="E12" s="6">
        <f>(G3*E5)/G5</f>
        <v>18.5</v>
      </c>
      <c r="F12" s="6">
        <f>(G3*F5)/G5</f>
        <v>9.5</v>
      </c>
      <c r="G12" s="6">
        <f>SUM(B12:F12)</f>
        <v>93</v>
      </c>
    </row>
    <row r="13" spans="1:7" x14ac:dyDescent="0.25">
      <c r="A13" t="str">
        <f>A4</f>
        <v>Grupo Control - Post Test</v>
      </c>
      <c r="B13" s="12">
        <f>(G4*B5)/G5</f>
        <v>15</v>
      </c>
      <c r="C13" s="12">
        <f>(G4*C5)/G5</f>
        <v>26</v>
      </c>
      <c r="D13" s="12">
        <f>(G4*D5)/G5</f>
        <v>24</v>
      </c>
      <c r="E13" s="12">
        <f>(G4*E5)/G5</f>
        <v>18.5</v>
      </c>
      <c r="F13" s="12">
        <f>(G4*F5)/G5</f>
        <v>9.5</v>
      </c>
      <c r="G13" s="12">
        <f>SUM(B13:F13)</f>
        <v>93</v>
      </c>
    </row>
    <row r="16" spans="1:7" x14ac:dyDescent="0.25">
      <c r="A16" s="21" t="s">
        <v>3</v>
      </c>
      <c r="B16" s="22"/>
      <c r="C16" s="22"/>
      <c r="D16" s="22"/>
      <c r="E16" s="22"/>
      <c r="F16" s="22"/>
      <c r="G16" s="23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13</v>
      </c>
      <c r="D19" s="12">
        <f>B12</f>
        <v>15</v>
      </c>
      <c r="E19" s="12">
        <f>(C19-D19)^2</f>
        <v>4</v>
      </c>
      <c r="F19" s="12">
        <f>E19/D19</f>
        <v>0.26666666666666666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29</v>
      </c>
      <c r="D20" s="12">
        <f>C12</f>
        <v>26</v>
      </c>
      <c r="E20" s="12">
        <f t="shared" ref="E20:E28" si="2">(C20-D20)^2</f>
        <v>9</v>
      </c>
      <c r="F20" s="12">
        <f t="shared" ref="F20:F28" si="3">E20/D20</f>
        <v>0.34615384615384615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24</v>
      </c>
      <c r="D21" s="12">
        <f>D12</f>
        <v>24</v>
      </c>
      <c r="E21" s="12">
        <f t="shared" si="2"/>
        <v>0</v>
      </c>
      <c r="F21" s="12">
        <f t="shared" si="3"/>
        <v>0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14</v>
      </c>
      <c r="D22" s="12">
        <f>E12</f>
        <v>18.5</v>
      </c>
      <c r="E22" s="12">
        <f t="shared" si="2"/>
        <v>20.25</v>
      </c>
      <c r="F22" s="12">
        <f t="shared" si="3"/>
        <v>1.0945945945945945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13</v>
      </c>
      <c r="D23" s="12">
        <f>F12</f>
        <v>9.5</v>
      </c>
      <c r="E23" s="12">
        <f t="shared" si="2"/>
        <v>12.25</v>
      </c>
      <c r="F23" s="12">
        <f t="shared" si="3"/>
        <v>1.2894736842105263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17</v>
      </c>
      <c r="D24" s="12">
        <f>B13</f>
        <v>15</v>
      </c>
      <c r="E24" s="12">
        <f t="shared" si="2"/>
        <v>4</v>
      </c>
      <c r="F24" s="12">
        <f t="shared" si="3"/>
        <v>0.26666666666666666</v>
      </c>
    </row>
    <row r="25" spans="1:7" x14ac:dyDescent="0.25">
      <c r="A25" t="str">
        <f>A4</f>
        <v>Grupo Control - Post Test</v>
      </c>
      <c r="B25" s="12" t="str">
        <f>C2</f>
        <v>b) Frecuente</v>
      </c>
      <c r="C25" s="12">
        <f>C4</f>
        <v>23</v>
      </c>
      <c r="D25" s="12">
        <f>C13</f>
        <v>26</v>
      </c>
      <c r="E25" s="12">
        <f t="shared" si="2"/>
        <v>9</v>
      </c>
      <c r="F25" s="12">
        <f t="shared" si="3"/>
        <v>0.34615384615384615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24</v>
      </c>
      <c r="D26" s="12">
        <f>D13</f>
        <v>24</v>
      </c>
      <c r="E26" s="12">
        <f t="shared" si="2"/>
        <v>0</v>
      </c>
      <c r="F26" s="12">
        <f t="shared" si="3"/>
        <v>0</v>
      </c>
    </row>
    <row r="27" spans="1:7" x14ac:dyDescent="0.25">
      <c r="A27" t="str">
        <f>A4</f>
        <v>Grupo Control - Post Test</v>
      </c>
      <c r="B27" s="12" t="str">
        <f>E2</f>
        <v>d) Raro</v>
      </c>
      <c r="C27" s="12">
        <f>E4</f>
        <v>23</v>
      </c>
      <c r="D27" s="12">
        <f>E13</f>
        <v>18.5</v>
      </c>
      <c r="E27" s="12">
        <f t="shared" si="2"/>
        <v>20.25</v>
      </c>
      <c r="F27" s="12">
        <f t="shared" si="3"/>
        <v>1.0945945945945945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6</v>
      </c>
      <c r="D28" s="12">
        <f>F13</f>
        <v>9.5</v>
      </c>
      <c r="E28" s="12">
        <f t="shared" si="2"/>
        <v>12.25</v>
      </c>
      <c r="F28" s="12">
        <f t="shared" si="3"/>
        <v>1.2894736842105263</v>
      </c>
    </row>
    <row r="31" spans="1:7" x14ac:dyDescent="0.25">
      <c r="A31" s="24" t="s">
        <v>9</v>
      </c>
      <c r="B31" s="25"/>
      <c r="C31" s="25"/>
      <c r="D31" s="25"/>
      <c r="E31" s="25"/>
      <c r="F31" s="25"/>
      <c r="G31" s="26"/>
    </row>
    <row r="35" spans="1:7" x14ac:dyDescent="0.25">
      <c r="A35" t="s">
        <v>10</v>
      </c>
      <c r="B35" s="12">
        <f>SUM(F19:F28)</f>
        <v>5.9937775832512674</v>
      </c>
    </row>
    <row r="37" spans="1:7" x14ac:dyDescent="0.25">
      <c r="A37" s="24" t="s">
        <v>13</v>
      </c>
      <c r="B37" s="25"/>
      <c r="C37" s="25"/>
      <c r="D37" s="25"/>
      <c r="E37" s="25"/>
      <c r="F37" s="25"/>
      <c r="G37" s="26"/>
    </row>
    <row r="39" spans="1:7" x14ac:dyDescent="0.25">
      <c r="A39" s="20" t="s">
        <v>11</v>
      </c>
      <c r="B39" s="20"/>
      <c r="C39" s="12">
        <v>2</v>
      </c>
    </row>
    <row r="40" spans="1:7" x14ac:dyDescent="0.25">
      <c r="A40" s="20" t="s">
        <v>12</v>
      </c>
      <c r="B40" s="20"/>
      <c r="C40" s="12">
        <v>5</v>
      </c>
    </row>
    <row r="41" spans="1:7" x14ac:dyDescent="0.25">
      <c r="A41" s="20" t="s">
        <v>14</v>
      </c>
      <c r="B41" s="20"/>
      <c r="C41" s="12">
        <f>(C39-1)*(C40-1)</f>
        <v>4</v>
      </c>
    </row>
    <row r="43" spans="1:7" x14ac:dyDescent="0.25">
      <c r="A43" s="24" t="s">
        <v>21</v>
      </c>
      <c r="B43" s="25"/>
      <c r="C43" s="25"/>
      <c r="D43" s="25"/>
      <c r="E43" s="25"/>
      <c r="F43" s="25"/>
      <c r="G43" s="26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0.19961344947325221</v>
      </c>
    </row>
    <row r="49" spans="1:7" x14ac:dyDescent="0.25">
      <c r="A49" s="24" t="s">
        <v>20</v>
      </c>
      <c r="B49" s="25"/>
      <c r="C49" s="25"/>
      <c r="D49" s="25"/>
      <c r="E49" s="25"/>
      <c r="F49" s="25"/>
      <c r="G49" s="26"/>
    </row>
    <row r="51" spans="1:7" x14ac:dyDescent="0.25">
      <c r="A51" s="7" t="s">
        <v>23</v>
      </c>
      <c r="B51" s="27" t="s">
        <v>25</v>
      </c>
      <c r="C51" s="27"/>
      <c r="D51" s="27"/>
    </row>
    <row r="52" spans="1:7" x14ac:dyDescent="0.25">
      <c r="A52" s="7" t="s">
        <v>24</v>
      </c>
      <c r="B52" s="27" t="s">
        <v>26</v>
      </c>
      <c r="C52" s="27"/>
      <c r="D52" s="27"/>
    </row>
    <row r="54" spans="1:7" x14ac:dyDescent="0.25">
      <c r="A54" s="20" t="s">
        <v>41</v>
      </c>
      <c r="B54" s="20"/>
      <c r="C54" s="20"/>
    </row>
    <row r="55" spans="1:7" x14ac:dyDescent="0.25">
      <c r="A55" s="15" t="s">
        <v>59</v>
      </c>
      <c r="B55" s="12">
        <f>B45</f>
        <v>0.05</v>
      </c>
    </row>
    <row r="56" spans="1:7" x14ac:dyDescent="0.25">
      <c r="A56" s="14" t="s">
        <v>19</v>
      </c>
      <c r="B56" s="12">
        <f>B47</f>
        <v>0.19961344947325221</v>
      </c>
    </row>
    <row r="58" spans="1:7" x14ac:dyDescent="0.25">
      <c r="A58" s="20" t="s">
        <v>42</v>
      </c>
      <c r="B58" s="20"/>
      <c r="C58" s="20"/>
    </row>
    <row r="59" spans="1:7" x14ac:dyDescent="0.25">
      <c r="A59" t="s">
        <v>40</v>
      </c>
      <c r="B59" s="12">
        <f>B35</f>
        <v>5.9937775832512674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Objetivo</vt:lpstr>
      <vt:lpstr>Resumen</vt:lpstr>
      <vt:lpstr>Participas-actividades</vt:lpstr>
      <vt:lpstr>Comprensión 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2026-03-23T20:32:18Z</dcterms:created>
  <dcterms:modified xsi:type="dcterms:W3CDTF">2026-06-10T17:30:14Z</dcterms:modified>
</cp:coreProperties>
</file>
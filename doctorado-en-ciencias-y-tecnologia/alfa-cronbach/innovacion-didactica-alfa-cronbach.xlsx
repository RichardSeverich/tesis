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alfa-cronbach-innovacion" sheetId="7" r:id="rId1"/>
    <sheet name="alfa-cronbach-rendimiento" sheetId="8" r:id="rId2"/>
  </sheets>
  <calcPr calcId="152511"/>
</workbook>
</file>

<file path=xl/calcChain.xml><?xml version="1.0" encoding="utf-8"?>
<calcChain xmlns="http://schemas.openxmlformats.org/spreadsheetml/2006/main">
  <c r="K6" i="7" l="1"/>
  <c r="K5" i="7"/>
  <c r="H34" i="7"/>
  <c r="H2" i="7"/>
  <c r="F35" i="8"/>
  <c r="E35" i="8"/>
  <c r="D35" i="8"/>
  <c r="C35" i="8"/>
  <c r="B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J6" i="8" l="1"/>
  <c r="J5" i="8"/>
  <c r="J3" i="8" s="1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G35" i="7"/>
  <c r="F35" i="7"/>
  <c r="E35" i="7"/>
  <c r="D35" i="7"/>
  <c r="C35" i="7"/>
  <c r="B35" i="7"/>
  <c r="K3" i="7" l="1"/>
</calcChain>
</file>

<file path=xl/sharedStrings.xml><?xml version="1.0" encoding="utf-8"?>
<sst xmlns="http://schemas.openxmlformats.org/spreadsheetml/2006/main" count="93" uniqueCount="52">
  <si>
    <t>VARIANZA</t>
  </si>
  <si>
    <t>Encuestado 33</t>
  </si>
  <si>
    <t>Encuestado 32</t>
  </si>
  <si>
    <t>Encuestado 31</t>
  </si>
  <si>
    <t>Encuestado 30</t>
  </si>
  <si>
    <t>Encuestado 29</t>
  </si>
  <si>
    <t>Encuestado 28</t>
  </si>
  <si>
    <t>Encuestado 27</t>
  </si>
  <si>
    <t>Encuestado 26</t>
  </si>
  <si>
    <t>Encuestado 25</t>
  </si>
  <si>
    <t>Encuestado 24</t>
  </si>
  <si>
    <t>Encuestado 23</t>
  </si>
  <si>
    <t>Encuestado 22</t>
  </si>
  <si>
    <t>Encuestado 21</t>
  </si>
  <si>
    <t>Encuestado 20</t>
  </si>
  <si>
    <t>Encuestado 19</t>
  </si>
  <si>
    <t>Encuestado 18</t>
  </si>
  <si>
    <t>Encuestado 17</t>
  </si>
  <si>
    <t>Encuestado 16</t>
  </si>
  <si>
    <t>Encuestado 15</t>
  </si>
  <si>
    <t>Encuestado 14</t>
  </si>
  <si>
    <t>Encuestado 13</t>
  </si>
  <si>
    <t>Encuestado 12</t>
  </si>
  <si>
    <t>Encuestado 11</t>
  </si>
  <si>
    <t>Encuestado 10</t>
  </si>
  <si>
    <t>Encuestado 9</t>
  </si>
  <si>
    <t>Encuestado 8</t>
  </si>
  <si>
    <t>Encuestado 7</t>
  </si>
  <si>
    <t>Encuestado 6</t>
  </si>
  <si>
    <t xml:space="preserve">     (Varianza Total)=</t>
  </si>
  <si>
    <t>Encuestado 5</t>
  </si>
  <si>
    <t xml:space="preserve">     (Var.de cada Pregunta)=</t>
  </si>
  <si>
    <t>Encuestado 4</t>
  </si>
  <si>
    <t xml:space="preserve">     (No. de Preguntas)=</t>
  </si>
  <si>
    <t>Encuestado 3</t>
  </si>
  <si>
    <t>α(Alfa):</t>
  </si>
  <si>
    <t>Encuestado 2</t>
  </si>
  <si>
    <t>INCOGNITAS</t>
  </si>
  <si>
    <t>Encuestado 1</t>
  </si>
  <si>
    <t>Suma</t>
  </si>
  <si>
    <t>Encuestados</t>
  </si>
  <si>
    <t>Participas-actividades</t>
  </si>
  <si>
    <t>Comprensión-contenidos</t>
  </si>
  <si>
    <t>Herramientas-tecnológicas</t>
  </si>
  <si>
    <t>Recursos-tecnológicos</t>
  </si>
  <si>
    <t>Percepción-evaluaciones</t>
  </si>
  <si>
    <t>Retroalimentación-oportuna</t>
  </si>
  <si>
    <t>Calificación</t>
  </si>
  <si>
    <t>Nivel-comprensión</t>
  </si>
  <si>
    <t>Habilidades-tareas</t>
  </si>
  <si>
    <t>Resolución-problemas</t>
  </si>
  <si>
    <t>Motivación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</si>
</sst>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E5ECE"/>
        <bgColor indexed="64"/>
      </patternFill>
    </fill>
    <fill>
      <patternFill patternType="solid">
        <fgColor rgb="FFFFF5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3">
    <xf numFmtId="0" fontId="0" fillId="0" borderId="0" xfId="0"/>
    <xf numFmtId="0" fontId="3" fillId="0" borderId="0" xfId="1" applyFont="1" applyAlignment="1"/>
    <xf numFmtId="0" fontId="2" fillId="2" borderId="1" xfId="2" applyFill="1" applyBorder="1" applyAlignment="1">
      <alignment horizontal="center"/>
    </xf>
    <xf numFmtId="0" fontId="2" fillId="3" borderId="1" xfId="2" applyFill="1" applyBorder="1"/>
    <xf numFmtId="0" fontId="2" fillId="4" borderId="1" xfId="2" applyFill="1" applyBorder="1"/>
    <xf numFmtId="2" fontId="2" fillId="5" borderId="1" xfId="2" applyNumberFormat="1" applyFill="1" applyBorder="1"/>
    <xf numFmtId="0" fontId="2" fillId="0" borderId="1" xfId="2" applyBorder="1"/>
    <xf numFmtId="0" fontId="2" fillId="0" borderId="0" xfId="2" applyBorder="1"/>
    <xf numFmtId="0" fontId="2" fillId="6" borderId="1" xfId="2" applyFill="1" applyBorder="1"/>
    <xf numFmtId="0" fontId="2" fillId="7" borderId="1" xfId="2" applyFill="1" applyBorder="1"/>
    <xf numFmtId="0" fontId="1" fillId="8" borderId="1" xfId="2" applyFont="1" applyFill="1" applyBorder="1"/>
    <xf numFmtId="0" fontId="0" fillId="0" borderId="0" xfId="0"/>
    <xf numFmtId="0" fontId="1" fillId="0" borderId="1" xfId="0" applyFont="1" applyBorder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14204</xdr:colOff>
      <xdr:row>10</xdr:row>
      <xdr:rowOff>107911</xdr:rowOff>
    </xdr:from>
    <xdr:ext cx="2373836" cy="649503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0354" y="2012911"/>
          <a:ext cx="2373836" cy="649503"/>
        </a:xfrm>
        <a:prstGeom prst="roundRect">
          <a:avLst>
            <a:gd name="adj" fmla="val 13048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oneCellAnchor>
  <xdr:oneCellAnchor>
    <xdr:from>
      <xdr:col>9</xdr:col>
      <xdr:colOff>43544</xdr:colOff>
      <xdr:row>7</xdr:row>
      <xdr:rowOff>5444</xdr:rowOff>
    </xdr:from>
    <xdr:ext cx="1398541" cy="465470"/>
    <xdr:pic>
      <xdr:nvPicPr>
        <xdr:cNvPr id="3" name="Imagen 2" descr="Recorte de pantalla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9694" y="1338944"/>
          <a:ext cx="1398541" cy="465470"/>
        </a:xfrm>
        <a:prstGeom prst="rect">
          <a:avLst/>
        </a:prstGeom>
        <a:ln w="15875">
          <a:solidFill>
            <a:srgbClr val="00B050"/>
          </a:solidFill>
        </a:ln>
      </xdr:spPr>
    </xdr:pic>
    <xdr:clientData/>
  </xdr:oneCellAnchor>
  <xdr:oneCellAnchor>
    <xdr:from>
      <xdr:col>9</xdr:col>
      <xdr:colOff>21646</xdr:colOff>
      <xdr:row>4</xdr:row>
      <xdr:rowOff>25687</xdr:rowOff>
    </xdr:from>
    <xdr:ext cx="155865" cy="152402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27796" y="787687"/>
          <a:ext cx="155865" cy="152402"/>
        </a:xfrm>
        <a:prstGeom prst="rect">
          <a:avLst/>
        </a:prstGeom>
      </xdr:spPr>
    </xdr:pic>
    <xdr:clientData/>
  </xdr:oneCellAnchor>
  <xdr:oneCellAnchor>
    <xdr:from>
      <xdr:col>9</xdr:col>
      <xdr:colOff>12989</xdr:colOff>
      <xdr:row>5</xdr:row>
      <xdr:rowOff>21648</xdr:rowOff>
    </xdr:from>
    <xdr:ext cx="190500" cy="153147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19139" y="974148"/>
          <a:ext cx="190500" cy="153147"/>
        </a:xfrm>
        <a:prstGeom prst="rect">
          <a:avLst/>
        </a:prstGeom>
      </xdr:spPr>
    </xdr:pic>
    <xdr:clientData/>
  </xdr:oneCellAnchor>
  <xdr:oneCellAnchor>
    <xdr:from>
      <xdr:col>9</xdr:col>
      <xdr:colOff>17318</xdr:colOff>
      <xdr:row>3</xdr:row>
      <xdr:rowOff>25977</xdr:rowOff>
    </xdr:from>
    <xdr:ext cx="138546" cy="147485"/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23468" y="597477"/>
          <a:ext cx="138546" cy="14748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14204</xdr:colOff>
      <xdr:row>10</xdr:row>
      <xdr:rowOff>107911</xdr:rowOff>
    </xdr:from>
    <xdr:ext cx="2373836" cy="649503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25229" y="2012911"/>
          <a:ext cx="2373836" cy="649503"/>
        </a:xfrm>
        <a:prstGeom prst="roundRect">
          <a:avLst>
            <a:gd name="adj" fmla="val 13048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oneCellAnchor>
  <xdr:oneCellAnchor>
    <xdr:from>
      <xdr:col>8</xdr:col>
      <xdr:colOff>43544</xdr:colOff>
      <xdr:row>7</xdr:row>
      <xdr:rowOff>5444</xdr:rowOff>
    </xdr:from>
    <xdr:ext cx="1398541" cy="465470"/>
    <xdr:pic>
      <xdr:nvPicPr>
        <xdr:cNvPr id="3" name="Imagen 2" descr="Recorte de pantalla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4569" y="1338944"/>
          <a:ext cx="1398541" cy="465470"/>
        </a:xfrm>
        <a:prstGeom prst="rect">
          <a:avLst/>
        </a:prstGeom>
        <a:ln w="15875">
          <a:solidFill>
            <a:srgbClr val="00B050"/>
          </a:solidFill>
        </a:ln>
      </xdr:spPr>
    </xdr:pic>
    <xdr:clientData/>
  </xdr:oneCellAnchor>
  <xdr:oneCellAnchor>
    <xdr:from>
      <xdr:col>8</xdr:col>
      <xdr:colOff>21646</xdr:colOff>
      <xdr:row>4</xdr:row>
      <xdr:rowOff>25687</xdr:rowOff>
    </xdr:from>
    <xdr:ext cx="155865" cy="152402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32671" y="787687"/>
          <a:ext cx="155865" cy="152402"/>
        </a:xfrm>
        <a:prstGeom prst="rect">
          <a:avLst/>
        </a:prstGeom>
      </xdr:spPr>
    </xdr:pic>
    <xdr:clientData/>
  </xdr:oneCellAnchor>
  <xdr:oneCellAnchor>
    <xdr:from>
      <xdr:col>8</xdr:col>
      <xdr:colOff>12989</xdr:colOff>
      <xdr:row>5</xdr:row>
      <xdr:rowOff>21648</xdr:rowOff>
    </xdr:from>
    <xdr:ext cx="190500" cy="153147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24014" y="974148"/>
          <a:ext cx="190500" cy="153147"/>
        </a:xfrm>
        <a:prstGeom prst="rect">
          <a:avLst/>
        </a:prstGeom>
      </xdr:spPr>
    </xdr:pic>
    <xdr:clientData/>
  </xdr:oneCellAnchor>
  <xdr:oneCellAnchor>
    <xdr:from>
      <xdr:col>8</xdr:col>
      <xdr:colOff>17318</xdr:colOff>
      <xdr:row>3</xdr:row>
      <xdr:rowOff>25977</xdr:rowOff>
    </xdr:from>
    <xdr:ext cx="138546" cy="147485"/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028343" y="597477"/>
          <a:ext cx="138546" cy="1474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topLeftCell="E1" zoomScale="145" zoomScaleNormal="145" workbookViewId="0">
      <selection activeCell="K7" sqref="K7"/>
    </sheetView>
  </sheetViews>
  <sheetFormatPr baseColWidth="10" defaultRowHeight="12.75" x14ac:dyDescent="0.2"/>
  <cols>
    <col min="1" max="1" width="17.140625" style="1" customWidth="1"/>
    <col min="2" max="2" width="20.42578125" style="1" bestFit="1" customWidth="1"/>
    <col min="3" max="3" width="23.7109375" style="1" bestFit="1" customWidth="1"/>
    <col min="4" max="4" width="25" style="1" bestFit="1" customWidth="1"/>
    <col min="5" max="5" width="20.85546875" style="1" bestFit="1" customWidth="1"/>
    <col min="6" max="6" width="23.42578125" style="1" bestFit="1" customWidth="1"/>
    <col min="7" max="7" width="26.7109375" style="1" bestFit="1" customWidth="1"/>
    <col min="8" max="9" width="11.42578125" style="1"/>
    <col min="10" max="10" width="29.140625" style="1" customWidth="1"/>
    <col min="11" max="11" width="28.5703125" style="1" customWidth="1"/>
    <col min="12" max="16384" width="11.42578125" style="1"/>
  </cols>
  <sheetData>
    <row r="1" spans="1:11" ht="15" x14ac:dyDescent="0.25">
      <c r="A1" s="10" t="s">
        <v>40</v>
      </c>
      <c r="B1" s="12" t="s">
        <v>41</v>
      </c>
      <c r="C1" s="12" t="s">
        <v>42</v>
      </c>
      <c r="D1" s="12" t="s">
        <v>43</v>
      </c>
      <c r="E1" s="12" t="s">
        <v>44</v>
      </c>
      <c r="F1" s="12" t="s">
        <v>45</v>
      </c>
      <c r="G1" s="12" t="s">
        <v>46</v>
      </c>
      <c r="H1" s="9" t="s">
        <v>39</v>
      </c>
    </row>
    <row r="2" spans="1:11" ht="15" x14ac:dyDescent="0.25">
      <c r="A2" s="1" t="s">
        <v>38</v>
      </c>
      <c r="B2" s="11">
        <v>4</v>
      </c>
      <c r="C2" s="11">
        <v>4</v>
      </c>
      <c r="D2" s="11">
        <v>3</v>
      </c>
      <c r="E2" s="11">
        <v>3</v>
      </c>
      <c r="F2" s="11">
        <v>5</v>
      </c>
      <c r="G2" s="11">
        <v>3</v>
      </c>
      <c r="H2" s="1">
        <f>SUM(B2:G2)</f>
        <v>22</v>
      </c>
      <c r="J2" s="8" t="s">
        <v>37</v>
      </c>
      <c r="K2" s="7"/>
    </row>
    <row r="3" spans="1:11" ht="15" x14ac:dyDescent="0.25">
      <c r="A3" s="1" t="s">
        <v>36</v>
      </c>
      <c r="B3" s="11">
        <v>1</v>
      </c>
      <c r="C3" s="11">
        <v>2</v>
      </c>
      <c r="D3" s="11">
        <v>2</v>
      </c>
      <c r="E3" s="11">
        <v>1</v>
      </c>
      <c r="F3" s="11">
        <v>2</v>
      </c>
      <c r="G3" s="11">
        <v>1</v>
      </c>
      <c r="H3" s="1">
        <f t="shared" ref="H3:H33" si="0">SUM(B3:G3)</f>
        <v>9</v>
      </c>
      <c r="J3" s="4" t="s">
        <v>35</v>
      </c>
      <c r="K3" s="6">
        <f>(K4/(K4-1))*(1-(K5/K6))</f>
        <v>0.94562944005647975</v>
      </c>
    </row>
    <row r="4" spans="1:11" ht="15" x14ac:dyDescent="0.25">
      <c r="A4" s="1" t="s">
        <v>34</v>
      </c>
      <c r="B4" s="11">
        <v>4</v>
      </c>
      <c r="C4" s="11">
        <v>2</v>
      </c>
      <c r="D4" s="11">
        <v>4</v>
      </c>
      <c r="E4" s="11">
        <v>4</v>
      </c>
      <c r="F4" s="11">
        <v>3</v>
      </c>
      <c r="G4" s="11">
        <v>2</v>
      </c>
      <c r="H4" s="1">
        <f t="shared" si="0"/>
        <v>19</v>
      </c>
      <c r="J4" s="4" t="s">
        <v>33</v>
      </c>
      <c r="K4" s="6">
        <v>6</v>
      </c>
    </row>
    <row r="5" spans="1:11" ht="15" x14ac:dyDescent="0.25">
      <c r="A5" s="1" t="s">
        <v>32</v>
      </c>
      <c r="B5" s="11">
        <v>5</v>
      </c>
      <c r="C5" s="11">
        <v>5</v>
      </c>
      <c r="D5" s="11">
        <v>4</v>
      </c>
      <c r="E5" s="11">
        <v>5</v>
      </c>
      <c r="F5" s="11">
        <v>5</v>
      </c>
      <c r="G5" s="11">
        <v>5</v>
      </c>
      <c r="H5" s="1">
        <f t="shared" si="0"/>
        <v>29</v>
      </c>
      <c r="J5" s="4" t="s">
        <v>31</v>
      </c>
      <c r="K5" s="5">
        <f>SUM(B35:G35)</f>
        <v>8.8227731864095489</v>
      </c>
    </row>
    <row r="6" spans="1:11" ht="15" x14ac:dyDescent="0.25">
      <c r="A6" s="1" t="s">
        <v>30</v>
      </c>
      <c r="B6" s="11">
        <v>3</v>
      </c>
      <c r="C6" s="11">
        <v>5</v>
      </c>
      <c r="D6" s="11">
        <v>3</v>
      </c>
      <c r="E6" s="11">
        <v>5</v>
      </c>
      <c r="F6" s="11">
        <v>3</v>
      </c>
      <c r="G6" s="11">
        <v>5</v>
      </c>
      <c r="H6" s="1">
        <f t="shared" si="0"/>
        <v>24</v>
      </c>
      <c r="J6" s="4" t="s">
        <v>29</v>
      </c>
      <c r="K6" s="3">
        <f>_xlfn.VAR.P(H2:H34)</f>
        <v>41.621671258034894</v>
      </c>
    </row>
    <row r="7" spans="1:11" ht="15" x14ac:dyDescent="0.25">
      <c r="A7" s="1" t="s">
        <v>28</v>
      </c>
      <c r="B7" s="11">
        <v>5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">
        <f t="shared" si="0"/>
        <v>30</v>
      </c>
    </row>
    <row r="8" spans="1:11" ht="15" x14ac:dyDescent="0.25">
      <c r="A8" s="1" t="s">
        <v>27</v>
      </c>
      <c r="B8" s="11">
        <v>5</v>
      </c>
      <c r="C8" s="11">
        <v>5</v>
      </c>
      <c r="D8" s="11">
        <v>5</v>
      </c>
      <c r="E8" s="11">
        <v>5</v>
      </c>
      <c r="F8" s="11">
        <v>4</v>
      </c>
      <c r="G8" s="11">
        <v>4</v>
      </c>
      <c r="H8" s="1">
        <f t="shared" si="0"/>
        <v>28</v>
      </c>
    </row>
    <row r="9" spans="1:11" ht="15" x14ac:dyDescent="0.25">
      <c r="A9" s="1" t="s">
        <v>26</v>
      </c>
      <c r="B9" s="11">
        <v>5</v>
      </c>
      <c r="C9" s="11">
        <v>4</v>
      </c>
      <c r="D9" s="11">
        <v>4</v>
      </c>
      <c r="E9" s="11">
        <v>5</v>
      </c>
      <c r="F9" s="11">
        <v>5</v>
      </c>
      <c r="G9" s="11">
        <v>5</v>
      </c>
      <c r="H9" s="1">
        <f t="shared" si="0"/>
        <v>28</v>
      </c>
    </row>
    <row r="10" spans="1:11" ht="15" x14ac:dyDescent="0.25">
      <c r="A10" s="1" t="s">
        <v>25</v>
      </c>
      <c r="B10" s="11">
        <v>4</v>
      </c>
      <c r="C10" s="11">
        <v>4</v>
      </c>
      <c r="D10" s="11">
        <v>5</v>
      </c>
      <c r="E10" s="11">
        <v>5</v>
      </c>
      <c r="F10" s="11">
        <v>4</v>
      </c>
      <c r="G10" s="11">
        <v>4</v>
      </c>
      <c r="H10" s="1">
        <f t="shared" si="0"/>
        <v>26</v>
      </c>
    </row>
    <row r="11" spans="1:11" ht="15" x14ac:dyDescent="0.25">
      <c r="A11" s="1" t="s">
        <v>24</v>
      </c>
      <c r="B11" s="11">
        <v>3</v>
      </c>
      <c r="C11" s="11">
        <v>4</v>
      </c>
      <c r="D11" s="11">
        <v>4</v>
      </c>
      <c r="E11" s="11">
        <v>4</v>
      </c>
      <c r="F11" s="11">
        <v>5</v>
      </c>
      <c r="G11" s="11">
        <v>3</v>
      </c>
      <c r="H11" s="1">
        <f t="shared" si="0"/>
        <v>23</v>
      </c>
    </row>
    <row r="12" spans="1:11" ht="15" x14ac:dyDescent="0.25">
      <c r="A12" s="1" t="s">
        <v>23</v>
      </c>
      <c r="B12" s="11">
        <v>3</v>
      </c>
      <c r="C12" s="11">
        <v>3</v>
      </c>
      <c r="D12" s="11">
        <v>3</v>
      </c>
      <c r="E12" s="11">
        <v>2</v>
      </c>
      <c r="F12" s="11">
        <v>3</v>
      </c>
      <c r="G12" s="11">
        <v>3</v>
      </c>
      <c r="H12" s="1">
        <f t="shared" si="0"/>
        <v>17</v>
      </c>
    </row>
    <row r="13" spans="1:11" ht="15" x14ac:dyDescent="0.25">
      <c r="A13" s="1" t="s">
        <v>22</v>
      </c>
      <c r="B13" s="11">
        <v>4</v>
      </c>
      <c r="C13" s="11">
        <v>4</v>
      </c>
      <c r="D13" s="11">
        <v>4</v>
      </c>
      <c r="E13" s="11">
        <v>4</v>
      </c>
      <c r="F13" s="11">
        <v>4</v>
      </c>
      <c r="G13" s="11">
        <v>3</v>
      </c>
      <c r="H13" s="1">
        <f t="shared" si="0"/>
        <v>23</v>
      </c>
    </row>
    <row r="14" spans="1:11" ht="15" x14ac:dyDescent="0.25">
      <c r="A14" s="1" t="s">
        <v>21</v>
      </c>
      <c r="B14" s="11">
        <v>5</v>
      </c>
      <c r="C14" s="11">
        <v>5</v>
      </c>
      <c r="D14" s="11">
        <v>5</v>
      </c>
      <c r="E14" s="11">
        <v>5</v>
      </c>
      <c r="F14" s="11">
        <v>4</v>
      </c>
      <c r="G14" s="11">
        <v>5</v>
      </c>
      <c r="H14" s="1">
        <f t="shared" si="0"/>
        <v>29</v>
      </c>
    </row>
    <row r="15" spans="1:11" ht="15" x14ac:dyDescent="0.25">
      <c r="A15" s="1" t="s">
        <v>20</v>
      </c>
      <c r="B15" s="11">
        <v>4</v>
      </c>
      <c r="C15" s="11">
        <v>5</v>
      </c>
      <c r="D15" s="11">
        <v>5</v>
      </c>
      <c r="E15" s="11">
        <v>3</v>
      </c>
      <c r="F15" s="11">
        <v>4</v>
      </c>
      <c r="G15" s="11">
        <v>5</v>
      </c>
      <c r="H15" s="1">
        <f t="shared" si="0"/>
        <v>26</v>
      </c>
    </row>
    <row r="16" spans="1:11" ht="15" x14ac:dyDescent="0.25">
      <c r="A16" s="1" t="s">
        <v>19</v>
      </c>
      <c r="B16" s="11">
        <v>5</v>
      </c>
      <c r="C16" s="11">
        <v>4</v>
      </c>
      <c r="D16" s="11">
        <v>5</v>
      </c>
      <c r="E16" s="11">
        <v>4</v>
      </c>
      <c r="F16" s="11">
        <v>5</v>
      </c>
      <c r="G16" s="11">
        <v>5</v>
      </c>
      <c r="H16" s="1">
        <f t="shared" si="0"/>
        <v>28</v>
      </c>
    </row>
    <row r="17" spans="1:8" ht="15" x14ac:dyDescent="0.25">
      <c r="A17" s="1" t="s">
        <v>18</v>
      </c>
      <c r="B17" s="11">
        <v>1</v>
      </c>
      <c r="C17" s="11">
        <v>3</v>
      </c>
      <c r="D17" s="11">
        <v>2</v>
      </c>
      <c r="E17" s="11">
        <v>3</v>
      </c>
      <c r="F17" s="11">
        <v>1</v>
      </c>
      <c r="G17" s="11">
        <v>2</v>
      </c>
      <c r="H17" s="1">
        <f t="shared" si="0"/>
        <v>12</v>
      </c>
    </row>
    <row r="18" spans="1:8" ht="15" x14ac:dyDescent="0.25">
      <c r="A18" s="1" t="s">
        <v>17</v>
      </c>
      <c r="B18" s="11">
        <v>5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">
        <f t="shared" si="0"/>
        <v>30</v>
      </c>
    </row>
    <row r="19" spans="1:8" ht="15" x14ac:dyDescent="0.25">
      <c r="A19" s="1" t="s">
        <v>16</v>
      </c>
      <c r="B19" s="11">
        <v>5</v>
      </c>
      <c r="C19" s="11">
        <v>4</v>
      </c>
      <c r="D19" s="11">
        <v>5</v>
      </c>
      <c r="E19" s="11">
        <v>4</v>
      </c>
      <c r="F19" s="11">
        <v>5</v>
      </c>
      <c r="G19" s="11">
        <v>5</v>
      </c>
      <c r="H19" s="1">
        <f t="shared" si="0"/>
        <v>28</v>
      </c>
    </row>
    <row r="20" spans="1:8" ht="15" x14ac:dyDescent="0.25">
      <c r="A20" s="1" t="s">
        <v>15</v>
      </c>
      <c r="B20" s="11">
        <v>4</v>
      </c>
      <c r="C20" s="11">
        <v>5</v>
      </c>
      <c r="D20" s="11">
        <v>3</v>
      </c>
      <c r="E20" s="11">
        <v>5</v>
      </c>
      <c r="F20" s="11">
        <v>4</v>
      </c>
      <c r="G20" s="11">
        <v>3</v>
      </c>
      <c r="H20" s="1">
        <f t="shared" si="0"/>
        <v>24</v>
      </c>
    </row>
    <row r="21" spans="1:8" ht="15" x14ac:dyDescent="0.25">
      <c r="A21" s="1" t="s">
        <v>14</v>
      </c>
      <c r="B21" s="11">
        <v>4</v>
      </c>
      <c r="C21" s="11">
        <v>4</v>
      </c>
      <c r="D21" s="11">
        <v>4</v>
      </c>
      <c r="E21" s="11">
        <v>3</v>
      </c>
      <c r="F21" s="11">
        <v>3</v>
      </c>
      <c r="G21" s="11">
        <v>4</v>
      </c>
      <c r="H21" s="1">
        <f t="shared" si="0"/>
        <v>22</v>
      </c>
    </row>
    <row r="22" spans="1:8" ht="15" x14ac:dyDescent="0.25">
      <c r="A22" s="1" t="s">
        <v>13</v>
      </c>
      <c r="B22" s="11">
        <v>5</v>
      </c>
      <c r="C22" s="11">
        <v>4</v>
      </c>
      <c r="D22" s="11">
        <v>4</v>
      </c>
      <c r="E22" s="11">
        <v>5</v>
      </c>
      <c r="F22" s="11">
        <v>5</v>
      </c>
      <c r="G22" s="11">
        <v>5</v>
      </c>
      <c r="H22" s="1">
        <f t="shared" si="0"/>
        <v>28</v>
      </c>
    </row>
    <row r="23" spans="1:8" ht="15" x14ac:dyDescent="0.25">
      <c r="A23" s="1" t="s">
        <v>12</v>
      </c>
      <c r="B23" s="11">
        <v>3</v>
      </c>
      <c r="C23" s="11">
        <v>4</v>
      </c>
      <c r="D23" s="11">
        <v>3</v>
      </c>
      <c r="E23" s="11">
        <v>4</v>
      </c>
      <c r="F23" s="11">
        <v>4</v>
      </c>
      <c r="G23" s="11">
        <v>4</v>
      </c>
      <c r="H23" s="1">
        <f t="shared" si="0"/>
        <v>22</v>
      </c>
    </row>
    <row r="24" spans="1:8" ht="15" x14ac:dyDescent="0.25">
      <c r="A24" s="1" t="s">
        <v>11</v>
      </c>
      <c r="B24" s="11">
        <v>2</v>
      </c>
      <c r="C24" s="11">
        <v>2</v>
      </c>
      <c r="D24" s="11">
        <v>1</v>
      </c>
      <c r="E24" s="11">
        <v>1</v>
      </c>
      <c r="F24" s="11">
        <v>2</v>
      </c>
      <c r="G24" s="11">
        <v>2</v>
      </c>
      <c r="H24" s="1">
        <f t="shared" si="0"/>
        <v>10</v>
      </c>
    </row>
    <row r="25" spans="1:8" ht="15" x14ac:dyDescent="0.25">
      <c r="A25" s="1" t="s">
        <v>10</v>
      </c>
      <c r="B25" s="11">
        <v>5</v>
      </c>
      <c r="C25" s="11">
        <v>5</v>
      </c>
      <c r="D25" s="11">
        <v>4</v>
      </c>
      <c r="E25" s="11">
        <v>5</v>
      </c>
      <c r="F25" s="11">
        <v>5</v>
      </c>
      <c r="G25" s="11">
        <v>5</v>
      </c>
      <c r="H25" s="1">
        <f t="shared" si="0"/>
        <v>29</v>
      </c>
    </row>
    <row r="26" spans="1:8" ht="15" x14ac:dyDescent="0.25">
      <c r="A26" s="1" t="s">
        <v>9</v>
      </c>
      <c r="B26" s="11">
        <v>5</v>
      </c>
      <c r="C26" s="11">
        <v>5</v>
      </c>
      <c r="D26" s="11">
        <v>5</v>
      </c>
      <c r="E26" s="11">
        <v>5</v>
      </c>
      <c r="F26" s="11">
        <v>5</v>
      </c>
      <c r="G26" s="11">
        <v>4</v>
      </c>
      <c r="H26" s="1">
        <f t="shared" si="0"/>
        <v>29</v>
      </c>
    </row>
    <row r="27" spans="1:8" ht="15" x14ac:dyDescent="0.25">
      <c r="A27" s="1" t="s">
        <v>8</v>
      </c>
      <c r="B27" s="11">
        <v>3</v>
      </c>
      <c r="C27" s="11">
        <v>2</v>
      </c>
      <c r="D27" s="11">
        <v>3</v>
      </c>
      <c r="E27" s="11">
        <v>3</v>
      </c>
      <c r="F27" s="11">
        <v>3</v>
      </c>
      <c r="G27" s="11">
        <v>4</v>
      </c>
      <c r="H27" s="1">
        <f t="shared" si="0"/>
        <v>18</v>
      </c>
    </row>
    <row r="28" spans="1:8" ht="15" x14ac:dyDescent="0.25">
      <c r="A28" s="1" t="s">
        <v>7</v>
      </c>
      <c r="B28" s="11">
        <v>5</v>
      </c>
      <c r="C28" s="11">
        <v>4</v>
      </c>
      <c r="D28" s="11">
        <v>5</v>
      </c>
      <c r="E28" s="11">
        <v>5</v>
      </c>
      <c r="F28" s="11">
        <v>5</v>
      </c>
      <c r="G28" s="11">
        <v>5</v>
      </c>
      <c r="H28" s="1">
        <f t="shared" si="0"/>
        <v>29</v>
      </c>
    </row>
    <row r="29" spans="1:8" ht="15" x14ac:dyDescent="0.25">
      <c r="A29" s="1" t="s">
        <v>6</v>
      </c>
      <c r="B29" s="11">
        <v>2</v>
      </c>
      <c r="C29" s="11">
        <v>2</v>
      </c>
      <c r="D29" s="11">
        <v>3</v>
      </c>
      <c r="E29" s="11">
        <v>1</v>
      </c>
      <c r="F29" s="11">
        <v>2</v>
      </c>
      <c r="G29" s="11">
        <v>2</v>
      </c>
      <c r="H29" s="1">
        <f t="shared" si="0"/>
        <v>12</v>
      </c>
    </row>
    <row r="30" spans="1:8" ht="15" x14ac:dyDescent="0.25">
      <c r="A30" s="1" t="s">
        <v>5</v>
      </c>
      <c r="B30" s="11">
        <v>2</v>
      </c>
      <c r="C30" s="11">
        <v>3</v>
      </c>
      <c r="D30" s="11">
        <v>3</v>
      </c>
      <c r="E30" s="11">
        <v>3</v>
      </c>
      <c r="F30" s="11">
        <v>2</v>
      </c>
      <c r="G30" s="11">
        <v>1</v>
      </c>
      <c r="H30" s="1">
        <f t="shared" si="0"/>
        <v>14</v>
      </c>
    </row>
    <row r="31" spans="1:8" ht="15" x14ac:dyDescent="0.25">
      <c r="A31" s="1" t="s">
        <v>4</v>
      </c>
      <c r="B31" s="11">
        <v>1</v>
      </c>
      <c r="C31" s="11">
        <v>3</v>
      </c>
      <c r="D31" s="11">
        <v>2</v>
      </c>
      <c r="E31" s="11">
        <v>3</v>
      </c>
      <c r="F31" s="11">
        <v>1</v>
      </c>
      <c r="G31" s="11">
        <v>1</v>
      </c>
      <c r="H31" s="1">
        <f t="shared" si="0"/>
        <v>11</v>
      </c>
    </row>
    <row r="32" spans="1:8" ht="15" x14ac:dyDescent="0.25">
      <c r="A32" s="1" t="s">
        <v>3</v>
      </c>
      <c r="B32" s="11">
        <v>3</v>
      </c>
      <c r="C32" s="11">
        <v>3</v>
      </c>
      <c r="D32" s="11">
        <v>4</v>
      </c>
      <c r="E32" s="11">
        <v>4</v>
      </c>
      <c r="F32" s="11">
        <v>3</v>
      </c>
      <c r="G32" s="11">
        <v>4</v>
      </c>
      <c r="H32" s="1">
        <f t="shared" si="0"/>
        <v>21</v>
      </c>
    </row>
    <row r="33" spans="1:8" ht="15" x14ac:dyDescent="0.25">
      <c r="A33" s="1" t="s">
        <v>2</v>
      </c>
      <c r="B33" s="11">
        <v>5</v>
      </c>
      <c r="C33" s="11">
        <v>5</v>
      </c>
      <c r="D33" s="11">
        <v>4</v>
      </c>
      <c r="E33" s="11">
        <v>5</v>
      </c>
      <c r="F33" s="11">
        <v>5</v>
      </c>
      <c r="G33" s="11">
        <v>5</v>
      </c>
      <c r="H33" s="1">
        <f t="shared" si="0"/>
        <v>29</v>
      </c>
    </row>
    <row r="34" spans="1:8" ht="15" x14ac:dyDescent="0.25">
      <c r="A34" s="1" t="s">
        <v>1</v>
      </c>
      <c r="B34" s="11">
        <v>3</v>
      </c>
      <c r="C34" s="11">
        <v>4</v>
      </c>
      <c r="D34" s="11">
        <v>4</v>
      </c>
      <c r="E34" s="11">
        <v>4</v>
      </c>
      <c r="F34" s="11">
        <v>4</v>
      </c>
      <c r="G34" s="11">
        <v>4</v>
      </c>
      <c r="H34" s="1">
        <f>SUM(B34:G34)</f>
        <v>23</v>
      </c>
    </row>
    <row r="35" spans="1:8" ht="15" x14ac:dyDescent="0.25">
      <c r="A35" s="2" t="s">
        <v>0</v>
      </c>
      <c r="B35" s="1">
        <f t="shared" ref="B35:G35" si="1">_xlfn.VAR.P(B2:B34)</f>
        <v>1.7134986225895317</v>
      </c>
      <c r="C35" s="1">
        <f t="shared" si="1"/>
        <v>1.076216712580349</v>
      </c>
      <c r="D35" s="1">
        <f t="shared" si="1"/>
        <v>1.1368227731864096</v>
      </c>
      <c r="E35" s="1">
        <f t="shared" si="1"/>
        <v>1.5610651974288339</v>
      </c>
      <c r="F35" s="1">
        <f t="shared" si="1"/>
        <v>1.5610651974288339</v>
      </c>
      <c r="G35" s="1">
        <f t="shared" si="1"/>
        <v>1.7741046831955922</v>
      </c>
    </row>
    <row r="36" spans="1:8" ht="15" x14ac:dyDescent="0.25">
      <c r="B36" s="11"/>
      <c r="C36" s="11"/>
      <c r="D36" s="11"/>
      <c r="E36" s="11"/>
      <c r="F36" s="11"/>
      <c r="G36" s="11"/>
    </row>
    <row r="37" spans="1:8" ht="15" x14ac:dyDescent="0.25">
      <c r="B37" s="11"/>
      <c r="C37" s="11"/>
      <c r="D37" s="11"/>
      <c r="E37" s="11"/>
      <c r="F37" s="11"/>
      <c r="G37" s="11"/>
    </row>
    <row r="38" spans="1:8" ht="15" x14ac:dyDescent="0.25">
      <c r="B38" s="11"/>
      <c r="C38" s="11"/>
      <c r="D38" s="11"/>
      <c r="E38" s="11"/>
      <c r="F38" s="11"/>
      <c r="G38" s="11"/>
    </row>
    <row r="39" spans="1:8" ht="15" x14ac:dyDescent="0.25">
      <c r="B39" s="11"/>
      <c r="C39" s="11"/>
      <c r="D39" s="11"/>
      <c r="E39" s="11"/>
      <c r="F39" s="11"/>
      <c r="G39" s="11"/>
    </row>
    <row r="40" spans="1:8" ht="15" x14ac:dyDescent="0.25">
      <c r="B40" s="11"/>
      <c r="C40" s="11"/>
      <c r="D40" s="11"/>
      <c r="E40" s="11"/>
      <c r="F40" s="11"/>
      <c r="G40" s="11"/>
    </row>
    <row r="41" spans="1:8" ht="15" x14ac:dyDescent="0.25">
      <c r="B41" s="11"/>
      <c r="C41" s="11"/>
      <c r="D41" s="11"/>
      <c r="E41" s="11"/>
      <c r="F41" s="11"/>
      <c r="G41" s="11"/>
    </row>
    <row r="42" spans="1:8" ht="15" x14ac:dyDescent="0.25">
      <c r="B42" s="11"/>
      <c r="C42" s="11"/>
      <c r="D42" s="11"/>
      <c r="E42" s="11"/>
      <c r="F42" s="11"/>
      <c r="G42" s="11"/>
    </row>
    <row r="43" spans="1:8" ht="15" x14ac:dyDescent="0.25">
      <c r="B43" s="11"/>
      <c r="C43" s="11"/>
      <c r="D43" s="11"/>
      <c r="E43" s="11"/>
      <c r="F43" s="11"/>
      <c r="G43" s="11"/>
    </row>
    <row r="44" spans="1:8" ht="15" x14ac:dyDescent="0.25">
      <c r="B44" s="11"/>
      <c r="C44" s="11"/>
      <c r="D44" s="11"/>
      <c r="E44" s="11"/>
      <c r="F44" s="11"/>
      <c r="G44" s="11"/>
    </row>
    <row r="45" spans="1:8" ht="15" x14ac:dyDescent="0.25">
      <c r="B45" s="11"/>
      <c r="C45" s="11"/>
      <c r="D45" s="11"/>
      <c r="E45" s="11"/>
      <c r="F45" s="11"/>
      <c r="G45" s="11"/>
    </row>
    <row r="46" spans="1:8" ht="15" x14ac:dyDescent="0.25">
      <c r="B46" s="11"/>
      <c r="C46" s="11"/>
      <c r="D46" s="11"/>
      <c r="E46" s="11"/>
      <c r="F46" s="11"/>
      <c r="G46" s="11"/>
    </row>
    <row r="47" spans="1:8" ht="15" x14ac:dyDescent="0.25">
      <c r="B47" s="11"/>
      <c r="C47" s="11"/>
      <c r="D47" s="11"/>
      <c r="E47" s="11"/>
      <c r="F47" s="11"/>
      <c r="G47" s="11"/>
    </row>
    <row r="48" spans="1:8" ht="15" x14ac:dyDescent="0.25">
      <c r="B48" s="11"/>
      <c r="C48" s="11"/>
      <c r="D48" s="11"/>
      <c r="E48" s="11"/>
      <c r="F48" s="11"/>
      <c r="G48" s="11"/>
    </row>
    <row r="49" spans="2:7" ht="15" x14ac:dyDescent="0.25">
      <c r="B49" s="11"/>
      <c r="C49" s="11"/>
      <c r="D49" s="11"/>
      <c r="E49" s="11"/>
      <c r="F49" s="11"/>
      <c r="G49" s="11"/>
    </row>
    <row r="50" spans="2:7" ht="15" x14ac:dyDescent="0.25">
      <c r="B50" s="11"/>
      <c r="C50" s="11"/>
      <c r="D50" s="11"/>
      <c r="E50" s="11"/>
      <c r="F50" s="11"/>
      <c r="G50" s="11"/>
    </row>
    <row r="51" spans="2:7" ht="15" x14ac:dyDescent="0.25">
      <c r="B51" s="11"/>
      <c r="C51" s="11"/>
      <c r="D51" s="11"/>
      <c r="E51" s="11"/>
      <c r="F51" s="11"/>
      <c r="G51" s="11"/>
    </row>
    <row r="52" spans="2:7" ht="15" x14ac:dyDescent="0.25">
      <c r="B52" s="11"/>
      <c r="C52" s="11"/>
      <c r="D52" s="11"/>
      <c r="E52" s="11"/>
      <c r="F52" s="11"/>
      <c r="G52" s="11"/>
    </row>
    <row r="53" spans="2:7" ht="15" x14ac:dyDescent="0.25">
      <c r="B53" s="11"/>
      <c r="C53" s="11"/>
      <c r="D53" s="11"/>
      <c r="E53" s="11"/>
      <c r="F53" s="11"/>
      <c r="G53" s="11"/>
    </row>
    <row r="54" spans="2:7" ht="15" x14ac:dyDescent="0.25">
      <c r="B54" s="11"/>
      <c r="C54" s="11"/>
      <c r="D54" s="11"/>
      <c r="E54" s="11"/>
      <c r="F54" s="11"/>
      <c r="G54" s="11"/>
    </row>
    <row r="55" spans="2:7" ht="15" x14ac:dyDescent="0.25">
      <c r="B55" s="11"/>
      <c r="C55" s="11"/>
      <c r="D55" s="11"/>
      <c r="E55" s="11"/>
      <c r="F55" s="11"/>
      <c r="G55" s="11"/>
    </row>
    <row r="56" spans="2:7" ht="15" x14ac:dyDescent="0.25">
      <c r="B56" s="11"/>
      <c r="C56" s="11"/>
      <c r="D56" s="11"/>
      <c r="E56" s="11"/>
      <c r="F56" s="11"/>
      <c r="G56" s="11"/>
    </row>
    <row r="57" spans="2:7" ht="15" x14ac:dyDescent="0.25">
      <c r="B57" s="11"/>
      <c r="C57" s="11"/>
      <c r="D57" s="11"/>
      <c r="E57" s="11"/>
      <c r="F57" s="11"/>
      <c r="G57" s="11"/>
    </row>
    <row r="58" spans="2:7" ht="15" x14ac:dyDescent="0.25">
      <c r="B58" s="11"/>
      <c r="C58" s="11"/>
      <c r="D58" s="11"/>
      <c r="E58" s="11"/>
      <c r="F58" s="11"/>
      <c r="G58" s="11"/>
    </row>
    <row r="59" spans="2:7" ht="15" x14ac:dyDescent="0.25">
      <c r="B59" s="11"/>
      <c r="C59" s="11"/>
      <c r="D59" s="11"/>
      <c r="E59" s="11"/>
      <c r="F59" s="11"/>
      <c r="G59" s="11"/>
    </row>
    <row r="60" spans="2:7" ht="15" x14ac:dyDescent="0.25">
      <c r="B60" s="11"/>
      <c r="C60" s="11"/>
      <c r="D60" s="11"/>
      <c r="E60" s="11"/>
      <c r="F60" s="11"/>
      <c r="G60" s="11"/>
    </row>
    <row r="61" spans="2:7" ht="15" x14ac:dyDescent="0.25">
      <c r="B61" s="11"/>
      <c r="C61" s="11"/>
      <c r="D61" s="11"/>
      <c r="E61" s="11"/>
      <c r="F61" s="11"/>
      <c r="G61" s="11"/>
    </row>
    <row r="62" spans="2:7" ht="15" x14ac:dyDescent="0.25">
      <c r="B62" s="11"/>
      <c r="C62" s="11"/>
      <c r="D62" s="11"/>
      <c r="E62" s="11"/>
      <c r="F62" s="11"/>
      <c r="G62" s="11"/>
    </row>
    <row r="63" spans="2:7" ht="15" x14ac:dyDescent="0.25">
      <c r="B63" s="11"/>
      <c r="C63" s="11"/>
      <c r="D63" s="11"/>
      <c r="E63" s="11"/>
      <c r="F63" s="11"/>
      <c r="G63" s="11"/>
    </row>
    <row r="64" spans="2:7" ht="15" x14ac:dyDescent="0.25">
      <c r="B64" s="11"/>
      <c r="C64" s="11"/>
      <c r="D64" s="11"/>
      <c r="E64" s="11"/>
      <c r="F64" s="11"/>
      <c r="G64" s="11"/>
    </row>
    <row r="65" spans="2:7" ht="15" x14ac:dyDescent="0.25">
      <c r="B65" s="11"/>
      <c r="C65" s="11"/>
      <c r="D65" s="11"/>
      <c r="E65" s="11"/>
      <c r="F65" s="11"/>
      <c r="G65" s="11"/>
    </row>
    <row r="66" spans="2:7" ht="15" x14ac:dyDescent="0.25">
      <c r="B66" s="11"/>
      <c r="C66" s="11"/>
      <c r="D66" s="11"/>
      <c r="E66" s="11"/>
      <c r="F66" s="11"/>
      <c r="G66" s="11"/>
    </row>
    <row r="67" spans="2:7" ht="15" x14ac:dyDescent="0.25">
      <c r="B67" s="11"/>
      <c r="C67" s="11"/>
      <c r="D67" s="11"/>
      <c r="E67" s="11"/>
      <c r="F67" s="11"/>
      <c r="G67" s="11"/>
    </row>
    <row r="68" spans="2:7" ht="15" x14ac:dyDescent="0.25">
      <c r="B68" s="11"/>
      <c r="C68" s="11"/>
      <c r="D68" s="11"/>
      <c r="E68" s="11"/>
      <c r="F68" s="11"/>
      <c r="G68" s="11"/>
    </row>
    <row r="69" spans="2:7" ht="15" x14ac:dyDescent="0.25">
      <c r="B69" s="11"/>
      <c r="C69" s="11"/>
      <c r="D69" s="11"/>
      <c r="E69" s="11"/>
      <c r="F69" s="11"/>
      <c r="G69" s="11"/>
    </row>
    <row r="70" spans="2:7" ht="15" x14ac:dyDescent="0.25">
      <c r="B70" s="11"/>
      <c r="C70" s="11"/>
      <c r="D70" s="11"/>
      <c r="E70" s="11"/>
      <c r="F70" s="11"/>
      <c r="G70" s="11"/>
    </row>
    <row r="71" spans="2:7" ht="15" x14ac:dyDescent="0.25">
      <c r="B71" s="11"/>
      <c r="C71" s="11"/>
      <c r="D71" s="11"/>
      <c r="E71" s="11"/>
      <c r="F71" s="11"/>
      <c r="G71" s="11"/>
    </row>
    <row r="72" spans="2:7" ht="15" x14ac:dyDescent="0.25">
      <c r="B72" s="11"/>
      <c r="C72" s="11"/>
      <c r="D72" s="11"/>
      <c r="E72" s="11"/>
      <c r="F72" s="11"/>
      <c r="G72" s="11"/>
    </row>
    <row r="73" spans="2:7" ht="15" x14ac:dyDescent="0.25">
      <c r="B73" s="11"/>
      <c r="C73" s="11"/>
      <c r="D73" s="11"/>
      <c r="E73" s="11"/>
      <c r="F73" s="11"/>
      <c r="G73" s="11"/>
    </row>
    <row r="74" spans="2:7" ht="15" x14ac:dyDescent="0.25">
      <c r="B74" s="11"/>
      <c r="C74" s="11"/>
      <c r="D74" s="11"/>
      <c r="E74" s="11"/>
      <c r="F74" s="11"/>
      <c r="G74" s="11"/>
    </row>
    <row r="75" spans="2:7" ht="15" x14ac:dyDescent="0.25">
      <c r="B75" s="11"/>
      <c r="C75" s="11"/>
      <c r="D75" s="11"/>
      <c r="E75" s="11"/>
      <c r="F75" s="11"/>
      <c r="G75" s="11"/>
    </row>
    <row r="76" spans="2:7" ht="15" x14ac:dyDescent="0.25">
      <c r="B76" s="11"/>
      <c r="C76" s="11"/>
      <c r="D76" s="11"/>
      <c r="E76" s="11"/>
      <c r="F76" s="11"/>
      <c r="G76" s="11"/>
    </row>
    <row r="77" spans="2:7" ht="15" x14ac:dyDescent="0.25">
      <c r="B77" s="11"/>
      <c r="C77" s="11"/>
      <c r="D77" s="11"/>
      <c r="E77" s="11"/>
      <c r="F77" s="11"/>
      <c r="G77" s="11"/>
    </row>
    <row r="78" spans="2:7" ht="15" x14ac:dyDescent="0.25">
      <c r="B78" s="11"/>
      <c r="C78" s="11"/>
      <c r="D78" s="11"/>
      <c r="E78" s="11"/>
      <c r="F78" s="11"/>
      <c r="G78" s="11"/>
    </row>
    <row r="79" spans="2:7" ht="15" x14ac:dyDescent="0.25">
      <c r="B79" s="11"/>
      <c r="C79" s="11"/>
      <c r="D79" s="11"/>
      <c r="E79" s="11"/>
      <c r="F79" s="11"/>
      <c r="G79" s="11"/>
    </row>
    <row r="80" spans="2:7" ht="15" x14ac:dyDescent="0.25">
      <c r="B80" s="11"/>
      <c r="C80" s="11"/>
      <c r="D80" s="11"/>
      <c r="E80" s="11"/>
      <c r="F80" s="11"/>
      <c r="G80" s="11"/>
    </row>
    <row r="81" spans="2:7" ht="15" x14ac:dyDescent="0.25">
      <c r="B81" s="11"/>
      <c r="C81" s="11"/>
      <c r="D81" s="11"/>
      <c r="E81" s="11"/>
      <c r="F81" s="11"/>
      <c r="G81" s="11"/>
    </row>
    <row r="82" spans="2:7" ht="15" x14ac:dyDescent="0.25">
      <c r="B82" s="11"/>
      <c r="C82" s="11"/>
      <c r="D82" s="11"/>
      <c r="E82" s="11"/>
      <c r="F82" s="11"/>
      <c r="G82" s="11"/>
    </row>
    <row r="83" spans="2:7" ht="15" x14ac:dyDescent="0.25">
      <c r="B83" s="11"/>
      <c r="C83" s="11"/>
      <c r="D83" s="11"/>
      <c r="E83" s="11"/>
      <c r="F83" s="11"/>
      <c r="G83" s="11"/>
    </row>
    <row r="84" spans="2:7" ht="15" x14ac:dyDescent="0.25">
      <c r="B84" s="11"/>
      <c r="C84" s="11"/>
      <c r="D84" s="11"/>
      <c r="E84" s="11"/>
      <c r="F84" s="11"/>
      <c r="G84" s="11"/>
    </row>
    <row r="85" spans="2:7" ht="15" x14ac:dyDescent="0.25">
      <c r="B85" s="11"/>
      <c r="C85" s="11"/>
      <c r="D85" s="11"/>
      <c r="E85" s="11"/>
      <c r="F85" s="11"/>
      <c r="G85" s="11"/>
    </row>
    <row r="86" spans="2:7" ht="15" x14ac:dyDescent="0.25">
      <c r="B86" s="11"/>
      <c r="C86" s="11"/>
      <c r="D86" s="11"/>
      <c r="E86" s="11"/>
      <c r="F86" s="11"/>
      <c r="G86" s="11"/>
    </row>
    <row r="87" spans="2:7" ht="15" x14ac:dyDescent="0.25">
      <c r="B87" s="11"/>
      <c r="C87" s="11"/>
      <c r="D87" s="11"/>
      <c r="E87" s="11"/>
      <c r="F87" s="11"/>
      <c r="G87" s="11"/>
    </row>
    <row r="88" spans="2:7" ht="15" x14ac:dyDescent="0.25">
      <c r="B88" s="11"/>
      <c r="C88" s="11"/>
      <c r="D88" s="11"/>
      <c r="E88" s="11"/>
      <c r="F88" s="11"/>
      <c r="G88" s="11"/>
    </row>
    <row r="89" spans="2:7" ht="15" x14ac:dyDescent="0.25">
      <c r="B89" s="11"/>
      <c r="C89" s="11"/>
      <c r="D89" s="11"/>
      <c r="E89" s="11"/>
      <c r="F89" s="11"/>
      <c r="G89" s="11"/>
    </row>
    <row r="90" spans="2:7" ht="15" x14ac:dyDescent="0.25">
      <c r="B90" s="11"/>
      <c r="C90" s="11"/>
      <c r="D90" s="11"/>
      <c r="E90" s="11"/>
      <c r="F90" s="11"/>
      <c r="G90" s="11"/>
    </row>
    <row r="91" spans="2:7" ht="15" x14ac:dyDescent="0.25">
      <c r="B91" s="11"/>
      <c r="C91" s="11"/>
      <c r="D91" s="11"/>
      <c r="E91" s="11"/>
      <c r="F91" s="11"/>
      <c r="G91" s="11"/>
    </row>
    <row r="92" spans="2:7" ht="15" x14ac:dyDescent="0.25">
      <c r="B92" s="11"/>
      <c r="C92" s="11"/>
      <c r="D92" s="11"/>
      <c r="E92" s="11"/>
      <c r="F92" s="11"/>
      <c r="G92" s="11"/>
    </row>
    <row r="93" spans="2:7" ht="15" x14ac:dyDescent="0.25">
      <c r="B93" s="11"/>
      <c r="C93" s="11"/>
      <c r="D93" s="11"/>
      <c r="E93" s="11"/>
      <c r="F93" s="11"/>
      <c r="G93" s="11"/>
    </row>
    <row r="94" spans="2:7" ht="15" x14ac:dyDescent="0.25">
      <c r="B94" s="11"/>
      <c r="C94" s="11"/>
      <c r="D94" s="11"/>
      <c r="E94" s="11"/>
      <c r="F94" s="11"/>
      <c r="G94" s="11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tabSelected="1" zoomScale="115" zoomScaleNormal="115" workbookViewId="0">
      <selection activeCell="I19" sqref="I19"/>
    </sheetView>
  </sheetViews>
  <sheetFormatPr baseColWidth="10" defaultRowHeight="12.75" x14ac:dyDescent="0.2"/>
  <cols>
    <col min="1" max="1" width="17.140625" style="1" customWidth="1"/>
    <col min="2" max="2" width="20.42578125" style="1" bestFit="1" customWidth="1"/>
    <col min="3" max="3" width="23.7109375" style="1" bestFit="1" customWidth="1"/>
    <col min="4" max="4" width="25" style="1" bestFit="1" customWidth="1"/>
    <col min="5" max="5" width="20.85546875" style="1" bestFit="1" customWidth="1"/>
    <col min="6" max="6" width="23.42578125" style="1" bestFit="1" customWidth="1"/>
    <col min="7" max="8" width="11.42578125" style="1"/>
    <col min="9" max="9" width="29.140625" style="1" customWidth="1"/>
    <col min="10" max="10" width="28.5703125" style="1" customWidth="1"/>
    <col min="11" max="16384" width="11.42578125" style="1"/>
  </cols>
  <sheetData>
    <row r="1" spans="1:10" ht="15" x14ac:dyDescent="0.25">
      <c r="A1" s="10" t="s">
        <v>40</v>
      </c>
      <c r="B1" s="12" t="s">
        <v>47</v>
      </c>
      <c r="C1" s="12" t="s">
        <v>48</v>
      </c>
      <c r="D1" s="12" t="s">
        <v>49</v>
      </c>
      <c r="E1" s="12" t="s">
        <v>50</v>
      </c>
      <c r="F1" s="12" t="s">
        <v>51</v>
      </c>
      <c r="G1" s="9" t="s">
        <v>39</v>
      </c>
    </row>
    <row r="2" spans="1:10" ht="15" x14ac:dyDescent="0.25">
      <c r="A2" s="1" t="s">
        <v>38</v>
      </c>
      <c r="B2" s="11">
        <v>4</v>
      </c>
      <c r="C2" s="11">
        <v>5</v>
      </c>
      <c r="D2" s="11">
        <v>3</v>
      </c>
      <c r="E2" s="11">
        <v>5</v>
      </c>
      <c r="F2" s="11">
        <v>4</v>
      </c>
      <c r="G2" s="1">
        <f t="shared" ref="G2:G34" si="0">SUM(B2:F2)</f>
        <v>21</v>
      </c>
      <c r="I2" s="8" t="s">
        <v>37</v>
      </c>
      <c r="J2" s="7"/>
    </row>
    <row r="3" spans="1:10" ht="15" x14ac:dyDescent="0.25">
      <c r="A3" s="1" t="s">
        <v>36</v>
      </c>
      <c r="B3" s="11">
        <v>3</v>
      </c>
      <c r="C3" s="11">
        <v>2</v>
      </c>
      <c r="D3" s="11">
        <v>1</v>
      </c>
      <c r="E3" s="11">
        <v>3</v>
      </c>
      <c r="F3" s="11">
        <v>1</v>
      </c>
      <c r="G3" s="1">
        <f t="shared" si="0"/>
        <v>10</v>
      </c>
      <c r="I3" s="4" t="s">
        <v>35</v>
      </c>
      <c r="J3" s="6">
        <f>(J4/(J4-1))*(1-(J5/J6))</f>
        <v>0.9489125974558883</v>
      </c>
    </row>
    <row r="4" spans="1:10" ht="15" x14ac:dyDescent="0.25">
      <c r="A4" s="1" t="s">
        <v>34</v>
      </c>
      <c r="B4" s="11">
        <v>3</v>
      </c>
      <c r="C4" s="11">
        <v>2</v>
      </c>
      <c r="D4" s="11">
        <v>4</v>
      </c>
      <c r="E4" s="11">
        <v>3</v>
      </c>
      <c r="F4" s="11">
        <v>3</v>
      </c>
      <c r="G4" s="1">
        <f t="shared" si="0"/>
        <v>15</v>
      </c>
      <c r="I4" s="4" t="s">
        <v>33</v>
      </c>
      <c r="J4" s="6">
        <v>5</v>
      </c>
    </row>
    <row r="5" spans="1:10" ht="15" x14ac:dyDescent="0.25">
      <c r="A5" s="1" t="s">
        <v>32</v>
      </c>
      <c r="B5" s="11">
        <v>5</v>
      </c>
      <c r="C5" s="11">
        <v>4</v>
      </c>
      <c r="D5" s="11">
        <v>5</v>
      </c>
      <c r="E5" s="11">
        <v>5</v>
      </c>
      <c r="F5" s="11">
        <v>5</v>
      </c>
      <c r="G5" s="1">
        <f t="shared" si="0"/>
        <v>24</v>
      </c>
      <c r="I5" s="4" t="s">
        <v>31</v>
      </c>
      <c r="J5" s="5">
        <f>SUM(B35:F35)</f>
        <v>6.4683195592286502</v>
      </c>
    </row>
    <row r="6" spans="1:10" ht="15" x14ac:dyDescent="0.25">
      <c r="A6" s="1" t="s">
        <v>30</v>
      </c>
      <c r="B6" s="11">
        <v>4</v>
      </c>
      <c r="C6" s="11">
        <v>4</v>
      </c>
      <c r="D6" s="11">
        <v>5</v>
      </c>
      <c r="E6" s="11">
        <v>4</v>
      </c>
      <c r="F6" s="11">
        <v>4</v>
      </c>
      <c r="G6" s="1">
        <f t="shared" si="0"/>
        <v>21</v>
      </c>
      <c r="I6" s="4" t="s">
        <v>29</v>
      </c>
      <c r="J6" s="3">
        <f>_xlfn.VAR.P(G2:G34)</f>
        <v>26.853994490358126</v>
      </c>
    </row>
    <row r="7" spans="1:10" ht="15" x14ac:dyDescent="0.25">
      <c r="A7" s="1" t="s">
        <v>28</v>
      </c>
      <c r="B7" s="11">
        <v>5</v>
      </c>
      <c r="C7" s="11">
        <v>4</v>
      </c>
      <c r="D7" s="11">
        <v>5</v>
      </c>
      <c r="E7" s="11">
        <v>5</v>
      </c>
      <c r="F7" s="11">
        <v>5</v>
      </c>
      <c r="G7" s="1">
        <f t="shared" si="0"/>
        <v>24</v>
      </c>
    </row>
    <row r="8" spans="1:10" ht="15" x14ac:dyDescent="0.25">
      <c r="A8" s="1" t="s">
        <v>27</v>
      </c>
      <c r="B8" s="11">
        <v>5</v>
      </c>
      <c r="C8" s="11">
        <v>5</v>
      </c>
      <c r="D8" s="11">
        <v>5</v>
      </c>
      <c r="E8" s="11">
        <v>5</v>
      </c>
      <c r="F8" s="11">
        <v>5</v>
      </c>
      <c r="G8" s="1">
        <f t="shared" si="0"/>
        <v>25</v>
      </c>
    </row>
    <row r="9" spans="1:10" ht="15" x14ac:dyDescent="0.25">
      <c r="A9" s="1" t="s">
        <v>26</v>
      </c>
      <c r="B9" s="11">
        <v>5</v>
      </c>
      <c r="C9" s="11">
        <v>5</v>
      </c>
      <c r="D9" s="11">
        <v>5</v>
      </c>
      <c r="E9" s="11">
        <v>5</v>
      </c>
      <c r="F9" s="11">
        <v>5</v>
      </c>
      <c r="G9" s="1">
        <f t="shared" si="0"/>
        <v>25</v>
      </c>
    </row>
    <row r="10" spans="1:10" ht="15" x14ac:dyDescent="0.25">
      <c r="A10" s="1" t="s">
        <v>25</v>
      </c>
      <c r="B10" s="11">
        <v>5</v>
      </c>
      <c r="C10" s="11">
        <v>5</v>
      </c>
      <c r="D10" s="11">
        <v>5</v>
      </c>
      <c r="E10" s="11">
        <v>5</v>
      </c>
      <c r="F10" s="11">
        <v>5</v>
      </c>
      <c r="G10" s="1">
        <f t="shared" si="0"/>
        <v>25</v>
      </c>
    </row>
    <row r="11" spans="1:10" ht="15" x14ac:dyDescent="0.25">
      <c r="A11" s="1" t="s">
        <v>24</v>
      </c>
      <c r="B11" s="11">
        <v>4</v>
      </c>
      <c r="C11" s="11">
        <v>3</v>
      </c>
      <c r="D11" s="11">
        <v>4</v>
      </c>
      <c r="E11" s="11">
        <v>4</v>
      </c>
      <c r="F11" s="11">
        <v>4</v>
      </c>
      <c r="G11" s="1">
        <f t="shared" si="0"/>
        <v>19</v>
      </c>
    </row>
    <row r="12" spans="1:10" ht="15" x14ac:dyDescent="0.25">
      <c r="A12" s="1" t="s">
        <v>23</v>
      </c>
      <c r="B12" s="11">
        <v>3</v>
      </c>
      <c r="C12" s="11">
        <v>4</v>
      </c>
      <c r="D12" s="11">
        <v>3</v>
      </c>
      <c r="E12" s="11">
        <v>3</v>
      </c>
      <c r="F12" s="11">
        <v>3</v>
      </c>
      <c r="G12" s="1">
        <f t="shared" si="0"/>
        <v>16</v>
      </c>
    </row>
    <row r="13" spans="1:10" ht="15" x14ac:dyDescent="0.25">
      <c r="A13" s="1" t="s">
        <v>22</v>
      </c>
      <c r="B13" s="11">
        <v>4</v>
      </c>
      <c r="C13" s="11">
        <v>4</v>
      </c>
      <c r="D13" s="11">
        <v>4</v>
      </c>
      <c r="E13" s="11">
        <v>4</v>
      </c>
      <c r="F13" s="11">
        <v>3</v>
      </c>
      <c r="G13" s="1">
        <f t="shared" si="0"/>
        <v>19</v>
      </c>
    </row>
    <row r="14" spans="1:10" ht="15" x14ac:dyDescent="0.25">
      <c r="A14" s="1" t="s">
        <v>21</v>
      </c>
      <c r="B14" s="11">
        <v>5</v>
      </c>
      <c r="C14" s="11">
        <v>5</v>
      </c>
      <c r="D14" s="11">
        <v>5</v>
      </c>
      <c r="E14" s="11">
        <v>5</v>
      </c>
      <c r="F14" s="11">
        <v>5</v>
      </c>
      <c r="G14" s="1">
        <f t="shared" si="0"/>
        <v>25</v>
      </c>
    </row>
    <row r="15" spans="1:10" ht="15" x14ac:dyDescent="0.25">
      <c r="A15" s="1" t="s">
        <v>20</v>
      </c>
      <c r="B15" s="11">
        <v>4</v>
      </c>
      <c r="C15" s="11">
        <v>4</v>
      </c>
      <c r="D15" s="11">
        <v>4</v>
      </c>
      <c r="E15" s="11">
        <v>4</v>
      </c>
      <c r="F15" s="11">
        <v>3</v>
      </c>
      <c r="G15" s="1">
        <f t="shared" si="0"/>
        <v>19</v>
      </c>
    </row>
    <row r="16" spans="1:10" ht="15" x14ac:dyDescent="0.25">
      <c r="A16" s="1" t="s">
        <v>19</v>
      </c>
      <c r="B16" s="11">
        <v>5</v>
      </c>
      <c r="C16" s="11">
        <v>4</v>
      </c>
      <c r="D16" s="11">
        <v>5</v>
      </c>
      <c r="E16" s="11">
        <v>5</v>
      </c>
      <c r="F16" s="11">
        <v>4</v>
      </c>
      <c r="G16" s="1">
        <f t="shared" si="0"/>
        <v>23</v>
      </c>
    </row>
    <row r="17" spans="1:7" ht="15" x14ac:dyDescent="0.25">
      <c r="A17" s="1" t="s">
        <v>18</v>
      </c>
      <c r="B17" s="11">
        <v>3</v>
      </c>
      <c r="C17" s="11">
        <v>1</v>
      </c>
      <c r="D17" s="11">
        <v>1</v>
      </c>
      <c r="E17" s="11">
        <v>2</v>
      </c>
      <c r="F17" s="11">
        <v>3</v>
      </c>
      <c r="G17" s="1">
        <f t="shared" si="0"/>
        <v>10</v>
      </c>
    </row>
    <row r="18" spans="1:7" ht="15" x14ac:dyDescent="0.25">
      <c r="A18" s="1" t="s">
        <v>17</v>
      </c>
      <c r="B18" s="11">
        <v>4</v>
      </c>
      <c r="C18" s="11">
        <v>4</v>
      </c>
      <c r="D18" s="11">
        <v>5</v>
      </c>
      <c r="E18" s="11">
        <v>5</v>
      </c>
      <c r="F18" s="11">
        <v>5</v>
      </c>
      <c r="G18" s="1">
        <f t="shared" si="0"/>
        <v>23</v>
      </c>
    </row>
    <row r="19" spans="1:7" ht="15" x14ac:dyDescent="0.25">
      <c r="A19" s="1" t="s">
        <v>16</v>
      </c>
      <c r="B19" s="11">
        <v>5</v>
      </c>
      <c r="C19" s="11">
        <v>5</v>
      </c>
      <c r="D19" s="11">
        <v>5</v>
      </c>
      <c r="E19" s="11">
        <v>4</v>
      </c>
      <c r="F19" s="11">
        <v>5</v>
      </c>
      <c r="G19" s="1">
        <f t="shared" si="0"/>
        <v>24</v>
      </c>
    </row>
    <row r="20" spans="1:7" ht="15" x14ac:dyDescent="0.25">
      <c r="A20" s="1" t="s">
        <v>15</v>
      </c>
      <c r="B20" s="11">
        <v>4</v>
      </c>
      <c r="C20" s="11">
        <v>5</v>
      </c>
      <c r="D20" s="11">
        <v>4</v>
      </c>
      <c r="E20" s="11">
        <v>4</v>
      </c>
      <c r="F20" s="11">
        <v>4</v>
      </c>
      <c r="G20" s="1">
        <f t="shared" si="0"/>
        <v>21</v>
      </c>
    </row>
    <row r="21" spans="1:7" ht="15" x14ac:dyDescent="0.25">
      <c r="A21" s="1" t="s">
        <v>14</v>
      </c>
      <c r="B21" s="11">
        <v>3</v>
      </c>
      <c r="C21" s="11">
        <v>3</v>
      </c>
      <c r="D21" s="11">
        <v>3</v>
      </c>
      <c r="E21" s="11">
        <v>3</v>
      </c>
      <c r="F21" s="11">
        <v>3</v>
      </c>
      <c r="G21" s="1">
        <f t="shared" si="0"/>
        <v>15</v>
      </c>
    </row>
    <row r="22" spans="1:7" ht="15" x14ac:dyDescent="0.25">
      <c r="A22" s="1" t="s">
        <v>13</v>
      </c>
      <c r="B22" s="11">
        <v>5</v>
      </c>
      <c r="C22" s="11">
        <v>5</v>
      </c>
      <c r="D22" s="11">
        <v>5</v>
      </c>
      <c r="E22" s="11">
        <v>5</v>
      </c>
      <c r="F22" s="11">
        <v>5</v>
      </c>
      <c r="G22" s="1">
        <f t="shared" si="0"/>
        <v>25</v>
      </c>
    </row>
    <row r="23" spans="1:7" ht="15" x14ac:dyDescent="0.25">
      <c r="A23" s="1" t="s">
        <v>12</v>
      </c>
      <c r="B23" s="11">
        <v>4</v>
      </c>
      <c r="C23" s="11">
        <v>4</v>
      </c>
      <c r="D23" s="11">
        <v>4</v>
      </c>
      <c r="E23" s="11">
        <v>5</v>
      </c>
      <c r="F23" s="11">
        <v>5</v>
      </c>
      <c r="G23" s="1">
        <f t="shared" si="0"/>
        <v>22</v>
      </c>
    </row>
    <row r="24" spans="1:7" ht="15" x14ac:dyDescent="0.25">
      <c r="A24" s="1" t="s">
        <v>11</v>
      </c>
      <c r="B24" s="11">
        <v>2</v>
      </c>
      <c r="C24" s="11">
        <v>2</v>
      </c>
      <c r="D24" s="11">
        <v>2</v>
      </c>
      <c r="E24" s="11">
        <v>2</v>
      </c>
      <c r="F24" s="11">
        <v>1</v>
      </c>
      <c r="G24" s="1">
        <f t="shared" si="0"/>
        <v>9</v>
      </c>
    </row>
    <row r="25" spans="1:7" ht="15" x14ac:dyDescent="0.25">
      <c r="A25" s="1" t="s">
        <v>10</v>
      </c>
      <c r="B25" s="11">
        <v>4</v>
      </c>
      <c r="C25" s="11">
        <v>5</v>
      </c>
      <c r="D25" s="11">
        <v>5</v>
      </c>
      <c r="E25" s="11">
        <v>5</v>
      </c>
      <c r="F25" s="11">
        <v>5</v>
      </c>
      <c r="G25" s="1">
        <f t="shared" si="0"/>
        <v>24</v>
      </c>
    </row>
    <row r="26" spans="1:7" ht="15" x14ac:dyDescent="0.25">
      <c r="A26" s="1" t="s">
        <v>9</v>
      </c>
      <c r="B26" s="11">
        <v>4</v>
      </c>
      <c r="C26" s="11">
        <v>4</v>
      </c>
      <c r="D26" s="11">
        <v>5</v>
      </c>
      <c r="E26" s="11">
        <v>5</v>
      </c>
      <c r="F26" s="11">
        <v>5</v>
      </c>
      <c r="G26" s="1">
        <f t="shared" si="0"/>
        <v>23</v>
      </c>
    </row>
    <row r="27" spans="1:7" ht="15" x14ac:dyDescent="0.25">
      <c r="A27" s="1" t="s">
        <v>8</v>
      </c>
      <c r="B27" s="11">
        <v>3</v>
      </c>
      <c r="C27" s="11">
        <v>4</v>
      </c>
      <c r="D27" s="11">
        <v>3</v>
      </c>
      <c r="E27" s="11">
        <v>3</v>
      </c>
      <c r="F27" s="11">
        <v>4</v>
      </c>
      <c r="G27" s="1">
        <f t="shared" si="0"/>
        <v>17</v>
      </c>
    </row>
    <row r="28" spans="1:7" ht="15" x14ac:dyDescent="0.25">
      <c r="A28" s="1" t="s">
        <v>7</v>
      </c>
      <c r="B28" s="11">
        <v>5</v>
      </c>
      <c r="C28" s="11">
        <v>5</v>
      </c>
      <c r="D28" s="11">
        <v>5</v>
      </c>
      <c r="E28" s="11">
        <v>5</v>
      </c>
      <c r="F28" s="11">
        <v>5</v>
      </c>
      <c r="G28" s="1">
        <f t="shared" si="0"/>
        <v>25</v>
      </c>
    </row>
    <row r="29" spans="1:7" ht="15" x14ac:dyDescent="0.25">
      <c r="A29" s="1" t="s">
        <v>6</v>
      </c>
      <c r="B29" s="11">
        <v>2</v>
      </c>
      <c r="C29" s="11">
        <v>2</v>
      </c>
      <c r="D29" s="11">
        <v>3</v>
      </c>
      <c r="E29" s="11">
        <v>1</v>
      </c>
      <c r="F29" s="11">
        <v>3</v>
      </c>
      <c r="G29" s="1">
        <f t="shared" si="0"/>
        <v>11</v>
      </c>
    </row>
    <row r="30" spans="1:7" ht="15" x14ac:dyDescent="0.25">
      <c r="A30" s="1" t="s">
        <v>5</v>
      </c>
      <c r="B30" s="11">
        <v>3</v>
      </c>
      <c r="C30" s="11">
        <v>1</v>
      </c>
      <c r="D30" s="11">
        <v>2</v>
      </c>
      <c r="E30" s="11">
        <v>2</v>
      </c>
      <c r="F30" s="11">
        <v>2</v>
      </c>
      <c r="G30" s="1">
        <f t="shared" si="0"/>
        <v>10</v>
      </c>
    </row>
    <row r="31" spans="1:7" ht="15" x14ac:dyDescent="0.25">
      <c r="A31" s="1" t="s">
        <v>4</v>
      </c>
      <c r="B31" s="11">
        <v>2</v>
      </c>
      <c r="C31" s="11">
        <v>2</v>
      </c>
      <c r="D31" s="11">
        <v>3</v>
      </c>
      <c r="E31" s="11">
        <v>3</v>
      </c>
      <c r="F31" s="11">
        <v>3</v>
      </c>
      <c r="G31" s="1">
        <f t="shared" si="0"/>
        <v>13</v>
      </c>
    </row>
    <row r="32" spans="1:7" ht="15" x14ac:dyDescent="0.25">
      <c r="A32" s="1" t="s">
        <v>3</v>
      </c>
      <c r="B32" s="11">
        <v>3</v>
      </c>
      <c r="C32" s="11">
        <v>4</v>
      </c>
      <c r="D32" s="11">
        <v>3</v>
      </c>
      <c r="E32" s="11">
        <v>4</v>
      </c>
      <c r="F32" s="11">
        <v>3</v>
      </c>
      <c r="G32" s="1">
        <f t="shared" si="0"/>
        <v>17</v>
      </c>
    </row>
    <row r="33" spans="1:7" ht="15" x14ac:dyDescent="0.25">
      <c r="A33" s="1" t="s">
        <v>2</v>
      </c>
      <c r="B33" s="11">
        <v>4</v>
      </c>
      <c r="C33" s="11">
        <v>5</v>
      </c>
      <c r="D33" s="11">
        <v>5</v>
      </c>
      <c r="E33" s="11">
        <v>4</v>
      </c>
      <c r="F33" s="11">
        <v>5</v>
      </c>
      <c r="G33" s="1">
        <f t="shared" si="0"/>
        <v>23</v>
      </c>
    </row>
    <row r="34" spans="1:7" ht="15" x14ac:dyDescent="0.25">
      <c r="A34" s="1" t="s">
        <v>1</v>
      </c>
      <c r="B34" s="11">
        <v>4</v>
      </c>
      <c r="C34" s="11">
        <v>4</v>
      </c>
      <c r="D34" s="11">
        <v>3</v>
      </c>
      <c r="E34" s="11">
        <v>4</v>
      </c>
      <c r="F34" s="11">
        <v>4</v>
      </c>
      <c r="G34" s="1">
        <f t="shared" si="0"/>
        <v>19</v>
      </c>
    </row>
    <row r="35" spans="1:7" ht="15" x14ac:dyDescent="0.25">
      <c r="A35" s="2" t="s">
        <v>0</v>
      </c>
      <c r="B35" s="1">
        <f t="shared" ref="B35:F35" si="1">_xlfn.VAR.P(B2:B34)</f>
        <v>0.89439853076216713</v>
      </c>
      <c r="C35" s="1">
        <f t="shared" si="1"/>
        <v>1.5004591368227731</v>
      </c>
      <c r="D35" s="1">
        <f t="shared" si="1"/>
        <v>1.4765840220385675</v>
      </c>
      <c r="E35" s="1">
        <f t="shared" si="1"/>
        <v>1.241505968778696</v>
      </c>
      <c r="F35" s="1">
        <f t="shared" si="1"/>
        <v>1.3553719008264462</v>
      </c>
    </row>
    <row r="36" spans="1:7" ht="15" x14ac:dyDescent="0.25">
      <c r="B36" s="11"/>
      <c r="C36" s="11"/>
      <c r="D36" s="11"/>
      <c r="E36" s="11"/>
      <c r="F36" s="11"/>
    </row>
    <row r="37" spans="1:7" ht="15" x14ac:dyDescent="0.25">
      <c r="B37" s="11"/>
      <c r="C37" s="11"/>
      <c r="D37" s="11"/>
      <c r="E37" s="11"/>
      <c r="F37" s="11"/>
    </row>
    <row r="38" spans="1:7" ht="15" x14ac:dyDescent="0.25">
      <c r="B38" s="11"/>
      <c r="C38" s="11"/>
      <c r="D38" s="11"/>
      <c r="E38" s="11"/>
      <c r="F38" s="11"/>
    </row>
    <row r="39" spans="1:7" ht="15" x14ac:dyDescent="0.25">
      <c r="B39" s="11"/>
      <c r="C39" s="11"/>
      <c r="D39" s="11"/>
      <c r="E39" s="11"/>
      <c r="F39" s="11"/>
    </row>
    <row r="40" spans="1:7" ht="15" x14ac:dyDescent="0.25">
      <c r="B40" s="11"/>
      <c r="C40" s="11"/>
      <c r="D40" s="11"/>
      <c r="E40" s="11"/>
      <c r="F40" s="11"/>
    </row>
    <row r="41" spans="1:7" ht="15" x14ac:dyDescent="0.25">
      <c r="B41" s="11"/>
      <c r="C41" s="11"/>
      <c r="D41" s="11"/>
      <c r="E41" s="11"/>
      <c r="F41" s="11"/>
    </row>
    <row r="42" spans="1:7" ht="15" x14ac:dyDescent="0.25">
      <c r="B42" s="11"/>
      <c r="C42" s="11"/>
      <c r="D42" s="11"/>
      <c r="E42" s="11"/>
      <c r="F42" s="11"/>
    </row>
    <row r="43" spans="1:7" ht="15" x14ac:dyDescent="0.25">
      <c r="B43" s="11"/>
      <c r="C43" s="11"/>
      <c r="D43" s="11"/>
      <c r="E43" s="11"/>
      <c r="F43" s="11"/>
    </row>
    <row r="44" spans="1:7" ht="15" x14ac:dyDescent="0.25">
      <c r="B44" s="11"/>
      <c r="C44" s="11"/>
      <c r="D44" s="11"/>
      <c r="E44" s="11"/>
      <c r="F44" s="11"/>
    </row>
    <row r="45" spans="1:7" ht="15" x14ac:dyDescent="0.25">
      <c r="B45" s="11"/>
      <c r="C45" s="11"/>
      <c r="D45" s="11"/>
      <c r="E45" s="11"/>
      <c r="F45" s="11"/>
    </row>
    <row r="46" spans="1:7" ht="15" x14ac:dyDescent="0.25">
      <c r="B46" s="11"/>
      <c r="C46" s="11"/>
      <c r="D46" s="11"/>
      <c r="E46" s="11"/>
      <c r="F46" s="11"/>
    </row>
    <row r="47" spans="1:7" ht="15" x14ac:dyDescent="0.25">
      <c r="B47" s="11"/>
      <c r="C47" s="11"/>
      <c r="D47" s="11"/>
      <c r="E47" s="11"/>
      <c r="F47" s="11"/>
    </row>
    <row r="48" spans="1:7" ht="15" x14ac:dyDescent="0.25">
      <c r="B48" s="11"/>
      <c r="C48" s="11"/>
      <c r="D48" s="11"/>
      <c r="E48" s="11"/>
      <c r="F48" s="11"/>
    </row>
    <row r="49" spans="2:6" ht="15" x14ac:dyDescent="0.25">
      <c r="B49" s="11"/>
      <c r="C49" s="11"/>
      <c r="D49" s="11"/>
      <c r="E49" s="11"/>
      <c r="F49" s="11"/>
    </row>
    <row r="50" spans="2:6" ht="15" x14ac:dyDescent="0.25">
      <c r="B50" s="11"/>
      <c r="C50" s="11"/>
      <c r="D50" s="11"/>
      <c r="E50" s="11"/>
      <c r="F50" s="11"/>
    </row>
    <row r="51" spans="2:6" ht="15" x14ac:dyDescent="0.25">
      <c r="B51" s="11"/>
      <c r="C51" s="11"/>
      <c r="D51" s="11"/>
      <c r="E51" s="11"/>
      <c r="F51" s="11"/>
    </row>
    <row r="52" spans="2:6" ht="15" x14ac:dyDescent="0.25">
      <c r="B52" s="11"/>
      <c r="C52" s="11"/>
      <c r="D52" s="11"/>
      <c r="E52" s="11"/>
      <c r="F52" s="11"/>
    </row>
    <row r="53" spans="2:6" ht="15" x14ac:dyDescent="0.25">
      <c r="B53" s="11"/>
      <c r="C53" s="11"/>
      <c r="D53" s="11"/>
      <c r="E53" s="11"/>
      <c r="F53" s="11"/>
    </row>
    <row r="54" spans="2:6" ht="15" x14ac:dyDescent="0.25">
      <c r="B54" s="11"/>
      <c r="C54" s="11"/>
      <c r="D54" s="11"/>
      <c r="E54" s="11"/>
      <c r="F54" s="11"/>
    </row>
    <row r="55" spans="2:6" ht="15" x14ac:dyDescent="0.25">
      <c r="B55" s="11"/>
      <c r="C55" s="11"/>
      <c r="D55" s="11"/>
      <c r="E55" s="11"/>
      <c r="F55" s="11"/>
    </row>
    <row r="56" spans="2:6" ht="15" x14ac:dyDescent="0.25">
      <c r="B56" s="11"/>
      <c r="C56" s="11"/>
      <c r="D56" s="11"/>
      <c r="E56" s="11"/>
      <c r="F56" s="11"/>
    </row>
    <row r="57" spans="2:6" ht="15" x14ac:dyDescent="0.25">
      <c r="B57" s="11"/>
      <c r="C57" s="11"/>
      <c r="D57" s="11"/>
      <c r="E57" s="11"/>
      <c r="F57" s="11"/>
    </row>
    <row r="58" spans="2:6" ht="15" x14ac:dyDescent="0.25">
      <c r="B58" s="11"/>
      <c r="C58" s="11"/>
      <c r="D58" s="11"/>
      <c r="E58" s="11"/>
      <c r="F58" s="11"/>
    </row>
    <row r="59" spans="2:6" ht="15" x14ac:dyDescent="0.25">
      <c r="B59" s="11"/>
      <c r="C59" s="11"/>
      <c r="D59" s="11"/>
      <c r="E59" s="11"/>
      <c r="F59" s="11"/>
    </row>
    <row r="60" spans="2:6" ht="15" x14ac:dyDescent="0.25">
      <c r="B60" s="11"/>
      <c r="C60" s="11"/>
      <c r="D60" s="11"/>
      <c r="E60" s="11"/>
      <c r="F60" s="11"/>
    </row>
    <row r="61" spans="2:6" ht="15" x14ac:dyDescent="0.25">
      <c r="B61" s="11"/>
      <c r="C61" s="11"/>
      <c r="D61" s="11"/>
      <c r="E61" s="11"/>
      <c r="F61" s="11"/>
    </row>
    <row r="62" spans="2:6" ht="15" x14ac:dyDescent="0.25">
      <c r="B62" s="11"/>
      <c r="C62" s="11"/>
      <c r="D62" s="11"/>
      <c r="E62" s="11"/>
      <c r="F62" s="11"/>
    </row>
    <row r="63" spans="2:6" ht="15" x14ac:dyDescent="0.25">
      <c r="B63" s="11"/>
      <c r="C63" s="11"/>
      <c r="D63" s="11"/>
      <c r="E63" s="11"/>
      <c r="F63" s="11"/>
    </row>
    <row r="64" spans="2:6" ht="15" x14ac:dyDescent="0.25">
      <c r="B64" s="11"/>
      <c r="C64" s="11"/>
      <c r="D64" s="11"/>
      <c r="E64" s="11"/>
      <c r="F64" s="11"/>
    </row>
    <row r="65" spans="2:6" ht="15" x14ac:dyDescent="0.25">
      <c r="B65" s="11"/>
      <c r="C65" s="11"/>
      <c r="D65" s="11"/>
      <c r="E65" s="11"/>
      <c r="F65" s="11"/>
    </row>
    <row r="66" spans="2:6" ht="15" x14ac:dyDescent="0.25">
      <c r="B66" s="11"/>
      <c r="C66" s="11"/>
      <c r="D66" s="11"/>
      <c r="E66" s="11"/>
      <c r="F66" s="11"/>
    </row>
    <row r="67" spans="2:6" ht="15" x14ac:dyDescent="0.25">
      <c r="B67" s="11"/>
      <c r="C67" s="11"/>
      <c r="D67" s="11"/>
      <c r="E67" s="11"/>
      <c r="F67" s="11"/>
    </row>
    <row r="68" spans="2:6" ht="15" x14ac:dyDescent="0.25">
      <c r="B68" s="11"/>
      <c r="C68" s="11"/>
      <c r="D68" s="11"/>
      <c r="E68" s="11"/>
      <c r="F68" s="11"/>
    </row>
    <row r="69" spans="2:6" ht="15" x14ac:dyDescent="0.25">
      <c r="B69" s="11"/>
      <c r="C69" s="11"/>
      <c r="D69" s="11"/>
      <c r="E69" s="11"/>
      <c r="F69" s="11"/>
    </row>
    <row r="70" spans="2:6" ht="15" x14ac:dyDescent="0.25">
      <c r="B70" s="11"/>
      <c r="C70" s="11"/>
      <c r="D70" s="11"/>
      <c r="E70" s="11"/>
      <c r="F70" s="11"/>
    </row>
    <row r="71" spans="2:6" ht="15" x14ac:dyDescent="0.25">
      <c r="B71" s="11"/>
      <c r="C71" s="11"/>
      <c r="D71" s="11"/>
      <c r="E71" s="11"/>
      <c r="F71" s="11"/>
    </row>
    <row r="72" spans="2:6" ht="15" x14ac:dyDescent="0.25">
      <c r="B72" s="11"/>
      <c r="C72" s="11"/>
      <c r="D72" s="11"/>
      <c r="E72" s="11"/>
      <c r="F72" s="11"/>
    </row>
    <row r="73" spans="2:6" ht="15" x14ac:dyDescent="0.25">
      <c r="B73" s="11"/>
      <c r="C73" s="11"/>
      <c r="D73" s="11"/>
      <c r="E73" s="11"/>
      <c r="F73" s="11"/>
    </row>
    <row r="74" spans="2:6" ht="15" x14ac:dyDescent="0.25">
      <c r="B74" s="11"/>
      <c r="C74" s="11"/>
      <c r="D74" s="11"/>
      <c r="E74" s="11"/>
      <c r="F74" s="11"/>
    </row>
    <row r="75" spans="2:6" ht="15" x14ac:dyDescent="0.25">
      <c r="B75" s="11"/>
      <c r="C75" s="11"/>
      <c r="D75" s="11"/>
      <c r="E75" s="11"/>
      <c r="F75" s="11"/>
    </row>
    <row r="76" spans="2:6" ht="15" x14ac:dyDescent="0.25">
      <c r="B76" s="11"/>
      <c r="C76" s="11"/>
      <c r="D76" s="11"/>
      <c r="E76" s="11"/>
      <c r="F76" s="11"/>
    </row>
    <row r="77" spans="2:6" ht="15" x14ac:dyDescent="0.25">
      <c r="B77" s="11"/>
      <c r="C77" s="11"/>
      <c r="D77" s="11"/>
      <c r="E77" s="11"/>
      <c r="F77" s="11"/>
    </row>
    <row r="78" spans="2:6" ht="15" x14ac:dyDescent="0.25">
      <c r="B78" s="11"/>
      <c r="C78" s="11"/>
      <c r="D78" s="11"/>
      <c r="E78" s="11"/>
      <c r="F78" s="11"/>
    </row>
    <row r="79" spans="2:6" ht="15" x14ac:dyDescent="0.25">
      <c r="B79" s="11"/>
      <c r="C79" s="11"/>
      <c r="D79" s="11"/>
      <c r="E79" s="11"/>
      <c r="F79" s="11"/>
    </row>
    <row r="80" spans="2:6" ht="15" x14ac:dyDescent="0.25">
      <c r="B80" s="11"/>
      <c r="C80" s="11"/>
      <c r="D80" s="11"/>
      <c r="E80" s="11"/>
      <c r="F80" s="11"/>
    </row>
    <row r="81" spans="2:6" ht="15" x14ac:dyDescent="0.25">
      <c r="B81" s="11"/>
      <c r="C81" s="11"/>
      <c r="D81" s="11"/>
      <c r="E81" s="11"/>
      <c r="F81" s="11"/>
    </row>
    <row r="82" spans="2:6" ht="15" x14ac:dyDescent="0.25">
      <c r="B82" s="11"/>
      <c r="C82" s="11"/>
      <c r="D82" s="11"/>
      <c r="E82" s="11"/>
      <c r="F82" s="11"/>
    </row>
    <row r="83" spans="2:6" ht="15" x14ac:dyDescent="0.25">
      <c r="B83" s="11"/>
      <c r="C83" s="11"/>
      <c r="D83" s="11"/>
      <c r="E83" s="11"/>
      <c r="F83" s="11"/>
    </row>
    <row r="84" spans="2:6" ht="15" x14ac:dyDescent="0.25">
      <c r="B84" s="11"/>
      <c r="C84" s="11"/>
      <c r="D84" s="11"/>
      <c r="E84" s="11"/>
      <c r="F84" s="11"/>
    </row>
    <row r="85" spans="2:6" ht="15" x14ac:dyDescent="0.25">
      <c r="B85" s="11"/>
      <c r="C85" s="11"/>
      <c r="D85" s="11"/>
      <c r="E85" s="11"/>
      <c r="F85" s="11"/>
    </row>
    <row r="86" spans="2:6" ht="15" x14ac:dyDescent="0.25">
      <c r="B86" s="11"/>
      <c r="C86" s="11"/>
      <c r="D86" s="11"/>
      <c r="E86" s="11"/>
      <c r="F86" s="11"/>
    </row>
    <row r="87" spans="2:6" ht="15" x14ac:dyDescent="0.25">
      <c r="B87" s="11"/>
      <c r="C87" s="11"/>
      <c r="D87" s="11"/>
      <c r="E87" s="11"/>
      <c r="F87" s="11"/>
    </row>
    <row r="88" spans="2:6" ht="15" x14ac:dyDescent="0.25">
      <c r="B88" s="11"/>
      <c r="C88" s="11"/>
      <c r="D88" s="11"/>
      <c r="E88" s="11"/>
      <c r="F88" s="11"/>
    </row>
    <row r="89" spans="2:6" ht="15" x14ac:dyDescent="0.25">
      <c r="B89" s="11"/>
      <c r="C89" s="11"/>
      <c r="D89" s="11"/>
      <c r="E89" s="11"/>
      <c r="F89" s="11"/>
    </row>
    <row r="90" spans="2:6" ht="15" x14ac:dyDescent="0.25">
      <c r="B90" s="11"/>
      <c r="C90" s="11"/>
      <c r="D90" s="11"/>
      <c r="E90" s="11"/>
      <c r="F90" s="11"/>
    </row>
    <row r="91" spans="2:6" ht="15" x14ac:dyDescent="0.25">
      <c r="B91" s="11"/>
      <c r="C91" s="11"/>
      <c r="D91" s="11"/>
      <c r="E91" s="11"/>
      <c r="F91" s="11"/>
    </row>
    <row r="92" spans="2:6" ht="15" x14ac:dyDescent="0.25">
      <c r="B92" s="11"/>
      <c r="C92" s="11"/>
      <c r="D92" s="11"/>
      <c r="E92" s="11"/>
      <c r="F92" s="11"/>
    </row>
    <row r="93" spans="2:6" ht="15" x14ac:dyDescent="0.25">
      <c r="B93" s="11"/>
      <c r="C93" s="11"/>
      <c r="D93" s="11"/>
      <c r="E93" s="11"/>
      <c r="F93" s="11"/>
    </row>
    <row r="94" spans="2:6" ht="15" x14ac:dyDescent="0.25">
      <c r="B94" s="11"/>
      <c r="C94" s="11"/>
      <c r="D94" s="11"/>
      <c r="E94" s="11"/>
      <c r="F94" s="11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alfa-cronbach-innovacion</vt:lpstr>
      <vt:lpstr>alfa-cronbach-rendimiento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2026-06-26T00:25:14Z</dcterms:modified>
</cp:coreProperties>
</file>
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defaultThemeVersion="124226"/>
  <xr:revisionPtr revIDLastSave="0" documentId="13_ncr:1_{A2D5B192-3644-417D-9D3A-61E7F8822673}" xr6:coauthVersionLast="47" xr6:coauthVersionMax="47" xr10:uidLastSave="{00000000-0000-0000-0000-000000000000}"/>
  <bookViews>
    <workbookView xWindow="-120" yWindow="-120" windowWidth="20730" windowHeight="11160" tabRatio="879" xr2:uid="{00000000-000D-0000-FFFF-FFFF00000000}"/>
  </bookViews>
  <sheets>
    <sheet name="SatisfacciónModuloReportes" sheetId="16" r:id="rId1"/>
    <sheet name="FacilidadUsoModReportes" sheetId="15" r:id="rId2"/>
    <sheet name="TiempoGenerarReportesPagosCurso" sheetId="14" r:id="rId3"/>
    <sheet name="TiempoGenerarReportesPagosEstud" sheetId="13" r:id="rId4"/>
    <sheet name="SatisfaccionModuloPagos" sheetId="12" r:id="rId5"/>
    <sheet name="TiempoAccesoInfoPago" sheetId="11" r:id="rId6"/>
    <sheet name="FacilidadUsoModuloPagos" sheetId="10" r:id="rId7"/>
    <sheet name="TiempoRegistroPago" sheetId="9" r:id="rId8"/>
    <sheet name="SatisfacciónModuloInscripciones" sheetId="8" r:id="rId9"/>
    <sheet name="TiempoAccesoInfoInscripciones" sheetId="7" r:id="rId10"/>
    <sheet name="FacilidadUsoModuloInscripciones" sheetId="6" r:id="rId11"/>
    <sheet name="TiempoRegistroInscripcion" sheetId="5" r:id="rId12"/>
    <sheet name="SatisfaccionUsuarios" sheetId="4" r:id="rId13"/>
    <sheet name="TiempoAccesoInfUsuario" sheetId="3" r:id="rId14"/>
    <sheet name="FacilidadUsoModuloUsuario" sheetId="2" r:id="rId15"/>
    <sheet name="TiempoRegistroUsuario" sheetId="1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5" l="1"/>
  <c r="E2" i="1"/>
  <c r="E56" i="1"/>
  <c r="E55" i="1"/>
  <c r="E56" i="2"/>
  <c r="E55" i="2"/>
  <c r="E56" i="3"/>
  <c r="E55" i="3"/>
  <c r="E56" i="4"/>
  <c r="E55" i="4"/>
  <c r="E56" i="5"/>
  <c r="E55" i="5"/>
  <c r="E56" i="6"/>
  <c r="E55" i="6"/>
  <c r="E56" i="7"/>
  <c r="E55" i="7"/>
  <c r="E56" i="8"/>
  <c r="E55" i="8"/>
  <c r="E56" i="9"/>
  <c r="E55" i="9"/>
  <c r="E56" i="10"/>
  <c r="E55" i="10"/>
  <c r="E56" i="11"/>
  <c r="E55" i="11"/>
  <c r="E56" i="12"/>
  <c r="E55" i="12"/>
  <c r="E56" i="13"/>
  <c r="E55" i="13"/>
  <c r="E56" i="14"/>
  <c r="E55" i="14"/>
  <c r="E56" i="15"/>
  <c r="E55" i="15"/>
  <c r="E56" i="16"/>
  <c r="E55" i="16"/>
  <c r="E12" i="16"/>
  <c r="E11" i="16"/>
  <c r="E10" i="16"/>
  <c r="E9" i="16"/>
  <c r="E8" i="16"/>
  <c r="E6" i="16"/>
  <c r="E5" i="16"/>
  <c r="E42" i="16" s="1"/>
  <c r="E4" i="16"/>
  <c r="E3" i="16"/>
  <c r="E2" i="16"/>
  <c r="E12" i="15"/>
  <c r="E11" i="15"/>
  <c r="E10" i="15"/>
  <c r="E9" i="15"/>
  <c r="E8" i="15"/>
  <c r="E6" i="15"/>
  <c r="E5" i="15"/>
  <c r="E4" i="15"/>
  <c r="E3" i="15"/>
  <c r="E2" i="15"/>
  <c r="E12" i="14"/>
  <c r="E11" i="14"/>
  <c r="E10" i="14"/>
  <c r="E9" i="14"/>
  <c r="E8" i="14"/>
  <c r="E6" i="14"/>
  <c r="E5" i="14"/>
  <c r="E4" i="14"/>
  <c r="E3" i="14"/>
  <c r="E2" i="14"/>
  <c r="E12" i="13"/>
  <c r="E11" i="13"/>
  <c r="E43" i="13" s="1"/>
  <c r="E10" i="13"/>
  <c r="E9" i="13"/>
  <c r="E8" i="13"/>
  <c r="E6" i="13"/>
  <c r="E5" i="13"/>
  <c r="E4" i="13"/>
  <c r="E3" i="13"/>
  <c r="E2" i="13"/>
  <c r="E12" i="12"/>
  <c r="E11" i="12"/>
  <c r="E10" i="12"/>
  <c r="E9" i="12"/>
  <c r="E8" i="12"/>
  <c r="E6" i="12"/>
  <c r="E5" i="12"/>
  <c r="E4" i="12"/>
  <c r="E3" i="12"/>
  <c r="E2" i="12"/>
  <c r="E12" i="11"/>
  <c r="E11" i="11"/>
  <c r="E10" i="11"/>
  <c r="E9" i="11"/>
  <c r="E8" i="11"/>
  <c r="E6" i="11"/>
  <c r="E5" i="11"/>
  <c r="E4" i="11"/>
  <c r="E3" i="11"/>
  <c r="E2" i="11"/>
  <c r="E12" i="10"/>
  <c r="E11" i="10"/>
  <c r="E10" i="10"/>
  <c r="E9" i="10"/>
  <c r="E8" i="10"/>
  <c r="E6" i="10"/>
  <c r="E5" i="10"/>
  <c r="E4" i="10"/>
  <c r="E3" i="10"/>
  <c r="E2" i="10"/>
  <c r="E12" i="9"/>
  <c r="E11" i="9"/>
  <c r="E10" i="9"/>
  <c r="E9" i="9"/>
  <c r="E8" i="9"/>
  <c r="E6" i="9"/>
  <c r="E5" i="9"/>
  <c r="E4" i="9"/>
  <c r="E3" i="9"/>
  <c r="E2" i="9"/>
  <c r="E12" i="8"/>
  <c r="E11" i="8"/>
  <c r="E10" i="8"/>
  <c r="E9" i="8"/>
  <c r="E8" i="8"/>
  <c r="E6" i="8"/>
  <c r="E5" i="8"/>
  <c r="E4" i="8"/>
  <c r="E3" i="8"/>
  <c r="E2" i="8"/>
  <c r="E12" i="7"/>
  <c r="E11" i="7"/>
  <c r="E10" i="7"/>
  <c r="E9" i="7"/>
  <c r="E8" i="7"/>
  <c r="E6" i="7"/>
  <c r="E5" i="7"/>
  <c r="E4" i="7"/>
  <c r="E3" i="7"/>
  <c r="E2" i="7"/>
  <c r="E12" i="6"/>
  <c r="E11" i="6"/>
  <c r="E10" i="6"/>
  <c r="E9" i="6"/>
  <c r="E8" i="6"/>
  <c r="E6" i="6"/>
  <c r="E5" i="6"/>
  <c r="E4" i="6"/>
  <c r="E3" i="6"/>
  <c r="E2" i="6"/>
  <c r="E12" i="5"/>
  <c r="E11" i="5"/>
  <c r="E10" i="5"/>
  <c r="E9" i="5"/>
  <c r="E6" i="5"/>
  <c r="E5" i="5"/>
  <c r="E4" i="5"/>
  <c r="E3" i="5"/>
  <c r="E2" i="5"/>
  <c r="E12" i="4"/>
  <c r="E11" i="4"/>
  <c r="E10" i="4"/>
  <c r="E9" i="4"/>
  <c r="E8" i="4"/>
  <c r="E6" i="4"/>
  <c r="E5" i="4"/>
  <c r="E4" i="4"/>
  <c r="E3" i="4"/>
  <c r="E2" i="4"/>
  <c r="E12" i="3"/>
  <c r="E11" i="3"/>
  <c r="E10" i="3"/>
  <c r="E9" i="3"/>
  <c r="E8" i="3"/>
  <c r="E6" i="3"/>
  <c r="E5" i="3"/>
  <c r="E4" i="3"/>
  <c r="E3" i="3"/>
  <c r="E2" i="3"/>
  <c r="E43" i="2"/>
  <c r="E12" i="2"/>
  <c r="E11" i="2"/>
  <c r="E10" i="2"/>
  <c r="E9" i="2"/>
  <c r="E8" i="2"/>
  <c r="E6" i="2"/>
  <c r="E5" i="2"/>
  <c r="E42" i="2" s="1"/>
  <c r="E4" i="2"/>
  <c r="E3" i="2"/>
  <c r="E2" i="2"/>
  <c r="E12" i="1"/>
  <c r="E11" i="1"/>
  <c r="E10" i="1"/>
  <c r="E9" i="1"/>
  <c r="E8" i="1"/>
  <c r="E6" i="1"/>
  <c r="E5" i="1"/>
  <c r="E4" i="1"/>
  <c r="E3" i="1"/>
  <c r="E43" i="11" l="1"/>
  <c r="E43" i="16"/>
  <c r="E29" i="16"/>
  <c r="E41" i="16"/>
  <c r="E45" i="16" s="1"/>
  <c r="E42" i="15"/>
  <c r="E41" i="15"/>
  <c r="E45" i="15" s="1"/>
  <c r="E43" i="15"/>
  <c r="E29" i="15"/>
  <c r="E42" i="14"/>
  <c r="E41" i="14"/>
  <c r="E43" i="14"/>
  <c r="E29" i="14"/>
  <c r="E41" i="13"/>
  <c r="E42" i="13"/>
  <c r="E29" i="13"/>
  <c r="E43" i="12"/>
  <c r="E41" i="12"/>
  <c r="E42" i="12"/>
  <c r="E45" i="12" s="1"/>
  <c r="E29" i="12"/>
  <c r="E41" i="11"/>
  <c r="E45" i="11" s="1"/>
  <c r="E42" i="11"/>
  <c r="E29" i="11"/>
  <c r="E41" i="10"/>
  <c r="E43" i="10"/>
  <c r="E42" i="10"/>
  <c r="E29" i="10"/>
  <c r="E42" i="9"/>
  <c r="E41" i="9"/>
  <c r="E43" i="9"/>
  <c r="E29" i="9"/>
  <c r="E29" i="8"/>
  <c r="E41" i="8"/>
  <c r="E43" i="8"/>
  <c r="E42" i="8"/>
  <c r="E45" i="8" s="1"/>
  <c r="E43" i="7"/>
  <c r="E42" i="7"/>
  <c r="E29" i="7"/>
  <c r="E41" i="7"/>
  <c r="E45" i="7" s="1"/>
  <c r="E53" i="7" s="1"/>
  <c r="E41" i="6"/>
  <c r="E45" i="6" s="1"/>
  <c r="E43" i="6"/>
  <c r="E42" i="6"/>
  <c r="E29" i="6"/>
  <c r="E41" i="5"/>
  <c r="E43" i="5"/>
  <c r="E42" i="5"/>
  <c r="E29" i="5"/>
  <c r="E42" i="4"/>
  <c r="E41" i="4"/>
  <c r="E43" i="4"/>
  <c r="E29" i="4"/>
  <c r="E41" i="3"/>
  <c r="E43" i="3"/>
  <c r="E42" i="3"/>
  <c r="E29" i="3"/>
  <c r="E29" i="2"/>
  <c r="E41" i="2"/>
  <c r="E45" i="2" s="1"/>
  <c r="E29" i="1"/>
  <c r="E42" i="1"/>
  <c r="E41" i="1"/>
  <c r="E43" i="1"/>
  <c r="E45" i="10" l="1"/>
  <c r="E45" i="14"/>
  <c r="E45" i="4"/>
  <c r="E53" i="16"/>
  <c r="E52" i="16"/>
  <c r="E53" i="15"/>
  <c r="E52" i="15"/>
  <c r="E53" i="14"/>
  <c r="E52" i="14"/>
  <c r="E45" i="13"/>
  <c r="E52" i="13" s="1"/>
  <c r="E53" i="13"/>
  <c r="E53" i="12"/>
  <c r="E52" i="12"/>
  <c r="E53" i="11"/>
  <c r="E52" i="11"/>
  <c r="E53" i="10"/>
  <c r="E52" i="10"/>
  <c r="E45" i="9"/>
  <c r="E53" i="8"/>
  <c r="E52" i="8"/>
  <c r="E52" i="7"/>
  <c r="E53" i="6"/>
  <c r="E52" i="6"/>
  <c r="E45" i="5"/>
  <c r="E53" i="5" s="1"/>
  <c r="E52" i="5"/>
  <c r="E53" i="4"/>
  <c r="E52" i="4"/>
  <c r="E45" i="3"/>
  <c r="E53" i="3" s="1"/>
  <c r="E53" i="2"/>
  <c r="E52" i="2"/>
  <c r="E45" i="1"/>
  <c r="E52" i="3" l="1"/>
  <c r="E53" i="9"/>
  <c r="E52" i="9"/>
  <c r="E53" i="1"/>
  <c r="E52" i="1"/>
</calcChain>
</file>

<file path=xl/sharedStrings.xml><?xml version="1.0" encoding="utf-8"?>
<sst xmlns="http://schemas.openxmlformats.org/spreadsheetml/2006/main" count="640" uniqueCount="64">
  <si>
    <r>
      <t>Media (X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 Sin sistema</t>
    </r>
  </si>
  <si>
    <r>
      <t>Mediana (Me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</si>
  <si>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>Moda (Mo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</si>
  <si>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>Mediana (Me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</si>
  <si>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r>
      <t>Moda (Mo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</si>
  <si>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t>n1</t>
  </si>
  <si>
    <t>n2</t>
  </si>
  <si>
    <t>t de student</t>
  </si>
  <si>
    <t>df grados de libertad</t>
  </si>
  <si>
    <t>parte 1</t>
  </si>
  <si>
    <t>parte 2</t>
  </si>
  <si>
    <t>parte 3</t>
  </si>
  <si>
    <t>Valor de t</t>
  </si>
  <si>
    <t>Buscar Tabla</t>
  </si>
  <si>
    <t>Nivel de significancia (α) (para dos colas)</t>
  </si>
  <si>
    <r>
      <t>Desviacion Tipica o Estandar (S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</si>
  <si>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r>
      <t>Desviacion Tipica o Estandar (S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</si>
  <si>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2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</si>
  <si>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1 cola</t>
    </r>
  </si>
  <si>
    <r>
      <t xml:space="preserve">P valor, Calculado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2 colas</t>
    </r>
  </si>
  <si>
    <r>
      <t xml:space="preserve">P valor, Calculado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1 cola</t>
    </r>
  </si>
  <si>
    <t>Hipotesis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</si>
  <si>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</si>
  <si>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</si>
  <si>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t>si te calculado &gt; a t critico (de tabla) ---&gt; se rechaza la hipotesis nula y se acepta la hipotesis alternativa ?</t>
  </si>
  <si>
    <t>y si p valor &lt; 0.05 ---&gt; se rechaza la hipotesis nula y se acepta la hipotesis alternativa ?</t>
  </si>
  <si>
    <t>Concluciones</t>
  </si>
  <si>
    <r>
      <t xml:space="preserve">Si </t>
    </r>
    <r>
      <rPr>
        <sz val="11"/>
        <color rgb="FF00B050"/>
        <rFont val="Calibri"/>
        <family val="2"/>
        <scheme val="minor"/>
      </rPr>
      <t>t calculado</t>
    </r>
    <r>
      <rPr>
        <sz val="11"/>
        <color rgb="FFC00000"/>
        <rFont val="Calibri"/>
        <family val="2"/>
        <scheme val="minor"/>
      </rPr>
      <t xml:space="preserve"> &gt; t critico (Tabla)</t>
    </r>
  </si>
  <si>
    <t>La diferencia observada es lo suficientemente grande como para que no sea atribuible al azar.</t>
  </si>
  <si>
    <r>
      <t xml:space="preserve">Se </t>
    </r>
    <r>
      <rPr>
        <sz val="11"/>
        <color rgb="FFC00000"/>
        <rFont val="Calibri"/>
        <family val="2"/>
        <scheme val="minor"/>
      </rPr>
      <t>rechaza</t>
    </r>
    <r>
      <rPr>
        <sz val="11"/>
        <color theme="1"/>
        <rFont val="Calibri"/>
        <family val="2"/>
        <scheme val="minor"/>
      </rPr>
      <t xml:space="preserve"> la hipotesis nula </t>
    </r>
    <r>
      <rPr>
        <sz val="11"/>
        <color rgb="FFC00000"/>
        <rFont val="Calibri"/>
        <family val="2"/>
        <scheme val="minor"/>
      </rPr>
      <t>Ho</t>
    </r>
    <r>
      <rPr>
        <sz val="11"/>
        <color theme="1"/>
        <rFont val="Calibri"/>
        <family val="2"/>
        <scheme val="minor"/>
      </rPr>
      <t xml:space="preserve"> y se </t>
    </r>
    <r>
      <rPr>
        <sz val="11"/>
        <color rgb="FF00B050"/>
        <rFont val="Calibri"/>
        <family val="2"/>
        <scheme val="minor"/>
      </rPr>
      <t>acepta</t>
    </r>
    <r>
      <rPr>
        <sz val="11"/>
        <color theme="1"/>
        <rFont val="Calibri"/>
        <family val="2"/>
        <scheme val="minor"/>
      </rPr>
      <t xml:space="preserve"> la hipotesis alternativa </t>
    </r>
    <r>
      <rPr>
        <sz val="11"/>
        <color rgb="FF00B050"/>
        <rFont val="Calibri"/>
        <family val="2"/>
        <scheme val="minor"/>
      </rPr>
      <t>H1</t>
    </r>
  </si>
  <si>
    <t xml:space="preserve">Como p valor es menor que  el nivel de significancia  </t>
  </si>
  <si>
    <r>
      <rPr>
        <sz val="11"/>
        <color rgb="FFC00000"/>
        <rFont val="Calibri"/>
        <family val="2"/>
        <scheme val="minor"/>
      </rPr>
      <t>Grupo Control
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Registro de usuario (Minutos)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a) Menos de 2 -&gt; 5
b) 2 - 4 -&gt; 4
c) 5 -7 -&gt; 3
d) 8 -10 -&gt; 2 
e) Más de 10 -&gt; 1</t>
    </r>
  </si>
  <si>
    <r>
      <rPr>
        <sz val="11"/>
        <color rgb="FFC00000"/>
        <rFont val="Calibri"/>
        <family val="2"/>
        <scheme val="minor"/>
      </rPr>
      <t>Grupo Experimental
(Con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Registro de usuario (Minutos)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a) Menos de 2 -&gt; 5
b) 2 - 4 -&gt; 4
c) 5 -7 -&gt; 3
d) 8 -10 -&gt; 2 
e) Más de 10 -&gt; 1</t>
    </r>
  </si>
  <si>
    <r>
      <rPr>
        <sz val="11"/>
        <color rgb="FFC00000"/>
        <rFont val="Calibri"/>
        <family val="2"/>
        <scheme val="minor"/>
      </rPr>
      <t>Grupo Control
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modulo usuarios
a) Muy fácil = 5
b) Fácil = 4
c) Moderado = 3
d) Difícil = 2
e) Muy difícil = 1</t>
    </r>
  </si>
  <si>
    <r>
      <rPr>
        <sz val="11"/>
        <color rgb="FFC00000"/>
        <rFont val="Calibri"/>
        <family val="2"/>
        <scheme val="minor"/>
      </rPr>
      <t>Grupo Experimental
(Con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modulo usuarios
a) Muy fácil = 5
b) Fácil = 4
c) Moderado = 3
d) Difícil = 2
e) Muy difícil = 1</t>
    </r>
  </si>
  <si>
    <r>
      <rPr>
        <sz val="11"/>
        <color rgb="FFC00000"/>
        <rFont val="Calibri"/>
        <family val="2"/>
        <scheme val="minor"/>
      </rPr>
      <t>Grupo Control
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acceso a información de usuario
a) 1 o menos = 5
b) 2 - 3 = 4
c) 4 - 5 =3
d) 6 - 7 = 2
e) 8 o mas = 1</t>
    </r>
  </si>
  <si>
    <r>
      <rPr>
        <sz val="11"/>
        <color rgb="FFC00000"/>
        <rFont val="Calibri"/>
        <family val="2"/>
        <scheme val="minor"/>
      </rPr>
      <t>Grupo Experimental
(Con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acceso a información de usuario
a) 1 o menos = 5
b) 2 - 3 = 4
c) 4 - 5 =3
d) 6 - 7 = 2
e) 8 o mas = 1</t>
    </r>
  </si>
  <si>
    <r>
      <rPr>
        <sz val="11"/>
        <color rgb="FFC00000"/>
        <rFont val="Calibri"/>
        <family val="2"/>
        <scheme val="minor"/>
      </rPr>
      <t>Grupo Control
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Satisfaccion de usuarios
a) Muy bueno = 5
b) Bueno = 4
c) Moderado = 3
d) Malo = 2
e) Muy malo = 1</t>
    </r>
  </si>
  <si>
    <r>
      <rPr>
        <sz val="11"/>
        <color rgb="FFC00000"/>
        <rFont val="Calibri"/>
        <family val="2"/>
        <scheme val="minor"/>
      </rPr>
      <t>Grupo Experimental
(Con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Satisfaccion de usuarios
a) Muy bueno = 5
b) Bueno = 4
c) Moderado = 3
d) Malo = 2
e) Muy malo = 1</t>
    </r>
  </si>
  <si>
    <r>
      <rPr>
        <sz val="11"/>
        <color rgb="FFC00000"/>
        <rFont val="Calibri"/>
        <family val="2"/>
        <scheme val="minor"/>
      </rPr>
      <t>Grupo Control
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registro inscripcion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</si>
  <si>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Grupo Experimental
(Con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registro inscripcion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</si>
  <si>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Grupo Control
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modulo inscripciones
a)	Muy fácil
b)	Fácil
c)	Moderado
d)	Difícil
e)	Muy difícil</t>
    </r>
  </si>
  <si>
    <r>
      <rPr>
        <sz val="11"/>
        <color rgb="FFC00000"/>
        <rFont val="Calibri"/>
        <family val="2"/>
        <scheme val="minor"/>
      </rPr>
      <t>Grupo Experimental
(Con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modulo inscripciones
a)	Muy fácil
b)	Fácil
c)	Moderado
d)	Difícil
e)	Muy difícil</t>
    </r>
  </si>
  <si>
    <r>
      <rPr>
        <sz val="11"/>
        <color rgb="FFC00000"/>
        <rFont val="Calibri"/>
        <family val="2"/>
        <scheme val="minor"/>
      </rPr>
      <t>Grupo Control
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acceso a la informacion de inscripciones
a)	1 o menos = 5
b)	2 - 3 = 4
c)	4 - 5  = 3
d)	6 - 7 = 2
e)	8 o mas = 1</t>
    </r>
  </si>
  <si>
    <r>
      <rPr>
        <sz val="11"/>
        <color rgb="FFC00000"/>
        <rFont val="Calibri"/>
        <family val="2"/>
        <scheme val="minor"/>
      </rPr>
      <t>Grupo Experimental
(Con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acceso a la informacion de inscripciones
a)	1 o menos = 5
b)	2 - 3 = 4
c)	4 - 5  = 3
d)	6 - 7 = 2
e)	8 o mas = 1</t>
    </r>
  </si>
  <si>
    <r>
      <rPr>
        <sz val="11"/>
        <color rgb="FFC00000"/>
        <rFont val="Calibri"/>
        <family val="2"/>
        <scheme val="minor"/>
      </rPr>
      <t>Grupo Control
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Satisfacción modulo inscripciones
a)	Muy bueno = 5
b)	Bueno = 4
c)	Moderado = 3
d)	Malo = 2
e)	Muy malo = 1</t>
    </r>
  </si>
  <si>
    <r>
      <rPr>
        <sz val="11"/>
        <color rgb="FFC00000"/>
        <rFont val="Calibri"/>
        <family val="2"/>
        <scheme val="minor"/>
      </rPr>
      <t>Grupo Experimental
(Con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Satisfacción modulo inscripciones
a)	Muy bueno = 5
b)	Bueno = 4
c)	Moderado = 3
d)	Malo = 2
e)	Muy malo = 1</t>
    </r>
  </si>
  <si>
    <r>
      <rPr>
        <sz val="11"/>
        <color rgb="FFC00000"/>
        <rFont val="Calibri"/>
        <family val="2"/>
        <scheme val="minor"/>
      </rPr>
      <t>Grupo Control
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registro de pago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</si>
  <si>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Grupo Experimental
(Con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registro de pago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</si>
  <si>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Grupo Control
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del modulo  de pagos
a)	Muy fácil = 5
b)	Fácil = 4
c)	Moderado = 3
d)	Difícil = 2
e)	e) Muy difícil = 1</t>
    </r>
  </si>
  <si>
    <r>
      <rPr>
        <sz val="11"/>
        <color rgb="FFC00000"/>
        <rFont val="Calibri"/>
        <family val="2"/>
        <scheme val="minor"/>
      </rPr>
      <t>Grupo Experimental
(Con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del modulo  de pagos
a)	Muy fácil = 5
b)	Fácil = 4
c)	Moderado = 3
d)	Difícil = 2
e)	e) Muy difícil = 1</t>
    </r>
  </si>
  <si>
    <r>
      <rPr>
        <sz val="11"/>
        <color rgb="FFC00000"/>
        <rFont val="Calibri"/>
        <family val="2"/>
        <scheme val="minor"/>
      </rPr>
      <t>Grupo Control
(Sin Sistema) Post-test</t>
    </r>
    <r>
      <rPr>
        <sz val="11"/>
        <color theme="1"/>
        <rFont val="Calibri"/>
        <family val="2"/>
        <scheme val="minor"/>
      </rPr>
      <t xml:space="preserve">
Tiempo de acceso a la informacion del pago/historial
a)	1 o menos =5
b)	2 – 3 = 4
c)	4 - 5 = 3
d)	6 – 7 = 2
e)	8 o mas = 1</t>
    </r>
  </si>
  <si>
    <r>
      <rPr>
        <sz val="11"/>
        <color rgb="FFC00000"/>
        <rFont val="Calibri"/>
        <family val="2"/>
        <scheme val="minor"/>
      </rPr>
      <t>Grupo Experimental
(Con Sistema) Post-test</t>
    </r>
    <r>
      <rPr>
        <sz val="11"/>
        <color theme="1"/>
        <rFont val="Calibri"/>
        <family val="2"/>
        <scheme val="minor"/>
      </rPr>
      <t xml:space="preserve">
Tiempo de acceso a la informacion del pago/historial
a)	1 o menos =5
b)	2 – 3 = 4
c)	4 - 5 = 3
d)	6 – 7 = 2
e)	8 o mas = 1</t>
    </r>
  </si>
  <si>
    <r>
      <rPr>
        <sz val="11"/>
        <color rgb="FFC00000"/>
        <rFont val="Calibri"/>
        <family val="2"/>
        <scheme val="minor"/>
      </rPr>
      <t>Grupo Control
(Sin Sistema) Post-test</t>
    </r>
    <r>
      <rPr>
        <sz val="11"/>
        <color theme="1"/>
        <rFont val="Calibri"/>
        <family val="2"/>
        <scheme val="minor"/>
      </rPr>
      <t xml:space="preserve">
Satisfaccion del modulo de pagos
a)	Muy bueno = 5
b)	Bueno = 4
c)	Moderado = 3
d)	Malo = 2
e)	Muy malo = 1</t>
    </r>
  </si>
  <si>
    <r>
      <rPr>
        <sz val="11"/>
        <color rgb="FFC00000"/>
        <rFont val="Calibri"/>
        <family val="2"/>
        <scheme val="minor"/>
      </rPr>
      <t>Grupo Experimental
(Con Sistema) Post-test</t>
    </r>
    <r>
      <rPr>
        <sz val="11"/>
        <color theme="1"/>
        <rFont val="Calibri"/>
        <family val="2"/>
        <scheme val="minor"/>
      </rPr>
      <t xml:space="preserve">
Satisfaccion del modulo de pagos
a)	Muy bueno = 5
b)	Bueno = 4
c)	Moderado = 3
d)	Malo = 2
e)	Muy malo = 1</t>
    </r>
  </si>
  <si>
    <r>
      <rPr>
        <sz val="11"/>
        <color rgb="FFC00000"/>
        <rFont val="Calibri"/>
        <family val="2"/>
        <scheme val="minor"/>
      </rPr>
      <t>Grupo Control
(Sin Sistema) Post-test</t>
    </r>
    <r>
      <rPr>
        <sz val="11"/>
        <color theme="1"/>
        <rFont val="Calibri"/>
        <family val="2"/>
        <scheme val="minor"/>
      </rPr>
      <t xml:space="preserve">
Tiempo en generar reportes de pagos por estudiante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</si>
  <si>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Grupo Experimental
(Con Sistema) Post-test</t>
    </r>
    <r>
      <rPr>
        <sz val="11"/>
        <color theme="1"/>
        <rFont val="Calibri"/>
        <family val="2"/>
        <scheme val="minor"/>
      </rPr>
      <t xml:space="preserve">
Tiempo en generar reportes de pagos por estudiante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</si>
  <si>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Grupo Control
(Sin Sistema) Post-test</t>
    </r>
    <r>
      <rPr>
        <sz val="11"/>
        <color theme="1"/>
        <rFont val="Calibri"/>
        <family val="2"/>
        <scheme val="minor"/>
      </rPr>
      <t xml:space="preserve">
Tiempo en generar reportes de pagos por curso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</si>
  <si>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Grupo Experimental
(Con Sistema) Post-test</t>
    </r>
    <r>
      <rPr>
        <sz val="11"/>
        <color theme="1"/>
        <rFont val="Calibri"/>
        <family val="2"/>
        <scheme val="minor"/>
      </rPr>
      <t xml:space="preserve">
Tiempo en generar reportes de pagos por curso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</si>
  <si>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Grupo Control
(Sin Sistema) Post-test</t>
    </r>
    <r>
      <rPr>
        <sz val="11"/>
        <color theme="1"/>
        <rFont val="Calibri"/>
        <family val="2"/>
        <scheme val="minor"/>
      </rPr>
      <t xml:space="preserve">
Facilidad de uso del modulo de reportes
a)	Muy fácil = 5
b)	Fácil = 4
c)	Moderado = 3
d)	Difícil = 2
e)	Muy difícil = 1</t>
    </r>
  </si>
  <si>
    <r>
      <rPr>
        <sz val="11"/>
        <color rgb="FFC00000"/>
        <rFont val="Calibri"/>
        <family val="2"/>
        <scheme val="minor"/>
      </rPr>
      <t>Grupo Experimental
(Con Sistema) Post-test</t>
    </r>
    <r>
      <rPr>
        <sz val="11"/>
        <color theme="1"/>
        <rFont val="Calibri"/>
        <family val="2"/>
        <scheme val="minor"/>
      </rPr>
      <t xml:space="preserve">
Facilidad de uso del modulo de reportes
a)	Muy fácil = 5
b)	Fácil = 4
c)	Moderado = 3
d)	Difícil = 2
e)	Muy difícil = 1</t>
    </r>
  </si>
  <si>
    <r>
      <rPr>
        <sz val="11"/>
        <color rgb="FFC00000"/>
        <rFont val="Calibri"/>
        <family val="2"/>
        <scheme val="minor"/>
      </rPr>
      <t>Grupo Control
(Sin Sistema) Post-test</t>
    </r>
    <r>
      <rPr>
        <sz val="11"/>
        <color theme="1"/>
        <rFont val="Calibri"/>
        <family val="2"/>
        <scheme val="minor"/>
      </rPr>
      <t xml:space="preserve">
Satisfacción del modulo de reportes
a)	Muy bueno = 5
b)	Bueno = 4
c)	Moderado = 3
d)	Malo = 2
e)	Muy malo = 1</t>
    </r>
  </si>
  <si>
    <r>
      <rPr>
        <sz val="11"/>
        <color rgb="FFC00000"/>
        <rFont val="Calibri"/>
        <family val="2"/>
        <scheme val="minor"/>
      </rPr>
      <t>Grupo Experimental
(Con Sistema) Post-test</t>
    </r>
    <r>
      <rPr>
        <sz val="11"/>
        <color theme="1"/>
        <rFont val="Calibri"/>
        <family val="2"/>
        <scheme val="minor"/>
      </rPr>
      <t xml:space="preserve">
Satisfacción del modulo de reportes
a)	Muy bueno = 5
b)	Bueno = 4
c)	Moderado = 3
d)	Malo = 2
e)	Muy malo = 1</t>
    </r>
  </si>
  <si>
    <r>
      <t>Media (X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 Con sistema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</si>
</sst>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  <xf numFmtId="0" fontId="7" fillId="6" borderId="0" applyNumberFormat="0" applyBorder="0" applyAlignment="0" applyProtection="0"/>
    <xf numFmtId="0" fontId="9" fillId="0" borderId="0"/>
    <xf numFmtId="0" fontId="15" fillId="0" borderId="0"/>
    <xf numFmtId="0" fontId="9" fillId="0" borderId="0"/>
    <xf numFmtId="0" fontId="14" fillId="0" borderId="0"/>
    <xf numFmtId="0" fontId="14" fillId="0" borderId="0"/>
    <xf numFmtId="0" fontId="14" fillId="0" borderId="0"/>
  </cellStyleXfs>
  <cellXfs count="13">
    <xf numFmtId="0" fontId="0" fillId="0" borderId="0" xfId="0"/>
    <xf numFmtId="0" fontId="2" fillId="3" borderId="3" xfId="2" applyBorder="1"/>
    <xf numFmtId="0" fontId="3" fillId="4" borderId="1" xfId="3"/>
    <xf numFmtId="0" fontId="1" fillId="2" borderId="3" xfId="1" applyBorder="1"/>
    <xf numFmtId="0" fontId="2" fillId="3" borderId="0" xfId="2" applyBorder="1"/>
    <xf numFmtId="0" fontId="1" fillId="2" borderId="0" xfId="1"/>
    <xf numFmtId="0" fontId="4" fillId="5" borderId="2" xfId="4"/>
    <xf numFmtId="0" fontId="9" fillId="0" borderId="0" xfId="6" applyAlignment="1">
      <alignment horizontal="center"/>
    </xf>
    <xf numFmtId="0" fontId="0" fillId="0" borderId="4" xfId="0" applyBorder="1" applyAlignment="1">
      <alignment horizontal="center" vertical="top" wrapText="1"/>
    </xf>
    <xf numFmtId="0" fontId="1" fillId="7" borderId="4" xfId="1" applyFill="1" applyBorder="1" applyAlignment="1">
      <alignment horizontal="center" vertical="center" wrapText="1"/>
    </xf>
    <xf numFmtId="0" fontId="7" fillId="6" borderId="0" xfId="5"/>
    <xf numFmtId="0" fontId="15" fillId="0" borderId="0" xfId="7" applyAlignment="1">
      <alignment horizontal="center"/>
    </xf>
    <xf numFmtId="0" fontId="0" fillId="0" borderId="0" xfId="0" applyAlignment="1">
      <alignment horizontal="center"/>
    </xf>
  </cellXfs>
  <cellStyles count="12">
    <cellStyle name="Bueno" xfId="1" builtinId="26"/>
    <cellStyle name="Entrada" xfId="3" builtinId="20"/>
    <cellStyle name="Incorrecto" xfId="2" builtinId="27"/>
    <cellStyle name="Neutral" xfId="5" builtinId="28"/>
    <cellStyle name="Normal" xfId="0" builtinId="0"/>
    <cellStyle name="Normal 2" xfId="9" xr:uid="{A11F11B1-6910-45EF-8EC2-8034F3C33770}"/>
    <cellStyle name="Normal 2 2" xfId="11" xr:uid="{F3AD101F-6AB1-408C-8623-55BFC87F79E6}"/>
    <cellStyle name="Normal 3" xfId="6" xr:uid="{00000000-0005-0000-0000-000005000000}"/>
    <cellStyle name="Normal 3 2" xfId="10" xr:uid="{D2A41E3E-8E67-4387-A8FC-EB568FFAAB0B}"/>
    <cellStyle name="Normal 4" xfId="8" xr:uid="{E2C87CBB-4005-4D93-8F7D-FE8B69F506DB}"/>
    <cellStyle name="Normal 5" xfId="7" xr:uid="{A2AC5A58-CB85-4516-93B1-E335207C1F09}"/>
    <cellStyle name="Salida" xfId="4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EB88E2-4559-47E7-BBBD-59A8975CD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5273" y="501473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5E9FAB-A718-4D36-86AB-FC818C8F1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8928" y="772187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C975757-C0B7-4690-B858-8FFF70CB7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13740" y="940483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A357918-E0B2-4937-A48B-1BE8FDC7C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13740" y="980562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6640DA2-D9BD-4B7A-BDCC-9894F75C0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406411" y="1039836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075A324-7224-42E9-B2AB-608E38C45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67832" y="1572957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1005058-590F-4572-A7C2-364ECC0EC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75210" y="17095177"/>
          <a:ext cx="2868490" cy="8092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4788C3-2DD4-4C47-B6AC-F23138B68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5273" y="501473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2A40E3-8D13-482C-B8A4-41C29FC71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8928" y="772187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5631BC5-21AF-46F2-BC20-560714A07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13740" y="940483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9407972-39E1-4B38-90FE-65AE75DDF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13740" y="980562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4D1252E-2DE8-4F03-BC44-292055DB74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406411" y="1039836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6826CBB-9E19-43AD-AC1E-37B6E91C6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67832" y="1572957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9F7847C-FF30-4A12-9E66-467B0A483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75210" y="17095177"/>
          <a:ext cx="2868490" cy="8092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86ED85-055F-4BF9-8B7A-1AD79ADCA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5273" y="501473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9C1B90-38C5-4999-AE89-4F109C22D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8928" y="772187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3C17798-9B4F-4C96-BDDC-9A93D484A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13740" y="940483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C9E7E68-E317-4EFF-8E14-7D5E44C8C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13740" y="980562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BCD3E3D-BE83-414F-97A5-E84F7EFDC7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406411" y="1039836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F377767-7004-442F-9010-FDCF5586A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67832" y="1572957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010275-C4BF-4B85-8588-7273C955D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75210" y="17095177"/>
          <a:ext cx="2868490" cy="8092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C3BE60-D47F-4AD8-9922-FC93097B5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5273" y="501473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920367-3F71-457B-9242-882751994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8928" y="772187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FC5EB0A-F06F-430A-B055-11AC6E38E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13740" y="940483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0D4C8E1-674A-4A30-96AF-FB59E7886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13740" y="980562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4A0BF92-CB75-4927-A4F0-7E9F1878BC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406411" y="1039836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E43C112-0210-4FC2-A599-5C857CCF9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67832" y="1572957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781F76D-E935-4356-B377-CA2E8171C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75210" y="17095177"/>
          <a:ext cx="2868490" cy="8092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8A67BB-4D74-4958-AE67-E3E7D54C2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5273" y="501473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AB0485-11EC-48B6-9E52-8A8095BA7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8928" y="772187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EAE01AF-4626-4C30-8B77-BB9C137F9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13740" y="940483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FF1DD37-367F-4E9B-82A7-2BC2D1EB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13740" y="980562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D19C763-128A-4A1B-8CB8-DB2DC6C0DE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406411" y="1039836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CD85FC-A413-4B24-A548-FE8F22A9A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67832" y="1572957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9930AB2-7545-4DBC-814D-D80769150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75210" y="17095177"/>
          <a:ext cx="2868490" cy="8092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CD4809-7C9A-42ED-9901-A4E2F652A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5273" y="501473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B80343-7346-43F4-BF34-3DC1C8E44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8928" y="772187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7B8D3A-E6C8-4B30-A093-44051E8D6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13740" y="940483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C3B4694-71D2-4BC9-9FF7-3D0CFC0BC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13740" y="980562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D973C94-02B1-4C16-BFB5-FFF26BDE2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406411" y="1039836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129E6CA-0871-4D2E-92E5-E930AB30A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67832" y="1572957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A17FDD9-FB29-47EE-90EB-F2B77E3D9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75210" y="17095177"/>
          <a:ext cx="2868490" cy="80922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3F9A3D-3E63-4AFA-B99F-8554FA9B5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501473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0AA419-D266-45E2-B2D2-88D2DDC7D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72187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2A98579-A2F4-497A-9EC4-8B1EE5F61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40483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A506869-FF64-46D1-8ADF-6D502FE34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80562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1CB9518-CC92-42E4-AE74-3AB605C373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39836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DABBF5F-4DF9-4903-8FD4-532FD4DB8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72957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277C3D8-9047-49EF-9DD2-F32A675B0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7095177"/>
          <a:ext cx="2868490" cy="80922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8AC761-85EA-4DBE-9533-13C6A8B0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501473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07B9A7-3C3C-4DF6-A27B-7E146D675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72187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C21A345-AA6E-469F-ACD9-14E1364BA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40483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A954561-9713-4E39-A980-B86F773C3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80562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9BE0047-321C-4320-8F67-8D886E3D02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39836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DDC4FD-E45D-4610-909F-A6707AB76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72957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574A643-D0DA-468A-A263-CA711A734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7095177"/>
          <a:ext cx="2868490" cy="80922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99D0A1-EF3B-4531-AF67-69CA4C4C9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501473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9E065C-3C48-4D96-A6EC-2F77624F5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72187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2E73A7-99EC-492F-9413-B6192F340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40483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9CD7269-7A41-4E7A-AEDF-3F37D2FC5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80562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142B051-7F9C-492B-8E3E-8F865B7359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39836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B3E5165-687B-4B45-8BD8-01E76573C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72957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BB9C321-8A8C-4B54-A30C-1C1BB0A7B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7095177"/>
          <a:ext cx="2868490" cy="80922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EFAE55-5398-44CF-8170-591BCF18E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88138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B5EDD4-7291-40A9-9D6F-A10048361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4BCCE7B-D5E0-4508-8CE6-FAC202F3B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066F205-2B19-4585-BA11-923823671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C941EBB-F004-4A17-9806-36D3637F9A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AFC9FB1-A974-48F3-BCC8-8F5495607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5962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5DFAB74-937E-41E2-9FDD-A3DE0685E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961827"/>
          <a:ext cx="2868490" cy="80922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EB77A6-4E1A-4E17-9B27-534F7210C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88138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5ECC4D-F606-45E1-8AAE-7AD12E27E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3ADED0F-F933-4191-B5DA-0BAB43717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5EDA931-C41F-4585-9C64-9880EFD36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0FCE3F1-419A-46B3-A71C-41C377627F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70D9D9A-1E53-4B7D-A4D4-57B2BF62A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5962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4CF7960-4391-4635-8D6C-DB489946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961827"/>
          <a:ext cx="2868490" cy="80922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3DD376-41BC-478A-B992-F6A2177A7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88138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7C6D79-9D3A-48BE-9064-C62033554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B50D7A-D3D6-461E-B41D-6A3CB7FF9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35DDF47-EBE0-4C49-BE73-47F5A6210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5BB5380-846B-45E0-80AD-61F345DFBC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982654D-E919-4D38-934B-E71CAFE24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5962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6DABD52-8FAC-45DC-8E88-7152023D2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961827"/>
          <a:ext cx="2868490" cy="80922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A86DD3-E5EE-4D63-9FF6-03ABC0177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88138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1D28A7-F58D-4EC3-8822-C9FE340B6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3B936F-A157-4BB9-B555-6F16E6597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50E41BE-3C6C-44AD-8814-86C673F09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4CDD505-7032-4C7D-A6EB-B6230D410B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D667875-0E94-4D27-AC42-D5A6005AB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5962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AEF539D-6E5A-4DCC-9908-BB84AE2AD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961827"/>
          <a:ext cx="2868490" cy="80922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C0EB96-D982-4379-AA98-5F5EF60FF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88138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222382-6117-40CB-B60F-2915F5243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2E27EF2-B570-41EC-B291-F499368CF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56CE0F6-CBC4-4368-8AB0-737785BC0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87763BA-723F-49CD-8585-78C9F68063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DFCD300-57B7-45F7-87FB-F62B98552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5962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BBD83E3-CC7B-464E-9396-95F142158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961827"/>
          <a:ext cx="2868490" cy="80922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A744EB-25D1-41E5-803D-88083D3CB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88138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57946C-01D4-491E-AF42-7318D10B2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6B0B4-6F4E-43BD-9411-273A96FCF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561984E-8554-4FF8-9C1A-C74B80E0C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6817F2B-EBDB-4EE9-8357-4D7F4896DB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7918EC6-C290-4803-857E-E7FEF7534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5962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DB145E0-38C5-4953-900B-500E8B8AE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961827"/>
          <a:ext cx="2868490" cy="80922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2002033</xdr:colOff>
      <xdr:row>27</xdr:row>
      <xdr:rowOff>137936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4966" y="3852686"/>
          <a:ext cx="2031023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1935" y="65598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88021" y="82427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88021" y="8645770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3780692" y="93125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785130</xdr:colOff>
      <xdr:row>70</xdr:row>
      <xdr:rowOff>41230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01707" y="1375790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533399</xdr:colOff>
      <xdr:row>79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09085" y="15504502"/>
          <a:ext cx="2868490" cy="809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264A-2892-419B-B678-C1F946654132}">
  <dimension ref="A1:F88"/>
  <sheetViews>
    <sheetView tabSelected="1" zoomScale="115" zoomScaleNormal="115" workbookViewId="0">
      <selection activeCell="D8" sqref="D8"/>
    </sheetView>
  </sheetViews>
  <sheetFormatPr baseColWidth="10" defaultColWidth="9.140625" defaultRowHeight="15" x14ac:dyDescent="0.25"/>
  <cols>
    <col min="1" max="1" width="23.28515625" style="12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51.5" customHeight="1" x14ac:dyDescent="0.25">
      <c r="A1" s="8" t="s">
        <v>61</v>
      </c>
      <c r="B1" s="9" t="s">
        <v>62</v>
      </c>
    </row>
    <row r="2" spans="1:5" x14ac:dyDescent="0.25">
      <c r="A2" s="12">
        <v>3</v>
      </c>
      <c r="B2" s="7">
        <v>3</v>
      </c>
      <c r="D2" s="1" t="s">
        <v>0</v>
      </c>
      <c r="E2">
        <f>AVERAGE(A:A)</f>
        <v>1.8505747126436782</v>
      </c>
    </row>
    <row r="3" spans="1:5" x14ac:dyDescent="0.25">
      <c r="A3" s="12">
        <v>2</v>
      </c>
      <c r="B3" s="7">
        <v>4</v>
      </c>
      <c r="D3" s="1" t="s">
        <v>1</v>
      </c>
      <c r="E3">
        <f>MEDIAN(A:A)</f>
        <v>2</v>
      </c>
    </row>
    <row r="4" spans="1:5" x14ac:dyDescent="0.25">
      <c r="A4" s="12">
        <v>4</v>
      </c>
      <c r="B4" s="7">
        <v>4</v>
      </c>
      <c r="D4" s="1" t="s">
        <v>2</v>
      </c>
      <c r="E4">
        <f>MODE(A:A)</f>
        <v>2</v>
      </c>
    </row>
    <row r="5" spans="1:5" x14ac:dyDescent="0.25">
      <c r="A5" s="12">
        <v>1</v>
      </c>
      <c r="B5" s="7">
        <v>5</v>
      </c>
      <c r="D5" s="1" t="s">
        <v>16</v>
      </c>
      <c r="E5">
        <f>STDEV(A:A)</f>
        <v>0.82868255812694136</v>
      </c>
    </row>
    <row r="6" spans="1:5" x14ac:dyDescent="0.25">
      <c r="A6" s="12">
        <v>3</v>
      </c>
      <c r="B6" s="7">
        <v>3</v>
      </c>
      <c r="D6" s="4" t="s">
        <v>5</v>
      </c>
      <c r="E6">
        <f>COUNT(A:A)</f>
        <v>87</v>
      </c>
    </row>
    <row r="7" spans="1:5" x14ac:dyDescent="0.25">
      <c r="A7" s="12">
        <v>1</v>
      </c>
      <c r="B7" s="7">
        <v>5</v>
      </c>
    </row>
    <row r="8" spans="1:5" x14ac:dyDescent="0.25">
      <c r="A8" s="12">
        <v>3</v>
      </c>
      <c r="B8" s="7">
        <v>2</v>
      </c>
      <c r="D8" s="3" t="s">
        <v>63</v>
      </c>
      <c r="E8">
        <f>AVERAGE(B:B)</f>
        <v>3.8850574712643677</v>
      </c>
    </row>
    <row r="9" spans="1:5" x14ac:dyDescent="0.25">
      <c r="A9" s="12">
        <v>1</v>
      </c>
      <c r="B9" s="7">
        <v>4</v>
      </c>
      <c r="D9" s="3" t="s">
        <v>3</v>
      </c>
      <c r="E9">
        <f>MEDIAN(B:B)</f>
        <v>4</v>
      </c>
    </row>
    <row r="10" spans="1:5" x14ac:dyDescent="0.25">
      <c r="A10" s="12">
        <v>1</v>
      </c>
      <c r="B10" s="7">
        <v>5</v>
      </c>
      <c r="D10" s="3" t="s">
        <v>4</v>
      </c>
      <c r="E10">
        <f>MODE(B:B)</f>
        <v>3</v>
      </c>
    </row>
    <row r="11" spans="1:5" x14ac:dyDescent="0.25">
      <c r="A11" s="12">
        <v>1</v>
      </c>
      <c r="B11" s="7">
        <v>5</v>
      </c>
      <c r="D11" s="3" t="s">
        <v>15</v>
      </c>
      <c r="E11">
        <f>STDEV(B:B)</f>
        <v>0.90765846660926652</v>
      </c>
    </row>
    <row r="12" spans="1:5" x14ac:dyDescent="0.25">
      <c r="A12" s="12">
        <v>2</v>
      </c>
      <c r="B12" s="7">
        <v>3</v>
      </c>
      <c r="D12" s="5" t="s">
        <v>6</v>
      </c>
      <c r="E12">
        <f>COUNT(B:B)</f>
        <v>87</v>
      </c>
    </row>
    <row r="13" spans="1:5" x14ac:dyDescent="0.25">
      <c r="A13" s="12">
        <v>3</v>
      </c>
      <c r="B13" s="7">
        <v>4</v>
      </c>
    </row>
    <row r="14" spans="1:5" x14ac:dyDescent="0.25">
      <c r="A14" s="12">
        <v>1</v>
      </c>
      <c r="B14" s="7">
        <v>5</v>
      </c>
    </row>
    <row r="15" spans="1:5" x14ac:dyDescent="0.25">
      <c r="A15" s="12">
        <v>2</v>
      </c>
      <c r="B15" s="7">
        <v>3</v>
      </c>
    </row>
    <row r="16" spans="1:5" x14ac:dyDescent="0.25">
      <c r="A16" s="12">
        <v>1</v>
      </c>
      <c r="B16" s="7">
        <v>3</v>
      </c>
    </row>
    <row r="17" spans="1:5" x14ac:dyDescent="0.25">
      <c r="A17" s="12">
        <v>1</v>
      </c>
      <c r="B17" s="7">
        <v>5</v>
      </c>
      <c r="D17" s="2" t="s">
        <v>7</v>
      </c>
      <c r="E17" s="2"/>
    </row>
    <row r="18" spans="1:5" x14ac:dyDescent="0.25">
      <c r="A18" s="12">
        <v>2</v>
      </c>
      <c r="B18" s="7">
        <v>3</v>
      </c>
    </row>
    <row r="19" spans="1:5" x14ac:dyDescent="0.25">
      <c r="A19" s="12">
        <v>2</v>
      </c>
      <c r="B19" s="7">
        <v>5</v>
      </c>
    </row>
    <row r="20" spans="1:5" x14ac:dyDescent="0.25">
      <c r="A20" s="12">
        <v>2</v>
      </c>
      <c r="B20" s="7">
        <v>3</v>
      </c>
    </row>
    <row r="21" spans="1:5" x14ac:dyDescent="0.25">
      <c r="A21" s="12">
        <v>1</v>
      </c>
      <c r="B21" s="7">
        <v>4</v>
      </c>
    </row>
    <row r="22" spans="1:5" x14ac:dyDescent="0.25">
      <c r="A22" s="12">
        <v>2</v>
      </c>
      <c r="B22" s="7">
        <v>4</v>
      </c>
    </row>
    <row r="23" spans="1:5" x14ac:dyDescent="0.25">
      <c r="A23" s="12">
        <v>1</v>
      </c>
      <c r="B23" s="7">
        <v>4</v>
      </c>
    </row>
    <row r="24" spans="1:5" x14ac:dyDescent="0.25">
      <c r="A24" s="12">
        <v>3</v>
      </c>
      <c r="B24" s="7">
        <v>4</v>
      </c>
    </row>
    <row r="25" spans="1:5" x14ac:dyDescent="0.25">
      <c r="A25" s="12">
        <v>1</v>
      </c>
      <c r="B25" s="7">
        <v>5</v>
      </c>
    </row>
    <row r="26" spans="1:5" x14ac:dyDescent="0.25">
      <c r="A26" s="12">
        <v>3</v>
      </c>
      <c r="B26" s="7">
        <v>4</v>
      </c>
    </row>
    <row r="27" spans="1:5" x14ac:dyDescent="0.25">
      <c r="A27" s="12">
        <v>2</v>
      </c>
      <c r="B27" s="7">
        <v>5</v>
      </c>
    </row>
    <row r="28" spans="1:5" x14ac:dyDescent="0.25">
      <c r="A28" s="12">
        <v>1</v>
      </c>
      <c r="B28" s="7">
        <v>4</v>
      </c>
    </row>
    <row r="29" spans="1:5" x14ac:dyDescent="0.25">
      <c r="A29" s="12">
        <v>2</v>
      </c>
      <c r="B29" s="7">
        <v>3</v>
      </c>
      <c r="D29" t="s">
        <v>12</v>
      </c>
      <c r="E29">
        <f>(E2-E8)/SQRT(((E5^2)/E6)+((E11^2)/E12))</f>
        <v>-15.439912702626652</v>
      </c>
    </row>
    <row r="30" spans="1:5" x14ac:dyDescent="0.25">
      <c r="A30" s="12">
        <v>2</v>
      </c>
      <c r="B30" s="7">
        <v>4</v>
      </c>
    </row>
    <row r="31" spans="1:5" x14ac:dyDescent="0.25">
      <c r="A31" s="12">
        <v>3</v>
      </c>
      <c r="B31" s="7">
        <v>4</v>
      </c>
      <c r="D31" s="2" t="s">
        <v>8</v>
      </c>
      <c r="E31" s="2"/>
    </row>
    <row r="32" spans="1:5" x14ac:dyDescent="0.25">
      <c r="A32" s="12">
        <v>3</v>
      </c>
      <c r="B32" s="7">
        <v>3</v>
      </c>
    </row>
    <row r="33" spans="1:6" x14ac:dyDescent="0.25">
      <c r="A33" s="12">
        <v>3</v>
      </c>
      <c r="B33" s="7">
        <v>5</v>
      </c>
    </row>
    <row r="34" spans="1:6" x14ac:dyDescent="0.25">
      <c r="A34" s="12">
        <v>1</v>
      </c>
      <c r="B34" s="7">
        <v>2</v>
      </c>
    </row>
    <row r="35" spans="1:6" x14ac:dyDescent="0.25">
      <c r="A35" s="12">
        <v>4</v>
      </c>
      <c r="B35" s="7">
        <v>3</v>
      </c>
    </row>
    <row r="36" spans="1:6" x14ac:dyDescent="0.25">
      <c r="A36" s="12">
        <v>2</v>
      </c>
      <c r="B36" s="7">
        <v>4</v>
      </c>
    </row>
    <row r="37" spans="1:6" x14ac:dyDescent="0.25">
      <c r="A37" s="12">
        <v>1</v>
      </c>
      <c r="B37" s="7">
        <v>4</v>
      </c>
    </row>
    <row r="38" spans="1:6" x14ac:dyDescent="0.25">
      <c r="A38" s="12">
        <v>2</v>
      </c>
      <c r="B38" s="7">
        <v>3</v>
      </c>
    </row>
    <row r="39" spans="1:6" x14ac:dyDescent="0.25">
      <c r="A39" s="12">
        <v>3</v>
      </c>
      <c r="B39" s="7">
        <v>3</v>
      </c>
    </row>
    <row r="40" spans="1:6" x14ac:dyDescent="0.25">
      <c r="A40" s="12">
        <v>2</v>
      </c>
      <c r="B40" s="7">
        <v>5</v>
      </c>
    </row>
    <row r="41" spans="1:6" ht="29.25" customHeight="1" x14ac:dyDescent="0.25">
      <c r="A41" s="12">
        <v>3</v>
      </c>
      <c r="B41" s="7">
        <v>5</v>
      </c>
      <c r="D41" t="s">
        <v>9</v>
      </c>
      <c r="E41">
        <f>(((E5^2)/E6)+((E11^2)/E12))^2</f>
        <v>3.0146485771617427E-4</v>
      </c>
    </row>
    <row r="42" spans="1:6" ht="47.25" customHeight="1" x14ac:dyDescent="0.25">
      <c r="A42" s="12">
        <v>1</v>
      </c>
      <c r="B42" s="7">
        <v>3</v>
      </c>
      <c r="D42" t="s">
        <v>10</v>
      </c>
      <c r="E42">
        <f>(((E5^2)/E6)^2)/(E6-1)</f>
        <v>7.2446237562459882E-7</v>
      </c>
    </row>
    <row r="43" spans="1:6" ht="43.5" customHeight="1" x14ac:dyDescent="0.25">
      <c r="A43" s="12">
        <v>2</v>
      </c>
      <c r="B43" s="7">
        <v>5</v>
      </c>
      <c r="D43" t="s">
        <v>11</v>
      </c>
      <c r="E43">
        <f>(((E11^2)/E12)^2)/(E12-1)</f>
        <v>1.0426844478826433E-6</v>
      </c>
    </row>
    <row r="44" spans="1:6" x14ac:dyDescent="0.25">
      <c r="A44" s="12">
        <v>1</v>
      </c>
      <c r="B44" s="7">
        <v>3</v>
      </c>
    </row>
    <row r="45" spans="1:6" x14ac:dyDescent="0.25">
      <c r="A45" s="12">
        <v>2</v>
      </c>
      <c r="B45" s="7">
        <v>5</v>
      </c>
      <c r="D45" t="s">
        <v>8</v>
      </c>
      <c r="E45">
        <f>E41/(E42+E43)</f>
        <v>170.59412025417299</v>
      </c>
      <c r="F45" s="6" t="s">
        <v>13</v>
      </c>
    </row>
    <row r="46" spans="1:6" x14ac:dyDescent="0.25">
      <c r="A46" s="12">
        <v>2</v>
      </c>
      <c r="B46" s="7">
        <v>3</v>
      </c>
    </row>
    <row r="47" spans="1:6" x14ac:dyDescent="0.25">
      <c r="A47" s="12">
        <v>2</v>
      </c>
      <c r="B47" s="7">
        <v>4</v>
      </c>
      <c r="D47" t="s">
        <v>14</v>
      </c>
      <c r="E47">
        <v>0.05</v>
      </c>
      <c r="F47" s="6" t="s">
        <v>13</v>
      </c>
    </row>
    <row r="48" spans="1:6" x14ac:dyDescent="0.25">
      <c r="A48" s="12">
        <v>2</v>
      </c>
      <c r="B48" s="7">
        <v>5</v>
      </c>
    </row>
    <row r="49" spans="1:5" x14ac:dyDescent="0.25">
      <c r="A49" s="12">
        <v>2</v>
      </c>
      <c r="B49" s="7">
        <v>5</v>
      </c>
    </row>
    <row r="50" spans="1:5" x14ac:dyDescent="0.25">
      <c r="A50" s="12">
        <v>1</v>
      </c>
      <c r="B50" s="7">
        <v>4</v>
      </c>
    </row>
    <row r="51" spans="1:5" x14ac:dyDescent="0.25">
      <c r="A51" s="12">
        <v>1</v>
      </c>
      <c r="B51" s="7">
        <v>5</v>
      </c>
      <c r="D51" s="5"/>
      <c r="E51" s="5"/>
    </row>
    <row r="52" spans="1:5" x14ac:dyDescent="0.25">
      <c r="A52" s="12">
        <v>1</v>
      </c>
      <c r="B52" s="7">
        <v>3</v>
      </c>
      <c r="D52" t="s">
        <v>17</v>
      </c>
      <c r="E52">
        <f>_xlfn.T.INV.2T(E47,E45)</f>
        <v>1.974016707630968</v>
      </c>
    </row>
    <row r="53" spans="1:5" x14ac:dyDescent="0.25">
      <c r="A53" s="12">
        <v>2</v>
      </c>
      <c r="B53" s="7">
        <v>4</v>
      </c>
      <c r="D53" t="s">
        <v>18</v>
      </c>
      <c r="E53">
        <f>_xlfn.T.INV(E47, E45)</f>
        <v>-1.6538663174526766</v>
      </c>
    </row>
    <row r="54" spans="1:5" x14ac:dyDescent="0.25">
      <c r="A54" s="12">
        <v>2</v>
      </c>
      <c r="B54" s="7">
        <v>3</v>
      </c>
    </row>
    <row r="55" spans="1:5" x14ac:dyDescent="0.25">
      <c r="A55" s="12">
        <v>1</v>
      </c>
      <c r="B55" s="7">
        <v>5</v>
      </c>
      <c r="D55" t="s">
        <v>19</v>
      </c>
      <c r="E55">
        <f>TTEST(A:A,B:B,2,2)</f>
        <v>2.631223767140682E-34</v>
      </c>
    </row>
    <row r="56" spans="1:5" x14ac:dyDescent="0.25">
      <c r="A56" s="12">
        <v>1</v>
      </c>
      <c r="B56" s="7">
        <v>4</v>
      </c>
      <c r="D56" t="s">
        <v>20</v>
      </c>
      <c r="E56">
        <f>TTEST(A:A,B:B,1,2)</f>
        <v>1.315611883570341E-34</v>
      </c>
    </row>
    <row r="57" spans="1:5" x14ac:dyDescent="0.25">
      <c r="A57" s="12">
        <v>2</v>
      </c>
      <c r="B57" s="7">
        <v>4</v>
      </c>
    </row>
    <row r="58" spans="1:5" x14ac:dyDescent="0.25">
      <c r="A58" s="12">
        <v>2</v>
      </c>
      <c r="B58" s="7">
        <v>5</v>
      </c>
    </row>
    <row r="59" spans="1:5" x14ac:dyDescent="0.25">
      <c r="A59" s="12">
        <v>1</v>
      </c>
      <c r="B59" s="7">
        <v>5</v>
      </c>
      <c r="D59" s="5" t="s">
        <v>21</v>
      </c>
      <c r="E59" s="5"/>
    </row>
    <row r="60" spans="1:5" x14ac:dyDescent="0.25">
      <c r="A60" s="12">
        <v>1</v>
      </c>
      <c r="B60" s="7">
        <v>3</v>
      </c>
    </row>
    <row r="61" spans="1:5" x14ac:dyDescent="0.25">
      <c r="A61" s="12">
        <v>2</v>
      </c>
      <c r="B61" s="7">
        <v>3</v>
      </c>
      <c r="D61" t="s">
        <v>22</v>
      </c>
    </row>
    <row r="62" spans="1:5" x14ac:dyDescent="0.25">
      <c r="A62" s="12">
        <v>2</v>
      </c>
      <c r="B62" s="7">
        <v>5</v>
      </c>
      <c r="D62" t="s">
        <v>23</v>
      </c>
    </row>
    <row r="63" spans="1:5" x14ac:dyDescent="0.25">
      <c r="A63" s="12">
        <v>1</v>
      </c>
      <c r="B63" s="7">
        <v>3</v>
      </c>
    </row>
    <row r="64" spans="1:5" x14ac:dyDescent="0.25">
      <c r="A64" s="12">
        <v>2</v>
      </c>
      <c r="B64" s="7">
        <v>3</v>
      </c>
      <c r="D64" t="s">
        <v>24</v>
      </c>
    </row>
    <row r="65" spans="1:4" x14ac:dyDescent="0.25">
      <c r="A65" s="12">
        <v>1</v>
      </c>
      <c r="B65" s="7">
        <v>4</v>
      </c>
      <c r="D65" t="s">
        <v>25</v>
      </c>
    </row>
    <row r="66" spans="1:4" x14ac:dyDescent="0.25">
      <c r="A66" s="12">
        <v>2</v>
      </c>
      <c r="B66" s="7">
        <v>4</v>
      </c>
    </row>
    <row r="67" spans="1:4" x14ac:dyDescent="0.25">
      <c r="A67" s="12">
        <v>4</v>
      </c>
      <c r="B67" s="7">
        <v>3</v>
      </c>
    </row>
    <row r="68" spans="1:4" x14ac:dyDescent="0.25">
      <c r="A68" s="12">
        <v>2</v>
      </c>
      <c r="B68" s="7">
        <v>4</v>
      </c>
      <c r="D68" s="10" t="s">
        <v>26</v>
      </c>
    </row>
    <row r="69" spans="1:4" x14ac:dyDescent="0.25">
      <c r="A69" s="12">
        <v>1</v>
      </c>
      <c r="B69" s="7">
        <v>5</v>
      </c>
    </row>
    <row r="70" spans="1:4" x14ac:dyDescent="0.25">
      <c r="A70" s="12">
        <v>2</v>
      </c>
      <c r="B70" s="7">
        <v>5</v>
      </c>
      <c r="D70" t="s">
        <v>27</v>
      </c>
    </row>
    <row r="71" spans="1:4" x14ac:dyDescent="0.25">
      <c r="A71" s="12">
        <v>1</v>
      </c>
      <c r="B71" s="7">
        <v>4</v>
      </c>
      <c r="D71" t="s">
        <v>28</v>
      </c>
    </row>
    <row r="72" spans="1:4" x14ac:dyDescent="0.25">
      <c r="A72" s="12">
        <v>2</v>
      </c>
      <c r="B72" s="7">
        <v>4</v>
      </c>
      <c r="D72" t="s">
        <v>29</v>
      </c>
    </row>
    <row r="73" spans="1:4" x14ac:dyDescent="0.25">
      <c r="A73" s="12">
        <v>1</v>
      </c>
      <c r="B73" s="7">
        <v>3</v>
      </c>
    </row>
    <row r="74" spans="1:4" x14ac:dyDescent="0.25">
      <c r="A74" s="12">
        <v>3</v>
      </c>
      <c r="B74" s="7">
        <v>1</v>
      </c>
    </row>
    <row r="75" spans="1:4" x14ac:dyDescent="0.25">
      <c r="A75" s="12">
        <v>1</v>
      </c>
      <c r="B75" s="7">
        <v>5</v>
      </c>
      <c r="D75" s="10" t="s">
        <v>26</v>
      </c>
    </row>
    <row r="76" spans="1:4" x14ac:dyDescent="0.25">
      <c r="A76" s="12">
        <v>2</v>
      </c>
      <c r="B76" s="7">
        <v>3</v>
      </c>
    </row>
    <row r="77" spans="1:4" x14ac:dyDescent="0.25">
      <c r="A77" s="12">
        <v>2</v>
      </c>
      <c r="B77" s="7">
        <v>5</v>
      </c>
    </row>
    <row r="78" spans="1:4" x14ac:dyDescent="0.25">
      <c r="A78" s="12">
        <v>2</v>
      </c>
      <c r="B78" s="7">
        <v>4</v>
      </c>
    </row>
    <row r="79" spans="1:4" x14ac:dyDescent="0.25">
      <c r="A79" s="12">
        <v>1</v>
      </c>
      <c r="B79" s="7">
        <v>4</v>
      </c>
    </row>
    <row r="80" spans="1:4" x14ac:dyDescent="0.25">
      <c r="A80" s="12">
        <v>1</v>
      </c>
      <c r="B80" s="7">
        <v>4</v>
      </c>
    </row>
    <row r="81" spans="1:4" x14ac:dyDescent="0.25">
      <c r="A81" s="12">
        <v>2</v>
      </c>
      <c r="B81" s="7">
        <v>4</v>
      </c>
    </row>
    <row r="82" spans="1:4" x14ac:dyDescent="0.25">
      <c r="A82" s="12">
        <v>1</v>
      </c>
      <c r="B82" s="7">
        <v>3</v>
      </c>
      <c r="D82" t="s">
        <v>30</v>
      </c>
    </row>
    <row r="83" spans="1:4" x14ac:dyDescent="0.25">
      <c r="A83" s="12">
        <v>2</v>
      </c>
      <c r="B83" s="7">
        <v>5</v>
      </c>
      <c r="D83" t="s">
        <v>29</v>
      </c>
    </row>
    <row r="84" spans="1:4" x14ac:dyDescent="0.25">
      <c r="A84" s="12">
        <v>2</v>
      </c>
      <c r="B84" s="7">
        <v>3</v>
      </c>
      <c r="D84" t="s">
        <v>30</v>
      </c>
    </row>
    <row r="85" spans="1:4" x14ac:dyDescent="0.25">
      <c r="A85" s="12">
        <v>1</v>
      </c>
      <c r="B85" s="7">
        <v>4</v>
      </c>
      <c r="D85" t="s">
        <v>29</v>
      </c>
    </row>
    <row r="86" spans="1:4" x14ac:dyDescent="0.25">
      <c r="A86" s="12">
        <v>4</v>
      </c>
      <c r="B86" s="7">
        <v>3</v>
      </c>
    </row>
    <row r="87" spans="1:4" x14ac:dyDescent="0.25">
      <c r="A87" s="12">
        <v>2</v>
      </c>
      <c r="B87" s="7">
        <v>3</v>
      </c>
    </row>
    <row r="88" spans="1:4" x14ac:dyDescent="0.25">
      <c r="A88" s="12">
        <v>2</v>
      </c>
      <c r="B88" s="7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1864-1C3A-44B0-8EA6-AFA077F49D2F}">
  <dimension ref="A1:F88"/>
  <sheetViews>
    <sheetView zoomScale="70" zoomScaleNormal="70" workbookViewId="0">
      <selection activeCell="D8" sqref="D8"/>
    </sheetView>
  </sheetViews>
  <sheetFormatPr baseColWidth="10" defaultColWidth="9.140625" defaultRowHeight="15" x14ac:dyDescent="0.25"/>
  <cols>
    <col min="1" max="1" width="23.28515625" style="12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51.5" customHeight="1" x14ac:dyDescent="0.25">
      <c r="A1" s="8" t="s">
        <v>59</v>
      </c>
      <c r="B1" s="9" t="s">
        <v>60</v>
      </c>
    </row>
    <row r="2" spans="1:5" x14ac:dyDescent="0.25">
      <c r="A2" s="12">
        <v>2</v>
      </c>
      <c r="B2" s="7">
        <v>3</v>
      </c>
      <c r="D2" s="1" t="s">
        <v>0</v>
      </c>
      <c r="E2">
        <f>AVERAGE(A:A)</f>
        <v>1.7701149425287357</v>
      </c>
    </row>
    <row r="3" spans="1:5" x14ac:dyDescent="0.25">
      <c r="A3" s="12">
        <v>2</v>
      </c>
      <c r="B3" s="7">
        <v>4</v>
      </c>
      <c r="D3" s="1" t="s">
        <v>1</v>
      </c>
      <c r="E3">
        <f>MEDIAN(A:A)</f>
        <v>2</v>
      </c>
    </row>
    <row r="4" spans="1:5" x14ac:dyDescent="0.25">
      <c r="A4" s="12">
        <v>1</v>
      </c>
      <c r="B4" s="7">
        <v>5</v>
      </c>
      <c r="D4" s="1" t="s">
        <v>2</v>
      </c>
      <c r="E4">
        <f>MODE(A:A)</f>
        <v>2</v>
      </c>
    </row>
    <row r="5" spans="1:5" x14ac:dyDescent="0.25">
      <c r="A5" s="12">
        <v>1</v>
      </c>
      <c r="B5" s="7">
        <v>3</v>
      </c>
      <c r="D5" s="1" t="s">
        <v>16</v>
      </c>
      <c r="E5">
        <f>STDEV(A:A)</f>
        <v>0.83109831261965683</v>
      </c>
    </row>
    <row r="6" spans="1:5" x14ac:dyDescent="0.25">
      <c r="A6" s="12">
        <v>3</v>
      </c>
      <c r="B6" s="7">
        <v>5</v>
      </c>
      <c r="D6" s="4" t="s">
        <v>5</v>
      </c>
      <c r="E6">
        <f>COUNT(A:A)</f>
        <v>87</v>
      </c>
    </row>
    <row r="7" spans="1:5" x14ac:dyDescent="0.25">
      <c r="A7" s="12">
        <v>1</v>
      </c>
      <c r="B7" s="7">
        <v>2</v>
      </c>
    </row>
    <row r="8" spans="1:5" x14ac:dyDescent="0.25">
      <c r="A8" s="12">
        <v>1</v>
      </c>
      <c r="B8" s="7">
        <v>3</v>
      </c>
      <c r="D8" s="3" t="s">
        <v>63</v>
      </c>
      <c r="E8">
        <f>AVERAGE(B:B)</f>
        <v>3.8850574712643677</v>
      </c>
    </row>
    <row r="9" spans="1:5" x14ac:dyDescent="0.25">
      <c r="A9" s="12">
        <v>1</v>
      </c>
      <c r="B9" s="7">
        <v>3</v>
      </c>
      <c r="D9" s="3" t="s">
        <v>3</v>
      </c>
      <c r="E9">
        <f>MEDIAN(B:B)</f>
        <v>4</v>
      </c>
    </row>
    <row r="10" spans="1:5" x14ac:dyDescent="0.25">
      <c r="A10" s="12">
        <v>1</v>
      </c>
      <c r="B10" s="7">
        <v>5</v>
      </c>
      <c r="D10" s="3" t="s">
        <v>4</v>
      </c>
      <c r="E10">
        <f>MODE(B:B)</f>
        <v>3</v>
      </c>
    </row>
    <row r="11" spans="1:5" x14ac:dyDescent="0.25">
      <c r="A11" s="12">
        <v>4</v>
      </c>
      <c r="B11" s="7">
        <v>3</v>
      </c>
      <c r="D11" s="3" t="s">
        <v>15</v>
      </c>
      <c r="E11">
        <f>STDEV(B:B)</f>
        <v>0.90765846660926652</v>
      </c>
    </row>
    <row r="12" spans="1:5" x14ac:dyDescent="0.25">
      <c r="A12" s="12">
        <v>2</v>
      </c>
      <c r="B12" s="7">
        <v>5</v>
      </c>
      <c r="D12" s="5" t="s">
        <v>6</v>
      </c>
      <c r="E12">
        <f>COUNT(B:B)</f>
        <v>87</v>
      </c>
    </row>
    <row r="13" spans="1:5" x14ac:dyDescent="0.25">
      <c r="A13" s="12">
        <v>2</v>
      </c>
      <c r="B13" s="7">
        <v>3</v>
      </c>
    </row>
    <row r="14" spans="1:5" x14ac:dyDescent="0.25">
      <c r="A14" s="12">
        <v>1</v>
      </c>
      <c r="B14" s="7">
        <v>4</v>
      </c>
    </row>
    <row r="15" spans="1:5" x14ac:dyDescent="0.25">
      <c r="A15" s="12">
        <v>2</v>
      </c>
      <c r="B15" s="7">
        <v>5</v>
      </c>
    </row>
    <row r="16" spans="1:5" x14ac:dyDescent="0.25">
      <c r="A16" s="12">
        <v>1</v>
      </c>
      <c r="B16" s="7">
        <v>3</v>
      </c>
    </row>
    <row r="17" spans="1:5" x14ac:dyDescent="0.25">
      <c r="A17" s="12">
        <v>1</v>
      </c>
      <c r="B17" s="7">
        <v>4</v>
      </c>
      <c r="D17" s="2" t="s">
        <v>7</v>
      </c>
      <c r="E17" s="2"/>
    </row>
    <row r="18" spans="1:5" x14ac:dyDescent="0.25">
      <c r="A18" s="12">
        <v>2</v>
      </c>
      <c r="B18" s="7">
        <v>4</v>
      </c>
    </row>
    <row r="19" spans="1:5" x14ac:dyDescent="0.25">
      <c r="A19" s="12">
        <v>2</v>
      </c>
      <c r="B19" s="7">
        <v>4</v>
      </c>
    </row>
    <row r="20" spans="1:5" x14ac:dyDescent="0.25">
      <c r="A20" s="12">
        <v>2</v>
      </c>
      <c r="B20" s="7">
        <v>3</v>
      </c>
    </row>
    <row r="21" spans="1:5" x14ac:dyDescent="0.25">
      <c r="A21" s="12">
        <v>3</v>
      </c>
      <c r="B21" s="7">
        <v>5</v>
      </c>
    </row>
    <row r="22" spans="1:5" x14ac:dyDescent="0.25">
      <c r="A22" s="12">
        <v>2</v>
      </c>
      <c r="B22" s="7">
        <v>4</v>
      </c>
    </row>
    <row r="23" spans="1:5" x14ac:dyDescent="0.25">
      <c r="A23" s="12">
        <v>3</v>
      </c>
      <c r="B23" s="7">
        <v>5</v>
      </c>
    </row>
    <row r="24" spans="1:5" x14ac:dyDescent="0.25">
      <c r="A24" s="12">
        <v>1</v>
      </c>
      <c r="B24" s="7">
        <v>3</v>
      </c>
    </row>
    <row r="25" spans="1:5" x14ac:dyDescent="0.25">
      <c r="A25" s="12">
        <v>1</v>
      </c>
      <c r="B25" s="7">
        <v>3</v>
      </c>
    </row>
    <row r="26" spans="1:5" x14ac:dyDescent="0.25">
      <c r="A26" s="12">
        <v>1</v>
      </c>
      <c r="B26" s="7">
        <v>5</v>
      </c>
    </row>
    <row r="27" spans="1:5" x14ac:dyDescent="0.25">
      <c r="A27" s="12">
        <v>4</v>
      </c>
      <c r="B27" s="7">
        <v>4</v>
      </c>
    </row>
    <row r="28" spans="1:5" x14ac:dyDescent="0.25">
      <c r="A28" s="12">
        <v>1</v>
      </c>
      <c r="B28" s="7">
        <v>3</v>
      </c>
    </row>
    <row r="29" spans="1:5" x14ac:dyDescent="0.25">
      <c r="A29" s="12">
        <v>2</v>
      </c>
      <c r="B29" s="7">
        <v>5</v>
      </c>
      <c r="D29" t="s">
        <v>12</v>
      </c>
      <c r="E29">
        <f>(E2-E8)/SQRT(((E5^2)/E6)+((E11^2)/E12))</f>
        <v>-16.029270790070864</v>
      </c>
    </row>
    <row r="30" spans="1:5" x14ac:dyDescent="0.25">
      <c r="A30" s="12">
        <v>2</v>
      </c>
      <c r="B30" s="7">
        <v>4</v>
      </c>
    </row>
    <row r="31" spans="1:5" x14ac:dyDescent="0.25">
      <c r="A31" s="12">
        <v>3</v>
      </c>
      <c r="B31" s="7">
        <v>5</v>
      </c>
      <c r="D31" s="2" t="s">
        <v>8</v>
      </c>
      <c r="E31" s="2"/>
    </row>
    <row r="32" spans="1:5" x14ac:dyDescent="0.25">
      <c r="A32" s="12">
        <v>2</v>
      </c>
      <c r="B32" s="7">
        <v>5</v>
      </c>
    </row>
    <row r="33" spans="1:6" x14ac:dyDescent="0.25">
      <c r="A33" s="12">
        <v>1</v>
      </c>
      <c r="B33" s="7">
        <v>5</v>
      </c>
    </row>
    <row r="34" spans="1:6" x14ac:dyDescent="0.25">
      <c r="A34" s="12">
        <v>1</v>
      </c>
      <c r="B34" s="7">
        <v>4</v>
      </c>
    </row>
    <row r="35" spans="1:6" x14ac:dyDescent="0.25">
      <c r="A35" s="12">
        <v>1</v>
      </c>
      <c r="B35" s="7">
        <v>4</v>
      </c>
    </row>
    <row r="36" spans="1:6" x14ac:dyDescent="0.25">
      <c r="A36" s="12">
        <v>2</v>
      </c>
      <c r="B36" s="7">
        <v>3</v>
      </c>
    </row>
    <row r="37" spans="1:6" x14ac:dyDescent="0.25">
      <c r="A37" s="12">
        <v>1</v>
      </c>
      <c r="B37" s="7">
        <v>3</v>
      </c>
    </row>
    <row r="38" spans="1:6" x14ac:dyDescent="0.25">
      <c r="A38" s="12">
        <v>2</v>
      </c>
      <c r="B38" s="7">
        <v>3</v>
      </c>
    </row>
    <row r="39" spans="1:6" x14ac:dyDescent="0.25">
      <c r="A39" s="12">
        <v>2</v>
      </c>
      <c r="B39" s="7">
        <v>5</v>
      </c>
    </row>
    <row r="40" spans="1:6" x14ac:dyDescent="0.25">
      <c r="A40" s="12">
        <v>2</v>
      </c>
      <c r="B40" s="7">
        <v>3</v>
      </c>
    </row>
    <row r="41" spans="1:6" ht="29.25" customHeight="1" x14ac:dyDescent="0.25">
      <c r="A41" s="12">
        <v>3</v>
      </c>
      <c r="B41" s="7">
        <v>3</v>
      </c>
      <c r="D41" t="s">
        <v>9</v>
      </c>
      <c r="E41">
        <f>(((E5^2)/E6)+((E11^2)/E12))^2</f>
        <v>3.0306739688530144E-4</v>
      </c>
    </row>
    <row r="42" spans="1:6" ht="47.25" customHeight="1" x14ac:dyDescent="0.25">
      <c r="A42" s="12">
        <v>1</v>
      </c>
      <c r="B42" s="7">
        <v>4</v>
      </c>
      <c r="D42" t="s">
        <v>10</v>
      </c>
      <c r="E42">
        <f>(((E5^2)/E6)^2)/(E6-1)</f>
        <v>7.3294712519718298E-7</v>
      </c>
    </row>
    <row r="43" spans="1:6" ht="43.5" customHeight="1" x14ac:dyDescent="0.25">
      <c r="A43" s="12">
        <v>2</v>
      </c>
      <c r="B43" s="7">
        <v>3</v>
      </c>
      <c r="D43" t="s">
        <v>11</v>
      </c>
      <c r="E43">
        <f>(((E11^2)/E12)^2)/(E12-1)</f>
        <v>1.0426844478826433E-6</v>
      </c>
    </row>
    <row r="44" spans="1:6" x14ac:dyDescent="0.25">
      <c r="A44" s="12">
        <v>1</v>
      </c>
      <c r="B44" s="7">
        <v>3</v>
      </c>
    </row>
    <row r="45" spans="1:6" x14ac:dyDescent="0.25">
      <c r="A45" s="12">
        <v>2</v>
      </c>
      <c r="B45" s="7">
        <v>5</v>
      </c>
      <c r="D45" t="s">
        <v>8</v>
      </c>
      <c r="E45">
        <f>E41/(E42+E43)</f>
        <v>170.68146426323801</v>
      </c>
      <c r="F45" s="6" t="s">
        <v>13</v>
      </c>
    </row>
    <row r="46" spans="1:6" x14ac:dyDescent="0.25">
      <c r="A46" s="12">
        <v>2</v>
      </c>
      <c r="B46" s="7">
        <v>3</v>
      </c>
    </row>
    <row r="47" spans="1:6" x14ac:dyDescent="0.25">
      <c r="A47" s="12">
        <v>2</v>
      </c>
      <c r="B47" s="7">
        <v>3</v>
      </c>
      <c r="D47" t="s">
        <v>14</v>
      </c>
      <c r="E47">
        <v>0.05</v>
      </c>
      <c r="F47" s="6" t="s">
        <v>13</v>
      </c>
    </row>
    <row r="48" spans="1:6" x14ac:dyDescent="0.25">
      <c r="A48" s="12">
        <v>3</v>
      </c>
      <c r="B48" s="7">
        <v>3</v>
      </c>
    </row>
    <row r="49" spans="1:5" x14ac:dyDescent="0.25">
      <c r="A49" s="12">
        <v>2</v>
      </c>
      <c r="B49" s="7">
        <v>4</v>
      </c>
    </row>
    <row r="50" spans="1:5" x14ac:dyDescent="0.25">
      <c r="A50" s="12">
        <v>1</v>
      </c>
      <c r="B50" s="7">
        <v>3</v>
      </c>
    </row>
    <row r="51" spans="1:5" x14ac:dyDescent="0.25">
      <c r="A51" s="12">
        <v>1</v>
      </c>
      <c r="B51" s="7">
        <v>5</v>
      </c>
      <c r="D51" s="5"/>
      <c r="E51" s="5"/>
    </row>
    <row r="52" spans="1:5" x14ac:dyDescent="0.25">
      <c r="A52" s="12">
        <v>1</v>
      </c>
      <c r="B52" s="7">
        <v>3</v>
      </c>
      <c r="D52" t="s">
        <v>17</v>
      </c>
      <c r="E52">
        <f>_xlfn.T.INV.2T(E47,E45)</f>
        <v>1.974016707630968</v>
      </c>
    </row>
    <row r="53" spans="1:5" x14ac:dyDescent="0.25">
      <c r="A53" s="12">
        <v>2</v>
      </c>
      <c r="B53" s="7">
        <v>3</v>
      </c>
      <c r="D53" t="s">
        <v>18</v>
      </c>
      <c r="E53">
        <f>_xlfn.T.INV(E47, E45)</f>
        <v>-1.6538663174526766</v>
      </c>
    </row>
    <row r="54" spans="1:5" x14ac:dyDescent="0.25">
      <c r="A54" s="12">
        <v>2</v>
      </c>
      <c r="B54" s="7">
        <v>5</v>
      </c>
    </row>
    <row r="55" spans="1:5" x14ac:dyDescent="0.25">
      <c r="A55" s="12">
        <v>1</v>
      </c>
      <c r="B55" s="7">
        <v>5</v>
      </c>
      <c r="D55" t="s">
        <v>19</v>
      </c>
      <c r="E55">
        <f>TTEST(A:A,B:B,2,2)</f>
        <v>5.7907083372626613E-36</v>
      </c>
    </row>
    <row r="56" spans="1:5" x14ac:dyDescent="0.25">
      <c r="A56" s="12">
        <v>1</v>
      </c>
      <c r="B56" s="7">
        <v>4</v>
      </c>
      <c r="D56" t="s">
        <v>20</v>
      </c>
      <c r="E56">
        <f>TTEST(A:A,B:B,1,2)</f>
        <v>2.8953541686313306E-36</v>
      </c>
    </row>
    <row r="57" spans="1:5" x14ac:dyDescent="0.25">
      <c r="A57" s="12">
        <v>2</v>
      </c>
      <c r="B57" s="7">
        <v>3</v>
      </c>
    </row>
    <row r="58" spans="1:5" x14ac:dyDescent="0.25">
      <c r="A58" s="12">
        <v>4</v>
      </c>
      <c r="B58" s="7">
        <v>3</v>
      </c>
    </row>
    <row r="59" spans="1:5" x14ac:dyDescent="0.25">
      <c r="A59" s="12">
        <v>1</v>
      </c>
      <c r="B59" s="7">
        <v>5</v>
      </c>
      <c r="D59" s="5" t="s">
        <v>21</v>
      </c>
      <c r="E59" s="5"/>
    </row>
    <row r="60" spans="1:5" x14ac:dyDescent="0.25">
      <c r="A60" s="12">
        <v>1</v>
      </c>
      <c r="B60" s="7">
        <v>3</v>
      </c>
    </row>
    <row r="61" spans="1:5" x14ac:dyDescent="0.25">
      <c r="A61" s="12">
        <v>2</v>
      </c>
      <c r="B61" s="7">
        <v>5</v>
      </c>
      <c r="D61" t="s">
        <v>22</v>
      </c>
    </row>
    <row r="62" spans="1:5" x14ac:dyDescent="0.25">
      <c r="A62" s="12">
        <v>2</v>
      </c>
      <c r="B62" s="7">
        <v>4</v>
      </c>
      <c r="D62" t="s">
        <v>23</v>
      </c>
    </row>
    <row r="63" spans="1:5" x14ac:dyDescent="0.25">
      <c r="A63" s="12">
        <v>1</v>
      </c>
      <c r="B63" s="7">
        <v>4</v>
      </c>
    </row>
    <row r="64" spans="1:5" x14ac:dyDescent="0.25">
      <c r="A64" s="12">
        <v>2</v>
      </c>
      <c r="B64" s="7">
        <v>3</v>
      </c>
      <c r="D64" t="s">
        <v>24</v>
      </c>
    </row>
    <row r="65" spans="1:4" x14ac:dyDescent="0.25">
      <c r="A65" s="12">
        <v>1</v>
      </c>
      <c r="B65" s="7">
        <v>2</v>
      </c>
      <c r="D65" t="s">
        <v>25</v>
      </c>
    </row>
    <row r="66" spans="1:4" x14ac:dyDescent="0.25">
      <c r="A66" s="12">
        <v>2</v>
      </c>
      <c r="B66" s="7">
        <v>3</v>
      </c>
    </row>
    <row r="67" spans="1:4" x14ac:dyDescent="0.25">
      <c r="A67" s="12">
        <v>5</v>
      </c>
      <c r="B67" s="7">
        <v>5</v>
      </c>
    </row>
    <row r="68" spans="1:4" x14ac:dyDescent="0.25">
      <c r="A68" s="12">
        <v>3</v>
      </c>
      <c r="B68" s="7">
        <v>4</v>
      </c>
      <c r="D68" s="10" t="s">
        <v>26</v>
      </c>
    </row>
    <row r="69" spans="1:4" x14ac:dyDescent="0.25">
      <c r="A69" s="12">
        <v>1</v>
      </c>
      <c r="B69" s="7">
        <v>3</v>
      </c>
    </row>
    <row r="70" spans="1:4" x14ac:dyDescent="0.25">
      <c r="A70" s="12">
        <v>2</v>
      </c>
      <c r="B70" s="7">
        <v>4</v>
      </c>
      <c r="D70" t="s">
        <v>27</v>
      </c>
    </row>
    <row r="71" spans="1:4" x14ac:dyDescent="0.25">
      <c r="A71" s="12">
        <v>1</v>
      </c>
      <c r="B71" s="7">
        <v>3</v>
      </c>
      <c r="D71" t="s">
        <v>28</v>
      </c>
    </row>
    <row r="72" spans="1:4" x14ac:dyDescent="0.25">
      <c r="A72" s="12">
        <v>2</v>
      </c>
      <c r="B72" s="7">
        <v>4</v>
      </c>
      <c r="D72" t="s">
        <v>29</v>
      </c>
    </row>
    <row r="73" spans="1:4" x14ac:dyDescent="0.25">
      <c r="A73" s="12">
        <v>1</v>
      </c>
      <c r="B73" s="7">
        <v>5</v>
      </c>
    </row>
    <row r="74" spans="1:4" x14ac:dyDescent="0.25">
      <c r="A74" s="12">
        <v>2</v>
      </c>
      <c r="B74" s="7">
        <v>3</v>
      </c>
    </row>
    <row r="75" spans="1:4" x14ac:dyDescent="0.25">
      <c r="A75" s="12">
        <v>1</v>
      </c>
      <c r="B75" s="7">
        <v>5</v>
      </c>
      <c r="D75" s="10" t="s">
        <v>26</v>
      </c>
    </row>
    <row r="76" spans="1:4" x14ac:dyDescent="0.25">
      <c r="A76" s="12">
        <v>2</v>
      </c>
      <c r="B76" s="7">
        <v>3</v>
      </c>
    </row>
    <row r="77" spans="1:4" x14ac:dyDescent="0.25">
      <c r="A77" s="12">
        <v>2</v>
      </c>
      <c r="B77" s="7">
        <v>3</v>
      </c>
    </row>
    <row r="78" spans="1:4" x14ac:dyDescent="0.25">
      <c r="A78" s="12">
        <v>2</v>
      </c>
      <c r="B78" s="7">
        <v>5</v>
      </c>
    </row>
    <row r="79" spans="1:4" x14ac:dyDescent="0.25">
      <c r="A79" s="12">
        <v>1</v>
      </c>
      <c r="B79" s="7">
        <v>5</v>
      </c>
    </row>
    <row r="80" spans="1:4" x14ac:dyDescent="0.25">
      <c r="A80" s="12">
        <v>1</v>
      </c>
      <c r="B80" s="7">
        <v>5</v>
      </c>
    </row>
    <row r="81" spans="1:4" x14ac:dyDescent="0.25">
      <c r="A81" s="12">
        <v>2</v>
      </c>
      <c r="B81" s="7">
        <v>4</v>
      </c>
    </row>
    <row r="82" spans="1:4" x14ac:dyDescent="0.25">
      <c r="A82" s="12">
        <v>1</v>
      </c>
      <c r="B82" s="7">
        <v>5</v>
      </c>
      <c r="D82" t="s">
        <v>30</v>
      </c>
    </row>
    <row r="83" spans="1:4" x14ac:dyDescent="0.25">
      <c r="A83" s="12">
        <v>2</v>
      </c>
      <c r="B83" s="7">
        <v>4</v>
      </c>
      <c r="D83" t="s">
        <v>29</v>
      </c>
    </row>
    <row r="84" spans="1:4" x14ac:dyDescent="0.25">
      <c r="A84" s="12">
        <v>2</v>
      </c>
      <c r="B84" s="7">
        <v>3</v>
      </c>
      <c r="D84" t="s">
        <v>30</v>
      </c>
    </row>
    <row r="85" spans="1:4" x14ac:dyDescent="0.25">
      <c r="A85" s="12">
        <v>1</v>
      </c>
      <c r="B85" s="7">
        <v>4</v>
      </c>
      <c r="D85" t="s">
        <v>29</v>
      </c>
    </row>
    <row r="86" spans="1:4" x14ac:dyDescent="0.25">
      <c r="A86" s="12">
        <v>2</v>
      </c>
      <c r="B86" s="7">
        <v>5</v>
      </c>
    </row>
    <row r="87" spans="1:4" x14ac:dyDescent="0.25">
      <c r="A87" s="12">
        <v>2</v>
      </c>
      <c r="B87" s="7">
        <v>5</v>
      </c>
    </row>
    <row r="88" spans="1:4" x14ac:dyDescent="0.25">
      <c r="A88" s="12">
        <v>2</v>
      </c>
      <c r="B88" s="7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2FF6-A2C4-4787-A2B4-34A770E59687}">
  <dimension ref="A1:F88"/>
  <sheetViews>
    <sheetView zoomScale="70" zoomScaleNormal="70" workbookViewId="0">
      <selection activeCell="D8" sqref="D8"/>
    </sheetView>
  </sheetViews>
  <sheetFormatPr baseColWidth="10" defaultColWidth="9.140625" defaultRowHeight="15" x14ac:dyDescent="0.25"/>
  <cols>
    <col min="1" max="1" width="23.28515625" style="12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51.5" customHeight="1" x14ac:dyDescent="0.25">
      <c r="A1" s="8" t="s">
        <v>57</v>
      </c>
      <c r="B1" s="9" t="s">
        <v>58</v>
      </c>
    </row>
    <row r="2" spans="1:5" x14ac:dyDescent="0.25">
      <c r="A2" s="12">
        <v>2</v>
      </c>
      <c r="B2" s="7">
        <v>3</v>
      </c>
      <c r="D2" s="1" t="s">
        <v>0</v>
      </c>
      <c r="E2">
        <f>AVERAGE(A:A)</f>
        <v>1.7931034482758621</v>
      </c>
    </row>
    <row r="3" spans="1:5" x14ac:dyDescent="0.25">
      <c r="A3" s="12">
        <v>2</v>
      </c>
      <c r="B3" s="7">
        <v>4</v>
      </c>
      <c r="D3" s="1" t="s">
        <v>1</v>
      </c>
      <c r="E3">
        <f>MEDIAN(A:A)</f>
        <v>2</v>
      </c>
    </row>
    <row r="4" spans="1:5" x14ac:dyDescent="0.25">
      <c r="A4" s="12">
        <v>1</v>
      </c>
      <c r="B4" s="7">
        <v>5</v>
      </c>
      <c r="D4" s="1" t="s">
        <v>2</v>
      </c>
      <c r="E4">
        <f>MODE(A:A)</f>
        <v>2</v>
      </c>
    </row>
    <row r="5" spans="1:5" x14ac:dyDescent="0.25">
      <c r="A5" s="12">
        <v>1</v>
      </c>
      <c r="B5" s="7">
        <v>4</v>
      </c>
      <c r="D5" s="1" t="s">
        <v>16</v>
      </c>
      <c r="E5">
        <f>STDEV(A:A)</f>
        <v>0.80893169623523697</v>
      </c>
    </row>
    <row r="6" spans="1:5" x14ac:dyDescent="0.25">
      <c r="A6" s="12">
        <v>5</v>
      </c>
      <c r="B6" s="7">
        <v>3</v>
      </c>
      <c r="D6" s="4" t="s">
        <v>5</v>
      </c>
      <c r="E6">
        <f>COUNT(A:A)</f>
        <v>87</v>
      </c>
    </row>
    <row r="7" spans="1:5" x14ac:dyDescent="0.25">
      <c r="A7" s="12">
        <v>3</v>
      </c>
      <c r="B7" s="7">
        <v>3</v>
      </c>
    </row>
    <row r="8" spans="1:5" x14ac:dyDescent="0.25">
      <c r="A8" s="12">
        <v>1</v>
      </c>
      <c r="B8" s="7">
        <v>5</v>
      </c>
      <c r="D8" s="3" t="s">
        <v>63</v>
      </c>
      <c r="E8">
        <f>AVERAGE(B:B)</f>
        <v>4.0804597701149428</v>
      </c>
    </row>
    <row r="9" spans="1:5" x14ac:dyDescent="0.25">
      <c r="A9" s="12">
        <v>1</v>
      </c>
      <c r="B9" s="7">
        <v>3</v>
      </c>
      <c r="D9" s="3" t="s">
        <v>3</v>
      </c>
      <c r="E9">
        <f>MEDIAN(B:B)</f>
        <v>4</v>
      </c>
    </row>
    <row r="10" spans="1:5" x14ac:dyDescent="0.25">
      <c r="A10" s="12">
        <v>1</v>
      </c>
      <c r="B10" s="7">
        <v>3</v>
      </c>
      <c r="D10" s="3" t="s">
        <v>4</v>
      </c>
      <c r="E10">
        <f>MODE(B:B)</f>
        <v>4</v>
      </c>
    </row>
    <row r="11" spans="1:5" x14ac:dyDescent="0.25">
      <c r="A11" s="12">
        <v>1</v>
      </c>
      <c r="B11" s="7">
        <v>5</v>
      </c>
      <c r="D11" s="3" t="s">
        <v>15</v>
      </c>
      <c r="E11">
        <f>STDEV(B:B)</f>
        <v>0.79560406777810166</v>
      </c>
    </row>
    <row r="12" spans="1:5" x14ac:dyDescent="0.25">
      <c r="A12" s="12">
        <v>2</v>
      </c>
      <c r="B12" s="7">
        <v>3</v>
      </c>
      <c r="D12" s="5" t="s">
        <v>6</v>
      </c>
      <c r="E12">
        <f>COUNT(B:B)</f>
        <v>87</v>
      </c>
    </row>
    <row r="13" spans="1:5" x14ac:dyDescent="0.25">
      <c r="A13" s="12">
        <v>2</v>
      </c>
      <c r="B13" s="7">
        <v>3</v>
      </c>
    </row>
    <row r="14" spans="1:5" x14ac:dyDescent="0.25">
      <c r="A14" s="12">
        <v>1</v>
      </c>
      <c r="B14" s="7">
        <v>4</v>
      </c>
    </row>
    <row r="15" spans="1:5" x14ac:dyDescent="0.25">
      <c r="A15" s="12">
        <v>2</v>
      </c>
      <c r="B15" s="7">
        <v>3</v>
      </c>
    </row>
    <row r="16" spans="1:5" x14ac:dyDescent="0.25">
      <c r="A16" s="12">
        <v>1</v>
      </c>
      <c r="B16" s="7">
        <v>5</v>
      </c>
    </row>
    <row r="17" spans="1:5" x14ac:dyDescent="0.25">
      <c r="A17" s="12">
        <v>1</v>
      </c>
      <c r="B17" s="7">
        <v>3</v>
      </c>
      <c r="D17" s="2" t="s">
        <v>7</v>
      </c>
      <c r="E17" s="2"/>
    </row>
    <row r="18" spans="1:5" x14ac:dyDescent="0.25">
      <c r="A18" s="12">
        <v>2</v>
      </c>
      <c r="B18" s="7">
        <v>5</v>
      </c>
    </row>
    <row r="19" spans="1:5" x14ac:dyDescent="0.25">
      <c r="A19" s="12">
        <v>2</v>
      </c>
      <c r="B19" s="7">
        <v>4</v>
      </c>
    </row>
    <row r="20" spans="1:5" x14ac:dyDescent="0.25">
      <c r="A20" s="12">
        <v>2</v>
      </c>
      <c r="B20" s="7">
        <v>3</v>
      </c>
    </row>
    <row r="21" spans="1:5" x14ac:dyDescent="0.25">
      <c r="A21" s="12">
        <v>1</v>
      </c>
      <c r="B21" s="7">
        <v>4</v>
      </c>
    </row>
    <row r="22" spans="1:5" x14ac:dyDescent="0.25">
      <c r="A22" s="12">
        <v>2</v>
      </c>
      <c r="B22" s="7">
        <v>4</v>
      </c>
    </row>
    <row r="23" spans="1:5" x14ac:dyDescent="0.25">
      <c r="A23" s="12">
        <v>1</v>
      </c>
      <c r="B23" s="7">
        <v>5</v>
      </c>
    </row>
    <row r="24" spans="1:5" x14ac:dyDescent="0.25">
      <c r="A24" s="12">
        <v>1</v>
      </c>
      <c r="B24" s="7">
        <v>5</v>
      </c>
    </row>
    <row r="25" spans="1:5" x14ac:dyDescent="0.25">
      <c r="A25" s="12">
        <v>1</v>
      </c>
      <c r="B25" s="7">
        <v>3</v>
      </c>
    </row>
    <row r="26" spans="1:5" x14ac:dyDescent="0.25">
      <c r="A26" s="12">
        <v>1</v>
      </c>
      <c r="B26" s="7">
        <v>3</v>
      </c>
    </row>
    <row r="27" spans="1:5" x14ac:dyDescent="0.25">
      <c r="A27" s="12">
        <v>2</v>
      </c>
      <c r="B27" s="7">
        <v>5</v>
      </c>
    </row>
    <row r="28" spans="1:5" x14ac:dyDescent="0.25">
      <c r="A28" s="12">
        <v>1</v>
      </c>
      <c r="B28" s="7">
        <v>4</v>
      </c>
    </row>
    <row r="29" spans="1:5" x14ac:dyDescent="0.25">
      <c r="A29" s="12">
        <v>2</v>
      </c>
      <c r="B29" s="7">
        <v>4</v>
      </c>
      <c r="D29" t="s">
        <v>12</v>
      </c>
      <c r="E29">
        <f>(E2-E8)/SQRT(((E5^2)/E6)+((E11^2)/E12))</f>
        <v>-18.803732532209061</v>
      </c>
    </row>
    <row r="30" spans="1:5" x14ac:dyDescent="0.25">
      <c r="A30" s="12">
        <v>2</v>
      </c>
      <c r="B30" s="7">
        <v>3</v>
      </c>
    </row>
    <row r="31" spans="1:5" x14ac:dyDescent="0.25">
      <c r="A31" s="12">
        <v>1</v>
      </c>
      <c r="B31" s="7">
        <v>3</v>
      </c>
      <c r="D31" s="2" t="s">
        <v>8</v>
      </c>
      <c r="E31" s="2"/>
    </row>
    <row r="32" spans="1:5" x14ac:dyDescent="0.25">
      <c r="A32" s="12">
        <v>2</v>
      </c>
      <c r="B32" s="7">
        <v>5</v>
      </c>
    </row>
    <row r="33" spans="1:6" x14ac:dyDescent="0.25">
      <c r="A33" s="12">
        <v>1</v>
      </c>
      <c r="B33" s="7">
        <v>5</v>
      </c>
    </row>
    <row r="34" spans="1:6" x14ac:dyDescent="0.25">
      <c r="A34" s="12">
        <v>1</v>
      </c>
      <c r="B34" s="7">
        <v>3</v>
      </c>
    </row>
    <row r="35" spans="1:6" x14ac:dyDescent="0.25">
      <c r="A35" s="12">
        <v>1</v>
      </c>
      <c r="B35" s="7">
        <v>3</v>
      </c>
    </row>
    <row r="36" spans="1:6" x14ac:dyDescent="0.25">
      <c r="A36" s="12">
        <v>2</v>
      </c>
      <c r="B36" s="7">
        <v>5</v>
      </c>
    </row>
    <row r="37" spans="1:6" x14ac:dyDescent="0.25">
      <c r="A37" s="12">
        <v>3</v>
      </c>
      <c r="B37" s="7">
        <v>4</v>
      </c>
    </row>
    <row r="38" spans="1:6" x14ac:dyDescent="0.25">
      <c r="A38" s="12">
        <v>2</v>
      </c>
      <c r="B38" s="7">
        <v>4</v>
      </c>
    </row>
    <row r="39" spans="1:6" x14ac:dyDescent="0.25">
      <c r="A39" s="12">
        <v>2</v>
      </c>
      <c r="B39" s="7">
        <v>3</v>
      </c>
    </row>
    <row r="40" spans="1:6" x14ac:dyDescent="0.25">
      <c r="A40" s="12">
        <v>2</v>
      </c>
      <c r="B40" s="7">
        <v>5</v>
      </c>
    </row>
    <row r="41" spans="1:6" ht="29.25" customHeight="1" x14ac:dyDescent="0.25">
      <c r="A41" s="12">
        <v>5</v>
      </c>
      <c r="B41" s="7">
        <v>4</v>
      </c>
      <c r="D41" t="s">
        <v>9</v>
      </c>
      <c r="E41">
        <f>(((E5^2)/E6)+((E11^2)/E12))^2</f>
        <v>2.1895710125235097E-4</v>
      </c>
    </row>
    <row r="42" spans="1:6" ht="47.25" customHeight="1" x14ac:dyDescent="0.25">
      <c r="A42" s="12">
        <v>1</v>
      </c>
      <c r="B42" s="7">
        <v>4</v>
      </c>
      <c r="D42" t="s">
        <v>10</v>
      </c>
      <c r="E42">
        <f>(((E5^2)/E6)^2)/(E6-1)</f>
        <v>6.5782512067558801E-7</v>
      </c>
    </row>
    <row r="43" spans="1:6" ht="43.5" customHeight="1" x14ac:dyDescent="0.25">
      <c r="A43" s="12">
        <v>2</v>
      </c>
      <c r="B43" s="7">
        <v>5</v>
      </c>
      <c r="D43" t="s">
        <v>11</v>
      </c>
      <c r="E43">
        <f>(((E11^2)/E12)^2)/(E12-1)</f>
        <v>6.1553254915964135E-7</v>
      </c>
    </row>
    <row r="44" spans="1:6" x14ac:dyDescent="0.25">
      <c r="A44" s="12">
        <v>1</v>
      </c>
      <c r="B44" s="7">
        <v>5</v>
      </c>
    </row>
    <row r="45" spans="1:6" x14ac:dyDescent="0.25">
      <c r="A45" s="12">
        <v>2</v>
      </c>
      <c r="B45" s="7">
        <v>4</v>
      </c>
      <c r="D45" t="s">
        <v>8</v>
      </c>
      <c r="E45">
        <f>E41/(E42+E43)</f>
        <v>171.95255224769934</v>
      </c>
      <c r="F45" s="6" t="s">
        <v>13</v>
      </c>
    </row>
    <row r="46" spans="1:6" x14ac:dyDescent="0.25">
      <c r="A46" s="12">
        <v>2</v>
      </c>
      <c r="B46" s="7">
        <v>5</v>
      </c>
    </row>
    <row r="47" spans="1:6" x14ac:dyDescent="0.25">
      <c r="A47" s="12">
        <v>2</v>
      </c>
      <c r="B47" s="7">
        <v>4</v>
      </c>
      <c r="D47" t="s">
        <v>14</v>
      </c>
      <c r="E47">
        <v>0.05</v>
      </c>
      <c r="F47" s="6" t="s">
        <v>13</v>
      </c>
    </row>
    <row r="48" spans="1:6" x14ac:dyDescent="0.25">
      <c r="A48" s="12">
        <v>2</v>
      </c>
      <c r="B48" s="7">
        <v>5</v>
      </c>
    </row>
    <row r="49" spans="1:5" x14ac:dyDescent="0.25">
      <c r="A49" s="12">
        <v>2</v>
      </c>
      <c r="B49" s="7">
        <v>4</v>
      </c>
    </row>
    <row r="50" spans="1:5" x14ac:dyDescent="0.25">
      <c r="A50" s="12">
        <v>1</v>
      </c>
      <c r="B50" s="7">
        <v>5</v>
      </c>
    </row>
    <row r="51" spans="1:5" x14ac:dyDescent="0.25">
      <c r="A51" s="12">
        <v>1</v>
      </c>
      <c r="B51" s="7">
        <v>3</v>
      </c>
      <c r="D51" s="5"/>
      <c r="E51" s="5"/>
    </row>
    <row r="52" spans="1:5" x14ac:dyDescent="0.25">
      <c r="A52" s="12">
        <v>3</v>
      </c>
      <c r="B52" s="7">
        <v>5</v>
      </c>
      <c r="D52" t="s">
        <v>17</v>
      </c>
      <c r="E52">
        <f>_xlfn.T.INV.2T(E47,E45)</f>
        <v>1.9739339541031049</v>
      </c>
    </row>
    <row r="53" spans="1:5" x14ac:dyDescent="0.25">
      <c r="A53" s="12">
        <v>2</v>
      </c>
      <c r="B53" s="7">
        <v>5</v>
      </c>
      <c r="D53" t="s">
        <v>18</v>
      </c>
      <c r="E53">
        <f>_xlfn.T.INV(E47, E45)</f>
        <v>-1.6538133236322152</v>
      </c>
    </row>
    <row r="54" spans="1:5" x14ac:dyDescent="0.25">
      <c r="A54" s="12">
        <v>2</v>
      </c>
      <c r="B54" s="7">
        <v>5</v>
      </c>
    </row>
    <row r="55" spans="1:5" x14ac:dyDescent="0.25">
      <c r="A55" s="12">
        <v>3</v>
      </c>
      <c r="B55" s="7">
        <v>4</v>
      </c>
      <c r="D55" t="s">
        <v>19</v>
      </c>
      <c r="E55">
        <f>TTEST(A:A,B:B,2,2)</f>
        <v>1.4089507869644259E-43</v>
      </c>
    </row>
    <row r="56" spans="1:5" x14ac:dyDescent="0.25">
      <c r="A56" s="12">
        <v>1</v>
      </c>
      <c r="B56" s="7">
        <v>4</v>
      </c>
      <c r="D56" t="s">
        <v>20</v>
      </c>
      <c r="E56">
        <f>TTEST(A:A,B:B,1,2)</f>
        <v>7.0447539348221296E-44</v>
      </c>
    </row>
    <row r="57" spans="1:5" x14ac:dyDescent="0.25">
      <c r="A57" s="12">
        <v>2</v>
      </c>
      <c r="B57" s="7">
        <v>4</v>
      </c>
    </row>
    <row r="58" spans="1:5" x14ac:dyDescent="0.25">
      <c r="A58" s="12">
        <v>2</v>
      </c>
      <c r="B58" s="7">
        <v>5</v>
      </c>
    </row>
    <row r="59" spans="1:5" x14ac:dyDescent="0.25">
      <c r="A59" s="12">
        <v>1</v>
      </c>
      <c r="B59" s="7">
        <v>4</v>
      </c>
      <c r="D59" s="5" t="s">
        <v>21</v>
      </c>
      <c r="E59" s="5"/>
    </row>
    <row r="60" spans="1:5" x14ac:dyDescent="0.25">
      <c r="A60" s="12">
        <v>1</v>
      </c>
      <c r="B60" s="7">
        <v>4</v>
      </c>
    </row>
    <row r="61" spans="1:5" x14ac:dyDescent="0.25">
      <c r="A61" s="12">
        <v>2</v>
      </c>
      <c r="B61" s="7">
        <v>3</v>
      </c>
      <c r="D61" t="s">
        <v>22</v>
      </c>
    </row>
    <row r="62" spans="1:5" x14ac:dyDescent="0.25">
      <c r="A62" s="12">
        <v>2</v>
      </c>
      <c r="B62" s="7">
        <v>4</v>
      </c>
      <c r="D62" t="s">
        <v>23</v>
      </c>
    </row>
    <row r="63" spans="1:5" x14ac:dyDescent="0.25">
      <c r="A63" s="12">
        <v>1</v>
      </c>
      <c r="B63" s="7">
        <v>3</v>
      </c>
    </row>
    <row r="64" spans="1:5" x14ac:dyDescent="0.25">
      <c r="A64" s="12">
        <v>2</v>
      </c>
      <c r="B64" s="7">
        <v>5</v>
      </c>
      <c r="D64" t="s">
        <v>24</v>
      </c>
    </row>
    <row r="65" spans="1:4" x14ac:dyDescent="0.25">
      <c r="A65" s="12">
        <v>3</v>
      </c>
      <c r="B65" s="7">
        <v>5</v>
      </c>
      <c r="D65" t="s">
        <v>25</v>
      </c>
    </row>
    <row r="66" spans="1:4" x14ac:dyDescent="0.25">
      <c r="A66" s="12">
        <v>2</v>
      </c>
      <c r="B66" s="7">
        <v>5</v>
      </c>
    </row>
    <row r="67" spans="1:4" x14ac:dyDescent="0.25">
      <c r="A67" s="12">
        <v>3</v>
      </c>
      <c r="B67" s="7">
        <v>5</v>
      </c>
    </row>
    <row r="68" spans="1:4" x14ac:dyDescent="0.25">
      <c r="A68" s="12">
        <v>2</v>
      </c>
      <c r="B68" s="7">
        <v>4</v>
      </c>
      <c r="D68" s="10" t="s">
        <v>26</v>
      </c>
    </row>
    <row r="69" spans="1:4" x14ac:dyDescent="0.25">
      <c r="A69" s="12">
        <v>3</v>
      </c>
      <c r="B69" s="7">
        <v>3</v>
      </c>
    </row>
    <row r="70" spans="1:4" x14ac:dyDescent="0.25">
      <c r="A70" s="12">
        <v>2</v>
      </c>
      <c r="B70" s="7">
        <v>5</v>
      </c>
      <c r="D70" t="s">
        <v>27</v>
      </c>
    </row>
    <row r="71" spans="1:4" x14ac:dyDescent="0.25">
      <c r="A71" s="12">
        <v>1</v>
      </c>
      <c r="B71" s="7">
        <v>4</v>
      </c>
      <c r="D71" t="s">
        <v>28</v>
      </c>
    </row>
    <row r="72" spans="1:4" x14ac:dyDescent="0.25">
      <c r="A72" s="12">
        <v>2</v>
      </c>
      <c r="B72" s="7">
        <v>4</v>
      </c>
      <c r="D72" t="s">
        <v>29</v>
      </c>
    </row>
    <row r="73" spans="1:4" x14ac:dyDescent="0.25">
      <c r="A73" s="12">
        <v>3</v>
      </c>
      <c r="B73" s="7">
        <v>4</v>
      </c>
    </row>
    <row r="74" spans="1:4" x14ac:dyDescent="0.25">
      <c r="A74" s="12">
        <v>2</v>
      </c>
      <c r="B74" s="7">
        <v>4</v>
      </c>
    </row>
    <row r="75" spans="1:4" x14ac:dyDescent="0.25">
      <c r="A75" s="12">
        <v>1</v>
      </c>
      <c r="B75" s="7">
        <v>4</v>
      </c>
      <c r="D75" s="10" t="s">
        <v>26</v>
      </c>
    </row>
    <row r="76" spans="1:4" x14ac:dyDescent="0.25">
      <c r="A76" s="12">
        <v>2</v>
      </c>
      <c r="B76" s="7">
        <v>5</v>
      </c>
    </row>
    <row r="77" spans="1:4" x14ac:dyDescent="0.25">
      <c r="A77" s="12">
        <v>2</v>
      </c>
      <c r="B77" s="7">
        <v>3</v>
      </c>
    </row>
    <row r="78" spans="1:4" x14ac:dyDescent="0.25">
      <c r="A78" s="12">
        <v>2</v>
      </c>
      <c r="B78" s="7">
        <v>4</v>
      </c>
    </row>
    <row r="79" spans="1:4" x14ac:dyDescent="0.25">
      <c r="A79" s="12">
        <v>1</v>
      </c>
      <c r="B79" s="7">
        <v>4</v>
      </c>
    </row>
    <row r="80" spans="1:4" x14ac:dyDescent="0.25">
      <c r="A80" s="12">
        <v>1</v>
      </c>
      <c r="B80" s="7">
        <v>3</v>
      </c>
    </row>
    <row r="81" spans="1:4" x14ac:dyDescent="0.25">
      <c r="A81" s="12">
        <v>2</v>
      </c>
      <c r="B81" s="7">
        <v>5</v>
      </c>
    </row>
    <row r="82" spans="1:4" x14ac:dyDescent="0.25">
      <c r="A82" s="12">
        <v>1</v>
      </c>
      <c r="B82" s="7">
        <v>4</v>
      </c>
      <c r="D82" t="s">
        <v>30</v>
      </c>
    </row>
    <row r="83" spans="1:4" x14ac:dyDescent="0.25">
      <c r="A83" s="12">
        <v>2</v>
      </c>
      <c r="B83" s="7">
        <v>4</v>
      </c>
      <c r="D83" t="s">
        <v>29</v>
      </c>
    </row>
    <row r="84" spans="1:4" x14ac:dyDescent="0.25">
      <c r="A84" s="12">
        <v>2</v>
      </c>
      <c r="B84" s="7">
        <v>5</v>
      </c>
      <c r="D84" t="s">
        <v>30</v>
      </c>
    </row>
    <row r="85" spans="1:4" x14ac:dyDescent="0.25">
      <c r="A85" s="12">
        <v>1</v>
      </c>
      <c r="B85" s="7">
        <v>5</v>
      </c>
      <c r="D85" t="s">
        <v>29</v>
      </c>
    </row>
    <row r="86" spans="1:4" x14ac:dyDescent="0.25">
      <c r="A86" s="12">
        <v>2</v>
      </c>
      <c r="B86" s="7">
        <v>3</v>
      </c>
    </row>
    <row r="87" spans="1:4" x14ac:dyDescent="0.25">
      <c r="A87" s="12">
        <v>3</v>
      </c>
      <c r="B87" s="7">
        <v>4</v>
      </c>
    </row>
    <row r="88" spans="1:4" x14ac:dyDescent="0.25">
      <c r="A88" s="12">
        <v>2</v>
      </c>
      <c r="B88" s="7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5792-7FEE-475B-BA9D-2F0EB330797C}">
  <dimension ref="A1:F88"/>
  <sheetViews>
    <sheetView zoomScale="70" zoomScaleNormal="70" workbookViewId="0">
      <selection activeCell="D8" sqref="D8"/>
    </sheetView>
  </sheetViews>
  <sheetFormatPr baseColWidth="10" defaultColWidth="9.140625" defaultRowHeight="15" x14ac:dyDescent="0.25"/>
  <cols>
    <col min="1" max="1" width="23.28515625" style="12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51.5" customHeight="1" x14ac:dyDescent="0.25">
      <c r="A1" s="8" t="s">
        <v>55</v>
      </c>
      <c r="B1" s="9" t="s">
        <v>56</v>
      </c>
    </row>
    <row r="2" spans="1:5" x14ac:dyDescent="0.25">
      <c r="A2" s="12">
        <v>2</v>
      </c>
      <c r="B2" s="7">
        <v>5</v>
      </c>
      <c r="D2" s="1" t="s">
        <v>0</v>
      </c>
      <c r="E2">
        <f>AVERAGE(A:A)</f>
        <v>1.7241379310344827</v>
      </c>
    </row>
    <row r="3" spans="1:5" x14ac:dyDescent="0.25">
      <c r="A3" s="12">
        <v>2</v>
      </c>
      <c r="B3" s="7">
        <v>3</v>
      </c>
      <c r="D3" s="1" t="s">
        <v>1</v>
      </c>
      <c r="E3">
        <f>MEDIAN(A:A)</f>
        <v>2</v>
      </c>
    </row>
    <row r="4" spans="1:5" x14ac:dyDescent="0.25">
      <c r="A4" s="12">
        <v>1</v>
      </c>
      <c r="B4" s="7">
        <v>3</v>
      </c>
      <c r="D4" s="1" t="s">
        <v>2</v>
      </c>
      <c r="E4">
        <f>MODE(A:A)</f>
        <v>2</v>
      </c>
    </row>
    <row r="5" spans="1:5" x14ac:dyDescent="0.25">
      <c r="A5" s="12">
        <v>3</v>
      </c>
      <c r="B5" s="7">
        <v>3</v>
      </c>
      <c r="D5" s="1" t="s">
        <v>16</v>
      </c>
      <c r="E5">
        <f>STDEV(A:A)</f>
        <v>0.65927471022670547</v>
      </c>
    </row>
    <row r="6" spans="1:5" x14ac:dyDescent="0.25">
      <c r="A6" s="12">
        <v>3</v>
      </c>
      <c r="B6" s="7">
        <v>5</v>
      </c>
      <c r="D6" s="4" t="s">
        <v>5</v>
      </c>
      <c r="E6">
        <f>COUNT(A:A)</f>
        <v>87</v>
      </c>
    </row>
    <row r="7" spans="1:5" x14ac:dyDescent="0.25">
      <c r="A7" s="12">
        <v>1</v>
      </c>
      <c r="B7" s="7">
        <v>3</v>
      </c>
    </row>
    <row r="8" spans="1:5" x14ac:dyDescent="0.25">
      <c r="A8" s="12">
        <v>1</v>
      </c>
      <c r="B8" s="7">
        <v>4</v>
      </c>
      <c r="D8" s="3" t="s">
        <v>63</v>
      </c>
      <c r="E8">
        <f>AVERAGE(B:B)</f>
        <v>3.8275862068965516</v>
      </c>
    </row>
    <row r="9" spans="1:5" x14ac:dyDescent="0.25">
      <c r="A9" s="12">
        <v>1</v>
      </c>
      <c r="B9" s="7">
        <v>5</v>
      </c>
      <c r="D9" s="3" t="s">
        <v>3</v>
      </c>
      <c r="E9">
        <f>MEDIAN(B:B)</f>
        <v>4</v>
      </c>
    </row>
    <row r="10" spans="1:5" x14ac:dyDescent="0.25">
      <c r="A10" s="12">
        <v>2</v>
      </c>
      <c r="B10" s="7">
        <v>5</v>
      </c>
      <c r="D10" s="3" t="s">
        <v>4</v>
      </c>
      <c r="E10">
        <f>MODE(B:B)</f>
        <v>3</v>
      </c>
    </row>
    <row r="11" spans="1:5" x14ac:dyDescent="0.25">
      <c r="A11" s="12">
        <v>3</v>
      </c>
      <c r="B11" s="7">
        <v>3</v>
      </c>
      <c r="D11" s="3" t="s">
        <v>15</v>
      </c>
      <c r="E11">
        <f>STDEV(B:B)</f>
        <v>0.89191323688636925</v>
      </c>
    </row>
    <row r="12" spans="1:5" x14ac:dyDescent="0.25">
      <c r="A12" s="12">
        <v>2</v>
      </c>
      <c r="B12" s="7">
        <v>3</v>
      </c>
      <c r="D12" s="5" t="s">
        <v>6</v>
      </c>
      <c r="E12">
        <f>COUNT(B:B)</f>
        <v>87</v>
      </c>
    </row>
    <row r="13" spans="1:5" x14ac:dyDescent="0.25">
      <c r="A13" s="12">
        <v>1</v>
      </c>
      <c r="B13" s="7">
        <v>4</v>
      </c>
    </row>
    <row r="14" spans="1:5" x14ac:dyDescent="0.25">
      <c r="A14" s="12">
        <v>1</v>
      </c>
      <c r="B14" s="7">
        <v>3</v>
      </c>
    </row>
    <row r="15" spans="1:5" x14ac:dyDescent="0.25">
      <c r="A15" s="12">
        <v>2</v>
      </c>
      <c r="B15" s="7">
        <v>3</v>
      </c>
    </row>
    <row r="16" spans="1:5" x14ac:dyDescent="0.25">
      <c r="A16" s="12">
        <v>1</v>
      </c>
      <c r="B16" s="7">
        <v>5</v>
      </c>
    </row>
    <row r="17" spans="1:5" x14ac:dyDescent="0.25">
      <c r="A17" s="12">
        <v>3</v>
      </c>
      <c r="B17" s="7">
        <v>5</v>
      </c>
      <c r="D17" s="2" t="s">
        <v>7</v>
      </c>
      <c r="E17" s="2"/>
    </row>
    <row r="18" spans="1:5" x14ac:dyDescent="0.25">
      <c r="A18" s="12">
        <v>2</v>
      </c>
      <c r="B18" s="7">
        <v>3</v>
      </c>
    </row>
    <row r="19" spans="1:5" x14ac:dyDescent="0.25">
      <c r="A19" s="12">
        <v>2</v>
      </c>
      <c r="B19" s="7">
        <v>3</v>
      </c>
    </row>
    <row r="20" spans="1:5" x14ac:dyDescent="0.25">
      <c r="A20" s="12">
        <v>1</v>
      </c>
      <c r="B20" s="7">
        <v>4</v>
      </c>
    </row>
    <row r="21" spans="1:5" x14ac:dyDescent="0.25">
      <c r="A21" s="12">
        <v>1</v>
      </c>
      <c r="B21" s="7">
        <v>3</v>
      </c>
    </row>
    <row r="22" spans="1:5" x14ac:dyDescent="0.25">
      <c r="A22" s="12">
        <v>2</v>
      </c>
      <c r="B22" s="7">
        <v>5</v>
      </c>
    </row>
    <row r="23" spans="1:5" x14ac:dyDescent="0.25">
      <c r="A23" s="12">
        <v>3</v>
      </c>
      <c r="B23" s="7">
        <v>5</v>
      </c>
    </row>
    <row r="24" spans="1:5" x14ac:dyDescent="0.25">
      <c r="A24" s="12">
        <v>1</v>
      </c>
      <c r="B24" s="7">
        <v>3</v>
      </c>
    </row>
    <row r="25" spans="1:5" x14ac:dyDescent="0.25">
      <c r="A25" s="12">
        <v>3</v>
      </c>
      <c r="B25" s="7">
        <v>5</v>
      </c>
    </row>
    <row r="26" spans="1:5" x14ac:dyDescent="0.25">
      <c r="A26" s="12">
        <v>1</v>
      </c>
      <c r="B26" s="7">
        <v>5</v>
      </c>
    </row>
    <row r="27" spans="1:5" x14ac:dyDescent="0.25">
      <c r="A27" s="12">
        <v>2</v>
      </c>
      <c r="B27" s="7">
        <v>5</v>
      </c>
    </row>
    <row r="28" spans="1:5" x14ac:dyDescent="0.25">
      <c r="A28" s="12">
        <v>1</v>
      </c>
      <c r="B28" s="7">
        <v>5</v>
      </c>
    </row>
    <row r="29" spans="1:5" x14ac:dyDescent="0.25">
      <c r="A29" s="12">
        <v>2</v>
      </c>
      <c r="B29" s="7">
        <v>4</v>
      </c>
      <c r="D29" t="s">
        <v>12</v>
      </c>
      <c r="E29">
        <f>(E2-E8)/SQRT(((E5^2)/E6)+((E11^2)/E12))</f>
        <v>-17.689355515841743</v>
      </c>
    </row>
    <row r="30" spans="1:5" x14ac:dyDescent="0.25">
      <c r="A30" s="12">
        <v>2</v>
      </c>
      <c r="B30" s="7">
        <v>4</v>
      </c>
    </row>
    <row r="31" spans="1:5" x14ac:dyDescent="0.25">
      <c r="A31" s="12">
        <v>1</v>
      </c>
      <c r="B31" s="7">
        <v>3</v>
      </c>
      <c r="D31" s="2" t="s">
        <v>8</v>
      </c>
      <c r="E31" s="2"/>
    </row>
    <row r="32" spans="1:5" x14ac:dyDescent="0.25">
      <c r="A32" s="12">
        <v>2</v>
      </c>
      <c r="B32" s="7">
        <v>3</v>
      </c>
    </row>
    <row r="33" spans="1:6" x14ac:dyDescent="0.25">
      <c r="A33" s="12">
        <v>1</v>
      </c>
      <c r="B33" s="7">
        <v>5</v>
      </c>
    </row>
    <row r="34" spans="1:6" x14ac:dyDescent="0.25">
      <c r="A34" s="12">
        <v>1</v>
      </c>
      <c r="B34" s="7">
        <v>2</v>
      </c>
    </row>
    <row r="35" spans="1:6" x14ac:dyDescent="0.25">
      <c r="A35" s="12">
        <v>1</v>
      </c>
      <c r="B35" s="7">
        <v>4</v>
      </c>
    </row>
    <row r="36" spans="1:6" x14ac:dyDescent="0.25">
      <c r="A36" s="12">
        <v>2</v>
      </c>
      <c r="B36" s="7">
        <v>4</v>
      </c>
    </row>
    <row r="37" spans="1:6" x14ac:dyDescent="0.25">
      <c r="A37" s="12">
        <v>1</v>
      </c>
      <c r="B37" s="7">
        <v>3</v>
      </c>
    </row>
    <row r="38" spans="1:6" x14ac:dyDescent="0.25">
      <c r="A38" s="12">
        <v>2</v>
      </c>
      <c r="B38" s="7">
        <v>5</v>
      </c>
    </row>
    <row r="39" spans="1:6" x14ac:dyDescent="0.25">
      <c r="A39" s="12">
        <v>2</v>
      </c>
      <c r="B39" s="7">
        <v>3</v>
      </c>
    </row>
    <row r="40" spans="1:6" x14ac:dyDescent="0.25">
      <c r="A40" s="12">
        <v>2</v>
      </c>
      <c r="B40" s="7">
        <v>4</v>
      </c>
    </row>
    <row r="41" spans="1:6" ht="29.25" customHeight="1" x14ac:dyDescent="0.25">
      <c r="A41" s="12">
        <v>3</v>
      </c>
      <c r="B41" s="7">
        <v>3</v>
      </c>
      <c r="D41" t="s">
        <v>9</v>
      </c>
      <c r="E41">
        <f>(((E5^2)/E6)+((E11^2)/E12))^2</f>
        <v>1.9993061735794189E-4</v>
      </c>
    </row>
    <row r="42" spans="1:6" ht="47.25" customHeight="1" x14ac:dyDescent="0.25">
      <c r="A42" s="12">
        <v>1</v>
      </c>
      <c r="B42" s="7">
        <v>5</v>
      </c>
      <c r="D42" t="s">
        <v>10</v>
      </c>
      <c r="E42">
        <f>(((E5^2)/E6)^2)/(E6-1)</f>
        <v>2.9022091675999481E-7</v>
      </c>
    </row>
    <row r="43" spans="1:6" ht="43.5" customHeight="1" x14ac:dyDescent="0.25">
      <c r="A43" s="12">
        <v>2</v>
      </c>
      <c r="B43" s="7">
        <v>3</v>
      </c>
      <c r="D43" t="s">
        <v>11</v>
      </c>
      <c r="E43">
        <f>(((E11^2)/E12)^2)/(E12-1)</f>
        <v>9.7219521871471221E-7</v>
      </c>
    </row>
    <row r="44" spans="1:6" x14ac:dyDescent="0.25">
      <c r="A44" s="12">
        <v>1</v>
      </c>
      <c r="B44" s="7">
        <v>5</v>
      </c>
    </row>
    <row r="45" spans="1:6" x14ac:dyDescent="0.25">
      <c r="A45" s="12">
        <v>2</v>
      </c>
      <c r="B45" s="7">
        <v>3</v>
      </c>
      <c r="D45" t="s">
        <v>8</v>
      </c>
      <c r="E45">
        <f>E41/(E42+E43)</f>
        <v>158.3714052282466</v>
      </c>
      <c r="F45" s="6" t="s">
        <v>13</v>
      </c>
    </row>
    <row r="46" spans="1:6" x14ac:dyDescent="0.25">
      <c r="A46" s="12">
        <v>2</v>
      </c>
      <c r="B46" s="7">
        <v>4</v>
      </c>
    </row>
    <row r="47" spans="1:6" x14ac:dyDescent="0.25">
      <c r="A47" s="12">
        <v>2</v>
      </c>
      <c r="B47" s="7">
        <v>3</v>
      </c>
      <c r="D47" t="s">
        <v>14</v>
      </c>
      <c r="E47">
        <v>0.05</v>
      </c>
      <c r="F47" s="6" t="s">
        <v>13</v>
      </c>
    </row>
    <row r="48" spans="1:6" x14ac:dyDescent="0.25">
      <c r="A48" s="12">
        <v>2</v>
      </c>
      <c r="B48" s="7">
        <v>4</v>
      </c>
    </row>
    <row r="49" spans="1:5" x14ac:dyDescent="0.25">
      <c r="A49" s="12">
        <v>2</v>
      </c>
      <c r="B49" s="7">
        <v>5</v>
      </c>
    </row>
    <row r="50" spans="1:5" x14ac:dyDescent="0.25">
      <c r="A50" s="12">
        <v>1</v>
      </c>
      <c r="B50" s="7">
        <v>5</v>
      </c>
    </row>
    <row r="51" spans="1:5" x14ac:dyDescent="0.25">
      <c r="A51" s="12">
        <v>1</v>
      </c>
      <c r="B51" s="7">
        <v>4</v>
      </c>
      <c r="D51" s="5"/>
      <c r="E51" s="5"/>
    </row>
    <row r="52" spans="1:5" x14ac:dyDescent="0.25">
      <c r="A52" s="12">
        <v>1</v>
      </c>
      <c r="B52" s="7">
        <v>5</v>
      </c>
      <c r="D52" t="s">
        <v>17</v>
      </c>
      <c r="E52">
        <f>_xlfn.T.INV.2T(E47,E45)</f>
        <v>1.9750920727120791</v>
      </c>
    </row>
    <row r="53" spans="1:5" x14ac:dyDescent="0.25">
      <c r="A53" s="12">
        <v>2</v>
      </c>
      <c r="B53" s="7">
        <v>4</v>
      </c>
      <c r="D53" t="s">
        <v>18</v>
      </c>
      <c r="E53">
        <f>_xlfn.T.INV(E47, E45)</f>
        <v>-1.654554875439588</v>
      </c>
    </row>
    <row r="54" spans="1:5" x14ac:dyDescent="0.25">
      <c r="A54" s="12">
        <v>2</v>
      </c>
      <c r="B54" s="7">
        <v>3</v>
      </c>
    </row>
    <row r="55" spans="1:5" x14ac:dyDescent="0.25">
      <c r="A55" s="12">
        <v>1</v>
      </c>
      <c r="B55" s="7">
        <v>4</v>
      </c>
      <c r="D55" t="s">
        <v>19</v>
      </c>
      <c r="E55">
        <f>TTEST(A:A,B:B,2,2)</f>
        <v>1.4643250975735336E-40</v>
      </c>
    </row>
    <row r="56" spans="1:5" x14ac:dyDescent="0.25">
      <c r="A56" s="12">
        <v>1</v>
      </c>
      <c r="B56" s="7">
        <v>3</v>
      </c>
      <c r="D56" t="s">
        <v>20</v>
      </c>
      <c r="E56">
        <f>TTEST(A:A,B:B,1,2)</f>
        <v>7.3216254878676679E-41</v>
      </c>
    </row>
    <row r="57" spans="1:5" x14ac:dyDescent="0.25">
      <c r="A57" s="12">
        <v>2</v>
      </c>
      <c r="B57" s="7">
        <v>4</v>
      </c>
    </row>
    <row r="58" spans="1:5" x14ac:dyDescent="0.25">
      <c r="A58" s="12">
        <v>2</v>
      </c>
      <c r="B58" s="7">
        <v>3</v>
      </c>
    </row>
    <row r="59" spans="1:5" x14ac:dyDescent="0.25">
      <c r="A59" s="12">
        <v>1</v>
      </c>
      <c r="B59" s="7">
        <v>3</v>
      </c>
      <c r="D59" s="5" t="s">
        <v>21</v>
      </c>
      <c r="E59" s="5"/>
    </row>
    <row r="60" spans="1:5" x14ac:dyDescent="0.25">
      <c r="A60" s="12">
        <v>1</v>
      </c>
      <c r="B60" s="7">
        <v>5</v>
      </c>
    </row>
    <row r="61" spans="1:5" x14ac:dyDescent="0.25">
      <c r="A61" s="12">
        <v>2</v>
      </c>
      <c r="B61" s="7">
        <v>5</v>
      </c>
      <c r="D61" t="s">
        <v>22</v>
      </c>
    </row>
    <row r="62" spans="1:5" x14ac:dyDescent="0.25">
      <c r="A62" s="12">
        <v>2</v>
      </c>
      <c r="B62" s="7">
        <v>3</v>
      </c>
      <c r="D62" t="s">
        <v>23</v>
      </c>
    </row>
    <row r="63" spans="1:5" x14ac:dyDescent="0.25">
      <c r="A63" s="12">
        <v>3</v>
      </c>
      <c r="B63" s="7">
        <v>3</v>
      </c>
    </row>
    <row r="64" spans="1:5" x14ac:dyDescent="0.25">
      <c r="A64" s="12">
        <v>2</v>
      </c>
      <c r="B64" s="7">
        <v>3</v>
      </c>
      <c r="D64" t="s">
        <v>24</v>
      </c>
    </row>
    <row r="65" spans="1:4" x14ac:dyDescent="0.25">
      <c r="A65" s="12">
        <v>1</v>
      </c>
      <c r="B65" s="7">
        <v>4</v>
      </c>
      <c r="D65" t="s">
        <v>25</v>
      </c>
    </row>
    <row r="66" spans="1:4" x14ac:dyDescent="0.25">
      <c r="A66" s="12">
        <v>2</v>
      </c>
      <c r="B66" s="7">
        <v>5</v>
      </c>
    </row>
    <row r="67" spans="1:4" x14ac:dyDescent="0.25">
      <c r="A67" s="12">
        <v>3</v>
      </c>
      <c r="B67" s="7">
        <v>4</v>
      </c>
    </row>
    <row r="68" spans="1:4" x14ac:dyDescent="0.25">
      <c r="A68" s="12">
        <v>2</v>
      </c>
      <c r="B68" s="7">
        <v>2</v>
      </c>
      <c r="D68" s="10" t="s">
        <v>26</v>
      </c>
    </row>
    <row r="69" spans="1:4" x14ac:dyDescent="0.25">
      <c r="A69" s="12">
        <v>1</v>
      </c>
      <c r="B69" s="7">
        <v>4</v>
      </c>
    </row>
    <row r="70" spans="1:4" x14ac:dyDescent="0.25">
      <c r="A70" s="12">
        <v>2</v>
      </c>
      <c r="B70" s="7">
        <v>5</v>
      </c>
      <c r="D70" t="s">
        <v>27</v>
      </c>
    </row>
    <row r="71" spans="1:4" x14ac:dyDescent="0.25">
      <c r="A71" s="12">
        <v>1</v>
      </c>
      <c r="B71" s="7">
        <v>4</v>
      </c>
      <c r="D71" t="s">
        <v>28</v>
      </c>
    </row>
    <row r="72" spans="1:4" x14ac:dyDescent="0.25">
      <c r="A72" s="12">
        <v>2</v>
      </c>
      <c r="B72" s="7">
        <v>5</v>
      </c>
      <c r="D72" t="s">
        <v>29</v>
      </c>
    </row>
    <row r="73" spans="1:4" x14ac:dyDescent="0.25">
      <c r="A73" s="12">
        <v>3</v>
      </c>
      <c r="B73" s="7">
        <v>3</v>
      </c>
    </row>
    <row r="74" spans="1:4" x14ac:dyDescent="0.25">
      <c r="A74" s="12">
        <v>2</v>
      </c>
      <c r="B74" s="7">
        <v>5</v>
      </c>
    </row>
    <row r="75" spans="1:4" x14ac:dyDescent="0.25">
      <c r="A75" s="12">
        <v>1</v>
      </c>
      <c r="B75" s="7">
        <v>3</v>
      </c>
      <c r="D75" s="10" t="s">
        <v>26</v>
      </c>
    </row>
    <row r="76" spans="1:4" x14ac:dyDescent="0.25">
      <c r="A76" s="12">
        <v>2</v>
      </c>
      <c r="B76" s="7">
        <v>5</v>
      </c>
    </row>
    <row r="77" spans="1:4" x14ac:dyDescent="0.25">
      <c r="A77" s="12">
        <v>2</v>
      </c>
      <c r="B77" s="7">
        <v>3</v>
      </c>
    </row>
    <row r="78" spans="1:4" x14ac:dyDescent="0.25">
      <c r="A78" s="12">
        <v>2</v>
      </c>
      <c r="B78" s="7">
        <v>4</v>
      </c>
    </row>
    <row r="79" spans="1:4" x14ac:dyDescent="0.25">
      <c r="A79" s="12">
        <v>1</v>
      </c>
      <c r="B79" s="7">
        <v>4</v>
      </c>
    </row>
    <row r="80" spans="1:4" x14ac:dyDescent="0.25">
      <c r="A80" s="12">
        <v>1</v>
      </c>
      <c r="B80" s="7">
        <v>3</v>
      </c>
    </row>
    <row r="81" spans="1:4" x14ac:dyDescent="0.25">
      <c r="A81" s="12">
        <v>2</v>
      </c>
      <c r="B81" s="7">
        <v>3</v>
      </c>
    </row>
    <row r="82" spans="1:4" x14ac:dyDescent="0.25">
      <c r="A82" s="12">
        <v>1</v>
      </c>
      <c r="B82" s="7">
        <v>3</v>
      </c>
      <c r="D82" t="s">
        <v>30</v>
      </c>
    </row>
    <row r="83" spans="1:4" x14ac:dyDescent="0.25">
      <c r="A83" s="12">
        <v>2</v>
      </c>
      <c r="B83" s="7">
        <v>4</v>
      </c>
      <c r="D83" t="s">
        <v>29</v>
      </c>
    </row>
    <row r="84" spans="1:4" x14ac:dyDescent="0.25">
      <c r="A84" s="12">
        <v>2</v>
      </c>
      <c r="B84" s="7">
        <v>3</v>
      </c>
      <c r="D84" t="s">
        <v>30</v>
      </c>
    </row>
    <row r="85" spans="1:4" x14ac:dyDescent="0.25">
      <c r="A85" s="12">
        <v>1</v>
      </c>
      <c r="B85" s="7">
        <v>4</v>
      </c>
      <c r="D85" t="s">
        <v>29</v>
      </c>
    </row>
    <row r="86" spans="1:4" x14ac:dyDescent="0.25">
      <c r="A86" s="12">
        <v>2</v>
      </c>
      <c r="B86" s="7">
        <v>3</v>
      </c>
    </row>
    <row r="87" spans="1:4" x14ac:dyDescent="0.25">
      <c r="A87" s="12">
        <v>2</v>
      </c>
      <c r="B87" s="7">
        <v>3</v>
      </c>
    </row>
    <row r="88" spans="1:4" x14ac:dyDescent="0.25">
      <c r="A88" s="12">
        <v>2</v>
      </c>
      <c r="B88" s="7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880D-E783-47B0-9EEA-B4FD82F5688C}">
  <dimension ref="A1:F88"/>
  <sheetViews>
    <sheetView zoomScale="70" zoomScaleNormal="70" workbookViewId="0">
      <selection activeCell="D8" sqref="D8"/>
    </sheetView>
  </sheetViews>
  <sheetFormatPr baseColWidth="10" defaultColWidth="9.140625" defaultRowHeight="15" x14ac:dyDescent="0.25"/>
  <cols>
    <col min="1" max="1" width="23.28515625" style="12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51.5" customHeight="1" x14ac:dyDescent="0.25">
      <c r="A1" s="8" t="s">
        <v>53</v>
      </c>
      <c r="B1" s="9" t="s">
        <v>54</v>
      </c>
    </row>
    <row r="2" spans="1:5" x14ac:dyDescent="0.25">
      <c r="A2" s="12">
        <v>2</v>
      </c>
      <c r="B2" s="7">
        <v>4</v>
      </c>
      <c r="D2" s="1" t="s">
        <v>0</v>
      </c>
      <c r="E2">
        <f>AVERAGE(A:A)</f>
        <v>1.7126436781609196</v>
      </c>
    </row>
    <row r="3" spans="1:5" x14ac:dyDescent="0.25">
      <c r="A3" s="12">
        <v>2</v>
      </c>
      <c r="B3" s="7">
        <v>3</v>
      </c>
      <c r="D3" s="1" t="s">
        <v>1</v>
      </c>
      <c r="E3">
        <f>MEDIAN(A:A)</f>
        <v>2</v>
      </c>
    </row>
    <row r="4" spans="1:5" x14ac:dyDescent="0.25">
      <c r="A4" s="12">
        <v>1</v>
      </c>
      <c r="B4" s="7">
        <v>5</v>
      </c>
      <c r="D4" s="1" t="s">
        <v>2</v>
      </c>
      <c r="E4">
        <f>MODE(A:A)</f>
        <v>2</v>
      </c>
    </row>
    <row r="5" spans="1:5" x14ac:dyDescent="0.25">
      <c r="A5" s="12">
        <v>1</v>
      </c>
      <c r="B5" s="7">
        <v>4</v>
      </c>
      <c r="D5" s="1" t="s">
        <v>16</v>
      </c>
      <c r="E5">
        <f>STDEV(A:A)</f>
        <v>0.80562045967488871</v>
      </c>
    </row>
    <row r="6" spans="1:5" x14ac:dyDescent="0.25">
      <c r="A6" s="12">
        <v>4</v>
      </c>
      <c r="B6" s="7">
        <v>4</v>
      </c>
      <c r="D6" s="4" t="s">
        <v>5</v>
      </c>
      <c r="E6">
        <f>COUNT(A:A)</f>
        <v>87</v>
      </c>
    </row>
    <row r="7" spans="1:5" x14ac:dyDescent="0.25">
      <c r="A7" s="12">
        <v>1</v>
      </c>
      <c r="B7" s="7">
        <v>4</v>
      </c>
    </row>
    <row r="8" spans="1:5" x14ac:dyDescent="0.25">
      <c r="A8" s="12">
        <v>1</v>
      </c>
      <c r="B8" s="7">
        <v>5</v>
      </c>
      <c r="D8" s="3" t="s">
        <v>63</v>
      </c>
      <c r="E8">
        <f>AVERAGE(B:B)</f>
        <v>3.8505747126436782</v>
      </c>
    </row>
    <row r="9" spans="1:5" x14ac:dyDescent="0.25">
      <c r="A9" s="12">
        <v>1</v>
      </c>
      <c r="B9" s="7">
        <v>4</v>
      </c>
      <c r="D9" s="3" t="s">
        <v>3</v>
      </c>
      <c r="E9">
        <f>MEDIAN(B:B)</f>
        <v>4</v>
      </c>
    </row>
    <row r="10" spans="1:5" x14ac:dyDescent="0.25">
      <c r="A10" s="12">
        <v>1</v>
      </c>
      <c r="B10" s="7">
        <v>5</v>
      </c>
      <c r="D10" s="3" t="s">
        <v>4</v>
      </c>
      <c r="E10">
        <f>MODE(B:B)</f>
        <v>3</v>
      </c>
    </row>
    <row r="11" spans="1:5" x14ac:dyDescent="0.25">
      <c r="A11" s="12">
        <v>1</v>
      </c>
      <c r="B11" s="7">
        <v>3</v>
      </c>
      <c r="D11" s="3" t="s">
        <v>15</v>
      </c>
      <c r="E11">
        <f>STDEV(B:B)</f>
        <v>0.85628640655495025</v>
      </c>
    </row>
    <row r="12" spans="1:5" x14ac:dyDescent="0.25">
      <c r="A12" s="12">
        <v>2</v>
      </c>
      <c r="B12" s="7">
        <v>3</v>
      </c>
      <c r="D12" s="5" t="s">
        <v>6</v>
      </c>
      <c r="E12">
        <f>COUNT(B:B)</f>
        <v>87</v>
      </c>
    </row>
    <row r="13" spans="1:5" x14ac:dyDescent="0.25">
      <c r="A13" s="12">
        <v>2</v>
      </c>
      <c r="B13" s="7">
        <v>4</v>
      </c>
    </row>
    <row r="14" spans="1:5" x14ac:dyDescent="0.25">
      <c r="A14" s="12">
        <v>1</v>
      </c>
      <c r="B14" s="7">
        <v>5</v>
      </c>
    </row>
    <row r="15" spans="1:5" x14ac:dyDescent="0.25">
      <c r="A15" s="12">
        <v>2</v>
      </c>
      <c r="B15" s="7">
        <v>4</v>
      </c>
    </row>
    <row r="16" spans="1:5" x14ac:dyDescent="0.25">
      <c r="A16" s="12">
        <v>1</v>
      </c>
      <c r="B16" s="7">
        <v>3</v>
      </c>
    </row>
    <row r="17" spans="1:5" x14ac:dyDescent="0.25">
      <c r="A17" s="12">
        <v>1</v>
      </c>
      <c r="B17" s="7">
        <v>3</v>
      </c>
      <c r="D17" s="2" t="s">
        <v>7</v>
      </c>
      <c r="E17" s="2"/>
    </row>
    <row r="18" spans="1:5" x14ac:dyDescent="0.25">
      <c r="A18" s="12">
        <v>2</v>
      </c>
      <c r="B18" s="7">
        <v>5</v>
      </c>
    </row>
    <row r="19" spans="1:5" x14ac:dyDescent="0.25">
      <c r="A19" s="12">
        <v>2</v>
      </c>
      <c r="B19" s="7">
        <v>5</v>
      </c>
    </row>
    <row r="20" spans="1:5" x14ac:dyDescent="0.25">
      <c r="A20" s="12">
        <v>2</v>
      </c>
      <c r="B20" s="7">
        <v>4</v>
      </c>
    </row>
    <row r="21" spans="1:5" x14ac:dyDescent="0.25">
      <c r="A21" s="12">
        <v>1</v>
      </c>
      <c r="B21" s="7">
        <v>3</v>
      </c>
    </row>
    <row r="22" spans="1:5" x14ac:dyDescent="0.25">
      <c r="A22" s="12">
        <v>2</v>
      </c>
      <c r="B22" s="7">
        <v>4</v>
      </c>
    </row>
    <row r="23" spans="1:5" x14ac:dyDescent="0.25">
      <c r="A23" s="12">
        <v>1</v>
      </c>
      <c r="B23" s="7">
        <v>2</v>
      </c>
    </row>
    <row r="24" spans="1:5" x14ac:dyDescent="0.25">
      <c r="A24" s="12">
        <v>1</v>
      </c>
      <c r="B24" s="7">
        <v>4</v>
      </c>
    </row>
    <row r="25" spans="1:5" x14ac:dyDescent="0.25">
      <c r="A25" s="12">
        <v>1</v>
      </c>
      <c r="B25" s="7">
        <v>3</v>
      </c>
    </row>
    <row r="26" spans="1:5" x14ac:dyDescent="0.25">
      <c r="A26" s="12">
        <v>4</v>
      </c>
      <c r="B26" s="7">
        <v>3</v>
      </c>
    </row>
    <row r="27" spans="1:5" x14ac:dyDescent="0.25">
      <c r="A27" s="12">
        <v>2</v>
      </c>
      <c r="B27" s="7">
        <v>4</v>
      </c>
    </row>
    <row r="28" spans="1:5" x14ac:dyDescent="0.25">
      <c r="A28" s="12">
        <v>1</v>
      </c>
      <c r="B28" s="7">
        <v>3</v>
      </c>
    </row>
    <row r="29" spans="1:5" x14ac:dyDescent="0.25">
      <c r="A29" s="12">
        <v>2</v>
      </c>
      <c r="B29" s="7">
        <v>3</v>
      </c>
      <c r="D29" t="s">
        <v>12</v>
      </c>
      <c r="E29">
        <f>(E2-E8)/SQRT(((E5^2)/E6)+((E11^2)/E12))</f>
        <v>-16.961329970512157</v>
      </c>
    </row>
    <row r="30" spans="1:5" x14ac:dyDescent="0.25">
      <c r="A30" s="12">
        <v>2</v>
      </c>
      <c r="B30" s="7">
        <v>4</v>
      </c>
    </row>
    <row r="31" spans="1:5" x14ac:dyDescent="0.25">
      <c r="A31" s="12">
        <v>1</v>
      </c>
      <c r="B31" s="7">
        <v>3</v>
      </c>
      <c r="D31" s="2" t="s">
        <v>8</v>
      </c>
      <c r="E31" s="2"/>
    </row>
    <row r="32" spans="1:5" x14ac:dyDescent="0.25">
      <c r="A32" s="12">
        <v>2</v>
      </c>
      <c r="B32" s="7">
        <v>5</v>
      </c>
    </row>
    <row r="33" spans="1:6" x14ac:dyDescent="0.25">
      <c r="A33" s="12">
        <v>2</v>
      </c>
      <c r="B33" s="7">
        <v>5</v>
      </c>
    </row>
    <row r="34" spans="1:6" x14ac:dyDescent="0.25">
      <c r="A34" s="12">
        <v>1</v>
      </c>
      <c r="B34" s="7">
        <v>4</v>
      </c>
    </row>
    <row r="35" spans="1:6" x14ac:dyDescent="0.25">
      <c r="A35" s="12">
        <v>1</v>
      </c>
      <c r="B35" s="7">
        <v>4</v>
      </c>
    </row>
    <row r="36" spans="1:6" x14ac:dyDescent="0.25">
      <c r="A36" s="12">
        <v>2</v>
      </c>
      <c r="B36" s="7">
        <v>5</v>
      </c>
    </row>
    <row r="37" spans="1:6" x14ac:dyDescent="0.25">
      <c r="A37" s="12">
        <v>1</v>
      </c>
      <c r="B37" s="7">
        <v>3</v>
      </c>
    </row>
    <row r="38" spans="1:6" x14ac:dyDescent="0.25">
      <c r="A38" s="12">
        <v>2</v>
      </c>
      <c r="B38" s="7">
        <v>5</v>
      </c>
    </row>
    <row r="39" spans="1:6" x14ac:dyDescent="0.25">
      <c r="A39" s="12">
        <v>2</v>
      </c>
      <c r="B39" s="7">
        <v>4</v>
      </c>
    </row>
    <row r="40" spans="1:6" x14ac:dyDescent="0.25">
      <c r="A40" s="12">
        <v>2</v>
      </c>
      <c r="B40" s="7">
        <v>3</v>
      </c>
    </row>
    <row r="41" spans="1:6" ht="29.25" customHeight="1" x14ac:dyDescent="0.25">
      <c r="A41" s="12">
        <v>4</v>
      </c>
      <c r="B41" s="7">
        <v>3</v>
      </c>
      <c r="D41" t="s">
        <v>9</v>
      </c>
      <c r="E41">
        <f>(((E5^2)/E6)+((E11^2)/E12))^2</f>
        <v>2.5242662104343623E-4</v>
      </c>
    </row>
    <row r="42" spans="1:6" ht="47.25" customHeight="1" x14ac:dyDescent="0.25">
      <c r="A42" s="12">
        <v>1</v>
      </c>
      <c r="B42" s="7">
        <v>5</v>
      </c>
      <c r="D42" t="s">
        <v>10</v>
      </c>
      <c r="E42">
        <f>(((E5^2)/E6)^2)/(E6-1)</f>
        <v>6.4712025259462105E-7</v>
      </c>
    </row>
    <row r="43" spans="1:6" ht="43.5" customHeight="1" x14ac:dyDescent="0.25">
      <c r="A43" s="12">
        <v>2</v>
      </c>
      <c r="B43" s="7">
        <v>4</v>
      </c>
      <c r="D43" t="s">
        <v>11</v>
      </c>
      <c r="E43">
        <f>(((E11^2)/E12)^2)/(E12-1)</f>
        <v>8.2592239519823613E-7</v>
      </c>
    </row>
    <row r="44" spans="1:6" x14ac:dyDescent="0.25">
      <c r="A44" s="12">
        <v>1</v>
      </c>
      <c r="B44" s="7">
        <v>5</v>
      </c>
    </row>
    <row r="45" spans="1:6" x14ac:dyDescent="0.25">
      <c r="A45" s="12">
        <v>2</v>
      </c>
      <c r="B45" s="7">
        <v>5</v>
      </c>
      <c r="D45" t="s">
        <v>8</v>
      </c>
      <c r="E45">
        <f>E41/(E42+E43)</f>
        <v>171.36409554853097</v>
      </c>
      <c r="F45" s="6" t="s">
        <v>13</v>
      </c>
    </row>
    <row r="46" spans="1:6" x14ac:dyDescent="0.25">
      <c r="A46" s="12">
        <v>1</v>
      </c>
      <c r="B46" s="7">
        <v>3</v>
      </c>
    </row>
    <row r="47" spans="1:6" x14ac:dyDescent="0.25">
      <c r="A47" s="12">
        <v>2</v>
      </c>
      <c r="B47" s="7">
        <v>3</v>
      </c>
      <c r="D47" t="s">
        <v>14</v>
      </c>
      <c r="E47">
        <v>0.05</v>
      </c>
      <c r="F47" s="6" t="s">
        <v>13</v>
      </c>
    </row>
    <row r="48" spans="1:6" x14ac:dyDescent="0.25">
      <c r="A48" s="12">
        <v>2</v>
      </c>
      <c r="B48" s="7">
        <v>3</v>
      </c>
    </row>
    <row r="49" spans="1:5" x14ac:dyDescent="0.25">
      <c r="A49" s="12">
        <v>2</v>
      </c>
      <c r="B49" s="7">
        <v>3</v>
      </c>
    </row>
    <row r="50" spans="1:5" x14ac:dyDescent="0.25">
      <c r="A50" s="12">
        <v>1</v>
      </c>
      <c r="B50" s="7">
        <v>3</v>
      </c>
    </row>
    <row r="51" spans="1:5" x14ac:dyDescent="0.25">
      <c r="A51" s="12">
        <v>1</v>
      </c>
      <c r="B51" s="7">
        <v>3</v>
      </c>
      <c r="D51" s="5"/>
      <c r="E51" s="5"/>
    </row>
    <row r="52" spans="1:5" x14ac:dyDescent="0.25">
      <c r="A52" s="12">
        <v>1</v>
      </c>
      <c r="B52" s="7">
        <v>5</v>
      </c>
      <c r="D52" t="s">
        <v>17</v>
      </c>
      <c r="E52">
        <f>_xlfn.T.INV.2T(E47,E45)</f>
        <v>1.9739339541031049</v>
      </c>
    </row>
    <row r="53" spans="1:5" x14ac:dyDescent="0.25">
      <c r="A53" s="12">
        <v>4</v>
      </c>
      <c r="B53" s="7">
        <v>4</v>
      </c>
      <c r="D53" t="s">
        <v>18</v>
      </c>
      <c r="E53">
        <f>_xlfn.T.INV(E47, E45)</f>
        <v>-1.6538133236322152</v>
      </c>
    </row>
    <row r="54" spans="1:5" x14ac:dyDescent="0.25">
      <c r="A54" s="12">
        <v>2</v>
      </c>
      <c r="B54" s="7">
        <v>3</v>
      </c>
    </row>
    <row r="55" spans="1:5" x14ac:dyDescent="0.25">
      <c r="A55" s="12">
        <v>1</v>
      </c>
      <c r="B55" s="7">
        <v>3</v>
      </c>
      <c r="D55" t="s">
        <v>19</v>
      </c>
      <c r="E55">
        <f>TTEST(A:A,B:B,2,2)</f>
        <v>1.4708026445944708E-38</v>
      </c>
    </row>
    <row r="56" spans="1:5" x14ac:dyDescent="0.25">
      <c r="A56" s="12">
        <v>1</v>
      </c>
      <c r="B56" s="7">
        <v>2</v>
      </c>
      <c r="D56" t="s">
        <v>20</v>
      </c>
      <c r="E56">
        <f>TTEST(A:A,B:B,1,2)</f>
        <v>7.3540132229723539E-39</v>
      </c>
    </row>
    <row r="57" spans="1:5" x14ac:dyDescent="0.25">
      <c r="A57" s="12">
        <v>2</v>
      </c>
      <c r="B57" s="7">
        <v>3</v>
      </c>
    </row>
    <row r="58" spans="1:5" x14ac:dyDescent="0.25">
      <c r="A58" s="12">
        <v>2</v>
      </c>
      <c r="B58" s="7">
        <v>3</v>
      </c>
    </row>
    <row r="59" spans="1:5" x14ac:dyDescent="0.25">
      <c r="A59" s="12">
        <v>1</v>
      </c>
      <c r="B59" s="7">
        <v>5</v>
      </c>
      <c r="D59" s="5" t="s">
        <v>21</v>
      </c>
      <c r="E59" s="5"/>
    </row>
    <row r="60" spans="1:5" x14ac:dyDescent="0.25">
      <c r="A60" s="12">
        <v>4</v>
      </c>
      <c r="B60" s="7">
        <v>5</v>
      </c>
    </row>
    <row r="61" spans="1:5" x14ac:dyDescent="0.25">
      <c r="A61" s="12">
        <v>2</v>
      </c>
      <c r="B61" s="7">
        <v>5</v>
      </c>
      <c r="D61" t="s">
        <v>22</v>
      </c>
    </row>
    <row r="62" spans="1:5" x14ac:dyDescent="0.25">
      <c r="A62" s="12">
        <v>2</v>
      </c>
      <c r="B62" s="7">
        <v>4</v>
      </c>
      <c r="D62" t="s">
        <v>23</v>
      </c>
    </row>
    <row r="63" spans="1:5" x14ac:dyDescent="0.25">
      <c r="A63" s="12">
        <v>1</v>
      </c>
      <c r="B63" s="7">
        <v>5</v>
      </c>
    </row>
    <row r="64" spans="1:5" x14ac:dyDescent="0.25">
      <c r="A64" s="12">
        <v>2</v>
      </c>
      <c r="B64" s="7">
        <v>3</v>
      </c>
      <c r="D64" t="s">
        <v>24</v>
      </c>
    </row>
    <row r="65" spans="1:4" x14ac:dyDescent="0.25">
      <c r="A65" s="12">
        <v>1</v>
      </c>
      <c r="B65" s="7">
        <v>4</v>
      </c>
      <c r="D65" t="s">
        <v>25</v>
      </c>
    </row>
    <row r="66" spans="1:4" x14ac:dyDescent="0.25">
      <c r="A66" s="12">
        <v>2</v>
      </c>
      <c r="B66" s="7">
        <v>4</v>
      </c>
    </row>
    <row r="67" spans="1:4" x14ac:dyDescent="0.25">
      <c r="A67" s="12">
        <v>3</v>
      </c>
      <c r="B67" s="7">
        <v>4</v>
      </c>
    </row>
    <row r="68" spans="1:4" x14ac:dyDescent="0.25">
      <c r="A68" s="12">
        <v>2</v>
      </c>
      <c r="B68" s="7">
        <v>4</v>
      </c>
      <c r="D68" s="10" t="s">
        <v>26</v>
      </c>
    </row>
    <row r="69" spans="1:4" x14ac:dyDescent="0.25">
      <c r="A69" s="12">
        <v>1</v>
      </c>
      <c r="B69" s="7">
        <v>4</v>
      </c>
    </row>
    <row r="70" spans="1:4" x14ac:dyDescent="0.25">
      <c r="A70" s="12">
        <v>2</v>
      </c>
      <c r="B70" s="7">
        <v>3</v>
      </c>
      <c r="D70" t="s">
        <v>27</v>
      </c>
    </row>
    <row r="71" spans="1:4" x14ac:dyDescent="0.25">
      <c r="A71" s="12">
        <v>1</v>
      </c>
      <c r="B71" s="7">
        <v>5</v>
      </c>
      <c r="D71" t="s">
        <v>28</v>
      </c>
    </row>
    <row r="72" spans="1:4" x14ac:dyDescent="0.25">
      <c r="A72" s="12">
        <v>2</v>
      </c>
      <c r="B72" s="7">
        <v>5</v>
      </c>
      <c r="D72" t="s">
        <v>29</v>
      </c>
    </row>
    <row r="73" spans="1:4" x14ac:dyDescent="0.25">
      <c r="A73" s="12">
        <v>1</v>
      </c>
      <c r="B73" s="7">
        <v>5</v>
      </c>
    </row>
    <row r="74" spans="1:4" x14ac:dyDescent="0.25">
      <c r="A74" s="12">
        <v>2</v>
      </c>
      <c r="B74" s="7">
        <v>3</v>
      </c>
    </row>
    <row r="75" spans="1:4" x14ac:dyDescent="0.25">
      <c r="A75" s="12">
        <v>1</v>
      </c>
      <c r="B75" s="7">
        <v>4</v>
      </c>
      <c r="D75" s="10" t="s">
        <v>26</v>
      </c>
    </row>
    <row r="76" spans="1:4" x14ac:dyDescent="0.25">
      <c r="A76" s="12">
        <v>2</v>
      </c>
      <c r="B76" s="7">
        <v>3</v>
      </c>
    </row>
    <row r="77" spans="1:4" x14ac:dyDescent="0.25">
      <c r="A77" s="12">
        <v>2</v>
      </c>
      <c r="B77" s="7">
        <v>5</v>
      </c>
    </row>
    <row r="78" spans="1:4" x14ac:dyDescent="0.25">
      <c r="A78" s="12">
        <v>2</v>
      </c>
      <c r="B78" s="7">
        <v>4</v>
      </c>
    </row>
    <row r="79" spans="1:4" x14ac:dyDescent="0.25">
      <c r="A79" s="12">
        <v>1</v>
      </c>
      <c r="B79" s="7">
        <v>3</v>
      </c>
    </row>
    <row r="80" spans="1:4" x14ac:dyDescent="0.25">
      <c r="A80" s="12">
        <v>1</v>
      </c>
      <c r="B80" s="7">
        <v>3</v>
      </c>
    </row>
    <row r="81" spans="1:4" x14ac:dyDescent="0.25">
      <c r="A81" s="12">
        <v>2</v>
      </c>
      <c r="B81" s="7">
        <v>5</v>
      </c>
    </row>
    <row r="82" spans="1:4" x14ac:dyDescent="0.25">
      <c r="A82" s="12">
        <v>1</v>
      </c>
      <c r="B82" s="7">
        <v>4</v>
      </c>
      <c r="D82" t="s">
        <v>30</v>
      </c>
    </row>
    <row r="83" spans="1:4" x14ac:dyDescent="0.25">
      <c r="A83" s="12">
        <v>4</v>
      </c>
      <c r="B83" s="7">
        <v>3</v>
      </c>
      <c r="D83" t="s">
        <v>29</v>
      </c>
    </row>
    <row r="84" spans="1:4" x14ac:dyDescent="0.25">
      <c r="A84" s="12">
        <v>2</v>
      </c>
      <c r="B84" s="7">
        <v>4</v>
      </c>
      <c r="D84" t="s">
        <v>30</v>
      </c>
    </row>
    <row r="85" spans="1:4" x14ac:dyDescent="0.25">
      <c r="A85" s="12">
        <v>1</v>
      </c>
      <c r="B85" s="7">
        <v>3</v>
      </c>
      <c r="D85" t="s">
        <v>29</v>
      </c>
    </row>
    <row r="86" spans="1:4" x14ac:dyDescent="0.25">
      <c r="A86" s="12">
        <v>2</v>
      </c>
      <c r="B86" s="7">
        <v>3</v>
      </c>
    </row>
    <row r="87" spans="1:4" x14ac:dyDescent="0.25">
      <c r="A87" s="12">
        <v>2</v>
      </c>
      <c r="B87" s="7">
        <v>4</v>
      </c>
    </row>
    <row r="88" spans="1:4" x14ac:dyDescent="0.25">
      <c r="A88" s="12">
        <v>2</v>
      </c>
      <c r="B88" s="7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BC0C-3D2F-48DB-BDB9-062D3323C6D6}">
  <dimension ref="A1:F88"/>
  <sheetViews>
    <sheetView zoomScale="70" zoomScaleNormal="70" workbookViewId="0">
      <selection activeCell="D8" sqref="D8"/>
    </sheetView>
  </sheetViews>
  <sheetFormatPr baseColWidth="10" defaultColWidth="9.140625" defaultRowHeight="15" x14ac:dyDescent="0.25"/>
  <cols>
    <col min="1" max="1" width="23.28515625" style="12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51.5" customHeight="1" x14ac:dyDescent="0.25">
      <c r="A1" s="8" t="s">
        <v>51</v>
      </c>
      <c r="B1" s="9" t="s">
        <v>52</v>
      </c>
    </row>
    <row r="2" spans="1:5" x14ac:dyDescent="0.25">
      <c r="A2" s="12">
        <v>2</v>
      </c>
      <c r="B2" s="7">
        <v>4</v>
      </c>
      <c r="D2" s="1" t="s">
        <v>0</v>
      </c>
      <c r="E2">
        <f>AVERAGE(A:A)</f>
        <v>1.6666666666666667</v>
      </c>
    </row>
    <row r="3" spans="1:5" x14ac:dyDescent="0.25">
      <c r="A3" s="12">
        <v>2</v>
      </c>
      <c r="B3" s="7">
        <v>4</v>
      </c>
      <c r="D3" s="1" t="s">
        <v>1</v>
      </c>
      <c r="E3">
        <f>MEDIAN(A:A)</f>
        <v>2</v>
      </c>
    </row>
    <row r="4" spans="1:5" x14ac:dyDescent="0.25">
      <c r="A4" s="12">
        <v>1</v>
      </c>
      <c r="B4" s="7">
        <v>3</v>
      </c>
      <c r="D4" s="1" t="s">
        <v>2</v>
      </c>
      <c r="E4">
        <f>MODE(A:A)</f>
        <v>2</v>
      </c>
    </row>
    <row r="5" spans="1:5" x14ac:dyDescent="0.25">
      <c r="A5" s="12">
        <v>1</v>
      </c>
      <c r="B5" s="7">
        <v>4</v>
      </c>
      <c r="D5" s="1" t="s">
        <v>16</v>
      </c>
      <c r="E5">
        <f>STDEV(A:A)</f>
        <v>0.62257280636469048</v>
      </c>
    </row>
    <row r="6" spans="1:5" x14ac:dyDescent="0.25">
      <c r="A6" s="12">
        <v>3</v>
      </c>
      <c r="B6" s="7">
        <v>4</v>
      </c>
      <c r="D6" s="4" t="s">
        <v>5</v>
      </c>
      <c r="E6">
        <f>COUNT(A:A)</f>
        <v>87</v>
      </c>
    </row>
    <row r="7" spans="1:5" x14ac:dyDescent="0.25">
      <c r="A7" s="12">
        <v>1</v>
      </c>
      <c r="B7" s="7">
        <v>5</v>
      </c>
    </row>
    <row r="8" spans="1:5" x14ac:dyDescent="0.25">
      <c r="A8" s="12">
        <v>1</v>
      </c>
      <c r="B8" s="7">
        <v>3</v>
      </c>
      <c r="D8" s="3" t="s">
        <v>63</v>
      </c>
      <c r="E8">
        <f>AVERAGE(B:B)</f>
        <v>3.9080459770114944</v>
      </c>
    </row>
    <row r="9" spans="1:5" x14ac:dyDescent="0.25">
      <c r="A9" s="12">
        <v>1</v>
      </c>
      <c r="B9" s="7">
        <v>5</v>
      </c>
      <c r="D9" s="3" t="s">
        <v>3</v>
      </c>
      <c r="E9">
        <f>MEDIAN(B:B)</f>
        <v>4</v>
      </c>
    </row>
    <row r="10" spans="1:5" x14ac:dyDescent="0.25">
      <c r="A10" s="12">
        <v>1</v>
      </c>
      <c r="B10" s="7">
        <v>5</v>
      </c>
      <c r="D10" s="3" t="s">
        <v>4</v>
      </c>
      <c r="E10">
        <f>MODE(B:B)</f>
        <v>5</v>
      </c>
    </row>
    <row r="11" spans="1:5" x14ac:dyDescent="0.25">
      <c r="A11" s="12">
        <v>1</v>
      </c>
      <c r="B11" s="7">
        <v>3</v>
      </c>
      <c r="D11" s="3" t="s">
        <v>15</v>
      </c>
      <c r="E11">
        <f>STDEV(B:B)</f>
        <v>0.96004098638336888</v>
      </c>
    </row>
    <row r="12" spans="1:5" x14ac:dyDescent="0.25">
      <c r="A12" s="12">
        <v>2</v>
      </c>
      <c r="B12" s="7">
        <v>4</v>
      </c>
      <c r="D12" s="5" t="s">
        <v>6</v>
      </c>
      <c r="E12">
        <f>COUNT(B:B)</f>
        <v>87</v>
      </c>
    </row>
    <row r="13" spans="1:5" x14ac:dyDescent="0.25">
      <c r="A13" s="12">
        <v>2</v>
      </c>
      <c r="B13" s="7">
        <v>4</v>
      </c>
    </row>
    <row r="14" spans="1:5" x14ac:dyDescent="0.25">
      <c r="A14" s="12">
        <v>1</v>
      </c>
      <c r="B14" s="7">
        <v>5</v>
      </c>
    </row>
    <row r="15" spans="1:5" x14ac:dyDescent="0.25">
      <c r="A15" s="12">
        <v>2</v>
      </c>
      <c r="B15" s="7">
        <v>5</v>
      </c>
    </row>
    <row r="16" spans="1:5" x14ac:dyDescent="0.25">
      <c r="A16" s="12">
        <v>1</v>
      </c>
      <c r="B16" s="7">
        <v>5</v>
      </c>
    </row>
    <row r="17" spans="1:5" x14ac:dyDescent="0.25">
      <c r="A17" s="12">
        <v>3</v>
      </c>
      <c r="B17" s="7">
        <v>5</v>
      </c>
      <c r="D17" s="2" t="s">
        <v>7</v>
      </c>
      <c r="E17" s="2"/>
    </row>
    <row r="18" spans="1:5" x14ac:dyDescent="0.25">
      <c r="A18" s="12">
        <v>2</v>
      </c>
      <c r="B18" s="7">
        <v>4</v>
      </c>
    </row>
    <row r="19" spans="1:5" x14ac:dyDescent="0.25">
      <c r="A19" s="12">
        <v>2</v>
      </c>
      <c r="B19" s="7">
        <v>2</v>
      </c>
    </row>
    <row r="20" spans="1:5" x14ac:dyDescent="0.25">
      <c r="A20" s="12">
        <v>2</v>
      </c>
      <c r="B20" s="7">
        <v>4</v>
      </c>
    </row>
    <row r="21" spans="1:5" x14ac:dyDescent="0.25">
      <c r="A21" s="12">
        <v>1</v>
      </c>
      <c r="B21" s="7">
        <v>5</v>
      </c>
    </row>
    <row r="22" spans="1:5" x14ac:dyDescent="0.25">
      <c r="A22" s="12">
        <v>2</v>
      </c>
      <c r="B22" s="7">
        <v>3</v>
      </c>
    </row>
    <row r="23" spans="1:5" x14ac:dyDescent="0.25">
      <c r="A23" s="12">
        <v>1</v>
      </c>
      <c r="B23" s="7">
        <v>4</v>
      </c>
    </row>
    <row r="24" spans="1:5" x14ac:dyDescent="0.25">
      <c r="A24" s="12">
        <v>1</v>
      </c>
      <c r="B24" s="7">
        <v>5</v>
      </c>
    </row>
    <row r="25" spans="1:5" x14ac:dyDescent="0.25">
      <c r="A25" s="12">
        <v>1</v>
      </c>
      <c r="B25" s="7">
        <v>5</v>
      </c>
    </row>
    <row r="26" spans="1:5" x14ac:dyDescent="0.25">
      <c r="A26" s="12">
        <v>1</v>
      </c>
      <c r="B26" s="7">
        <v>5</v>
      </c>
    </row>
    <row r="27" spans="1:5" x14ac:dyDescent="0.25">
      <c r="A27" s="12">
        <v>2</v>
      </c>
      <c r="B27" s="7">
        <v>4</v>
      </c>
    </row>
    <row r="28" spans="1:5" x14ac:dyDescent="0.25">
      <c r="A28" s="12">
        <v>1</v>
      </c>
      <c r="B28" s="7">
        <v>3</v>
      </c>
    </row>
    <row r="29" spans="1:5" x14ac:dyDescent="0.25">
      <c r="A29" s="12">
        <v>2</v>
      </c>
      <c r="B29" s="7">
        <v>5</v>
      </c>
      <c r="D29" t="s">
        <v>12</v>
      </c>
      <c r="E29">
        <f>(E2-E8)/SQRT(((E5^2)/E6)+((E11^2)/E12))</f>
        <v>-18.270879306282581</v>
      </c>
    </row>
    <row r="30" spans="1:5" x14ac:dyDescent="0.25">
      <c r="A30" s="12">
        <v>2</v>
      </c>
      <c r="B30" s="7">
        <v>4</v>
      </c>
    </row>
    <row r="31" spans="1:5" x14ac:dyDescent="0.25">
      <c r="A31" s="12">
        <v>3</v>
      </c>
      <c r="B31" s="7">
        <v>3</v>
      </c>
      <c r="D31" s="2" t="s">
        <v>8</v>
      </c>
      <c r="E31" s="2"/>
    </row>
    <row r="32" spans="1:5" x14ac:dyDescent="0.25">
      <c r="A32" s="12">
        <v>2</v>
      </c>
      <c r="B32" s="7">
        <v>3</v>
      </c>
    </row>
    <row r="33" spans="1:6" x14ac:dyDescent="0.25">
      <c r="A33" s="12">
        <v>2</v>
      </c>
      <c r="B33" s="7">
        <v>3</v>
      </c>
    </row>
    <row r="34" spans="1:6" x14ac:dyDescent="0.25">
      <c r="A34" s="12">
        <v>1</v>
      </c>
      <c r="B34" s="7">
        <v>4</v>
      </c>
    </row>
    <row r="35" spans="1:6" x14ac:dyDescent="0.25">
      <c r="A35" s="12">
        <v>1</v>
      </c>
      <c r="B35" s="7">
        <v>5</v>
      </c>
    </row>
    <row r="36" spans="1:6" x14ac:dyDescent="0.25">
      <c r="A36" s="12">
        <v>2</v>
      </c>
      <c r="B36" s="7">
        <v>4</v>
      </c>
    </row>
    <row r="37" spans="1:6" x14ac:dyDescent="0.25">
      <c r="A37" s="12">
        <v>1</v>
      </c>
      <c r="B37" s="7">
        <v>4</v>
      </c>
    </row>
    <row r="38" spans="1:6" x14ac:dyDescent="0.25">
      <c r="A38" s="12">
        <v>2</v>
      </c>
      <c r="B38" s="7">
        <v>3</v>
      </c>
    </row>
    <row r="39" spans="1:6" x14ac:dyDescent="0.25">
      <c r="A39" s="12">
        <v>2</v>
      </c>
      <c r="B39" s="7">
        <v>4</v>
      </c>
    </row>
    <row r="40" spans="1:6" x14ac:dyDescent="0.25">
      <c r="A40" s="12">
        <v>2</v>
      </c>
      <c r="B40" s="7">
        <v>5</v>
      </c>
    </row>
    <row r="41" spans="1:6" ht="29.25" customHeight="1" x14ac:dyDescent="0.25">
      <c r="A41" s="12">
        <v>3</v>
      </c>
      <c r="B41" s="7">
        <v>4</v>
      </c>
      <c r="D41" t="s">
        <v>9</v>
      </c>
      <c r="E41">
        <f>(((E5^2)/E6)+((E11^2)/E12))^2</f>
        <v>2.2647675822911047E-4</v>
      </c>
    </row>
    <row r="42" spans="1:6" ht="47.25" customHeight="1" x14ac:dyDescent="0.25">
      <c r="A42" s="12">
        <v>1</v>
      </c>
      <c r="B42" s="7">
        <v>4</v>
      </c>
      <c r="D42" t="s">
        <v>10</v>
      </c>
      <c r="E42">
        <f>(((E5^2)/E6)^2)/(E6-1)</f>
        <v>2.3079353097039748E-7</v>
      </c>
    </row>
    <row r="43" spans="1:6" ht="43.5" customHeight="1" x14ac:dyDescent="0.25">
      <c r="A43" s="12">
        <v>2</v>
      </c>
      <c r="B43" s="7">
        <v>5</v>
      </c>
      <c r="D43" t="s">
        <v>11</v>
      </c>
      <c r="E43">
        <f>(((E11^2)/E12)^2)/(E12-1)</f>
        <v>1.3050349464075524E-6</v>
      </c>
    </row>
    <row r="44" spans="1:6" x14ac:dyDescent="0.25">
      <c r="A44" s="12">
        <v>1</v>
      </c>
      <c r="B44" s="7">
        <v>3</v>
      </c>
    </row>
    <row r="45" spans="1:6" x14ac:dyDescent="0.25">
      <c r="A45" s="12">
        <v>2</v>
      </c>
      <c r="B45" s="7">
        <v>5</v>
      </c>
      <c r="D45" t="s">
        <v>8</v>
      </c>
      <c r="E45">
        <f>E41/(E42+E43)</f>
        <v>147.46227301095755</v>
      </c>
      <c r="F45" s="6" t="s">
        <v>13</v>
      </c>
    </row>
    <row r="46" spans="1:6" x14ac:dyDescent="0.25">
      <c r="A46" s="12">
        <v>1</v>
      </c>
      <c r="B46" s="7">
        <v>4</v>
      </c>
    </row>
    <row r="47" spans="1:6" x14ac:dyDescent="0.25">
      <c r="A47" s="12">
        <v>2</v>
      </c>
      <c r="B47" s="7">
        <v>5</v>
      </c>
      <c r="D47" t="s">
        <v>14</v>
      </c>
      <c r="E47">
        <v>0.05</v>
      </c>
      <c r="F47" s="6" t="s">
        <v>13</v>
      </c>
    </row>
    <row r="48" spans="1:6" x14ac:dyDescent="0.25">
      <c r="A48" s="12">
        <v>2</v>
      </c>
      <c r="B48" s="7">
        <v>2</v>
      </c>
    </row>
    <row r="49" spans="1:5" x14ac:dyDescent="0.25">
      <c r="A49" s="12">
        <v>2</v>
      </c>
      <c r="B49" s="7">
        <v>4</v>
      </c>
    </row>
    <row r="50" spans="1:5" x14ac:dyDescent="0.25">
      <c r="A50" s="12">
        <v>1</v>
      </c>
      <c r="B50" s="7">
        <v>3</v>
      </c>
    </row>
    <row r="51" spans="1:5" x14ac:dyDescent="0.25">
      <c r="A51" s="12">
        <v>1</v>
      </c>
      <c r="B51" s="7">
        <v>3</v>
      </c>
      <c r="D51" s="5"/>
      <c r="E51" s="5"/>
    </row>
    <row r="52" spans="1:5" x14ac:dyDescent="0.25">
      <c r="A52" s="12">
        <v>1</v>
      </c>
      <c r="B52" s="7">
        <v>4</v>
      </c>
      <c r="D52" t="s">
        <v>17</v>
      </c>
      <c r="E52">
        <f>_xlfn.T.INV.2T(E47,E45)</f>
        <v>1.9762333088953288</v>
      </c>
    </row>
    <row r="53" spans="1:5" x14ac:dyDescent="0.25">
      <c r="A53" s="12">
        <v>2</v>
      </c>
      <c r="B53" s="7">
        <v>5</v>
      </c>
      <c r="D53" t="s">
        <v>18</v>
      </c>
      <c r="E53">
        <f>_xlfn.T.INV(E47, E45)</f>
        <v>-1.6552854366095326</v>
      </c>
    </row>
    <row r="54" spans="1:5" x14ac:dyDescent="0.25">
      <c r="A54" s="12">
        <v>2</v>
      </c>
      <c r="B54" s="7">
        <v>5</v>
      </c>
    </row>
    <row r="55" spans="1:5" x14ac:dyDescent="0.25">
      <c r="A55" s="12">
        <v>1</v>
      </c>
      <c r="B55" s="7">
        <v>5</v>
      </c>
      <c r="D55" t="s">
        <v>19</v>
      </c>
      <c r="E55">
        <f>TTEST(A:A,B:B,2,2)</f>
        <v>3.8364343703023473E-42</v>
      </c>
    </row>
    <row r="56" spans="1:5" x14ac:dyDescent="0.25">
      <c r="A56" s="12">
        <v>1</v>
      </c>
      <c r="B56" s="7">
        <v>4</v>
      </c>
      <c r="D56" t="s">
        <v>20</v>
      </c>
      <c r="E56">
        <f>TTEST(A:A,B:B,1,2)</f>
        <v>1.9182171851511736E-42</v>
      </c>
    </row>
    <row r="57" spans="1:5" x14ac:dyDescent="0.25">
      <c r="A57" s="12">
        <v>2</v>
      </c>
      <c r="B57" s="7">
        <v>5</v>
      </c>
    </row>
    <row r="58" spans="1:5" x14ac:dyDescent="0.25">
      <c r="A58" s="12">
        <v>3</v>
      </c>
      <c r="B58" s="7">
        <v>5</v>
      </c>
    </row>
    <row r="59" spans="1:5" x14ac:dyDescent="0.25">
      <c r="A59" s="12">
        <v>1</v>
      </c>
      <c r="B59" s="7">
        <v>4</v>
      </c>
      <c r="D59" s="5" t="s">
        <v>21</v>
      </c>
      <c r="E59" s="5"/>
    </row>
    <row r="60" spans="1:5" x14ac:dyDescent="0.25">
      <c r="A60" s="12">
        <v>1</v>
      </c>
      <c r="B60" s="7">
        <v>5</v>
      </c>
    </row>
    <row r="61" spans="1:5" x14ac:dyDescent="0.25">
      <c r="A61" s="12">
        <v>2</v>
      </c>
      <c r="B61" s="7">
        <v>5</v>
      </c>
      <c r="D61" t="s">
        <v>22</v>
      </c>
    </row>
    <row r="62" spans="1:5" x14ac:dyDescent="0.25">
      <c r="A62" s="12">
        <v>2</v>
      </c>
      <c r="B62" s="7">
        <v>3</v>
      </c>
      <c r="D62" t="s">
        <v>23</v>
      </c>
    </row>
    <row r="63" spans="1:5" x14ac:dyDescent="0.25">
      <c r="A63" s="12">
        <v>2</v>
      </c>
      <c r="B63" s="7">
        <v>3</v>
      </c>
    </row>
    <row r="64" spans="1:5" x14ac:dyDescent="0.25">
      <c r="A64" s="12">
        <v>2</v>
      </c>
      <c r="B64" s="7">
        <v>5</v>
      </c>
      <c r="D64" t="s">
        <v>24</v>
      </c>
    </row>
    <row r="65" spans="1:4" x14ac:dyDescent="0.25">
      <c r="A65" s="12">
        <v>1</v>
      </c>
      <c r="B65" s="7">
        <v>5</v>
      </c>
      <c r="D65" t="s">
        <v>25</v>
      </c>
    </row>
    <row r="66" spans="1:4" x14ac:dyDescent="0.25">
      <c r="A66" s="12">
        <v>2</v>
      </c>
      <c r="B66" s="7">
        <v>5</v>
      </c>
    </row>
    <row r="67" spans="1:4" x14ac:dyDescent="0.25">
      <c r="A67" s="12">
        <v>3</v>
      </c>
      <c r="B67" s="7">
        <v>5</v>
      </c>
    </row>
    <row r="68" spans="1:4" x14ac:dyDescent="0.25">
      <c r="A68" s="12">
        <v>2</v>
      </c>
      <c r="B68" s="7">
        <v>3</v>
      </c>
      <c r="D68" s="10" t="s">
        <v>26</v>
      </c>
    </row>
    <row r="69" spans="1:4" x14ac:dyDescent="0.25">
      <c r="A69" s="12">
        <v>1</v>
      </c>
      <c r="B69" s="7">
        <v>3</v>
      </c>
    </row>
    <row r="70" spans="1:4" x14ac:dyDescent="0.25">
      <c r="A70" s="12">
        <v>2</v>
      </c>
      <c r="B70" s="7">
        <v>3</v>
      </c>
      <c r="D70" t="s">
        <v>27</v>
      </c>
    </row>
    <row r="71" spans="1:4" x14ac:dyDescent="0.25">
      <c r="A71" s="12">
        <v>1</v>
      </c>
      <c r="B71" s="7">
        <v>4</v>
      </c>
      <c r="D71" t="s">
        <v>28</v>
      </c>
    </row>
    <row r="72" spans="1:4" x14ac:dyDescent="0.25">
      <c r="A72" s="12">
        <v>2</v>
      </c>
      <c r="B72" s="7">
        <v>2</v>
      </c>
      <c r="D72" t="s">
        <v>29</v>
      </c>
    </row>
    <row r="73" spans="1:4" x14ac:dyDescent="0.25">
      <c r="A73" s="12">
        <v>3</v>
      </c>
      <c r="B73" s="7">
        <v>3</v>
      </c>
    </row>
    <row r="74" spans="1:4" x14ac:dyDescent="0.25">
      <c r="A74" s="12">
        <v>2</v>
      </c>
      <c r="B74" s="7">
        <v>3</v>
      </c>
    </row>
    <row r="75" spans="1:4" x14ac:dyDescent="0.25">
      <c r="A75" s="12">
        <v>1</v>
      </c>
      <c r="B75" s="7">
        <v>5</v>
      </c>
      <c r="D75" s="10" t="s">
        <v>26</v>
      </c>
    </row>
    <row r="76" spans="1:4" x14ac:dyDescent="0.25">
      <c r="A76" s="12">
        <v>2</v>
      </c>
      <c r="B76" s="7">
        <v>3</v>
      </c>
    </row>
    <row r="77" spans="1:4" x14ac:dyDescent="0.25">
      <c r="A77" s="12">
        <v>2</v>
      </c>
      <c r="B77" s="7">
        <v>3</v>
      </c>
    </row>
    <row r="78" spans="1:4" x14ac:dyDescent="0.25">
      <c r="A78" s="12">
        <v>2</v>
      </c>
      <c r="B78" s="7">
        <v>1</v>
      </c>
    </row>
    <row r="79" spans="1:4" x14ac:dyDescent="0.25">
      <c r="A79" s="12">
        <v>1</v>
      </c>
      <c r="B79" s="7">
        <v>3</v>
      </c>
    </row>
    <row r="80" spans="1:4" x14ac:dyDescent="0.25">
      <c r="A80" s="12">
        <v>1</v>
      </c>
      <c r="B80" s="7">
        <v>4</v>
      </c>
    </row>
    <row r="81" spans="1:4" x14ac:dyDescent="0.25">
      <c r="A81" s="12">
        <v>2</v>
      </c>
      <c r="B81" s="7">
        <v>4</v>
      </c>
    </row>
    <row r="82" spans="1:4" x14ac:dyDescent="0.25">
      <c r="A82" s="12">
        <v>1</v>
      </c>
      <c r="B82" s="7">
        <v>2</v>
      </c>
      <c r="D82" t="s">
        <v>30</v>
      </c>
    </row>
    <row r="83" spans="1:4" x14ac:dyDescent="0.25">
      <c r="A83" s="12">
        <v>2</v>
      </c>
      <c r="B83" s="7">
        <v>4</v>
      </c>
      <c r="D83" t="s">
        <v>29</v>
      </c>
    </row>
    <row r="84" spans="1:4" x14ac:dyDescent="0.25">
      <c r="A84" s="12">
        <v>2</v>
      </c>
      <c r="B84" s="7">
        <v>3</v>
      </c>
      <c r="D84" t="s">
        <v>30</v>
      </c>
    </row>
    <row r="85" spans="1:4" x14ac:dyDescent="0.25">
      <c r="A85" s="12">
        <v>1</v>
      </c>
      <c r="B85" s="7">
        <v>3</v>
      </c>
      <c r="D85" t="s">
        <v>29</v>
      </c>
    </row>
    <row r="86" spans="1:4" x14ac:dyDescent="0.25">
      <c r="A86" s="12">
        <v>2</v>
      </c>
      <c r="B86" s="7">
        <v>4</v>
      </c>
    </row>
    <row r="87" spans="1:4" x14ac:dyDescent="0.25">
      <c r="A87" s="12">
        <v>2</v>
      </c>
      <c r="B87" s="7">
        <v>3</v>
      </c>
    </row>
    <row r="88" spans="1:4" x14ac:dyDescent="0.25">
      <c r="A88" s="12">
        <v>2</v>
      </c>
      <c r="B88" s="7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FEF0-FCCE-4955-9CEE-E099C6282887}">
  <dimension ref="A1:F88"/>
  <sheetViews>
    <sheetView zoomScale="70" zoomScaleNormal="70" workbookViewId="0">
      <selection activeCell="D8" sqref="D8"/>
    </sheetView>
  </sheetViews>
  <sheetFormatPr baseColWidth="10" defaultColWidth="9.140625" defaultRowHeight="15" x14ac:dyDescent="0.25"/>
  <cols>
    <col min="1" max="1" width="23.28515625" style="12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51.5" customHeight="1" x14ac:dyDescent="0.25">
      <c r="A1" s="8" t="s">
        <v>49</v>
      </c>
      <c r="B1" s="9" t="s">
        <v>50</v>
      </c>
    </row>
    <row r="2" spans="1:5" x14ac:dyDescent="0.25">
      <c r="A2" s="12">
        <v>2</v>
      </c>
      <c r="B2" s="11">
        <v>3</v>
      </c>
      <c r="D2" s="1" t="s">
        <v>0</v>
      </c>
      <c r="E2">
        <f>AVERAGE(A:A)</f>
        <v>1.8045977011494252</v>
      </c>
    </row>
    <row r="3" spans="1:5" x14ac:dyDescent="0.25">
      <c r="A3" s="12">
        <v>2</v>
      </c>
      <c r="B3" s="11">
        <v>5</v>
      </c>
      <c r="D3" s="1" t="s">
        <v>1</v>
      </c>
      <c r="E3">
        <f>MEDIAN(A:A)</f>
        <v>2</v>
      </c>
    </row>
    <row r="4" spans="1:5" x14ac:dyDescent="0.25">
      <c r="A4" s="12">
        <v>1</v>
      </c>
      <c r="B4" s="11">
        <v>4</v>
      </c>
      <c r="D4" s="1" t="s">
        <v>2</v>
      </c>
      <c r="E4">
        <f>MODE(A:A)</f>
        <v>2</v>
      </c>
    </row>
    <row r="5" spans="1:5" x14ac:dyDescent="0.25">
      <c r="A5" s="12">
        <v>1</v>
      </c>
      <c r="B5" s="11">
        <v>3</v>
      </c>
      <c r="D5" s="1" t="s">
        <v>16</v>
      </c>
      <c r="E5">
        <f>STDEV(A:A)</f>
        <v>0.81894828271515152</v>
      </c>
    </row>
    <row r="6" spans="1:5" x14ac:dyDescent="0.25">
      <c r="A6" s="12">
        <v>3</v>
      </c>
      <c r="B6" s="11">
        <v>3</v>
      </c>
      <c r="D6" s="4" t="s">
        <v>5</v>
      </c>
      <c r="E6">
        <f>COUNT(A:A)</f>
        <v>87</v>
      </c>
    </row>
    <row r="7" spans="1:5" x14ac:dyDescent="0.25">
      <c r="A7" s="12">
        <v>1</v>
      </c>
      <c r="B7" s="11">
        <v>4</v>
      </c>
    </row>
    <row r="8" spans="1:5" x14ac:dyDescent="0.25">
      <c r="A8" s="12">
        <v>3</v>
      </c>
      <c r="B8" s="11">
        <v>5</v>
      </c>
      <c r="D8" s="3" t="s">
        <v>63</v>
      </c>
      <c r="E8">
        <f>AVERAGE(B:B)</f>
        <v>3.9540229885057472</v>
      </c>
    </row>
    <row r="9" spans="1:5" x14ac:dyDescent="0.25">
      <c r="A9" s="12">
        <v>1</v>
      </c>
      <c r="B9" s="11">
        <v>4</v>
      </c>
      <c r="D9" s="3" t="s">
        <v>3</v>
      </c>
      <c r="E9">
        <f>MEDIAN(B:B)</f>
        <v>4</v>
      </c>
    </row>
    <row r="10" spans="1:5" x14ac:dyDescent="0.25">
      <c r="A10" s="12">
        <v>1</v>
      </c>
      <c r="B10" s="11">
        <v>3</v>
      </c>
      <c r="D10" s="3" t="s">
        <v>4</v>
      </c>
      <c r="E10">
        <f>MODE(B:B)</f>
        <v>4</v>
      </c>
    </row>
    <row r="11" spans="1:5" x14ac:dyDescent="0.25">
      <c r="A11" s="12">
        <v>1</v>
      </c>
      <c r="B11" s="11">
        <v>5</v>
      </c>
      <c r="D11" s="3" t="s">
        <v>15</v>
      </c>
      <c r="E11">
        <f>STDEV(B:B)</f>
        <v>0.84781588031083988</v>
      </c>
    </row>
    <row r="12" spans="1:5" x14ac:dyDescent="0.25">
      <c r="A12" s="12">
        <v>2</v>
      </c>
      <c r="B12" s="11">
        <v>4</v>
      </c>
      <c r="D12" s="5" t="s">
        <v>6</v>
      </c>
      <c r="E12">
        <f>COUNT(B:B)</f>
        <v>87</v>
      </c>
    </row>
    <row r="13" spans="1:5" x14ac:dyDescent="0.25">
      <c r="A13" s="12">
        <v>2</v>
      </c>
      <c r="B13" s="11">
        <v>4</v>
      </c>
    </row>
    <row r="14" spans="1:5" x14ac:dyDescent="0.25">
      <c r="A14" s="12">
        <v>3</v>
      </c>
      <c r="B14" s="11">
        <v>4</v>
      </c>
    </row>
    <row r="15" spans="1:5" x14ac:dyDescent="0.25">
      <c r="A15" s="12">
        <v>2</v>
      </c>
      <c r="B15" s="11">
        <v>4</v>
      </c>
    </row>
    <row r="16" spans="1:5" x14ac:dyDescent="0.25">
      <c r="A16" s="12">
        <v>1</v>
      </c>
      <c r="B16" s="11">
        <v>3</v>
      </c>
    </row>
    <row r="17" spans="1:5" x14ac:dyDescent="0.25">
      <c r="A17" s="12">
        <v>1</v>
      </c>
      <c r="B17" s="11">
        <v>4</v>
      </c>
      <c r="D17" s="2" t="s">
        <v>7</v>
      </c>
      <c r="E17" s="2"/>
    </row>
    <row r="18" spans="1:5" x14ac:dyDescent="0.25">
      <c r="A18" s="12">
        <v>2</v>
      </c>
      <c r="B18" s="11">
        <v>3</v>
      </c>
    </row>
    <row r="19" spans="1:5" x14ac:dyDescent="0.25">
      <c r="A19" s="12">
        <v>2</v>
      </c>
      <c r="B19" s="11">
        <v>4</v>
      </c>
    </row>
    <row r="20" spans="1:5" x14ac:dyDescent="0.25">
      <c r="A20" s="12">
        <v>2</v>
      </c>
      <c r="B20" s="11">
        <v>4</v>
      </c>
    </row>
    <row r="21" spans="1:5" x14ac:dyDescent="0.25">
      <c r="A21" s="12">
        <v>1</v>
      </c>
      <c r="B21" s="11">
        <v>5</v>
      </c>
    </row>
    <row r="22" spans="1:5" x14ac:dyDescent="0.25">
      <c r="A22" s="12">
        <v>3</v>
      </c>
      <c r="B22" s="11">
        <v>4</v>
      </c>
    </row>
    <row r="23" spans="1:5" x14ac:dyDescent="0.25">
      <c r="A23" s="12">
        <v>1</v>
      </c>
      <c r="B23" s="11">
        <v>2</v>
      </c>
    </row>
    <row r="24" spans="1:5" x14ac:dyDescent="0.25">
      <c r="A24" s="12">
        <v>1</v>
      </c>
      <c r="B24" s="11">
        <v>4</v>
      </c>
    </row>
    <row r="25" spans="1:5" x14ac:dyDescent="0.25">
      <c r="A25" s="12">
        <v>4</v>
      </c>
      <c r="B25" s="11">
        <v>4</v>
      </c>
    </row>
    <row r="26" spans="1:5" x14ac:dyDescent="0.25">
      <c r="A26" s="12">
        <v>1</v>
      </c>
      <c r="B26" s="11">
        <v>5</v>
      </c>
    </row>
    <row r="27" spans="1:5" x14ac:dyDescent="0.25">
      <c r="A27" s="12">
        <v>2</v>
      </c>
      <c r="B27" s="11">
        <v>5</v>
      </c>
    </row>
    <row r="28" spans="1:5" x14ac:dyDescent="0.25">
      <c r="A28" s="12">
        <v>1</v>
      </c>
      <c r="B28" s="11">
        <v>5</v>
      </c>
    </row>
    <row r="29" spans="1:5" x14ac:dyDescent="0.25">
      <c r="A29" s="12">
        <v>2</v>
      </c>
      <c r="B29" s="11">
        <v>5</v>
      </c>
      <c r="D29" t="s">
        <v>12</v>
      </c>
      <c r="E29">
        <f>(E2-E8)/SQRT(((E5^2)/E6)+((E11^2)/E12))</f>
        <v>-17.008174256374662</v>
      </c>
    </row>
    <row r="30" spans="1:5" x14ac:dyDescent="0.25">
      <c r="A30" s="12">
        <v>2</v>
      </c>
      <c r="B30" s="11">
        <v>5</v>
      </c>
    </row>
    <row r="31" spans="1:5" x14ac:dyDescent="0.25">
      <c r="A31" s="12">
        <v>1</v>
      </c>
      <c r="B31" s="11">
        <v>5</v>
      </c>
      <c r="D31" s="2" t="s">
        <v>8</v>
      </c>
      <c r="E31" s="2"/>
    </row>
    <row r="32" spans="1:5" x14ac:dyDescent="0.25">
      <c r="A32" s="12">
        <v>2</v>
      </c>
      <c r="B32" s="11">
        <v>3</v>
      </c>
    </row>
    <row r="33" spans="1:6" x14ac:dyDescent="0.25">
      <c r="A33" s="12">
        <v>2</v>
      </c>
      <c r="B33" s="11">
        <v>5</v>
      </c>
    </row>
    <row r="34" spans="1:6" x14ac:dyDescent="0.25">
      <c r="A34" s="12">
        <v>1</v>
      </c>
      <c r="B34" s="11">
        <v>4</v>
      </c>
    </row>
    <row r="35" spans="1:6" x14ac:dyDescent="0.25">
      <c r="A35" s="12">
        <v>1</v>
      </c>
      <c r="B35" s="11">
        <v>5</v>
      </c>
    </row>
    <row r="36" spans="1:6" x14ac:dyDescent="0.25">
      <c r="A36" s="12">
        <v>2</v>
      </c>
      <c r="B36" s="11">
        <v>4</v>
      </c>
    </row>
    <row r="37" spans="1:6" x14ac:dyDescent="0.25">
      <c r="A37" s="12">
        <v>1</v>
      </c>
      <c r="B37" s="11">
        <v>5</v>
      </c>
    </row>
    <row r="38" spans="1:6" x14ac:dyDescent="0.25">
      <c r="A38" s="12">
        <v>2</v>
      </c>
      <c r="B38" s="11">
        <v>5</v>
      </c>
    </row>
    <row r="39" spans="1:6" x14ac:dyDescent="0.25">
      <c r="A39" s="12">
        <v>2</v>
      </c>
      <c r="B39" s="11">
        <v>4</v>
      </c>
    </row>
    <row r="40" spans="1:6" x14ac:dyDescent="0.25">
      <c r="A40" s="12">
        <v>2</v>
      </c>
      <c r="B40" s="11">
        <v>5</v>
      </c>
    </row>
    <row r="41" spans="1:6" ht="29.25" customHeight="1" x14ac:dyDescent="0.25">
      <c r="A41" s="12">
        <v>3</v>
      </c>
      <c r="B41" s="11">
        <v>3</v>
      </c>
      <c r="D41" t="s">
        <v>9</v>
      </c>
      <c r="E41">
        <f>(((E5^2)/E6)+((E11^2)/E12))^2</f>
        <v>2.5506955747185521E-4</v>
      </c>
    </row>
    <row r="42" spans="1:6" ht="47.25" customHeight="1" x14ac:dyDescent="0.25">
      <c r="A42" s="12">
        <v>1</v>
      </c>
      <c r="B42" s="11">
        <v>4</v>
      </c>
      <c r="D42" t="s">
        <v>10</v>
      </c>
      <c r="E42">
        <f>(((E5^2)/E6)^2)/(E6-1)</f>
        <v>6.91017346841693E-7</v>
      </c>
    </row>
    <row r="43" spans="1:6" ht="43.5" customHeight="1" x14ac:dyDescent="0.25">
      <c r="A43" s="12">
        <v>2</v>
      </c>
      <c r="B43" s="11">
        <v>4</v>
      </c>
      <c r="D43" t="s">
        <v>11</v>
      </c>
      <c r="E43">
        <f>(((E11^2)/E12)^2)/(E12-1)</f>
        <v>7.9372348682606569E-7</v>
      </c>
    </row>
    <row r="44" spans="1:6" x14ac:dyDescent="0.25">
      <c r="A44" s="12">
        <v>1</v>
      </c>
      <c r="B44" s="11">
        <v>4</v>
      </c>
    </row>
    <row r="45" spans="1:6" x14ac:dyDescent="0.25">
      <c r="A45" s="12">
        <v>2</v>
      </c>
      <c r="B45" s="11">
        <v>3</v>
      </c>
      <c r="D45" t="s">
        <v>8</v>
      </c>
      <c r="E45">
        <f>E41/(E42+E43)</f>
        <v>171.79399373138833</v>
      </c>
      <c r="F45" s="6" t="s">
        <v>13</v>
      </c>
    </row>
    <row r="46" spans="1:6" x14ac:dyDescent="0.25">
      <c r="A46" s="12">
        <v>1</v>
      </c>
      <c r="B46" s="11">
        <v>4</v>
      </c>
    </row>
    <row r="47" spans="1:6" x14ac:dyDescent="0.25">
      <c r="A47" s="12">
        <v>4</v>
      </c>
      <c r="B47" s="11">
        <v>5</v>
      </c>
      <c r="D47" t="s">
        <v>14</v>
      </c>
      <c r="E47">
        <v>0.05</v>
      </c>
      <c r="F47" s="6" t="s">
        <v>13</v>
      </c>
    </row>
    <row r="48" spans="1:6" x14ac:dyDescent="0.25">
      <c r="A48" s="12">
        <v>2</v>
      </c>
      <c r="B48" s="11">
        <v>3</v>
      </c>
    </row>
    <row r="49" spans="1:5" x14ac:dyDescent="0.25">
      <c r="A49" s="12">
        <v>2</v>
      </c>
      <c r="B49" s="11">
        <v>3</v>
      </c>
    </row>
    <row r="50" spans="1:5" x14ac:dyDescent="0.25">
      <c r="A50" s="12">
        <v>3</v>
      </c>
      <c r="B50" s="11">
        <v>4</v>
      </c>
    </row>
    <row r="51" spans="1:5" x14ac:dyDescent="0.25">
      <c r="A51" s="12">
        <v>1</v>
      </c>
      <c r="B51" s="11">
        <v>3</v>
      </c>
      <c r="D51" s="5"/>
      <c r="E51" s="5"/>
    </row>
    <row r="52" spans="1:5" x14ac:dyDescent="0.25">
      <c r="A52" s="12">
        <v>1</v>
      </c>
      <c r="B52" s="11">
        <v>5</v>
      </c>
      <c r="D52" t="s">
        <v>17</v>
      </c>
      <c r="E52">
        <f>_xlfn.T.INV.2T(E47,E45)</f>
        <v>1.9739339541031049</v>
      </c>
    </row>
    <row r="53" spans="1:5" x14ac:dyDescent="0.25">
      <c r="A53" s="12">
        <v>3</v>
      </c>
      <c r="B53" s="11">
        <v>3</v>
      </c>
      <c r="D53" t="s">
        <v>18</v>
      </c>
      <c r="E53">
        <f>_xlfn.T.INV(E47, E45)</f>
        <v>-1.6538133236322152</v>
      </c>
    </row>
    <row r="54" spans="1:5" x14ac:dyDescent="0.25">
      <c r="A54" s="12">
        <v>2</v>
      </c>
      <c r="B54" s="11">
        <v>5</v>
      </c>
    </row>
    <row r="55" spans="1:5" x14ac:dyDescent="0.25">
      <c r="A55" s="12">
        <v>1</v>
      </c>
      <c r="B55" s="11">
        <v>2</v>
      </c>
      <c r="D55" t="s">
        <v>19</v>
      </c>
      <c r="E55">
        <f>TTEST(A:A,B:B,2,2)</f>
        <v>1.0915605446548825E-38</v>
      </c>
    </row>
    <row r="56" spans="1:5" x14ac:dyDescent="0.25">
      <c r="A56" s="12">
        <v>1</v>
      </c>
      <c r="B56" s="11">
        <v>4</v>
      </c>
      <c r="D56" t="s">
        <v>20</v>
      </c>
      <c r="E56">
        <f>TTEST(A:A,B:B,1,2)</f>
        <v>5.4578027232744126E-39</v>
      </c>
    </row>
    <row r="57" spans="1:5" x14ac:dyDescent="0.25">
      <c r="A57" s="12">
        <v>2</v>
      </c>
      <c r="B57" s="11">
        <v>5</v>
      </c>
    </row>
    <row r="58" spans="1:5" x14ac:dyDescent="0.25">
      <c r="A58" s="12">
        <v>3</v>
      </c>
      <c r="B58" s="11">
        <v>5</v>
      </c>
    </row>
    <row r="59" spans="1:5" x14ac:dyDescent="0.25">
      <c r="A59" s="12">
        <v>2</v>
      </c>
      <c r="B59" s="11">
        <v>3</v>
      </c>
      <c r="D59" s="5" t="s">
        <v>21</v>
      </c>
      <c r="E59" s="5"/>
    </row>
    <row r="60" spans="1:5" x14ac:dyDescent="0.25">
      <c r="A60" s="12">
        <v>3</v>
      </c>
      <c r="B60" s="11">
        <v>5</v>
      </c>
    </row>
    <row r="61" spans="1:5" x14ac:dyDescent="0.25">
      <c r="A61" s="12">
        <v>2</v>
      </c>
      <c r="B61" s="11">
        <v>3</v>
      </c>
      <c r="D61" t="s">
        <v>22</v>
      </c>
    </row>
    <row r="62" spans="1:5" x14ac:dyDescent="0.25">
      <c r="A62" s="12">
        <v>2</v>
      </c>
      <c r="B62" s="11">
        <v>4</v>
      </c>
      <c r="D62" t="s">
        <v>23</v>
      </c>
    </row>
    <row r="63" spans="1:5" x14ac:dyDescent="0.25">
      <c r="A63" s="12">
        <v>1</v>
      </c>
      <c r="B63" s="11">
        <v>5</v>
      </c>
    </row>
    <row r="64" spans="1:5" x14ac:dyDescent="0.25">
      <c r="A64" s="12">
        <v>2</v>
      </c>
      <c r="B64" s="11">
        <v>3</v>
      </c>
      <c r="D64" t="s">
        <v>24</v>
      </c>
    </row>
    <row r="65" spans="1:4" x14ac:dyDescent="0.25">
      <c r="A65" s="12">
        <v>1</v>
      </c>
      <c r="B65" s="11">
        <v>3</v>
      </c>
      <c r="D65" t="s">
        <v>25</v>
      </c>
    </row>
    <row r="66" spans="1:4" x14ac:dyDescent="0.25">
      <c r="A66" s="12">
        <v>2</v>
      </c>
      <c r="B66" s="11">
        <v>4</v>
      </c>
    </row>
    <row r="67" spans="1:4" x14ac:dyDescent="0.25">
      <c r="A67" s="12">
        <v>5</v>
      </c>
      <c r="B67" s="11">
        <v>4</v>
      </c>
    </row>
    <row r="68" spans="1:4" x14ac:dyDescent="0.25">
      <c r="A68" s="12">
        <v>2</v>
      </c>
      <c r="B68" s="11">
        <v>5</v>
      </c>
      <c r="D68" s="10" t="s">
        <v>26</v>
      </c>
    </row>
    <row r="69" spans="1:4" x14ac:dyDescent="0.25">
      <c r="A69" s="12">
        <v>1</v>
      </c>
      <c r="B69" s="11">
        <v>4</v>
      </c>
    </row>
    <row r="70" spans="1:4" x14ac:dyDescent="0.25">
      <c r="A70" s="12">
        <v>2</v>
      </c>
      <c r="B70" s="11">
        <v>3</v>
      </c>
      <c r="D70" t="s">
        <v>27</v>
      </c>
    </row>
    <row r="71" spans="1:4" x14ac:dyDescent="0.25">
      <c r="A71" s="12">
        <v>1</v>
      </c>
      <c r="B71" s="11">
        <v>3</v>
      </c>
      <c r="D71" t="s">
        <v>28</v>
      </c>
    </row>
    <row r="72" spans="1:4" x14ac:dyDescent="0.25">
      <c r="A72" s="12">
        <v>2</v>
      </c>
      <c r="B72" s="11">
        <v>3</v>
      </c>
      <c r="D72" t="s">
        <v>29</v>
      </c>
    </row>
    <row r="73" spans="1:4" x14ac:dyDescent="0.25">
      <c r="A73" s="12">
        <v>1</v>
      </c>
      <c r="B73" s="11">
        <v>5</v>
      </c>
    </row>
    <row r="74" spans="1:4" x14ac:dyDescent="0.25">
      <c r="A74" s="12">
        <v>2</v>
      </c>
      <c r="B74" s="11">
        <v>3</v>
      </c>
    </row>
    <row r="75" spans="1:4" x14ac:dyDescent="0.25">
      <c r="A75" s="12">
        <v>1</v>
      </c>
      <c r="B75" s="11">
        <v>5</v>
      </c>
      <c r="D75" s="10" t="s">
        <v>26</v>
      </c>
    </row>
    <row r="76" spans="1:4" x14ac:dyDescent="0.25">
      <c r="A76" s="12">
        <v>2</v>
      </c>
      <c r="B76" s="11">
        <v>3</v>
      </c>
    </row>
    <row r="77" spans="1:4" x14ac:dyDescent="0.25">
      <c r="A77" s="12">
        <v>2</v>
      </c>
      <c r="B77" s="11">
        <v>4</v>
      </c>
    </row>
    <row r="78" spans="1:4" x14ac:dyDescent="0.25">
      <c r="A78" s="12">
        <v>2</v>
      </c>
      <c r="B78" s="11">
        <v>3</v>
      </c>
    </row>
    <row r="79" spans="1:4" x14ac:dyDescent="0.25">
      <c r="A79" s="12">
        <v>1</v>
      </c>
      <c r="B79" s="11">
        <v>4</v>
      </c>
    </row>
    <row r="80" spans="1:4" x14ac:dyDescent="0.25">
      <c r="A80" s="12">
        <v>1</v>
      </c>
      <c r="B80" s="11">
        <v>5</v>
      </c>
    </row>
    <row r="81" spans="1:4" x14ac:dyDescent="0.25">
      <c r="A81" s="12">
        <v>2</v>
      </c>
      <c r="B81" s="11">
        <v>4</v>
      </c>
    </row>
    <row r="82" spans="1:4" x14ac:dyDescent="0.25">
      <c r="A82" s="12">
        <v>1</v>
      </c>
      <c r="B82" s="11">
        <v>3</v>
      </c>
      <c r="D82" t="s">
        <v>30</v>
      </c>
    </row>
    <row r="83" spans="1:4" x14ac:dyDescent="0.25">
      <c r="A83" s="12">
        <v>2</v>
      </c>
      <c r="B83" s="11">
        <v>4</v>
      </c>
      <c r="D83" t="s">
        <v>29</v>
      </c>
    </row>
    <row r="84" spans="1:4" x14ac:dyDescent="0.25">
      <c r="A84" s="12">
        <v>2</v>
      </c>
      <c r="B84" s="11">
        <v>3</v>
      </c>
      <c r="D84" t="s">
        <v>30</v>
      </c>
    </row>
    <row r="85" spans="1:4" x14ac:dyDescent="0.25">
      <c r="A85" s="12">
        <v>1</v>
      </c>
      <c r="B85" s="11">
        <v>5</v>
      </c>
      <c r="D85" t="s">
        <v>29</v>
      </c>
    </row>
    <row r="86" spans="1:4" x14ac:dyDescent="0.25">
      <c r="A86" s="12">
        <v>2</v>
      </c>
      <c r="B86" s="11">
        <v>3</v>
      </c>
    </row>
    <row r="87" spans="1:4" x14ac:dyDescent="0.25">
      <c r="A87" s="12">
        <v>2</v>
      </c>
      <c r="B87" s="11">
        <v>3</v>
      </c>
    </row>
    <row r="88" spans="1:4" x14ac:dyDescent="0.25">
      <c r="A88" s="12">
        <v>3</v>
      </c>
      <c r="B88" s="11"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F207-4C4F-4EA9-96B8-5E966E309521}">
  <dimension ref="A1:F88"/>
  <sheetViews>
    <sheetView zoomScale="70" zoomScaleNormal="70" workbookViewId="0">
      <selection activeCell="D8" sqref="D8"/>
    </sheetView>
  </sheetViews>
  <sheetFormatPr baseColWidth="10" defaultColWidth="9.140625" defaultRowHeight="15" x14ac:dyDescent="0.25"/>
  <cols>
    <col min="1" max="1" width="21.7109375" style="12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51.5" customHeight="1" x14ac:dyDescent="0.25">
      <c r="A1" s="8" t="s">
        <v>47</v>
      </c>
      <c r="B1" s="9" t="s">
        <v>48</v>
      </c>
    </row>
    <row r="2" spans="1:5" x14ac:dyDescent="0.25">
      <c r="A2" s="12">
        <v>2</v>
      </c>
      <c r="B2" s="11">
        <v>5</v>
      </c>
      <c r="D2" s="1" t="s">
        <v>0</v>
      </c>
      <c r="E2">
        <f>AVERAGE(A:A)</f>
        <v>1.6206896551724137</v>
      </c>
    </row>
    <row r="3" spans="1:5" x14ac:dyDescent="0.25">
      <c r="A3" s="12">
        <v>2</v>
      </c>
      <c r="B3" s="11">
        <v>3</v>
      </c>
      <c r="D3" s="1" t="s">
        <v>1</v>
      </c>
      <c r="E3">
        <f>MEDIAN(A:A)</f>
        <v>2</v>
      </c>
    </row>
    <row r="4" spans="1:5" x14ac:dyDescent="0.25">
      <c r="A4" s="12">
        <v>2</v>
      </c>
      <c r="B4" s="11">
        <v>3</v>
      </c>
      <c r="D4" s="1" t="s">
        <v>2</v>
      </c>
      <c r="E4">
        <f>MODE(A:A)</f>
        <v>1</v>
      </c>
    </row>
    <row r="5" spans="1:5" x14ac:dyDescent="0.25">
      <c r="A5" s="12">
        <v>1</v>
      </c>
      <c r="B5" s="11">
        <v>4</v>
      </c>
      <c r="D5" s="1" t="s">
        <v>16</v>
      </c>
      <c r="E5">
        <f>STDEV(A:A)</f>
        <v>0.66893492766477647</v>
      </c>
    </row>
    <row r="6" spans="1:5" x14ac:dyDescent="0.25">
      <c r="A6" s="12">
        <v>3</v>
      </c>
      <c r="B6" s="11">
        <v>4</v>
      </c>
      <c r="D6" s="4" t="s">
        <v>5</v>
      </c>
      <c r="E6">
        <f>COUNT(A:A)</f>
        <v>87</v>
      </c>
    </row>
    <row r="7" spans="1:5" x14ac:dyDescent="0.25">
      <c r="A7" s="12">
        <v>1</v>
      </c>
      <c r="B7" s="11">
        <v>4</v>
      </c>
    </row>
    <row r="8" spans="1:5" x14ac:dyDescent="0.25">
      <c r="A8" s="12">
        <v>1</v>
      </c>
      <c r="B8" s="11">
        <v>5</v>
      </c>
      <c r="D8" s="3" t="s">
        <v>63</v>
      </c>
      <c r="E8">
        <f>AVERAGE(B:B)</f>
        <v>3.9885057471264367</v>
      </c>
    </row>
    <row r="9" spans="1:5" x14ac:dyDescent="0.25">
      <c r="A9" s="12">
        <v>1</v>
      </c>
      <c r="B9" s="11">
        <v>5</v>
      </c>
      <c r="D9" s="3" t="s">
        <v>3</v>
      </c>
      <c r="E9">
        <f>MEDIAN(B:B)</f>
        <v>4</v>
      </c>
    </row>
    <row r="10" spans="1:5" x14ac:dyDescent="0.25">
      <c r="A10" s="12">
        <v>1</v>
      </c>
      <c r="B10" s="11">
        <v>5</v>
      </c>
      <c r="D10" s="3" t="s">
        <v>4</v>
      </c>
      <c r="E10">
        <f>MODE(B:B)</f>
        <v>4</v>
      </c>
    </row>
    <row r="11" spans="1:5" x14ac:dyDescent="0.25">
      <c r="A11" s="12">
        <v>1</v>
      </c>
      <c r="B11" s="11">
        <v>3</v>
      </c>
      <c r="D11" s="3" t="s">
        <v>15</v>
      </c>
      <c r="E11">
        <f>STDEV(B:B)</f>
        <v>0.85581802121228057</v>
      </c>
    </row>
    <row r="12" spans="1:5" x14ac:dyDescent="0.25">
      <c r="A12" s="12">
        <v>2</v>
      </c>
      <c r="B12" s="11">
        <v>4</v>
      </c>
      <c r="D12" s="5" t="s">
        <v>6</v>
      </c>
      <c r="E12">
        <f>COUNT(B:B)</f>
        <v>87</v>
      </c>
    </row>
    <row r="13" spans="1:5" x14ac:dyDescent="0.25">
      <c r="A13" s="12">
        <v>2</v>
      </c>
      <c r="B13" s="11">
        <v>3</v>
      </c>
    </row>
    <row r="14" spans="1:5" x14ac:dyDescent="0.25">
      <c r="A14" s="12">
        <v>1</v>
      </c>
      <c r="B14" s="11">
        <v>4</v>
      </c>
    </row>
    <row r="15" spans="1:5" x14ac:dyDescent="0.25">
      <c r="A15" s="12">
        <v>2</v>
      </c>
      <c r="B15" s="11">
        <v>3</v>
      </c>
    </row>
    <row r="16" spans="1:5" x14ac:dyDescent="0.25">
      <c r="A16" s="12">
        <v>1</v>
      </c>
      <c r="B16" s="11">
        <v>4</v>
      </c>
    </row>
    <row r="17" spans="1:5" x14ac:dyDescent="0.25">
      <c r="A17" s="12">
        <v>1</v>
      </c>
      <c r="B17" s="11">
        <v>4</v>
      </c>
      <c r="D17" s="2" t="s">
        <v>7</v>
      </c>
      <c r="E17" s="2"/>
    </row>
    <row r="18" spans="1:5" x14ac:dyDescent="0.25">
      <c r="A18" s="12">
        <v>2</v>
      </c>
      <c r="B18" s="11">
        <v>5</v>
      </c>
    </row>
    <row r="19" spans="1:5" x14ac:dyDescent="0.25">
      <c r="A19" s="12">
        <v>2</v>
      </c>
      <c r="B19" s="11">
        <v>5</v>
      </c>
    </row>
    <row r="20" spans="1:5" x14ac:dyDescent="0.25">
      <c r="A20" s="12">
        <v>2</v>
      </c>
      <c r="B20" s="11">
        <v>5</v>
      </c>
    </row>
    <row r="21" spans="1:5" x14ac:dyDescent="0.25">
      <c r="A21" s="12">
        <v>1</v>
      </c>
      <c r="B21" s="11">
        <v>5</v>
      </c>
    </row>
    <row r="22" spans="1:5" x14ac:dyDescent="0.25">
      <c r="A22" s="12">
        <v>2</v>
      </c>
      <c r="B22" s="11">
        <v>3</v>
      </c>
    </row>
    <row r="23" spans="1:5" x14ac:dyDescent="0.25">
      <c r="A23" s="12">
        <v>1</v>
      </c>
      <c r="B23" s="11">
        <v>5</v>
      </c>
    </row>
    <row r="24" spans="1:5" x14ac:dyDescent="0.25">
      <c r="A24" s="12">
        <v>1</v>
      </c>
      <c r="B24" s="11">
        <v>3</v>
      </c>
    </row>
    <row r="25" spans="1:5" x14ac:dyDescent="0.25">
      <c r="A25" s="12">
        <v>1</v>
      </c>
      <c r="B25" s="11">
        <v>4</v>
      </c>
    </row>
    <row r="26" spans="1:5" x14ac:dyDescent="0.25">
      <c r="A26" s="12">
        <v>1</v>
      </c>
      <c r="B26" s="11">
        <v>3</v>
      </c>
    </row>
    <row r="27" spans="1:5" x14ac:dyDescent="0.25">
      <c r="A27" s="12">
        <v>1</v>
      </c>
      <c r="B27" s="11">
        <v>5</v>
      </c>
    </row>
    <row r="28" spans="1:5" x14ac:dyDescent="0.25">
      <c r="A28" s="12">
        <v>1</v>
      </c>
      <c r="B28" s="11">
        <v>3</v>
      </c>
    </row>
    <row r="29" spans="1:5" x14ac:dyDescent="0.25">
      <c r="A29" s="12">
        <v>2</v>
      </c>
      <c r="B29" s="11">
        <v>5</v>
      </c>
      <c r="D29" t="s">
        <v>12</v>
      </c>
      <c r="E29">
        <f>(E2-E8)/SQRT(((E5^2)/E6)+((E11^2)/E12))</f>
        <v>-20.332242636284661</v>
      </c>
    </row>
    <row r="30" spans="1:5" x14ac:dyDescent="0.25">
      <c r="A30" s="12">
        <v>2</v>
      </c>
      <c r="B30" s="11">
        <v>3</v>
      </c>
    </row>
    <row r="31" spans="1:5" x14ac:dyDescent="0.25">
      <c r="A31" s="12">
        <v>1</v>
      </c>
      <c r="B31" s="11">
        <v>3</v>
      </c>
      <c r="D31" s="2" t="s">
        <v>8</v>
      </c>
      <c r="E31" s="2"/>
    </row>
    <row r="32" spans="1:5" x14ac:dyDescent="0.25">
      <c r="A32" s="12">
        <v>4</v>
      </c>
      <c r="B32" s="11">
        <v>5</v>
      </c>
    </row>
    <row r="33" spans="1:6" x14ac:dyDescent="0.25">
      <c r="A33" s="12">
        <v>2</v>
      </c>
      <c r="B33" s="11">
        <v>5</v>
      </c>
    </row>
    <row r="34" spans="1:6" x14ac:dyDescent="0.25">
      <c r="A34" s="12">
        <v>1</v>
      </c>
      <c r="B34" s="11">
        <v>4</v>
      </c>
    </row>
    <row r="35" spans="1:6" x14ac:dyDescent="0.25">
      <c r="A35" s="12">
        <v>1</v>
      </c>
      <c r="B35" s="11">
        <v>5</v>
      </c>
    </row>
    <row r="36" spans="1:6" x14ac:dyDescent="0.25">
      <c r="A36" s="12">
        <v>2</v>
      </c>
      <c r="B36" s="11">
        <v>4</v>
      </c>
    </row>
    <row r="37" spans="1:6" x14ac:dyDescent="0.25">
      <c r="A37" s="12">
        <v>1</v>
      </c>
      <c r="B37" s="11">
        <v>4</v>
      </c>
    </row>
    <row r="38" spans="1:6" x14ac:dyDescent="0.25">
      <c r="A38" s="12">
        <v>1</v>
      </c>
      <c r="B38" s="11">
        <v>3</v>
      </c>
    </row>
    <row r="39" spans="1:6" x14ac:dyDescent="0.25">
      <c r="A39" s="12">
        <v>2</v>
      </c>
      <c r="B39" s="11">
        <v>5</v>
      </c>
    </row>
    <row r="40" spans="1:6" x14ac:dyDescent="0.25">
      <c r="A40" s="12">
        <v>2</v>
      </c>
      <c r="B40" s="11">
        <v>3</v>
      </c>
    </row>
    <row r="41" spans="1:6" ht="29.25" customHeight="1" x14ac:dyDescent="0.25">
      <c r="A41" s="12">
        <v>3</v>
      </c>
      <c r="B41" s="11">
        <v>4</v>
      </c>
      <c r="D41" t="s">
        <v>9</v>
      </c>
      <c r="E41">
        <f>(((E5^2)/E6)+((E11^2)/E12))^2</f>
        <v>1.8392922292488406E-4</v>
      </c>
    </row>
    <row r="42" spans="1:6" ht="47.25" customHeight="1" x14ac:dyDescent="0.25">
      <c r="A42" s="12">
        <v>1</v>
      </c>
      <c r="B42" s="11">
        <v>3</v>
      </c>
      <c r="D42" t="s">
        <v>10</v>
      </c>
      <c r="E42">
        <f>(((E5^2)/E6)^2)/(E6-1)</f>
        <v>3.0760864342145118E-7</v>
      </c>
    </row>
    <row r="43" spans="1:6" ht="43.5" customHeight="1" x14ac:dyDescent="0.25">
      <c r="A43" s="12">
        <v>3</v>
      </c>
      <c r="B43" s="11">
        <v>2</v>
      </c>
      <c r="D43" t="s">
        <v>11</v>
      </c>
      <c r="E43">
        <f>(((E11^2)/E12)^2)/(E12-1)</f>
        <v>8.2411677199208462E-7</v>
      </c>
    </row>
    <row r="44" spans="1:6" x14ac:dyDescent="0.25">
      <c r="A44" s="12">
        <v>1</v>
      </c>
      <c r="B44" s="11">
        <v>3</v>
      </c>
    </row>
    <row r="45" spans="1:6" x14ac:dyDescent="0.25">
      <c r="A45" s="12">
        <v>2</v>
      </c>
      <c r="B45" s="11">
        <v>4</v>
      </c>
      <c r="D45" t="s">
        <v>8</v>
      </c>
      <c r="E45">
        <f>E41/(E42+E43)</f>
        <v>162.52106776065975</v>
      </c>
      <c r="F45" s="6" t="s">
        <v>13</v>
      </c>
    </row>
    <row r="46" spans="1:6" x14ac:dyDescent="0.25">
      <c r="A46" s="12">
        <v>1</v>
      </c>
      <c r="B46" s="11">
        <v>5</v>
      </c>
    </row>
    <row r="47" spans="1:6" x14ac:dyDescent="0.25">
      <c r="A47" s="12">
        <v>2</v>
      </c>
      <c r="B47" s="11">
        <v>5</v>
      </c>
      <c r="D47" t="s">
        <v>14</v>
      </c>
      <c r="E47">
        <v>0.05</v>
      </c>
      <c r="F47" s="6" t="s">
        <v>13</v>
      </c>
    </row>
    <row r="48" spans="1:6" x14ac:dyDescent="0.25">
      <c r="A48" s="12">
        <v>2</v>
      </c>
      <c r="B48" s="11">
        <v>5</v>
      </c>
    </row>
    <row r="49" spans="1:5" x14ac:dyDescent="0.25">
      <c r="A49" s="12">
        <v>2</v>
      </c>
      <c r="B49" s="11">
        <v>3</v>
      </c>
    </row>
    <row r="50" spans="1:5" x14ac:dyDescent="0.25">
      <c r="A50" s="12">
        <v>1</v>
      </c>
      <c r="B50" s="11">
        <v>4</v>
      </c>
    </row>
    <row r="51" spans="1:5" x14ac:dyDescent="0.25">
      <c r="A51" s="12">
        <v>1</v>
      </c>
      <c r="B51" s="11">
        <v>4</v>
      </c>
      <c r="D51" s="5"/>
      <c r="E51" s="5"/>
    </row>
    <row r="52" spans="1:5" x14ac:dyDescent="0.25">
      <c r="A52" s="12">
        <v>1</v>
      </c>
      <c r="B52" s="11">
        <v>5</v>
      </c>
      <c r="D52" t="s">
        <v>17</v>
      </c>
      <c r="E52">
        <f>_xlfn.T.INV.2T(E47,E45)</f>
        <v>1.9747157859237898</v>
      </c>
    </row>
    <row r="53" spans="1:5" x14ac:dyDescent="0.25">
      <c r="A53" s="12">
        <v>3</v>
      </c>
      <c r="B53" s="11">
        <v>4</v>
      </c>
      <c r="D53" t="s">
        <v>18</v>
      </c>
      <c r="E53">
        <f>_xlfn.T.INV(E47, E45)</f>
        <v>-1.6543139565269314</v>
      </c>
    </row>
    <row r="54" spans="1:5" x14ac:dyDescent="0.25">
      <c r="A54" s="12">
        <v>2</v>
      </c>
      <c r="B54" s="11">
        <v>4</v>
      </c>
    </row>
    <row r="55" spans="1:5" x14ac:dyDescent="0.25">
      <c r="A55" s="12">
        <v>1</v>
      </c>
      <c r="B55" s="11">
        <v>3</v>
      </c>
      <c r="D55" t="s">
        <v>19</v>
      </c>
      <c r="E55">
        <f>TTEST(A:A,B:B,2,2)</f>
        <v>1.2958662848081162E-47</v>
      </c>
    </row>
    <row r="56" spans="1:5" x14ac:dyDescent="0.25">
      <c r="A56" s="12">
        <v>1</v>
      </c>
      <c r="B56" s="11">
        <v>4</v>
      </c>
      <c r="D56" t="s">
        <v>20</v>
      </c>
      <c r="E56">
        <f>TTEST(A:A,B:B,1,2)</f>
        <v>6.4793314240405811E-48</v>
      </c>
    </row>
    <row r="57" spans="1:5" x14ac:dyDescent="0.25">
      <c r="A57" s="12">
        <v>2</v>
      </c>
      <c r="B57" s="11">
        <v>4</v>
      </c>
    </row>
    <row r="58" spans="1:5" x14ac:dyDescent="0.25">
      <c r="A58" s="12">
        <v>2</v>
      </c>
      <c r="B58" s="11">
        <v>5</v>
      </c>
    </row>
    <row r="59" spans="1:5" x14ac:dyDescent="0.25">
      <c r="A59" s="12">
        <v>1</v>
      </c>
      <c r="B59" s="11">
        <v>5</v>
      </c>
      <c r="D59" s="5" t="s">
        <v>21</v>
      </c>
      <c r="E59" s="5"/>
    </row>
    <row r="60" spans="1:5" x14ac:dyDescent="0.25">
      <c r="A60" s="12">
        <v>1</v>
      </c>
      <c r="B60" s="11">
        <v>3</v>
      </c>
    </row>
    <row r="61" spans="1:5" x14ac:dyDescent="0.25">
      <c r="A61" s="12">
        <v>1</v>
      </c>
      <c r="B61" s="11">
        <v>4</v>
      </c>
      <c r="D61" t="s">
        <v>22</v>
      </c>
    </row>
    <row r="62" spans="1:5" x14ac:dyDescent="0.25">
      <c r="A62" s="12">
        <v>2</v>
      </c>
      <c r="B62" s="11">
        <v>5</v>
      </c>
      <c r="D62" t="s">
        <v>23</v>
      </c>
    </row>
    <row r="63" spans="1:5" x14ac:dyDescent="0.25">
      <c r="A63" s="12">
        <v>1</v>
      </c>
      <c r="B63" s="11">
        <v>5</v>
      </c>
    </row>
    <row r="64" spans="1:5" x14ac:dyDescent="0.25">
      <c r="A64" s="12">
        <v>2</v>
      </c>
      <c r="B64" s="11">
        <v>3</v>
      </c>
      <c r="D64" t="s">
        <v>24</v>
      </c>
    </row>
    <row r="65" spans="1:4" x14ac:dyDescent="0.25">
      <c r="A65" s="12">
        <v>1</v>
      </c>
      <c r="B65" s="11">
        <v>3</v>
      </c>
      <c r="D65" t="s">
        <v>25</v>
      </c>
    </row>
    <row r="66" spans="1:4" x14ac:dyDescent="0.25">
      <c r="A66" s="12">
        <v>2</v>
      </c>
      <c r="B66" s="11">
        <v>5</v>
      </c>
    </row>
    <row r="67" spans="1:4" x14ac:dyDescent="0.25">
      <c r="A67" s="12">
        <v>3</v>
      </c>
      <c r="B67" s="11">
        <v>4</v>
      </c>
    </row>
    <row r="68" spans="1:4" x14ac:dyDescent="0.25">
      <c r="A68" s="12">
        <v>2</v>
      </c>
      <c r="B68" s="11">
        <v>3</v>
      </c>
      <c r="D68" s="10" t="s">
        <v>26</v>
      </c>
    </row>
    <row r="69" spans="1:4" x14ac:dyDescent="0.25">
      <c r="A69" s="12">
        <v>1</v>
      </c>
      <c r="B69" s="11">
        <v>4</v>
      </c>
    </row>
    <row r="70" spans="1:4" x14ac:dyDescent="0.25">
      <c r="A70" s="12">
        <v>2</v>
      </c>
      <c r="B70" s="11">
        <v>5</v>
      </c>
      <c r="D70" t="s">
        <v>27</v>
      </c>
    </row>
    <row r="71" spans="1:4" x14ac:dyDescent="0.25">
      <c r="A71" s="12">
        <v>1</v>
      </c>
      <c r="B71" s="11">
        <v>4</v>
      </c>
      <c r="D71" t="s">
        <v>28</v>
      </c>
    </row>
    <row r="72" spans="1:4" x14ac:dyDescent="0.25">
      <c r="A72" s="12">
        <v>2</v>
      </c>
      <c r="B72" s="11">
        <v>5</v>
      </c>
      <c r="D72" t="s">
        <v>29</v>
      </c>
    </row>
    <row r="73" spans="1:4" x14ac:dyDescent="0.25">
      <c r="A73" s="12">
        <v>1</v>
      </c>
      <c r="B73" s="11">
        <v>4</v>
      </c>
    </row>
    <row r="74" spans="1:4" x14ac:dyDescent="0.25">
      <c r="A74" s="12">
        <v>2</v>
      </c>
      <c r="B74" s="11">
        <v>5</v>
      </c>
    </row>
    <row r="75" spans="1:4" x14ac:dyDescent="0.25">
      <c r="A75" s="12">
        <v>1</v>
      </c>
      <c r="B75" s="11">
        <v>4</v>
      </c>
      <c r="D75" s="10" t="s">
        <v>26</v>
      </c>
    </row>
    <row r="76" spans="1:4" x14ac:dyDescent="0.25">
      <c r="A76" s="12">
        <v>2</v>
      </c>
      <c r="B76" s="11">
        <v>4</v>
      </c>
    </row>
    <row r="77" spans="1:4" x14ac:dyDescent="0.25">
      <c r="A77" s="12">
        <v>2</v>
      </c>
      <c r="B77" s="11">
        <v>3</v>
      </c>
    </row>
    <row r="78" spans="1:4" x14ac:dyDescent="0.25">
      <c r="A78" s="12">
        <v>2</v>
      </c>
      <c r="B78" s="11">
        <v>2</v>
      </c>
    </row>
    <row r="79" spans="1:4" x14ac:dyDescent="0.25">
      <c r="A79" s="12">
        <v>1</v>
      </c>
      <c r="B79" s="11">
        <v>3</v>
      </c>
    </row>
    <row r="80" spans="1:4" x14ac:dyDescent="0.25">
      <c r="A80" s="12">
        <v>1</v>
      </c>
      <c r="B80" s="11">
        <v>4</v>
      </c>
    </row>
    <row r="81" spans="1:4" x14ac:dyDescent="0.25">
      <c r="A81" s="12">
        <v>2</v>
      </c>
      <c r="B81" s="11">
        <v>3</v>
      </c>
    </row>
    <row r="82" spans="1:4" x14ac:dyDescent="0.25">
      <c r="A82" s="12">
        <v>1</v>
      </c>
      <c r="B82" s="11">
        <v>4</v>
      </c>
      <c r="D82" t="s">
        <v>30</v>
      </c>
    </row>
    <row r="83" spans="1:4" x14ac:dyDescent="0.25">
      <c r="A83" s="12">
        <v>2</v>
      </c>
      <c r="B83" s="11">
        <v>4</v>
      </c>
      <c r="D83" t="s">
        <v>29</v>
      </c>
    </row>
    <row r="84" spans="1:4" x14ac:dyDescent="0.25">
      <c r="A84" s="12">
        <v>2</v>
      </c>
      <c r="B84" s="11">
        <v>3</v>
      </c>
      <c r="D84" t="s">
        <v>30</v>
      </c>
    </row>
    <row r="85" spans="1:4" x14ac:dyDescent="0.25">
      <c r="A85" s="12">
        <v>2</v>
      </c>
      <c r="B85" s="11">
        <v>4</v>
      </c>
      <c r="D85" t="s">
        <v>29</v>
      </c>
    </row>
    <row r="86" spans="1:4" x14ac:dyDescent="0.25">
      <c r="A86" s="12">
        <v>2</v>
      </c>
      <c r="B86" s="11">
        <v>3</v>
      </c>
    </row>
    <row r="87" spans="1:4" x14ac:dyDescent="0.25">
      <c r="A87" s="12">
        <v>2</v>
      </c>
      <c r="B87" s="11">
        <v>5</v>
      </c>
    </row>
    <row r="88" spans="1:4" x14ac:dyDescent="0.25">
      <c r="A88" s="12">
        <v>3</v>
      </c>
      <c r="B88" s="11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7AB4-A430-4F34-830A-D690875CDC40}">
  <dimension ref="A1:F88"/>
  <sheetViews>
    <sheetView zoomScale="115" zoomScaleNormal="115" workbookViewId="0">
      <selection activeCell="D8" sqref="D8"/>
    </sheetView>
  </sheetViews>
  <sheetFormatPr baseColWidth="10" defaultColWidth="9.140625" defaultRowHeight="15" x14ac:dyDescent="0.25"/>
  <cols>
    <col min="1" max="1" width="21.7109375" style="12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51.5" customHeight="1" x14ac:dyDescent="0.25">
      <c r="A1" s="8" t="s">
        <v>45</v>
      </c>
      <c r="B1" s="9" t="s">
        <v>46</v>
      </c>
    </row>
    <row r="2" spans="1:5" x14ac:dyDescent="0.25">
      <c r="A2" s="12">
        <v>2</v>
      </c>
      <c r="B2" s="11">
        <v>5</v>
      </c>
      <c r="D2" s="1" t="s">
        <v>0</v>
      </c>
      <c r="E2">
        <f>AVERAGE(A:A)</f>
        <v>1.8390804597701149</v>
      </c>
    </row>
    <row r="3" spans="1:5" x14ac:dyDescent="0.25">
      <c r="A3" s="12">
        <v>2</v>
      </c>
      <c r="B3" s="11">
        <v>5</v>
      </c>
      <c r="D3" s="1" t="s">
        <v>1</v>
      </c>
      <c r="E3">
        <f>MEDIAN(A:A)</f>
        <v>2</v>
      </c>
    </row>
    <row r="4" spans="1:5" x14ac:dyDescent="0.25">
      <c r="A4" s="12">
        <v>1</v>
      </c>
      <c r="B4" s="11">
        <v>3</v>
      </c>
      <c r="D4" s="1" t="s">
        <v>2</v>
      </c>
      <c r="E4">
        <f>MODE(A:A)</f>
        <v>2</v>
      </c>
    </row>
    <row r="5" spans="1:5" x14ac:dyDescent="0.25">
      <c r="A5" s="12">
        <v>1</v>
      </c>
      <c r="B5" s="11">
        <v>4</v>
      </c>
      <c r="D5" s="1" t="s">
        <v>16</v>
      </c>
      <c r="E5">
        <f>STDEV(A:A)</f>
        <v>0.97496050269897716</v>
      </c>
    </row>
    <row r="6" spans="1:5" x14ac:dyDescent="0.25">
      <c r="A6" s="12">
        <v>3</v>
      </c>
      <c r="B6" s="11">
        <v>4</v>
      </c>
      <c r="D6" s="4" t="s">
        <v>5</v>
      </c>
      <c r="E6">
        <f>COUNT(A:A)</f>
        <v>87</v>
      </c>
    </row>
    <row r="7" spans="1:5" x14ac:dyDescent="0.25">
      <c r="A7" s="12">
        <v>1</v>
      </c>
      <c r="B7" s="11">
        <v>4</v>
      </c>
    </row>
    <row r="8" spans="1:5" x14ac:dyDescent="0.25">
      <c r="A8" s="12">
        <v>1</v>
      </c>
      <c r="B8" s="11">
        <v>4</v>
      </c>
      <c r="D8" s="3" t="s">
        <v>63</v>
      </c>
      <c r="E8">
        <f>AVERAGE(B:B)</f>
        <v>3.9080459770114944</v>
      </c>
    </row>
    <row r="9" spans="1:5" x14ac:dyDescent="0.25">
      <c r="A9" s="12">
        <v>1</v>
      </c>
      <c r="B9" s="11">
        <v>4</v>
      </c>
      <c r="D9" s="3" t="s">
        <v>3</v>
      </c>
      <c r="E9">
        <f>MEDIAN(B:B)</f>
        <v>4</v>
      </c>
    </row>
    <row r="10" spans="1:5" x14ac:dyDescent="0.25">
      <c r="A10" s="12">
        <v>1</v>
      </c>
      <c r="B10" s="11">
        <v>4</v>
      </c>
      <c r="D10" s="3" t="s">
        <v>4</v>
      </c>
      <c r="E10">
        <f>MODE(B:B)</f>
        <v>3</v>
      </c>
    </row>
    <row r="11" spans="1:5" x14ac:dyDescent="0.25">
      <c r="A11" s="12">
        <v>1</v>
      </c>
      <c r="B11" s="11">
        <v>4</v>
      </c>
      <c r="D11" s="3" t="s">
        <v>15</v>
      </c>
      <c r="E11">
        <f>STDEV(B:B)</f>
        <v>0.87114177827810169</v>
      </c>
    </row>
    <row r="12" spans="1:5" x14ac:dyDescent="0.25">
      <c r="A12" s="12">
        <v>2</v>
      </c>
      <c r="B12" s="11">
        <v>4</v>
      </c>
      <c r="D12" s="5" t="s">
        <v>6</v>
      </c>
      <c r="E12">
        <f>COUNT(B:B)</f>
        <v>87</v>
      </c>
    </row>
    <row r="13" spans="1:5" x14ac:dyDescent="0.25">
      <c r="A13" s="12">
        <v>2</v>
      </c>
      <c r="B13" s="11">
        <v>3</v>
      </c>
    </row>
    <row r="14" spans="1:5" x14ac:dyDescent="0.25">
      <c r="A14" s="12">
        <v>1</v>
      </c>
      <c r="B14" s="11">
        <v>3</v>
      </c>
    </row>
    <row r="15" spans="1:5" x14ac:dyDescent="0.25">
      <c r="A15" s="12">
        <v>2</v>
      </c>
      <c r="B15" s="11">
        <v>3</v>
      </c>
    </row>
    <row r="16" spans="1:5" x14ac:dyDescent="0.25">
      <c r="A16" s="12">
        <v>1</v>
      </c>
      <c r="B16" s="11">
        <v>4</v>
      </c>
    </row>
    <row r="17" spans="1:5" x14ac:dyDescent="0.25">
      <c r="A17" s="12">
        <v>1</v>
      </c>
      <c r="B17" s="11">
        <v>3</v>
      </c>
      <c r="D17" s="2" t="s">
        <v>7</v>
      </c>
      <c r="E17" s="2"/>
    </row>
    <row r="18" spans="1:5" x14ac:dyDescent="0.25">
      <c r="A18" s="12">
        <v>2</v>
      </c>
      <c r="B18" s="11">
        <v>3</v>
      </c>
    </row>
    <row r="19" spans="1:5" x14ac:dyDescent="0.25">
      <c r="A19" s="12">
        <v>2</v>
      </c>
      <c r="B19" s="11">
        <v>3</v>
      </c>
    </row>
    <row r="20" spans="1:5" x14ac:dyDescent="0.25">
      <c r="A20" s="12">
        <v>2</v>
      </c>
      <c r="B20" s="11">
        <v>3</v>
      </c>
    </row>
    <row r="21" spans="1:5" x14ac:dyDescent="0.25">
      <c r="A21" s="12">
        <v>4</v>
      </c>
      <c r="B21" s="11">
        <v>3</v>
      </c>
    </row>
    <row r="22" spans="1:5" x14ac:dyDescent="0.25">
      <c r="A22" s="12">
        <v>2</v>
      </c>
      <c r="B22" s="11">
        <v>4</v>
      </c>
    </row>
    <row r="23" spans="1:5" x14ac:dyDescent="0.25">
      <c r="A23" s="12">
        <v>1</v>
      </c>
      <c r="B23" s="11">
        <v>5</v>
      </c>
    </row>
    <row r="24" spans="1:5" x14ac:dyDescent="0.25">
      <c r="A24" s="12">
        <v>1</v>
      </c>
      <c r="B24" s="11">
        <v>4</v>
      </c>
    </row>
    <row r="25" spans="1:5" x14ac:dyDescent="0.25">
      <c r="A25" s="12">
        <v>1</v>
      </c>
      <c r="B25" s="11">
        <v>3</v>
      </c>
    </row>
    <row r="26" spans="1:5" x14ac:dyDescent="0.25">
      <c r="A26" s="12">
        <v>1</v>
      </c>
      <c r="B26" s="11">
        <v>5</v>
      </c>
    </row>
    <row r="27" spans="1:5" x14ac:dyDescent="0.25">
      <c r="A27" s="12">
        <v>2</v>
      </c>
      <c r="B27" s="11">
        <v>5</v>
      </c>
    </row>
    <row r="28" spans="1:5" x14ac:dyDescent="0.25">
      <c r="A28" s="12">
        <v>1</v>
      </c>
      <c r="B28" s="11">
        <v>5</v>
      </c>
    </row>
    <row r="29" spans="1:5" x14ac:dyDescent="0.25">
      <c r="A29" s="12">
        <v>2</v>
      </c>
      <c r="B29" s="11">
        <v>5</v>
      </c>
      <c r="D29" t="s">
        <v>12</v>
      </c>
      <c r="E29">
        <f>(E2-E8)/SQRT(((E5^2)/E6)+((E11^2)/E12))</f>
        <v>-14.760003432559342</v>
      </c>
    </row>
    <row r="30" spans="1:5" x14ac:dyDescent="0.25">
      <c r="A30" s="12">
        <v>2</v>
      </c>
      <c r="B30" s="11">
        <v>4</v>
      </c>
    </row>
    <row r="31" spans="1:5" x14ac:dyDescent="0.25">
      <c r="A31" s="12">
        <v>5</v>
      </c>
      <c r="B31" s="11">
        <v>5</v>
      </c>
      <c r="D31" s="2" t="s">
        <v>8</v>
      </c>
      <c r="E31" s="2"/>
    </row>
    <row r="32" spans="1:5" x14ac:dyDescent="0.25">
      <c r="A32" s="12">
        <v>2</v>
      </c>
      <c r="B32" s="11">
        <v>3</v>
      </c>
    </row>
    <row r="33" spans="1:6" x14ac:dyDescent="0.25">
      <c r="A33" s="12">
        <v>4</v>
      </c>
      <c r="B33" s="11">
        <v>4</v>
      </c>
    </row>
    <row r="34" spans="1:6" x14ac:dyDescent="0.25">
      <c r="A34" s="12">
        <v>1</v>
      </c>
      <c r="B34" s="11">
        <v>3</v>
      </c>
    </row>
    <row r="35" spans="1:6" x14ac:dyDescent="0.25">
      <c r="A35" s="12">
        <v>1</v>
      </c>
      <c r="B35" s="11">
        <v>5</v>
      </c>
    </row>
    <row r="36" spans="1:6" x14ac:dyDescent="0.25">
      <c r="A36" s="12">
        <v>2</v>
      </c>
      <c r="B36" s="11">
        <v>5</v>
      </c>
    </row>
    <row r="37" spans="1:6" x14ac:dyDescent="0.25">
      <c r="A37" s="12">
        <v>1</v>
      </c>
      <c r="B37" s="11">
        <v>5</v>
      </c>
    </row>
    <row r="38" spans="1:6" x14ac:dyDescent="0.25">
      <c r="A38" s="12">
        <v>2</v>
      </c>
      <c r="B38" s="11">
        <v>5</v>
      </c>
    </row>
    <row r="39" spans="1:6" x14ac:dyDescent="0.25">
      <c r="A39" s="12">
        <v>2</v>
      </c>
      <c r="B39" s="11">
        <v>5</v>
      </c>
    </row>
    <row r="40" spans="1:6" x14ac:dyDescent="0.25">
      <c r="A40" s="12">
        <v>4</v>
      </c>
      <c r="B40" s="11">
        <v>5</v>
      </c>
    </row>
    <row r="41" spans="1:6" ht="29.25" customHeight="1" x14ac:dyDescent="0.25">
      <c r="A41" s="12">
        <v>3</v>
      </c>
      <c r="B41" s="11">
        <v>4</v>
      </c>
      <c r="D41" t="s">
        <v>9</v>
      </c>
      <c r="E41">
        <f>(((E5^2)/E6)+((E11^2)/E12))^2</f>
        <v>3.8607099598892374E-4</v>
      </c>
    </row>
    <row r="42" spans="1:6" ht="47.25" customHeight="1" x14ac:dyDescent="0.25">
      <c r="A42" s="12">
        <v>4</v>
      </c>
      <c r="B42" s="11">
        <v>3</v>
      </c>
      <c r="D42" t="s">
        <v>10</v>
      </c>
      <c r="E42">
        <f>(((E5^2)/E6)^2)/(E6-1)</f>
        <v>1.3880692447281268E-6</v>
      </c>
    </row>
    <row r="43" spans="1:6" ht="43.5" customHeight="1" x14ac:dyDescent="0.25">
      <c r="A43" s="12">
        <v>2</v>
      </c>
      <c r="B43" s="11">
        <v>4</v>
      </c>
      <c r="D43" t="s">
        <v>11</v>
      </c>
      <c r="E43">
        <f>(((E11^2)/E12)^2)/(E12-1)</f>
        <v>8.8474560139474447E-7</v>
      </c>
    </row>
    <row r="44" spans="1:6" x14ac:dyDescent="0.25">
      <c r="A44" s="12">
        <v>1</v>
      </c>
      <c r="B44" s="11">
        <v>5</v>
      </c>
    </row>
    <row r="45" spans="1:6" x14ac:dyDescent="0.25">
      <c r="A45" s="12">
        <v>2</v>
      </c>
      <c r="B45" s="11">
        <v>5</v>
      </c>
      <c r="D45" t="s">
        <v>8</v>
      </c>
      <c r="E45">
        <f>E41/(E42+E43)</f>
        <v>169.86469295882637</v>
      </c>
      <c r="F45" s="6" t="s">
        <v>13</v>
      </c>
    </row>
    <row r="46" spans="1:6" x14ac:dyDescent="0.25">
      <c r="A46" s="12">
        <v>2</v>
      </c>
      <c r="B46" s="11">
        <v>5</v>
      </c>
    </row>
    <row r="47" spans="1:6" x14ac:dyDescent="0.25">
      <c r="A47" s="12">
        <v>2</v>
      </c>
      <c r="B47" s="11">
        <v>3</v>
      </c>
      <c r="D47" t="s">
        <v>14</v>
      </c>
      <c r="E47">
        <v>0.05</v>
      </c>
      <c r="F47" s="6" t="s">
        <v>13</v>
      </c>
    </row>
    <row r="48" spans="1:6" x14ac:dyDescent="0.25">
      <c r="A48" s="12">
        <v>2</v>
      </c>
      <c r="B48" s="11">
        <v>5</v>
      </c>
    </row>
    <row r="49" spans="1:5" x14ac:dyDescent="0.25">
      <c r="A49" s="12">
        <v>2</v>
      </c>
      <c r="B49" s="11">
        <v>5</v>
      </c>
    </row>
    <row r="50" spans="1:5" x14ac:dyDescent="0.25">
      <c r="A50" s="12">
        <v>1</v>
      </c>
      <c r="B50" s="11">
        <v>4</v>
      </c>
    </row>
    <row r="51" spans="1:5" x14ac:dyDescent="0.25">
      <c r="A51" s="12">
        <v>1</v>
      </c>
      <c r="B51" s="11">
        <v>3</v>
      </c>
      <c r="D51" s="5"/>
      <c r="E51" s="5"/>
    </row>
    <row r="52" spans="1:5" x14ac:dyDescent="0.25">
      <c r="A52" s="12">
        <v>1</v>
      </c>
      <c r="B52" s="11">
        <v>5</v>
      </c>
      <c r="D52" t="s">
        <v>17</v>
      </c>
      <c r="E52">
        <f>_xlfn.T.INV.2T(E47,E45)</f>
        <v>1.9741004473989796</v>
      </c>
    </row>
    <row r="53" spans="1:5" x14ac:dyDescent="0.25">
      <c r="A53" s="12">
        <v>2</v>
      </c>
      <c r="B53" s="11">
        <v>3</v>
      </c>
      <c r="D53" t="s">
        <v>18</v>
      </c>
      <c r="E53">
        <f>_xlfn.T.INV(E47, E45)</f>
        <v>-1.6539199418820105</v>
      </c>
    </row>
    <row r="54" spans="1:5" x14ac:dyDescent="0.25">
      <c r="A54" s="12">
        <v>2</v>
      </c>
      <c r="B54" s="11">
        <v>5</v>
      </c>
    </row>
    <row r="55" spans="1:5" x14ac:dyDescent="0.25">
      <c r="A55" s="12">
        <v>1</v>
      </c>
      <c r="B55" s="11">
        <v>3</v>
      </c>
      <c r="D55" t="s">
        <v>19</v>
      </c>
      <c r="E55">
        <f>TTEST(A:A,B:B,2,2)</f>
        <v>2.2155549297299862E-32</v>
      </c>
    </row>
    <row r="56" spans="1:5" x14ac:dyDescent="0.25">
      <c r="A56" s="12">
        <v>1</v>
      </c>
      <c r="B56" s="11">
        <v>3</v>
      </c>
      <c r="D56" t="s">
        <v>20</v>
      </c>
      <c r="E56">
        <f>TTEST(A:A,B:B,1,2)</f>
        <v>1.1077774648649931E-32</v>
      </c>
    </row>
    <row r="57" spans="1:5" x14ac:dyDescent="0.25">
      <c r="A57" s="12">
        <v>2</v>
      </c>
      <c r="B57" s="11">
        <v>3</v>
      </c>
    </row>
    <row r="58" spans="1:5" x14ac:dyDescent="0.25">
      <c r="A58" s="12">
        <v>2</v>
      </c>
      <c r="B58" s="11">
        <v>5</v>
      </c>
    </row>
    <row r="59" spans="1:5" x14ac:dyDescent="0.25">
      <c r="A59" s="12">
        <v>1</v>
      </c>
      <c r="B59" s="11">
        <v>3</v>
      </c>
      <c r="D59" s="5" t="s">
        <v>21</v>
      </c>
      <c r="E59" s="5"/>
    </row>
    <row r="60" spans="1:5" x14ac:dyDescent="0.25">
      <c r="A60" s="12">
        <v>1</v>
      </c>
      <c r="B60" s="11">
        <v>3</v>
      </c>
    </row>
    <row r="61" spans="1:5" x14ac:dyDescent="0.25">
      <c r="A61" s="12">
        <v>2</v>
      </c>
      <c r="B61" s="11">
        <v>5</v>
      </c>
      <c r="D61" t="s">
        <v>22</v>
      </c>
    </row>
    <row r="62" spans="1:5" x14ac:dyDescent="0.25">
      <c r="A62" s="12">
        <v>2</v>
      </c>
      <c r="B62" s="11">
        <v>3</v>
      </c>
      <c r="D62" t="s">
        <v>23</v>
      </c>
    </row>
    <row r="63" spans="1:5" x14ac:dyDescent="0.25">
      <c r="A63" s="12">
        <v>1</v>
      </c>
      <c r="B63" s="11">
        <v>3</v>
      </c>
    </row>
    <row r="64" spans="1:5" x14ac:dyDescent="0.25">
      <c r="A64" s="12">
        <v>2</v>
      </c>
      <c r="B64" s="11">
        <v>3</v>
      </c>
      <c r="D64" t="s">
        <v>24</v>
      </c>
    </row>
    <row r="65" spans="1:4" x14ac:dyDescent="0.25">
      <c r="A65" s="12">
        <v>1</v>
      </c>
      <c r="B65" s="11">
        <v>5</v>
      </c>
      <c r="D65" t="s">
        <v>25</v>
      </c>
    </row>
    <row r="66" spans="1:4" x14ac:dyDescent="0.25">
      <c r="A66" s="12">
        <v>2</v>
      </c>
      <c r="B66" s="11">
        <v>3</v>
      </c>
    </row>
    <row r="67" spans="1:4" x14ac:dyDescent="0.25">
      <c r="A67" s="12">
        <v>5</v>
      </c>
      <c r="B67" s="11">
        <v>4</v>
      </c>
    </row>
    <row r="68" spans="1:4" x14ac:dyDescent="0.25">
      <c r="A68" s="12">
        <v>2</v>
      </c>
      <c r="B68" s="11">
        <v>5</v>
      </c>
      <c r="D68" s="10" t="s">
        <v>26</v>
      </c>
    </row>
    <row r="69" spans="1:4" x14ac:dyDescent="0.25">
      <c r="A69" s="12">
        <v>1</v>
      </c>
      <c r="B69" s="11">
        <v>3</v>
      </c>
    </row>
    <row r="70" spans="1:4" x14ac:dyDescent="0.25">
      <c r="A70" s="12">
        <v>2</v>
      </c>
      <c r="B70" s="11">
        <v>3</v>
      </c>
      <c r="D70" t="s">
        <v>27</v>
      </c>
    </row>
    <row r="71" spans="1:4" x14ac:dyDescent="0.25">
      <c r="A71" s="12">
        <v>4</v>
      </c>
      <c r="B71" s="11">
        <v>3</v>
      </c>
      <c r="D71" t="s">
        <v>28</v>
      </c>
    </row>
    <row r="72" spans="1:4" x14ac:dyDescent="0.25">
      <c r="A72" s="12">
        <v>5</v>
      </c>
      <c r="B72" s="11">
        <v>4</v>
      </c>
      <c r="D72" t="s">
        <v>29</v>
      </c>
    </row>
    <row r="73" spans="1:4" x14ac:dyDescent="0.25">
      <c r="A73" s="12">
        <v>1</v>
      </c>
      <c r="B73" s="11">
        <v>3</v>
      </c>
    </row>
    <row r="74" spans="1:4" x14ac:dyDescent="0.25">
      <c r="A74" s="12">
        <v>2</v>
      </c>
      <c r="B74" s="11">
        <v>3</v>
      </c>
    </row>
    <row r="75" spans="1:4" x14ac:dyDescent="0.25">
      <c r="A75" s="12">
        <v>1</v>
      </c>
      <c r="B75" s="11">
        <v>3</v>
      </c>
      <c r="D75" s="10" t="s">
        <v>26</v>
      </c>
    </row>
    <row r="76" spans="1:4" x14ac:dyDescent="0.25">
      <c r="A76" s="12">
        <v>2</v>
      </c>
      <c r="B76" s="11">
        <v>3</v>
      </c>
    </row>
    <row r="77" spans="1:4" x14ac:dyDescent="0.25">
      <c r="A77" s="12">
        <v>2</v>
      </c>
      <c r="B77" s="11">
        <v>3</v>
      </c>
    </row>
    <row r="78" spans="1:4" x14ac:dyDescent="0.25">
      <c r="A78" s="12">
        <v>2</v>
      </c>
      <c r="B78" s="11">
        <v>3</v>
      </c>
    </row>
    <row r="79" spans="1:4" x14ac:dyDescent="0.25">
      <c r="A79" s="12">
        <v>1</v>
      </c>
      <c r="B79" s="11">
        <v>5</v>
      </c>
    </row>
    <row r="80" spans="1:4" x14ac:dyDescent="0.25">
      <c r="A80" s="12">
        <v>1</v>
      </c>
      <c r="B80" s="11">
        <v>4</v>
      </c>
    </row>
    <row r="81" spans="1:4" x14ac:dyDescent="0.25">
      <c r="A81" s="12">
        <v>2</v>
      </c>
      <c r="B81" s="11">
        <v>4</v>
      </c>
    </row>
    <row r="82" spans="1:4" x14ac:dyDescent="0.25">
      <c r="A82" s="12">
        <v>1</v>
      </c>
      <c r="B82" s="11">
        <v>3</v>
      </c>
      <c r="D82" t="s">
        <v>30</v>
      </c>
    </row>
    <row r="83" spans="1:4" x14ac:dyDescent="0.25">
      <c r="A83" s="12">
        <v>2</v>
      </c>
      <c r="B83" s="11">
        <v>5</v>
      </c>
      <c r="D83" t="s">
        <v>29</v>
      </c>
    </row>
    <row r="84" spans="1:4" x14ac:dyDescent="0.25">
      <c r="A84" s="12">
        <v>2</v>
      </c>
      <c r="B84" s="11">
        <v>3</v>
      </c>
      <c r="D84" t="s">
        <v>30</v>
      </c>
    </row>
    <row r="85" spans="1:4" x14ac:dyDescent="0.25">
      <c r="A85" s="12">
        <v>1</v>
      </c>
      <c r="B85" s="11">
        <v>5</v>
      </c>
      <c r="D85" t="s">
        <v>29</v>
      </c>
    </row>
    <row r="86" spans="1:4" x14ac:dyDescent="0.25">
      <c r="A86" s="12">
        <v>2</v>
      </c>
      <c r="B86" s="11">
        <v>5</v>
      </c>
    </row>
    <row r="87" spans="1:4" x14ac:dyDescent="0.25">
      <c r="A87" s="12">
        <v>2</v>
      </c>
      <c r="B87" s="11">
        <v>4</v>
      </c>
    </row>
    <row r="88" spans="1:4" x14ac:dyDescent="0.25">
      <c r="A88" s="12">
        <v>2</v>
      </c>
      <c r="B88" s="11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C9BB-4907-4641-807E-317206449016}">
  <dimension ref="A1:F88"/>
  <sheetViews>
    <sheetView zoomScale="70" zoomScaleNormal="70" workbookViewId="0">
      <selection activeCell="D8" sqref="D8"/>
    </sheetView>
  </sheetViews>
  <sheetFormatPr baseColWidth="10" defaultColWidth="9.140625" defaultRowHeight="15" x14ac:dyDescent="0.25"/>
  <cols>
    <col min="1" max="1" width="21.7109375" style="12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51.5" customHeight="1" x14ac:dyDescent="0.25">
      <c r="A1" s="8" t="s">
        <v>43</v>
      </c>
      <c r="B1" s="9" t="s">
        <v>44</v>
      </c>
    </row>
    <row r="2" spans="1:5" x14ac:dyDescent="0.25">
      <c r="A2" s="12">
        <v>2</v>
      </c>
      <c r="B2" s="11">
        <v>5</v>
      </c>
      <c r="D2" s="1" t="s">
        <v>0</v>
      </c>
      <c r="E2">
        <f>AVERAGE(A:A)</f>
        <v>1.7241379310344827</v>
      </c>
    </row>
    <row r="3" spans="1:5" x14ac:dyDescent="0.25">
      <c r="A3" s="12">
        <v>2</v>
      </c>
      <c r="B3" s="11">
        <v>4</v>
      </c>
      <c r="D3" s="1" t="s">
        <v>1</v>
      </c>
      <c r="E3">
        <f>MEDIAN(A:A)</f>
        <v>2</v>
      </c>
    </row>
    <row r="4" spans="1:5" x14ac:dyDescent="0.25">
      <c r="A4" s="12">
        <v>3</v>
      </c>
      <c r="B4" s="11">
        <v>5</v>
      </c>
      <c r="D4" s="1" t="s">
        <v>2</v>
      </c>
      <c r="E4">
        <f>MODE(A:A)</f>
        <v>2</v>
      </c>
    </row>
    <row r="5" spans="1:5" x14ac:dyDescent="0.25">
      <c r="A5" s="12">
        <v>1</v>
      </c>
      <c r="B5" s="11">
        <v>4</v>
      </c>
      <c r="D5" s="1" t="s">
        <v>16</v>
      </c>
      <c r="E5">
        <f>STDEV(A:A)</f>
        <v>0.83093748082083685</v>
      </c>
    </row>
    <row r="6" spans="1:5" x14ac:dyDescent="0.25">
      <c r="A6" s="12">
        <v>5</v>
      </c>
      <c r="B6" s="11">
        <v>5</v>
      </c>
      <c r="D6" s="4" t="s">
        <v>5</v>
      </c>
      <c r="E6">
        <f>COUNT(A:A)</f>
        <v>87</v>
      </c>
    </row>
    <row r="7" spans="1:5" x14ac:dyDescent="0.25">
      <c r="A7" s="12">
        <v>1</v>
      </c>
      <c r="B7" s="11">
        <v>5</v>
      </c>
    </row>
    <row r="8" spans="1:5" x14ac:dyDescent="0.25">
      <c r="A8" s="12">
        <v>1</v>
      </c>
      <c r="B8" s="11">
        <v>2</v>
      </c>
      <c r="D8" s="3" t="s">
        <v>63</v>
      </c>
      <c r="E8">
        <f>AVERAGE(B:B)</f>
        <v>4.1839080459770113</v>
      </c>
    </row>
    <row r="9" spans="1:5" x14ac:dyDescent="0.25">
      <c r="A9" s="12">
        <v>1</v>
      </c>
      <c r="B9" s="11">
        <v>4</v>
      </c>
      <c r="D9" s="3" t="s">
        <v>3</v>
      </c>
      <c r="E9">
        <f>MEDIAN(B:B)</f>
        <v>4</v>
      </c>
    </row>
    <row r="10" spans="1:5" x14ac:dyDescent="0.25">
      <c r="A10" s="12">
        <v>1</v>
      </c>
      <c r="B10" s="11">
        <v>4</v>
      </c>
      <c r="D10" s="3" t="s">
        <v>4</v>
      </c>
      <c r="E10">
        <f>MODE(B:B)</f>
        <v>4</v>
      </c>
    </row>
    <row r="11" spans="1:5" x14ac:dyDescent="0.25">
      <c r="A11" s="12">
        <v>1</v>
      </c>
      <c r="B11" s="11">
        <v>4</v>
      </c>
      <c r="D11" s="3" t="s">
        <v>15</v>
      </c>
      <c r="E11">
        <f>STDEV(B:B)</f>
        <v>0.86975986571252983</v>
      </c>
    </row>
    <row r="12" spans="1:5" x14ac:dyDescent="0.25">
      <c r="A12" s="12">
        <v>2</v>
      </c>
      <c r="B12" s="11">
        <v>4</v>
      </c>
      <c r="D12" s="5" t="s">
        <v>6</v>
      </c>
      <c r="E12">
        <f>COUNT(B:B)</f>
        <v>87</v>
      </c>
    </row>
    <row r="13" spans="1:5" x14ac:dyDescent="0.25">
      <c r="A13" s="12">
        <v>3</v>
      </c>
      <c r="B13" s="11">
        <v>5</v>
      </c>
    </row>
    <row r="14" spans="1:5" x14ac:dyDescent="0.25">
      <c r="A14" s="12">
        <v>1</v>
      </c>
      <c r="B14" s="11">
        <v>4</v>
      </c>
    </row>
    <row r="15" spans="1:5" x14ac:dyDescent="0.25">
      <c r="A15" s="12">
        <v>2</v>
      </c>
      <c r="B15" s="11">
        <v>5</v>
      </c>
    </row>
    <row r="16" spans="1:5" x14ac:dyDescent="0.25">
      <c r="A16" s="12">
        <v>1</v>
      </c>
      <c r="B16" s="11">
        <v>4</v>
      </c>
    </row>
    <row r="17" spans="1:5" x14ac:dyDescent="0.25">
      <c r="A17" s="12">
        <v>1</v>
      </c>
      <c r="B17" s="11">
        <v>5</v>
      </c>
      <c r="D17" s="2" t="s">
        <v>7</v>
      </c>
      <c r="E17" s="2"/>
    </row>
    <row r="18" spans="1:5" x14ac:dyDescent="0.25">
      <c r="A18" s="12">
        <v>2</v>
      </c>
      <c r="B18" s="11">
        <v>3</v>
      </c>
    </row>
    <row r="19" spans="1:5" x14ac:dyDescent="0.25">
      <c r="A19" s="12">
        <v>2</v>
      </c>
      <c r="B19" s="11">
        <v>4</v>
      </c>
    </row>
    <row r="20" spans="1:5" x14ac:dyDescent="0.25">
      <c r="A20" s="12">
        <v>2</v>
      </c>
      <c r="B20" s="11">
        <v>3</v>
      </c>
    </row>
    <row r="21" spans="1:5" x14ac:dyDescent="0.25">
      <c r="A21" s="12">
        <v>1</v>
      </c>
      <c r="B21" s="11">
        <v>4</v>
      </c>
    </row>
    <row r="22" spans="1:5" x14ac:dyDescent="0.25">
      <c r="A22" s="12">
        <v>2</v>
      </c>
      <c r="B22" s="11">
        <v>4</v>
      </c>
    </row>
    <row r="23" spans="1:5" x14ac:dyDescent="0.25">
      <c r="A23" s="12">
        <v>1</v>
      </c>
      <c r="B23" s="11">
        <v>3</v>
      </c>
    </row>
    <row r="24" spans="1:5" x14ac:dyDescent="0.25">
      <c r="A24" s="12">
        <v>1</v>
      </c>
      <c r="B24" s="11">
        <v>5</v>
      </c>
    </row>
    <row r="25" spans="1:5" x14ac:dyDescent="0.25">
      <c r="A25" s="12">
        <v>1</v>
      </c>
      <c r="B25" s="11">
        <v>5</v>
      </c>
    </row>
    <row r="26" spans="1:5" x14ac:dyDescent="0.25">
      <c r="A26" s="12">
        <v>1</v>
      </c>
      <c r="B26" s="11">
        <v>2</v>
      </c>
    </row>
    <row r="27" spans="1:5" x14ac:dyDescent="0.25">
      <c r="A27" s="12">
        <v>2</v>
      </c>
      <c r="B27" s="11">
        <v>3</v>
      </c>
    </row>
    <row r="28" spans="1:5" x14ac:dyDescent="0.25">
      <c r="A28" s="12">
        <v>1</v>
      </c>
      <c r="B28" s="11">
        <v>4</v>
      </c>
    </row>
    <row r="29" spans="1:5" x14ac:dyDescent="0.25">
      <c r="A29" s="12">
        <v>2</v>
      </c>
      <c r="B29" s="11">
        <v>4</v>
      </c>
      <c r="D29" t="s">
        <v>12</v>
      </c>
      <c r="E29">
        <f>(E2-E8)/SQRT(((E5^2)/E6)+((E11^2)/E12))</f>
        <v>-19.07343824680256</v>
      </c>
    </row>
    <row r="30" spans="1:5" x14ac:dyDescent="0.25">
      <c r="A30" s="12">
        <v>2</v>
      </c>
      <c r="B30" s="11">
        <v>5</v>
      </c>
    </row>
    <row r="31" spans="1:5" x14ac:dyDescent="0.25">
      <c r="A31" s="12">
        <v>1</v>
      </c>
      <c r="B31" s="11">
        <v>4</v>
      </c>
      <c r="D31" s="2" t="s">
        <v>8</v>
      </c>
      <c r="E31" s="2"/>
    </row>
    <row r="32" spans="1:5" x14ac:dyDescent="0.25">
      <c r="A32" s="12">
        <v>2</v>
      </c>
      <c r="B32" s="11">
        <v>4</v>
      </c>
    </row>
    <row r="33" spans="1:6" x14ac:dyDescent="0.25">
      <c r="A33" s="12">
        <v>3</v>
      </c>
      <c r="B33" s="11">
        <v>5</v>
      </c>
    </row>
    <row r="34" spans="1:6" x14ac:dyDescent="0.25">
      <c r="A34" s="12">
        <v>1</v>
      </c>
      <c r="B34" s="11">
        <v>4</v>
      </c>
    </row>
    <row r="35" spans="1:6" x14ac:dyDescent="0.25">
      <c r="A35" s="12">
        <v>1</v>
      </c>
      <c r="B35" s="11">
        <v>4</v>
      </c>
    </row>
    <row r="36" spans="1:6" x14ac:dyDescent="0.25">
      <c r="A36" s="12">
        <v>2</v>
      </c>
      <c r="B36" s="11">
        <v>2</v>
      </c>
    </row>
    <row r="37" spans="1:6" x14ac:dyDescent="0.25">
      <c r="A37" s="12">
        <v>1</v>
      </c>
      <c r="B37" s="11">
        <v>5</v>
      </c>
    </row>
    <row r="38" spans="1:6" x14ac:dyDescent="0.25">
      <c r="A38" s="12">
        <v>2</v>
      </c>
      <c r="B38" s="11">
        <v>5</v>
      </c>
    </row>
    <row r="39" spans="1:6" x14ac:dyDescent="0.25">
      <c r="A39" s="12">
        <v>2</v>
      </c>
      <c r="B39" s="11">
        <v>4</v>
      </c>
    </row>
    <row r="40" spans="1:6" x14ac:dyDescent="0.25">
      <c r="A40" s="12">
        <v>3</v>
      </c>
      <c r="B40" s="11">
        <v>4</v>
      </c>
    </row>
    <row r="41" spans="1:6" ht="29.25" customHeight="1" x14ac:dyDescent="0.25">
      <c r="A41" s="12">
        <v>5</v>
      </c>
      <c r="B41" s="11">
        <v>4</v>
      </c>
      <c r="D41" t="s">
        <v>9</v>
      </c>
      <c r="E41">
        <f>(((E5^2)/E6)+((E11^2)/E12))^2</f>
        <v>2.7660634149338976E-4</v>
      </c>
    </row>
    <row r="42" spans="1:6" ht="47.25" customHeight="1" x14ac:dyDescent="0.25">
      <c r="A42" s="12">
        <v>1</v>
      </c>
      <c r="B42" s="11">
        <v>5</v>
      </c>
      <c r="D42" t="s">
        <v>10</v>
      </c>
      <c r="E42">
        <f>(((E5^2)/E6)^2)/(E6-1)</f>
        <v>7.3237993843165343E-7</v>
      </c>
    </row>
    <row r="43" spans="1:6" ht="43.5" customHeight="1" x14ac:dyDescent="0.25">
      <c r="A43" s="12">
        <v>2</v>
      </c>
      <c r="B43" s="11">
        <v>5</v>
      </c>
      <c r="D43" t="s">
        <v>11</v>
      </c>
      <c r="E43">
        <f>(((E11^2)/E12)^2)/(E12-1)</f>
        <v>8.7914497511953347E-7</v>
      </c>
    </row>
    <row r="44" spans="1:6" x14ac:dyDescent="0.25">
      <c r="A44" s="12">
        <v>1</v>
      </c>
      <c r="B44" s="11">
        <v>4</v>
      </c>
    </row>
    <row r="45" spans="1:6" x14ac:dyDescent="0.25">
      <c r="A45" s="12">
        <v>2</v>
      </c>
      <c r="B45" s="11">
        <v>5</v>
      </c>
      <c r="D45" t="s">
        <v>8</v>
      </c>
      <c r="E45">
        <f>E41/(E42+E43)</f>
        <v>171.64260953549564</v>
      </c>
      <c r="F45" s="6" t="s">
        <v>13</v>
      </c>
    </row>
    <row r="46" spans="1:6" x14ac:dyDescent="0.25">
      <c r="A46" s="12">
        <v>2</v>
      </c>
      <c r="B46" s="11">
        <v>5</v>
      </c>
    </row>
    <row r="47" spans="1:6" x14ac:dyDescent="0.25">
      <c r="A47" s="12">
        <v>2</v>
      </c>
      <c r="B47" s="11">
        <v>4</v>
      </c>
      <c r="D47" t="s">
        <v>14</v>
      </c>
      <c r="E47">
        <v>0.05</v>
      </c>
      <c r="F47" s="6" t="s">
        <v>13</v>
      </c>
    </row>
    <row r="48" spans="1:6" x14ac:dyDescent="0.25">
      <c r="A48" s="12">
        <v>2</v>
      </c>
      <c r="B48" s="11">
        <v>4</v>
      </c>
    </row>
    <row r="49" spans="1:5" x14ac:dyDescent="0.25">
      <c r="A49" s="12">
        <v>2</v>
      </c>
      <c r="B49" s="11">
        <v>4</v>
      </c>
    </row>
    <row r="50" spans="1:5" x14ac:dyDescent="0.25">
      <c r="A50" s="12">
        <v>1</v>
      </c>
      <c r="B50" s="11">
        <v>5</v>
      </c>
    </row>
    <row r="51" spans="1:5" x14ac:dyDescent="0.25">
      <c r="A51" s="12">
        <v>1</v>
      </c>
      <c r="B51" s="11">
        <v>5</v>
      </c>
      <c r="D51" s="5"/>
      <c r="E51" s="5"/>
    </row>
    <row r="52" spans="1:5" x14ac:dyDescent="0.25">
      <c r="A52" s="12">
        <v>1</v>
      </c>
      <c r="B52" s="11">
        <v>5</v>
      </c>
      <c r="D52" t="s">
        <v>17</v>
      </c>
      <c r="E52">
        <f>_xlfn.T.INV.2T(E47,E45)</f>
        <v>1.9739339541031049</v>
      </c>
    </row>
    <row r="53" spans="1:5" x14ac:dyDescent="0.25">
      <c r="A53" s="12">
        <v>2</v>
      </c>
      <c r="B53" s="11">
        <v>4</v>
      </c>
      <c r="D53" t="s">
        <v>18</v>
      </c>
      <c r="E53">
        <f>_xlfn.T.INV(E47, E45)</f>
        <v>-1.6538133236322152</v>
      </c>
    </row>
    <row r="54" spans="1:5" x14ac:dyDescent="0.25">
      <c r="A54" s="12">
        <v>2</v>
      </c>
      <c r="B54" s="11">
        <v>5</v>
      </c>
    </row>
    <row r="55" spans="1:5" x14ac:dyDescent="0.25">
      <c r="A55" s="12">
        <v>1</v>
      </c>
      <c r="B55" s="11">
        <v>4</v>
      </c>
      <c r="D55" t="s">
        <v>19</v>
      </c>
      <c r="E55">
        <f>TTEST(A:A,B:B,2,2)</f>
        <v>2.6787496583770989E-44</v>
      </c>
    </row>
    <row r="56" spans="1:5" x14ac:dyDescent="0.25">
      <c r="A56" s="12">
        <v>1</v>
      </c>
      <c r="B56" s="11">
        <v>2</v>
      </c>
      <c r="D56" t="s">
        <v>20</v>
      </c>
      <c r="E56">
        <f>TTEST(A:A,B:B,1,2)</f>
        <v>1.3393748291885494E-44</v>
      </c>
    </row>
    <row r="57" spans="1:5" x14ac:dyDescent="0.25">
      <c r="A57" s="12">
        <v>2</v>
      </c>
      <c r="B57" s="11">
        <v>5</v>
      </c>
    </row>
    <row r="58" spans="1:5" x14ac:dyDescent="0.25">
      <c r="A58" s="12">
        <v>2</v>
      </c>
      <c r="B58" s="11">
        <v>5</v>
      </c>
    </row>
    <row r="59" spans="1:5" x14ac:dyDescent="0.25">
      <c r="A59" s="12">
        <v>1</v>
      </c>
      <c r="B59" s="11">
        <v>4</v>
      </c>
      <c r="D59" s="5" t="s">
        <v>21</v>
      </c>
      <c r="E59" s="5"/>
    </row>
    <row r="60" spans="1:5" x14ac:dyDescent="0.25">
      <c r="A60" s="12">
        <v>1</v>
      </c>
      <c r="B60" s="11">
        <v>5</v>
      </c>
    </row>
    <row r="61" spans="1:5" x14ac:dyDescent="0.25">
      <c r="A61" s="12">
        <v>2</v>
      </c>
      <c r="B61" s="11">
        <v>4</v>
      </c>
      <c r="D61" t="s">
        <v>22</v>
      </c>
    </row>
    <row r="62" spans="1:5" x14ac:dyDescent="0.25">
      <c r="A62" s="12">
        <v>3</v>
      </c>
      <c r="B62" s="11">
        <v>5</v>
      </c>
      <c r="D62" t="s">
        <v>23</v>
      </c>
    </row>
    <row r="63" spans="1:5" x14ac:dyDescent="0.25">
      <c r="A63" s="12">
        <v>1</v>
      </c>
      <c r="B63" s="11">
        <v>5</v>
      </c>
    </row>
    <row r="64" spans="1:5" x14ac:dyDescent="0.25">
      <c r="A64" s="12">
        <v>2</v>
      </c>
      <c r="B64" s="11">
        <v>5</v>
      </c>
      <c r="D64" t="s">
        <v>24</v>
      </c>
    </row>
    <row r="65" spans="1:4" x14ac:dyDescent="0.25">
      <c r="A65" s="12">
        <v>1</v>
      </c>
      <c r="B65" s="11">
        <v>4</v>
      </c>
      <c r="D65" t="s">
        <v>25</v>
      </c>
    </row>
    <row r="66" spans="1:4" x14ac:dyDescent="0.25">
      <c r="A66" s="12">
        <v>2</v>
      </c>
      <c r="B66" s="11">
        <v>4</v>
      </c>
    </row>
    <row r="67" spans="1:4" x14ac:dyDescent="0.25">
      <c r="A67" s="12">
        <v>4</v>
      </c>
      <c r="B67" s="11">
        <v>2</v>
      </c>
    </row>
    <row r="68" spans="1:4" x14ac:dyDescent="0.25">
      <c r="A68" s="12">
        <v>2</v>
      </c>
      <c r="B68" s="11">
        <v>3</v>
      </c>
      <c r="D68" s="10" t="s">
        <v>26</v>
      </c>
    </row>
    <row r="69" spans="1:4" x14ac:dyDescent="0.25">
      <c r="A69" s="12">
        <v>1</v>
      </c>
      <c r="B69" s="11">
        <v>3</v>
      </c>
    </row>
    <row r="70" spans="1:4" x14ac:dyDescent="0.25">
      <c r="A70" s="12">
        <v>2</v>
      </c>
      <c r="B70" s="11">
        <v>5</v>
      </c>
      <c r="D70" t="s">
        <v>27</v>
      </c>
    </row>
    <row r="71" spans="1:4" x14ac:dyDescent="0.25">
      <c r="A71" s="12">
        <v>1</v>
      </c>
      <c r="B71" s="11">
        <v>5</v>
      </c>
      <c r="D71" t="s">
        <v>28</v>
      </c>
    </row>
    <row r="72" spans="1:4" x14ac:dyDescent="0.25">
      <c r="A72" s="12">
        <v>2</v>
      </c>
      <c r="B72" s="11">
        <v>4</v>
      </c>
      <c r="D72" t="s">
        <v>29</v>
      </c>
    </row>
    <row r="73" spans="1:4" x14ac:dyDescent="0.25">
      <c r="A73" s="12">
        <v>1</v>
      </c>
      <c r="B73" s="11">
        <v>2</v>
      </c>
    </row>
    <row r="74" spans="1:4" x14ac:dyDescent="0.25">
      <c r="A74" s="12">
        <v>2</v>
      </c>
      <c r="B74" s="11">
        <v>5</v>
      </c>
    </row>
    <row r="75" spans="1:4" x14ac:dyDescent="0.25">
      <c r="A75" s="12">
        <v>1</v>
      </c>
      <c r="B75" s="11">
        <v>5</v>
      </c>
      <c r="D75" s="10" t="s">
        <v>26</v>
      </c>
    </row>
    <row r="76" spans="1:4" x14ac:dyDescent="0.25">
      <c r="A76" s="12">
        <v>2</v>
      </c>
      <c r="B76" s="11">
        <v>3</v>
      </c>
    </row>
    <row r="77" spans="1:4" x14ac:dyDescent="0.25">
      <c r="A77" s="12">
        <v>2</v>
      </c>
      <c r="B77" s="11">
        <v>4</v>
      </c>
    </row>
    <row r="78" spans="1:4" x14ac:dyDescent="0.25">
      <c r="A78" s="12">
        <v>2</v>
      </c>
      <c r="B78" s="11">
        <v>4</v>
      </c>
    </row>
    <row r="79" spans="1:4" x14ac:dyDescent="0.25">
      <c r="A79" s="12">
        <v>1</v>
      </c>
      <c r="B79" s="11">
        <v>4</v>
      </c>
    </row>
    <row r="80" spans="1:4" x14ac:dyDescent="0.25">
      <c r="A80" s="12">
        <v>1</v>
      </c>
      <c r="B80" s="11">
        <v>5</v>
      </c>
    </row>
    <row r="81" spans="1:4" x14ac:dyDescent="0.25">
      <c r="A81" s="12">
        <v>2</v>
      </c>
      <c r="B81" s="11">
        <v>3</v>
      </c>
    </row>
    <row r="82" spans="1:4" x14ac:dyDescent="0.25">
      <c r="A82" s="12">
        <v>1</v>
      </c>
      <c r="B82" s="11">
        <v>4</v>
      </c>
      <c r="D82" t="s">
        <v>30</v>
      </c>
    </row>
    <row r="83" spans="1:4" x14ac:dyDescent="0.25">
      <c r="A83" s="12">
        <v>3</v>
      </c>
      <c r="B83" s="11">
        <v>5</v>
      </c>
      <c r="D83" t="s">
        <v>29</v>
      </c>
    </row>
    <row r="84" spans="1:4" x14ac:dyDescent="0.25">
      <c r="A84" s="12">
        <v>2</v>
      </c>
      <c r="B84" s="11">
        <v>5</v>
      </c>
      <c r="D84" t="s">
        <v>30</v>
      </c>
    </row>
    <row r="85" spans="1:4" x14ac:dyDescent="0.25">
      <c r="A85" s="12">
        <v>1</v>
      </c>
      <c r="B85" s="11">
        <v>4</v>
      </c>
      <c r="D85" t="s">
        <v>29</v>
      </c>
    </row>
    <row r="86" spans="1:4" x14ac:dyDescent="0.25">
      <c r="A86" s="12">
        <v>2</v>
      </c>
      <c r="B86" s="11">
        <v>5</v>
      </c>
    </row>
    <row r="87" spans="1:4" x14ac:dyDescent="0.25">
      <c r="A87" s="12">
        <v>2</v>
      </c>
      <c r="B87" s="11">
        <v>4</v>
      </c>
    </row>
    <row r="88" spans="1:4" x14ac:dyDescent="0.25">
      <c r="A88" s="12">
        <v>2</v>
      </c>
      <c r="B88" s="11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B78F3-B4B8-4ACC-AC32-E45AB5BF93F8}">
  <dimension ref="A1:F88"/>
  <sheetViews>
    <sheetView zoomScale="70" zoomScaleNormal="70" workbookViewId="0">
      <selection activeCell="D8" sqref="D8"/>
    </sheetView>
  </sheetViews>
  <sheetFormatPr baseColWidth="10" defaultColWidth="9.140625" defaultRowHeight="15" x14ac:dyDescent="0.25"/>
  <cols>
    <col min="1" max="1" width="21.7109375" style="12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41" customHeight="1" x14ac:dyDescent="0.25">
      <c r="A1" s="8" t="s">
        <v>41</v>
      </c>
      <c r="B1" s="9" t="s">
        <v>42</v>
      </c>
    </row>
    <row r="2" spans="1:5" x14ac:dyDescent="0.25">
      <c r="A2" s="12">
        <v>2</v>
      </c>
      <c r="B2" s="11">
        <v>4</v>
      </c>
      <c r="D2" s="1" t="s">
        <v>0</v>
      </c>
      <c r="E2">
        <f>AVERAGE(A:A)</f>
        <v>1.896551724137931</v>
      </c>
    </row>
    <row r="3" spans="1:5" x14ac:dyDescent="0.25">
      <c r="A3" s="12">
        <v>2</v>
      </c>
      <c r="B3" s="11">
        <v>5</v>
      </c>
      <c r="D3" s="1" t="s">
        <v>1</v>
      </c>
      <c r="E3">
        <f>MEDIAN(A:A)</f>
        <v>2</v>
      </c>
    </row>
    <row r="4" spans="1:5" x14ac:dyDescent="0.25">
      <c r="A4" s="12">
        <v>1</v>
      </c>
      <c r="B4" s="11">
        <v>3</v>
      </c>
      <c r="D4" s="1" t="s">
        <v>2</v>
      </c>
      <c r="E4">
        <f>MODE(A:A)</f>
        <v>2</v>
      </c>
    </row>
    <row r="5" spans="1:5" x14ac:dyDescent="0.25">
      <c r="A5" s="12">
        <v>1</v>
      </c>
      <c r="B5" s="11">
        <v>5</v>
      </c>
      <c r="D5" s="1" t="s">
        <v>16</v>
      </c>
      <c r="E5">
        <f>STDEV(A:A)</f>
        <v>0.97687783100657444</v>
      </c>
    </row>
    <row r="6" spans="1:5" x14ac:dyDescent="0.25">
      <c r="A6" s="12">
        <v>4</v>
      </c>
      <c r="B6" s="11">
        <v>2</v>
      </c>
      <c r="D6" s="4" t="s">
        <v>5</v>
      </c>
      <c r="E6">
        <f>COUNT(A:A)</f>
        <v>87</v>
      </c>
    </row>
    <row r="7" spans="1:5" x14ac:dyDescent="0.25">
      <c r="A7" s="12">
        <v>1</v>
      </c>
      <c r="B7" s="11">
        <v>3</v>
      </c>
    </row>
    <row r="8" spans="1:5" x14ac:dyDescent="0.25">
      <c r="A8" s="12">
        <v>1</v>
      </c>
      <c r="B8" s="11">
        <v>4</v>
      </c>
      <c r="D8" s="3" t="s">
        <v>63</v>
      </c>
      <c r="E8">
        <f>AVERAGE(B:B)</f>
        <v>3.8045977011494254</v>
      </c>
    </row>
    <row r="9" spans="1:5" x14ac:dyDescent="0.25">
      <c r="A9" s="12">
        <v>1</v>
      </c>
      <c r="B9" s="11">
        <v>4</v>
      </c>
      <c r="D9" s="3" t="s">
        <v>3</v>
      </c>
      <c r="E9">
        <f>MEDIAN(B:B)</f>
        <v>4</v>
      </c>
    </row>
    <row r="10" spans="1:5" x14ac:dyDescent="0.25">
      <c r="A10" s="12">
        <v>1</v>
      </c>
      <c r="B10" s="11">
        <v>3</v>
      </c>
      <c r="D10" s="3" t="s">
        <v>4</v>
      </c>
      <c r="E10">
        <f>MODE(B:B)</f>
        <v>3</v>
      </c>
    </row>
    <row r="11" spans="1:5" x14ac:dyDescent="0.25">
      <c r="A11" s="12">
        <v>1</v>
      </c>
      <c r="B11" s="11">
        <v>5</v>
      </c>
      <c r="D11" s="3" t="s">
        <v>15</v>
      </c>
      <c r="E11">
        <f>STDEV(B:B)</f>
        <v>0.9380717538352229</v>
      </c>
    </row>
    <row r="12" spans="1:5" x14ac:dyDescent="0.25">
      <c r="A12" s="12">
        <v>2</v>
      </c>
      <c r="B12" s="11">
        <v>3</v>
      </c>
      <c r="D12" s="5" t="s">
        <v>6</v>
      </c>
      <c r="E12">
        <f>COUNT(B:B)</f>
        <v>87</v>
      </c>
    </row>
    <row r="13" spans="1:5" x14ac:dyDescent="0.25">
      <c r="A13" s="12">
        <v>2</v>
      </c>
      <c r="B13" s="11">
        <v>4</v>
      </c>
    </row>
    <row r="14" spans="1:5" x14ac:dyDescent="0.25">
      <c r="A14" s="12">
        <v>1</v>
      </c>
      <c r="B14" s="11">
        <v>5</v>
      </c>
    </row>
    <row r="15" spans="1:5" x14ac:dyDescent="0.25">
      <c r="A15" s="12">
        <v>2</v>
      </c>
      <c r="B15" s="11">
        <v>4</v>
      </c>
    </row>
    <row r="16" spans="1:5" x14ac:dyDescent="0.25">
      <c r="A16" s="12">
        <v>1</v>
      </c>
      <c r="B16" s="11">
        <v>5</v>
      </c>
    </row>
    <row r="17" spans="1:5" x14ac:dyDescent="0.25">
      <c r="A17" s="12">
        <v>1</v>
      </c>
      <c r="B17" s="11">
        <v>3</v>
      </c>
      <c r="D17" s="2" t="s">
        <v>7</v>
      </c>
      <c r="E17" s="2"/>
    </row>
    <row r="18" spans="1:5" x14ac:dyDescent="0.25">
      <c r="A18" s="12">
        <v>2</v>
      </c>
      <c r="B18" s="11">
        <v>3</v>
      </c>
    </row>
    <row r="19" spans="1:5" x14ac:dyDescent="0.25">
      <c r="A19" s="12">
        <v>3</v>
      </c>
      <c r="B19" s="11">
        <v>4</v>
      </c>
    </row>
    <row r="20" spans="1:5" x14ac:dyDescent="0.25">
      <c r="A20" s="12">
        <v>2</v>
      </c>
      <c r="B20" s="11">
        <v>4</v>
      </c>
    </row>
    <row r="21" spans="1:5" x14ac:dyDescent="0.25">
      <c r="A21" s="12">
        <v>3</v>
      </c>
      <c r="B21" s="11">
        <v>3</v>
      </c>
    </row>
    <row r="22" spans="1:5" x14ac:dyDescent="0.25">
      <c r="A22" s="12">
        <v>2</v>
      </c>
      <c r="B22" s="11">
        <v>4</v>
      </c>
    </row>
    <row r="23" spans="1:5" x14ac:dyDescent="0.25">
      <c r="A23" s="12">
        <v>1</v>
      </c>
      <c r="B23" s="11">
        <v>5</v>
      </c>
    </row>
    <row r="24" spans="1:5" x14ac:dyDescent="0.25">
      <c r="A24" s="12">
        <v>1</v>
      </c>
      <c r="B24" s="11">
        <v>5</v>
      </c>
    </row>
    <row r="25" spans="1:5" x14ac:dyDescent="0.25">
      <c r="A25" s="12">
        <v>4</v>
      </c>
      <c r="B25" s="11">
        <v>2</v>
      </c>
    </row>
    <row r="26" spans="1:5" x14ac:dyDescent="0.25">
      <c r="A26" s="12">
        <v>3</v>
      </c>
      <c r="B26" s="11">
        <v>5</v>
      </c>
    </row>
    <row r="27" spans="1:5" x14ac:dyDescent="0.25">
      <c r="A27" s="12">
        <v>2</v>
      </c>
      <c r="B27" s="11">
        <v>3</v>
      </c>
    </row>
    <row r="28" spans="1:5" x14ac:dyDescent="0.25">
      <c r="A28" s="12">
        <v>1</v>
      </c>
      <c r="B28" s="11">
        <v>3</v>
      </c>
    </row>
    <row r="29" spans="1:5" x14ac:dyDescent="0.25">
      <c r="A29" s="12">
        <v>2</v>
      </c>
      <c r="B29" s="11">
        <v>4</v>
      </c>
      <c r="D29" t="s">
        <v>12</v>
      </c>
      <c r="E29">
        <f>(E2-E8)/SQRT(((E5^2)/E6)+((E11^2)/E12))</f>
        <v>-13.140653355933649</v>
      </c>
    </row>
    <row r="30" spans="1:5" x14ac:dyDescent="0.25">
      <c r="A30" s="12">
        <v>2</v>
      </c>
      <c r="B30" s="11">
        <v>3</v>
      </c>
    </row>
    <row r="31" spans="1:5" x14ac:dyDescent="0.25">
      <c r="A31" s="12">
        <v>3</v>
      </c>
      <c r="B31" s="11">
        <v>3</v>
      </c>
      <c r="D31" s="2" t="s">
        <v>8</v>
      </c>
      <c r="E31" s="2"/>
    </row>
    <row r="32" spans="1:5" x14ac:dyDescent="0.25">
      <c r="A32" s="12">
        <v>2</v>
      </c>
      <c r="B32" s="11">
        <v>5</v>
      </c>
    </row>
    <row r="33" spans="1:6" x14ac:dyDescent="0.25">
      <c r="A33" s="12">
        <v>1</v>
      </c>
      <c r="B33" s="11">
        <v>5</v>
      </c>
    </row>
    <row r="34" spans="1:6" x14ac:dyDescent="0.25">
      <c r="A34" s="12">
        <v>1</v>
      </c>
      <c r="B34" s="11">
        <v>3</v>
      </c>
    </row>
    <row r="35" spans="1:6" x14ac:dyDescent="0.25">
      <c r="A35" s="12">
        <v>1</v>
      </c>
      <c r="B35" s="11">
        <v>4</v>
      </c>
    </row>
    <row r="36" spans="1:6" x14ac:dyDescent="0.25">
      <c r="A36" s="12">
        <v>2</v>
      </c>
      <c r="B36" s="11">
        <v>5</v>
      </c>
    </row>
    <row r="37" spans="1:6" x14ac:dyDescent="0.25">
      <c r="A37" s="12">
        <v>5</v>
      </c>
      <c r="B37" s="11">
        <v>3</v>
      </c>
    </row>
    <row r="38" spans="1:6" x14ac:dyDescent="0.25">
      <c r="A38" s="12">
        <v>2</v>
      </c>
      <c r="B38" s="11">
        <v>3</v>
      </c>
    </row>
    <row r="39" spans="1:6" x14ac:dyDescent="0.25">
      <c r="A39" s="12">
        <v>2</v>
      </c>
      <c r="B39" s="11">
        <v>3</v>
      </c>
    </row>
    <row r="40" spans="1:6" x14ac:dyDescent="0.25">
      <c r="A40" s="12">
        <v>2</v>
      </c>
      <c r="B40" s="11">
        <v>5</v>
      </c>
    </row>
    <row r="41" spans="1:6" ht="29.25" customHeight="1" x14ac:dyDescent="0.25">
      <c r="A41" s="12">
        <v>4</v>
      </c>
      <c r="B41" s="11">
        <v>3</v>
      </c>
      <c r="D41" t="s">
        <v>9</v>
      </c>
      <c r="E41">
        <f>(((E5^2)/E6)+((E11^2)/E12))^2</f>
        <v>4.445161106795661E-4</v>
      </c>
    </row>
    <row r="42" spans="1:6" ht="47.25" customHeight="1" x14ac:dyDescent="0.25">
      <c r="A42" s="12">
        <v>1</v>
      </c>
      <c r="B42" s="11">
        <v>3</v>
      </c>
      <c r="D42" t="s">
        <v>10</v>
      </c>
      <c r="E42">
        <f>(((E5^2)/E6)^2)/(E6-1)</f>
        <v>1.399020438936798E-6</v>
      </c>
    </row>
    <row r="43" spans="1:6" ht="43.5" customHeight="1" x14ac:dyDescent="0.25">
      <c r="A43" s="12">
        <v>2</v>
      </c>
      <c r="B43" s="11">
        <v>4</v>
      </c>
      <c r="D43" t="s">
        <v>11</v>
      </c>
      <c r="E43">
        <f>(((E11^2)/E12)^2)/(E12-1)</f>
        <v>1.1896173244320431E-6</v>
      </c>
    </row>
    <row r="44" spans="1:6" x14ac:dyDescent="0.25">
      <c r="A44" s="12">
        <v>1</v>
      </c>
      <c r="B44" s="11">
        <v>5</v>
      </c>
    </row>
    <row r="45" spans="1:6" x14ac:dyDescent="0.25">
      <c r="A45" s="12">
        <v>2</v>
      </c>
      <c r="B45" s="11">
        <v>4</v>
      </c>
      <c r="D45" t="s">
        <v>8</v>
      </c>
      <c r="E45">
        <f>E41/(E42+E43)</f>
        <v>171.71815885938204</v>
      </c>
      <c r="F45" s="6" t="s">
        <v>13</v>
      </c>
    </row>
    <row r="46" spans="1:6" x14ac:dyDescent="0.25">
      <c r="A46" s="12">
        <v>2</v>
      </c>
      <c r="B46" s="11">
        <v>5</v>
      </c>
    </row>
    <row r="47" spans="1:6" x14ac:dyDescent="0.25">
      <c r="A47" s="12">
        <v>2</v>
      </c>
      <c r="B47" s="11">
        <v>5</v>
      </c>
      <c r="D47" t="s">
        <v>14</v>
      </c>
      <c r="E47">
        <v>0.05</v>
      </c>
      <c r="F47" s="6" t="s">
        <v>13</v>
      </c>
    </row>
    <row r="48" spans="1:6" x14ac:dyDescent="0.25">
      <c r="A48" s="12">
        <v>2</v>
      </c>
      <c r="B48" s="11">
        <v>4</v>
      </c>
    </row>
    <row r="49" spans="1:5" x14ac:dyDescent="0.25">
      <c r="A49" s="12">
        <v>2</v>
      </c>
      <c r="B49" s="11">
        <v>5</v>
      </c>
    </row>
    <row r="50" spans="1:5" x14ac:dyDescent="0.25">
      <c r="A50" s="12">
        <v>1</v>
      </c>
      <c r="B50" s="11">
        <v>4</v>
      </c>
    </row>
    <row r="51" spans="1:5" x14ac:dyDescent="0.25">
      <c r="A51" s="12">
        <v>1</v>
      </c>
      <c r="B51" s="11">
        <v>3</v>
      </c>
      <c r="D51" s="5"/>
      <c r="E51" s="5"/>
    </row>
    <row r="52" spans="1:5" x14ac:dyDescent="0.25">
      <c r="A52" s="12">
        <v>1</v>
      </c>
      <c r="B52" s="11">
        <v>4</v>
      </c>
      <c r="D52" t="s">
        <v>17</v>
      </c>
      <c r="E52">
        <f>_xlfn.T.INV.2T(E47,E45)</f>
        <v>1.9739339541031049</v>
      </c>
    </row>
    <row r="53" spans="1:5" x14ac:dyDescent="0.25">
      <c r="A53" s="12">
        <v>2</v>
      </c>
      <c r="B53" s="11">
        <v>5</v>
      </c>
      <c r="D53" t="s">
        <v>18</v>
      </c>
      <c r="E53">
        <f>_xlfn.T.INV(E47, E45)</f>
        <v>-1.6538133236322152</v>
      </c>
    </row>
    <row r="54" spans="1:5" x14ac:dyDescent="0.25">
      <c r="A54" s="12">
        <v>2</v>
      </c>
      <c r="B54" s="11">
        <v>4</v>
      </c>
    </row>
    <row r="55" spans="1:5" x14ac:dyDescent="0.25">
      <c r="A55" s="12">
        <v>1</v>
      </c>
      <c r="B55" s="11">
        <v>3</v>
      </c>
      <c r="D55" t="s">
        <v>19</v>
      </c>
      <c r="E55">
        <f>TTEST(A:A,B:B,2,2)</f>
        <v>9.3152555255027631E-28</v>
      </c>
    </row>
    <row r="56" spans="1:5" x14ac:dyDescent="0.25">
      <c r="A56" s="12">
        <v>5</v>
      </c>
      <c r="B56" s="11">
        <v>5</v>
      </c>
      <c r="D56" t="s">
        <v>20</v>
      </c>
      <c r="E56">
        <f>TTEST(A:A,B:B,1,2)</f>
        <v>4.6576277627513815E-28</v>
      </c>
    </row>
    <row r="57" spans="1:5" x14ac:dyDescent="0.25">
      <c r="A57" s="12">
        <v>2</v>
      </c>
      <c r="B57" s="11">
        <v>3</v>
      </c>
    </row>
    <row r="58" spans="1:5" x14ac:dyDescent="0.25">
      <c r="A58" s="12">
        <v>2</v>
      </c>
      <c r="B58" s="11">
        <v>3</v>
      </c>
    </row>
    <row r="59" spans="1:5" x14ac:dyDescent="0.25">
      <c r="A59" s="12">
        <v>1</v>
      </c>
      <c r="B59" s="11">
        <v>2</v>
      </c>
      <c r="D59" s="5" t="s">
        <v>21</v>
      </c>
      <c r="E59" s="5"/>
    </row>
    <row r="60" spans="1:5" x14ac:dyDescent="0.25">
      <c r="A60" s="12">
        <v>1</v>
      </c>
      <c r="B60" s="11">
        <v>4</v>
      </c>
    </row>
    <row r="61" spans="1:5" x14ac:dyDescent="0.25">
      <c r="A61" s="12">
        <v>2</v>
      </c>
      <c r="B61" s="11">
        <v>4</v>
      </c>
      <c r="D61" t="s">
        <v>22</v>
      </c>
    </row>
    <row r="62" spans="1:5" x14ac:dyDescent="0.25">
      <c r="A62" s="12">
        <v>2</v>
      </c>
      <c r="B62" s="11">
        <v>3</v>
      </c>
      <c r="D62" t="s">
        <v>23</v>
      </c>
    </row>
    <row r="63" spans="1:5" x14ac:dyDescent="0.25">
      <c r="A63" s="12">
        <v>3</v>
      </c>
      <c r="B63" s="11">
        <v>5</v>
      </c>
    </row>
    <row r="64" spans="1:5" x14ac:dyDescent="0.25">
      <c r="A64" s="12">
        <v>5</v>
      </c>
      <c r="B64" s="11">
        <v>3</v>
      </c>
      <c r="D64" t="s">
        <v>24</v>
      </c>
    </row>
    <row r="65" spans="1:4" x14ac:dyDescent="0.25">
      <c r="A65" s="12">
        <v>1</v>
      </c>
      <c r="B65" s="11">
        <v>4</v>
      </c>
      <c r="D65" t="s">
        <v>25</v>
      </c>
    </row>
    <row r="66" spans="1:4" x14ac:dyDescent="0.25">
      <c r="A66" s="12">
        <v>2</v>
      </c>
      <c r="B66" s="11">
        <v>5</v>
      </c>
    </row>
    <row r="67" spans="1:4" x14ac:dyDescent="0.25">
      <c r="A67" s="12">
        <v>3</v>
      </c>
      <c r="B67" s="11">
        <v>4</v>
      </c>
    </row>
    <row r="68" spans="1:4" x14ac:dyDescent="0.25">
      <c r="A68" s="12">
        <v>2</v>
      </c>
      <c r="B68" s="11">
        <v>5</v>
      </c>
      <c r="D68" s="10" t="s">
        <v>26</v>
      </c>
    </row>
    <row r="69" spans="1:4" x14ac:dyDescent="0.25">
      <c r="A69" s="12">
        <v>1</v>
      </c>
      <c r="B69" s="11">
        <v>1</v>
      </c>
    </row>
    <row r="70" spans="1:4" x14ac:dyDescent="0.25">
      <c r="A70" s="12">
        <v>2</v>
      </c>
      <c r="B70" s="11">
        <v>3</v>
      </c>
      <c r="D70" t="s">
        <v>27</v>
      </c>
    </row>
    <row r="71" spans="1:4" x14ac:dyDescent="0.25">
      <c r="A71" s="12">
        <v>1</v>
      </c>
      <c r="B71" s="11">
        <v>3</v>
      </c>
      <c r="D71" t="s">
        <v>28</v>
      </c>
    </row>
    <row r="72" spans="1:4" x14ac:dyDescent="0.25">
      <c r="A72" s="12">
        <v>2</v>
      </c>
      <c r="B72" s="11">
        <v>3</v>
      </c>
      <c r="D72" t="s">
        <v>29</v>
      </c>
    </row>
    <row r="73" spans="1:4" x14ac:dyDescent="0.25">
      <c r="A73" s="12">
        <v>1</v>
      </c>
      <c r="B73" s="11">
        <v>4</v>
      </c>
    </row>
    <row r="74" spans="1:4" x14ac:dyDescent="0.25">
      <c r="A74" s="12">
        <v>2</v>
      </c>
      <c r="B74" s="11">
        <v>3</v>
      </c>
    </row>
    <row r="75" spans="1:4" x14ac:dyDescent="0.25">
      <c r="A75" s="12">
        <v>1</v>
      </c>
      <c r="B75" s="11">
        <v>3</v>
      </c>
      <c r="D75" s="10" t="s">
        <v>26</v>
      </c>
    </row>
    <row r="76" spans="1:4" x14ac:dyDescent="0.25">
      <c r="A76" s="12">
        <v>2</v>
      </c>
      <c r="B76" s="11">
        <v>5</v>
      </c>
    </row>
    <row r="77" spans="1:4" x14ac:dyDescent="0.25">
      <c r="A77" s="12">
        <v>2</v>
      </c>
      <c r="B77" s="11">
        <v>4</v>
      </c>
    </row>
    <row r="78" spans="1:4" x14ac:dyDescent="0.25">
      <c r="A78" s="12">
        <v>2</v>
      </c>
      <c r="B78" s="11">
        <v>3</v>
      </c>
    </row>
    <row r="79" spans="1:4" x14ac:dyDescent="0.25">
      <c r="A79" s="12">
        <v>1</v>
      </c>
      <c r="B79" s="11">
        <v>5</v>
      </c>
    </row>
    <row r="80" spans="1:4" x14ac:dyDescent="0.25">
      <c r="A80" s="12">
        <v>1</v>
      </c>
      <c r="B80" s="11">
        <v>5</v>
      </c>
    </row>
    <row r="81" spans="1:4" x14ac:dyDescent="0.25">
      <c r="A81" s="12">
        <v>2</v>
      </c>
      <c r="B81" s="11">
        <v>3</v>
      </c>
    </row>
    <row r="82" spans="1:4" x14ac:dyDescent="0.25">
      <c r="A82" s="12">
        <v>1</v>
      </c>
      <c r="B82" s="11">
        <v>3</v>
      </c>
      <c r="D82" t="s">
        <v>30</v>
      </c>
    </row>
    <row r="83" spans="1:4" x14ac:dyDescent="0.25">
      <c r="A83" s="12">
        <v>2</v>
      </c>
      <c r="B83" s="11">
        <v>3</v>
      </c>
      <c r="D83" t="s">
        <v>29</v>
      </c>
    </row>
    <row r="84" spans="1:4" x14ac:dyDescent="0.25">
      <c r="A84" s="12">
        <v>2</v>
      </c>
      <c r="B84" s="11">
        <v>4</v>
      </c>
      <c r="D84" t="s">
        <v>30</v>
      </c>
    </row>
    <row r="85" spans="1:4" x14ac:dyDescent="0.25">
      <c r="A85" s="12">
        <v>1</v>
      </c>
      <c r="B85" s="11">
        <v>5</v>
      </c>
      <c r="D85" t="s">
        <v>29</v>
      </c>
    </row>
    <row r="86" spans="1:4" x14ac:dyDescent="0.25">
      <c r="A86" s="12">
        <v>4</v>
      </c>
      <c r="B86" s="11">
        <v>3</v>
      </c>
    </row>
    <row r="87" spans="1:4" x14ac:dyDescent="0.25">
      <c r="A87" s="12">
        <v>2</v>
      </c>
      <c r="B87" s="11">
        <v>4</v>
      </c>
    </row>
    <row r="88" spans="1:4" x14ac:dyDescent="0.25">
      <c r="A88" s="12">
        <v>3</v>
      </c>
      <c r="B88" s="11"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1D67-CF70-4E8D-9010-17F94087C2AD}">
  <dimension ref="A1:F88"/>
  <sheetViews>
    <sheetView zoomScale="70" zoomScaleNormal="70" workbookViewId="0">
      <selection activeCell="D8" sqref="D8"/>
    </sheetView>
  </sheetViews>
  <sheetFormatPr baseColWidth="10" defaultColWidth="9.140625" defaultRowHeight="15" x14ac:dyDescent="0.25"/>
  <cols>
    <col min="1" max="1" width="21.7109375" style="12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41" customHeight="1" x14ac:dyDescent="0.25">
      <c r="A1" s="8" t="s">
        <v>39</v>
      </c>
      <c r="B1" s="9" t="s">
        <v>40</v>
      </c>
    </row>
    <row r="2" spans="1:5" x14ac:dyDescent="0.25">
      <c r="A2" s="12">
        <v>2</v>
      </c>
      <c r="B2" s="11">
        <v>5</v>
      </c>
      <c r="D2" s="1" t="s">
        <v>0</v>
      </c>
      <c r="E2">
        <f>AVERAGE(A:A)</f>
        <v>1.7011494252873562</v>
      </c>
    </row>
    <row r="3" spans="1:5" x14ac:dyDescent="0.25">
      <c r="A3" s="12">
        <v>2</v>
      </c>
      <c r="B3" s="11">
        <v>3</v>
      </c>
      <c r="D3" s="1" t="s">
        <v>1</v>
      </c>
      <c r="E3">
        <f>MEDIAN(A:A)</f>
        <v>2</v>
      </c>
    </row>
    <row r="4" spans="1:5" x14ac:dyDescent="0.25">
      <c r="A4" s="12">
        <v>1</v>
      </c>
      <c r="B4" s="11">
        <v>3</v>
      </c>
      <c r="D4" s="1" t="s">
        <v>2</v>
      </c>
      <c r="E4">
        <f>MODE(A:A)</f>
        <v>2</v>
      </c>
    </row>
    <row r="5" spans="1:5" x14ac:dyDescent="0.25">
      <c r="A5" s="12">
        <v>1</v>
      </c>
      <c r="B5" s="11">
        <v>3</v>
      </c>
      <c r="D5" s="1" t="s">
        <v>16</v>
      </c>
      <c r="E5">
        <f>STDEV(A:A)</f>
        <v>0.73318265322759224</v>
      </c>
    </row>
    <row r="6" spans="1:5" x14ac:dyDescent="0.25">
      <c r="A6" s="12">
        <v>3</v>
      </c>
      <c r="B6" s="11">
        <v>3</v>
      </c>
      <c r="D6" s="4" t="s">
        <v>5</v>
      </c>
      <c r="E6">
        <f>COUNT(A:A)</f>
        <v>87</v>
      </c>
    </row>
    <row r="7" spans="1:5" x14ac:dyDescent="0.25">
      <c r="A7" s="12">
        <v>1</v>
      </c>
      <c r="B7" s="11">
        <v>2</v>
      </c>
    </row>
    <row r="8" spans="1:5" x14ac:dyDescent="0.25">
      <c r="A8" s="12">
        <v>1</v>
      </c>
      <c r="B8" s="11">
        <v>3</v>
      </c>
      <c r="D8" s="3" t="s">
        <v>63</v>
      </c>
      <c r="E8">
        <f>AVERAGE(B:B)</f>
        <v>3.8160919540229883</v>
      </c>
    </row>
    <row r="9" spans="1:5" x14ac:dyDescent="0.25">
      <c r="A9" s="12">
        <v>1</v>
      </c>
      <c r="B9" s="11">
        <v>5</v>
      </c>
      <c r="D9" s="3" t="s">
        <v>3</v>
      </c>
      <c r="E9">
        <f>MEDIAN(B:B)</f>
        <v>4</v>
      </c>
    </row>
    <row r="10" spans="1:5" x14ac:dyDescent="0.25">
      <c r="A10" s="12">
        <v>1</v>
      </c>
      <c r="B10" s="11">
        <v>4</v>
      </c>
      <c r="D10" s="3" t="s">
        <v>4</v>
      </c>
      <c r="E10">
        <f>MODE(B:B)</f>
        <v>3</v>
      </c>
    </row>
    <row r="11" spans="1:5" x14ac:dyDescent="0.25">
      <c r="A11" s="12">
        <v>1</v>
      </c>
      <c r="B11" s="11">
        <v>5</v>
      </c>
      <c r="D11" s="3" t="s">
        <v>15</v>
      </c>
      <c r="E11">
        <f>STDEV(B:B)</f>
        <v>0.93421694149256351</v>
      </c>
    </row>
    <row r="12" spans="1:5" x14ac:dyDescent="0.25">
      <c r="A12" s="12">
        <v>2</v>
      </c>
      <c r="B12" s="11">
        <v>4</v>
      </c>
      <c r="D12" s="5" t="s">
        <v>6</v>
      </c>
      <c r="E12">
        <f>COUNT(B:B)</f>
        <v>87</v>
      </c>
    </row>
    <row r="13" spans="1:5" x14ac:dyDescent="0.25">
      <c r="A13" s="12">
        <v>2</v>
      </c>
      <c r="B13" s="11">
        <v>4</v>
      </c>
    </row>
    <row r="14" spans="1:5" x14ac:dyDescent="0.25">
      <c r="A14" s="12">
        <v>1</v>
      </c>
      <c r="B14" s="11">
        <v>3</v>
      </c>
    </row>
    <row r="15" spans="1:5" x14ac:dyDescent="0.25">
      <c r="A15" s="12">
        <v>2</v>
      </c>
      <c r="B15" s="11">
        <v>3</v>
      </c>
    </row>
    <row r="16" spans="1:5" x14ac:dyDescent="0.25">
      <c r="A16" s="12">
        <v>1</v>
      </c>
      <c r="B16" s="11">
        <v>5</v>
      </c>
    </row>
    <row r="17" spans="1:5" x14ac:dyDescent="0.25">
      <c r="A17" s="12">
        <v>1</v>
      </c>
      <c r="B17" s="11">
        <v>5</v>
      </c>
      <c r="D17" s="2" t="s">
        <v>7</v>
      </c>
      <c r="E17" s="2"/>
    </row>
    <row r="18" spans="1:5" x14ac:dyDescent="0.25">
      <c r="A18" s="12">
        <v>3</v>
      </c>
      <c r="B18" s="11">
        <v>4</v>
      </c>
    </row>
    <row r="19" spans="1:5" x14ac:dyDescent="0.25">
      <c r="A19" s="12">
        <v>2</v>
      </c>
      <c r="B19" s="11">
        <v>4</v>
      </c>
    </row>
    <row r="20" spans="1:5" x14ac:dyDescent="0.25">
      <c r="A20" s="12">
        <v>2</v>
      </c>
      <c r="B20" s="11">
        <v>5</v>
      </c>
    </row>
    <row r="21" spans="1:5" x14ac:dyDescent="0.25">
      <c r="A21" s="12">
        <v>1</v>
      </c>
      <c r="B21" s="11">
        <v>4</v>
      </c>
    </row>
    <row r="22" spans="1:5" x14ac:dyDescent="0.25">
      <c r="A22" s="12">
        <v>3</v>
      </c>
      <c r="B22" s="11">
        <v>4</v>
      </c>
    </row>
    <row r="23" spans="1:5" x14ac:dyDescent="0.25">
      <c r="A23" s="12">
        <v>1</v>
      </c>
      <c r="B23" s="11">
        <v>5</v>
      </c>
    </row>
    <row r="24" spans="1:5" x14ac:dyDescent="0.25">
      <c r="A24" s="12">
        <v>1</v>
      </c>
      <c r="B24" s="11">
        <v>4</v>
      </c>
    </row>
    <row r="25" spans="1:5" x14ac:dyDescent="0.25">
      <c r="A25" s="12">
        <v>1</v>
      </c>
      <c r="B25" s="11">
        <v>3</v>
      </c>
    </row>
    <row r="26" spans="1:5" x14ac:dyDescent="0.25">
      <c r="A26" s="12">
        <v>1</v>
      </c>
      <c r="B26" s="11">
        <v>4</v>
      </c>
    </row>
    <row r="27" spans="1:5" x14ac:dyDescent="0.25">
      <c r="A27" s="12">
        <v>2</v>
      </c>
      <c r="B27" s="11">
        <v>3</v>
      </c>
    </row>
    <row r="28" spans="1:5" x14ac:dyDescent="0.25">
      <c r="A28" s="12">
        <v>1</v>
      </c>
      <c r="B28" s="11">
        <v>4</v>
      </c>
    </row>
    <row r="29" spans="1:5" x14ac:dyDescent="0.25">
      <c r="A29" s="12">
        <v>2</v>
      </c>
      <c r="B29" s="11">
        <v>5</v>
      </c>
      <c r="D29" t="s">
        <v>12</v>
      </c>
      <c r="E29">
        <f>(E2-E8)/SQRT(((E5^2)/E6)+((E11^2)/E12))</f>
        <v>-16.611148370583457</v>
      </c>
    </row>
    <row r="30" spans="1:5" x14ac:dyDescent="0.25">
      <c r="A30" s="12">
        <v>2</v>
      </c>
      <c r="B30" s="11">
        <v>3</v>
      </c>
    </row>
    <row r="31" spans="1:5" x14ac:dyDescent="0.25">
      <c r="A31" s="12">
        <v>1</v>
      </c>
      <c r="B31" s="11">
        <v>4</v>
      </c>
      <c r="D31" s="2" t="s">
        <v>8</v>
      </c>
      <c r="E31" s="2"/>
    </row>
    <row r="32" spans="1:5" x14ac:dyDescent="0.25">
      <c r="A32" s="12">
        <v>2</v>
      </c>
      <c r="B32" s="11">
        <v>4</v>
      </c>
    </row>
    <row r="33" spans="1:6" x14ac:dyDescent="0.25">
      <c r="A33" s="12">
        <v>1</v>
      </c>
      <c r="B33" s="11">
        <v>4</v>
      </c>
    </row>
    <row r="34" spans="1:6" x14ac:dyDescent="0.25">
      <c r="A34" s="12">
        <v>3</v>
      </c>
      <c r="B34" s="11">
        <v>5</v>
      </c>
    </row>
    <row r="35" spans="1:6" x14ac:dyDescent="0.25">
      <c r="A35" s="12">
        <v>1</v>
      </c>
      <c r="B35" s="11">
        <v>5</v>
      </c>
    </row>
    <row r="36" spans="1:6" x14ac:dyDescent="0.25">
      <c r="A36" s="12">
        <v>2</v>
      </c>
      <c r="B36" s="11">
        <v>3</v>
      </c>
    </row>
    <row r="37" spans="1:6" x14ac:dyDescent="0.25">
      <c r="A37" s="12">
        <v>1</v>
      </c>
      <c r="B37" s="11">
        <v>4</v>
      </c>
    </row>
    <row r="38" spans="1:6" x14ac:dyDescent="0.25">
      <c r="A38" s="12">
        <v>2</v>
      </c>
      <c r="B38" s="11">
        <v>1</v>
      </c>
    </row>
    <row r="39" spans="1:6" x14ac:dyDescent="0.25">
      <c r="A39" s="12">
        <v>2</v>
      </c>
      <c r="B39" s="11">
        <v>5</v>
      </c>
    </row>
    <row r="40" spans="1:6" x14ac:dyDescent="0.25">
      <c r="A40" s="12">
        <v>3</v>
      </c>
      <c r="B40" s="11">
        <v>4</v>
      </c>
    </row>
    <row r="41" spans="1:6" ht="29.25" customHeight="1" x14ac:dyDescent="0.25">
      <c r="A41" s="12">
        <v>3</v>
      </c>
      <c r="B41" s="11">
        <v>4</v>
      </c>
      <c r="D41" t="s">
        <v>9</v>
      </c>
      <c r="E41">
        <f>(((E5^2)/E6)+((E11^2)/E12))^2</f>
        <v>2.627820232612583E-4</v>
      </c>
    </row>
    <row r="42" spans="1:6" ht="47.25" customHeight="1" x14ac:dyDescent="0.25">
      <c r="A42" s="12">
        <v>1</v>
      </c>
      <c r="B42" s="11">
        <v>2</v>
      </c>
      <c r="D42" t="s">
        <v>10</v>
      </c>
      <c r="E42">
        <f>(((E5^2)/E6)^2)/(E6-1)</f>
        <v>4.4392721296624667E-7</v>
      </c>
    </row>
    <row r="43" spans="1:6" ht="43.5" customHeight="1" x14ac:dyDescent="0.25">
      <c r="A43" s="12">
        <v>2</v>
      </c>
      <c r="B43" s="11">
        <v>5</v>
      </c>
      <c r="D43" t="s">
        <v>11</v>
      </c>
      <c r="E43">
        <f>(((E11^2)/E12)^2)/(E12-1)</f>
        <v>1.1701835760708248E-6</v>
      </c>
    </row>
    <row r="44" spans="1:6" x14ac:dyDescent="0.25">
      <c r="A44" s="12">
        <v>1</v>
      </c>
      <c r="B44" s="11">
        <v>3</v>
      </c>
    </row>
    <row r="45" spans="1:6" x14ac:dyDescent="0.25">
      <c r="A45" s="12">
        <v>2</v>
      </c>
      <c r="B45" s="11">
        <v>5</v>
      </c>
      <c r="D45" t="s">
        <v>8</v>
      </c>
      <c r="E45">
        <f>E41/(E42+E43)</f>
        <v>162.80296559942204</v>
      </c>
      <c r="F45" s="6" t="s">
        <v>13</v>
      </c>
    </row>
    <row r="46" spans="1:6" x14ac:dyDescent="0.25">
      <c r="A46" s="12">
        <v>2</v>
      </c>
      <c r="B46" s="11">
        <v>5</v>
      </c>
    </row>
    <row r="47" spans="1:6" x14ac:dyDescent="0.25">
      <c r="A47" s="12">
        <v>4</v>
      </c>
      <c r="B47" s="11">
        <v>4</v>
      </c>
      <c r="D47" t="s">
        <v>14</v>
      </c>
      <c r="E47">
        <v>0.05</v>
      </c>
      <c r="F47" s="6" t="s">
        <v>13</v>
      </c>
    </row>
    <row r="48" spans="1:6" x14ac:dyDescent="0.25">
      <c r="A48" s="12">
        <v>2</v>
      </c>
      <c r="B48" s="11">
        <v>4</v>
      </c>
    </row>
    <row r="49" spans="1:5" x14ac:dyDescent="0.25">
      <c r="A49" s="12">
        <v>2</v>
      </c>
      <c r="B49" s="11">
        <v>4</v>
      </c>
    </row>
    <row r="50" spans="1:5" x14ac:dyDescent="0.25">
      <c r="A50" s="12">
        <v>1</v>
      </c>
      <c r="B50" s="11">
        <v>3</v>
      </c>
    </row>
    <row r="51" spans="1:5" x14ac:dyDescent="0.25">
      <c r="A51" s="12">
        <v>1</v>
      </c>
      <c r="B51" s="11">
        <v>4</v>
      </c>
      <c r="D51" s="5"/>
      <c r="E51" s="5"/>
    </row>
    <row r="52" spans="1:5" x14ac:dyDescent="0.25">
      <c r="A52" s="12">
        <v>1</v>
      </c>
      <c r="B52" s="11">
        <v>5</v>
      </c>
      <c r="D52" t="s">
        <v>17</v>
      </c>
      <c r="E52">
        <f>_xlfn.T.INV.2T(E47,E45)</f>
        <v>1.9747157859237898</v>
      </c>
    </row>
    <row r="53" spans="1:5" x14ac:dyDescent="0.25">
      <c r="A53" s="12">
        <v>2</v>
      </c>
      <c r="B53" s="11">
        <v>3</v>
      </c>
      <c r="D53" t="s">
        <v>18</v>
      </c>
      <c r="E53">
        <f>_xlfn.T.INV(E47, E45)</f>
        <v>-1.6543139565269314</v>
      </c>
    </row>
    <row r="54" spans="1:5" x14ac:dyDescent="0.25">
      <c r="A54" s="12">
        <v>2</v>
      </c>
      <c r="B54" s="11">
        <v>3</v>
      </c>
    </row>
    <row r="55" spans="1:5" x14ac:dyDescent="0.25">
      <c r="A55" s="12">
        <v>1</v>
      </c>
      <c r="B55" s="11">
        <v>4</v>
      </c>
      <c r="D55" t="s">
        <v>19</v>
      </c>
      <c r="E55">
        <f>TTEST(A:A,B:B,2,2)</f>
        <v>1.3758163659772667E-37</v>
      </c>
    </row>
    <row r="56" spans="1:5" x14ac:dyDescent="0.25">
      <c r="A56" s="12">
        <v>1</v>
      </c>
      <c r="B56" s="11">
        <v>3</v>
      </c>
      <c r="D56" t="s">
        <v>20</v>
      </c>
      <c r="E56">
        <f>TTEST(A:A,B:B,1,2)</f>
        <v>6.8790818298863333E-38</v>
      </c>
    </row>
    <row r="57" spans="1:5" x14ac:dyDescent="0.25">
      <c r="A57" s="12">
        <v>2</v>
      </c>
      <c r="B57" s="11">
        <v>5</v>
      </c>
    </row>
    <row r="58" spans="1:5" x14ac:dyDescent="0.25">
      <c r="A58" s="12">
        <v>2</v>
      </c>
      <c r="B58" s="11">
        <v>4</v>
      </c>
    </row>
    <row r="59" spans="1:5" x14ac:dyDescent="0.25">
      <c r="A59" s="12">
        <v>3</v>
      </c>
      <c r="B59" s="11">
        <v>3</v>
      </c>
      <c r="D59" s="5" t="s">
        <v>21</v>
      </c>
      <c r="E59" s="5"/>
    </row>
    <row r="60" spans="1:5" x14ac:dyDescent="0.25">
      <c r="A60" s="12">
        <v>1</v>
      </c>
      <c r="B60" s="11">
        <v>2</v>
      </c>
    </row>
    <row r="61" spans="1:5" x14ac:dyDescent="0.25">
      <c r="A61" s="12">
        <v>2</v>
      </c>
      <c r="B61" s="11">
        <v>3</v>
      </c>
      <c r="D61" t="s">
        <v>22</v>
      </c>
    </row>
    <row r="62" spans="1:5" x14ac:dyDescent="0.25">
      <c r="A62" s="12">
        <v>2</v>
      </c>
      <c r="B62" s="11">
        <v>5</v>
      </c>
      <c r="D62" t="s">
        <v>23</v>
      </c>
    </row>
    <row r="63" spans="1:5" x14ac:dyDescent="0.25">
      <c r="A63" s="12">
        <v>1</v>
      </c>
      <c r="B63" s="11">
        <v>4</v>
      </c>
    </row>
    <row r="64" spans="1:5" x14ac:dyDescent="0.25">
      <c r="A64" s="12">
        <v>2</v>
      </c>
      <c r="B64" s="11">
        <v>4</v>
      </c>
      <c r="D64" t="s">
        <v>24</v>
      </c>
    </row>
    <row r="65" spans="1:4" x14ac:dyDescent="0.25">
      <c r="A65" s="12">
        <v>1</v>
      </c>
      <c r="B65" s="11">
        <v>5</v>
      </c>
      <c r="D65" t="s">
        <v>25</v>
      </c>
    </row>
    <row r="66" spans="1:4" x14ac:dyDescent="0.25">
      <c r="A66" s="12">
        <v>2</v>
      </c>
      <c r="B66" s="11">
        <v>4</v>
      </c>
    </row>
    <row r="67" spans="1:4" x14ac:dyDescent="0.25">
      <c r="A67" s="12">
        <v>4</v>
      </c>
      <c r="B67" s="11">
        <v>3</v>
      </c>
    </row>
    <row r="68" spans="1:4" x14ac:dyDescent="0.25">
      <c r="A68" s="12">
        <v>2</v>
      </c>
      <c r="B68" s="11">
        <v>3</v>
      </c>
      <c r="D68" s="10" t="s">
        <v>26</v>
      </c>
    </row>
    <row r="69" spans="1:4" x14ac:dyDescent="0.25">
      <c r="A69" s="12">
        <v>1</v>
      </c>
      <c r="B69" s="11">
        <v>4</v>
      </c>
    </row>
    <row r="70" spans="1:4" x14ac:dyDescent="0.25">
      <c r="A70" s="12">
        <v>2</v>
      </c>
      <c r="B70" s="11">
        <v>3</v>
      </c>
      <c r="D70" t="s">
        <v>27</v>
      </c>
    </row>
    <row r="71" spans="1:4" x14ac:dyDescent="0.25">
      <c r="A71" s="12">
        <v>1</v>
      </c>
      <c r="B71" s="11">
        <v>5</v>
      </c>
      <c r="D71" t="s">
        <v>28</v>
      </c>
    </row>
    <row r="72" spans="1:4" x14ac:dyDescent="0.25">
      <c r="A72" s="12">
        <v>2</v>
      </c>
      <c r="B72" s="11">
        <v>3</v>
      </c>
      <c r="D72" t="s">
        <v>29</v>
      </c>
    </row>
    <row r="73" spans="1:4" x14ac:dyDescent="0.25">
      <c r="A73" s="12">
        <v>1</v>
      </c>
      <c r="B73" s="11">
        <v>4</v>
      </c>
    </row>
    <row r="74" spans="1:4" x14ac:dyDescent="0.25">
      <c r="A74" s="12">
        <v>2</v>
      </c>
      <c r="B74" s="11">
        <v>3</v>
      </c>
    </row>
    <row r="75" spans="1:4" x14ac:dyDescent="0.25">
      <c r="A75" s="12">
        <v>1</v>
      </c>
      <c r="B75" s="11">
        <v>5</v>
      </c>
      <c r="D75" s="10" t="s">
        <v>26</v>
      </c>
    </row>
    <row r="76" spans="1:4" x14ac:dyDescent="0.25">
      <c r="A76" s="12">
        <v>2</v>
      </c>
      <c r="B76" s="11">
        <v>3</v>
      </c>
    </row>
    <row r="77" spans="1:4" x14ac:dyDescent="0.25">
      <c r="A77" s="12">
        <v>2</v>
      </c>
      <c r="B77" s="11">
        <v>2</v>
      </c>
    </row>
    <row r="78" spans="1:4" x14ac:dyDescent="0.25">
      <c r="A78" s="12">
        <v>3</v>
      </c>
      <c r="B78" s="11">
        <v>5</v>
      </c>
    </row>
    <row r="79" spans="1:4" x14ac:dyDescent="0.25">
      <c r="A79" s="12">
        <v>1</v>
      </c>
      <c r="B79" s="11">
        <v>4</v>
      </c>
    </row>
    <row r="80" spans="1:4" x14ac:dyDescent="0.25">
      <c r="A80" s="12">
        <v>1</v>
      </c>
      <c r="B80" s="11">
        <v>5</v>
      </c>
    </row>
    <row r="81" spans="1:4" x14ac:dyDescent="0.25">
      <c r="A81" s="12">
        <v>2</v>
      </c>
      <c r="B81" s="11">
        <v>3</v>
      </c>
    </row>
    <row r="82" spans="1:4" x14ac:dyDescent="0.25">
      <c r="A82" s="12">
        <v>1</v>
      </c>
      <c r="B82" s="11">
        <v>5</v>
      </c>
      <c r="D82" t="s">
        <v>30</v>
      </c>
    </row>
    <row r="83" spans="1:4" x14ac:dyDescent="0.25">
      <c r="A83" s="12">
        <v>2</v>
      </c>
      <c r="B83" s="11">
        <v>3</v>
      </c>
      <c r="D83" t="s">
        <v>29</v>
      </c>
    </row>
    <row r="84" spans="1:4" x14ac:dyDescent="0.25">
      <c r="A84" s="12">
        <v>2</v>
      </c>
      <c r="B84" s="11">
        <v>3</v>
      </c>
      <c r="D84" t="s">
        <v>30</v>
      </c>
    </row>
    <row r="85" spans="1:4" x14ac:dyDescent="0.25">
      <c r="A85" s="12">
        <v>1</v>
      </c>
      <c r="B85" s="11">
        <v>3</v>
      </c>
      <c r="D85" t="s">
        <v>29</v>
      </c>
    </row>
    <row r="86" spans="1:4" x14ac:dyDescent="0.25">
      <c r="A86" s="12">
        <v>2</v>
      </c>
      <c r="B86" s="11">
        <v>5</v>
      </c>
    </row>
    <row r="87" spans="1:4" x14ac:dyDescent="0.25">
      <c r="A87" s="12">
        <v>2</v>
      </c>
      <c r="B87" s="11">
        <v>4</v>
      </c>
    </row>
    <row r="88" spans="1:4" x14ac:dyDescent="0.25">
      <c r="A88" s="12">
        <v>2</v>
      </c>
      <c r="B88" s="11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37C1-BAD7-4166-9F44-ACDA57FEE5CD}">
  <dimension ref="A1:F88"/>
  <sheetViews>
    <sheetView zoomScale="70" zoomScaleNormal="70" workbookViewId="0">
      <selection activeCell="D8" sqref="D8"/>
    </sheetView>
  </sheetViews>
  <sheetFormatPr baseColWidth="10" defaultColWidth="9.140625" defaultRowHeight="15" x14ac:dyDescent="0.25"/>
  <cols>
    <col min="1" max="1" width="21.7109375" style="12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41" customHeight="1" x14ac:dyDescent="0.25">
      <c r="A1" s="8" t="s">
        <v>37</v>
      </c>
      <c r="B1" s="9" t="s">
        <v>38</v>
      </c>
    </row>
    <row r="2" spans="1:5" x14ac:dyDescent="0.25">
      <c r="A2" s="12">
        <v>2</v>
      </c>
      <c r="B2" s="11">
        <v>4</v>
      </c>
      <c r="D2" s="1" t="s">
        <v>0</v>
      </c>
      <c r="E2">
        <f>AVERAGE(A:A)</f>
        <v>1.7471264367816093</v>
      </c>
    </row>
    <row r="3" spans="1:5" x14ac:dyDescent="0.25">
      <c r="A3" s="12">
        <v>2</v>
      </c>
      <c r="B3" s="11">
        <v>3</v>
      </c>
      <c r="D3" s="1" t="s">
        <v>1</v>
      </c>
      <c r="E3">
        <f>MEDIAN(A:A)</f>
        <v>2</v>
      </c>
    </row>
    <row r="4" spans="1:5" x14ac:dyDescent="0.25">
      <c r="A4" s="12">
        <v>1</v>
      </c>
      <c r="B4" s="11">
        <v>3</v>
      </c>
      <c r="D4" s="1" t="s">
        <v>2</v>
      </c>
      <c r="E4">
        <f>MODE(A:A)</f>
        <v>2</v>
      </c>
    </row>
    <row r="5" spans="1:5" x14ac:dyDescent="0.25">
      <c r="A5" s="12">
        <v>1</v>
      </c>
      <c r="B5" s="11">
        <v>4</v>
      </c>
      <c r="D5" s="1" t="s">
        <v>16</v>
      </c>
      <c r="E5">
        <f>STDEV(A:A)</f>
        <v>0.79560406777810211</v>
      </c>
    </row>
    <row r="6" spans="1:5" x14ac:dyDescent="0.25">
      <c r="A6" s="12">
        <v>3</v>
      </c>
      <c r="B6" s="11">
        <v>3</v>
      </c>
      <c r="D6" s="4" t="s">
        <v>5</v>
      </c>
      <c r="E6">
        <f>COUNT(A:A)</f>
        <v>87</v>
      </c>
    </row>
    <row r="7" spans="1:5" x14ac:dyDescent="0.25">
      <c r="A7" s="12">
        <v>1</v>
      </c>
      <c r="B7" s="11">
        <v>5</v>
      </c>
    </row>
    <row r="8" spans="1:5" x14ac:dyDescent="0.25">
      <c r="A8" s="12">
        <v>1</v>
      </c>
      <c r="B8" s="11">
        <v>5</v>
      </c>
      <c r="D8" s="3" t="s">
        <v>63</v>
      </c>
      <c r="E8">
        <f>AVERAGE(B:B)</f>
        <v>3.8850574712643677</v>
      </c>
    </row>
    <row r="9" spans="1:5" x14ac:dyDescent="0.25">
      <c r="A9" s="12">
        <v>1</v>
      </c>
      <c r="B9" s="11">
        <v>3</v>
      </c>
      <c r="D9" s="3" t="s">
        <v>3</v>
      </c>
      <c r="E9">
        <f>MEDIAN(B:B)</f>
        <v>4</v>
      </c>
    </row>
    <row r="10" spans="1:5" x14ac:dyDescent="0.25">
      <c r="A10" s="12">
        <v>1</v>
      </c>
      <c r="B10" s="11">
        <v>5</v>
      </c>
      <c r="D10" s="3" t="s">
        <v>4</v>
      </c>
      <c r="E10">
        <f>MODE(B:B)</f>
        <v>4</v>
      </c>
    </row>
    <row r="11" spans="1:5" x14ac:dyDescent="0.25">
      <c r="A11" s="12">
        <v>4</v>
      </c>
      <c r="B11" s="11">
        <v>4</v>
      </c>
      <c r="D11" s="3" t="s">
        <v>15</v>
      </c>
      <c r="E11">
        <f>STDEV(B:B)</f>
        <v>0.90765846660926652</v>
      </c>
    </row>
    <row r="12" spans="1:5" x14ac:dyDescent="0.25">
      <c r="A12" s="12">
        <v>2</v>
      </c>
      <c r="B12" s="11">
        <v>2</v>
      </c>
      <c r="D12" s="5" t="s">
        <v>6</v>
      </c>
      <c r="E12">
        <f>COUNT(B:B)</f>
        <v>87</v>
      </c>
    </row>
    <row r="13" spans="1:5" x14ac:dyDescent="0.25">
      <c r="A13" s="12">
        <v>2</v>
      </c>
      <c r="B13" s="11">
        <v>4</v>
      </c>
    </row>
    <row r="14" spans="1:5" x14ac:dyDescent="0.25">
      <c r="A14" s="12">
        <v>1</v>
      </c>
      <c r="B14" s="11">
        <v>5</v>
      </c>
    </row>
    <row r="15" spans="1:5" x14ac:dyDescent="0.25">
      <c r="A15" s="12">
        <v>2</v>
      </c>
      <c r="B15" s="11">
        <v>5</v>
      </c>
    </row>
    <row r="16" spans="1:5" x14ac:dyDescent="0.25">
      <c r="A16" s="12">
        <v>1</v>
      </c>
      <c r="B16" s="11">
        <v>4</v>
      </c>
    </row>
    <row r="17" spans="1:5" x14ac:dyDescent="0.25">
      <c r="A17" s="12">
        <v>1</v>
      </c>
      <c r="B17" s="11">
        <v>4</v>
      </c>
      <c r="D17" s="2" t="s">
        <v>7</v>
      </c>
      <c r="E17" s="2"/>
    </row>
    <row r="18" spans="1:5" x14ac:dyDescent="0.25">
      <c r="A18" s="12">
        <v>2</v>
      </c>
      <c r="B18" s="11">
        <v>3</v>
      </c>
    </row>
    <row r="19" spans="1:5" x14ac:dyDescent="0.25">
      <c r="A19" s="12">
        <v>2</v>
      </c>
      <c r="B19" s="11">
        <v>4</v>
      </c>
    </row>
    <row r="20" spans="1:5" x14ac:dyDescent="0.25">
      <c r="A20" s="12">
        <v>2</v>
      </c>
      <c r="B20" s="11">
        <v>3</v>
      </c>
    </row>
    <row r="21" spans="1:5" x14ac:dyDescent="0.25">
      <c r="A21" s="12">
        <v>1</v>
      </c>
      <c r="B21" s="11">
        <v>4</v>
      </c>
    </row>
    <row r="22" spans="1:5" x14ac:dyDescent="0.25">
      <c r="A22" s="12">
        <v>2</v>
      </c>
      <c r="B22" s="11">
        <v>3</v>
      </c>
    </row>
    <row r="23" spans="1:5" x14ac:dyDescent="0.25">
      <c r="A23" s="12">
        <v>1</v>
      </c>
      <c r="B23" s="11">
        <v>4</v>
      </c>
    </row>
    <row r="24" spans="1:5" x14ac:dyDescent="0.25">
      <c r="A24" s="12">
        <v>1</v>
      </c>
      <c r="B24" s="11">
        <v>4</v>
      </c>
    </row>
    <row r="25" spans="1:5" x14ac:dyDescent="0.25">
      <c r="A25" s="12">
        <v>1</v>
      </c>
      <c r="B25" s="11">
        <v>3</v>
      </c>
    </row>
    <row r="26" spans="1:5" x14ac:dyDescent="0.25">
      <c r="A26" s="12">
        <v>3</v>
      </c>
      <c r="B26" s="11">
        <v>4</v>
      </c>
    </row>
    <row r="27" spans="1:5" x14ac:dyDescent="0.25">
      <c r="A27" s="12">
        <v>2</v>
      </c>
      <c r="B27" s="11">
        <v>4</v>
      </c>
    </row>
    <row r="28" spans="1:5" x14ac:dyDescent="0.25">
      <c r="A28" s="12">
        <v>1</v>
      </c>
      <c r="B28" s="11">
        <v>3</v>
      </c>
    </row>
    <row r="29" spans="1:5" x14ac:dyDescent="0.25">
      <c r="A29" s="12">
        <v>2</v>
      </c>
      <c r="B29" s="11">
        <v>4</v>
      </c>
      <c r="D29" t="s">
        <v>12</v>
      </c>
      <c r="E29">
        <f>(E2-E8)/SQRT(((E5^2)/E6)+((E11^2)/E12))</f>
        <v>-16.521478930623786</v>
      </c>
    </row>
    <row r="30" spans="1:5" x14ac:dyDescent="0.25">
      <c r="A30" s="12">
        <v>2</v>
      </c>
      <c r="B30" s="11">
        <v>5</v>
      </c>
    </row>
    <row r="31" spans="1:5" x14ac:dyDescent="0.25">
      <c r="A31" s="12">
        <v>1</v>
      </c>
      <c r="B31" s="11">
        <v>5</v>
      </c>
      <c r="D31" s="2" t="s">
        <v>8</v>
      </c>
      <c r="E31" s="2"/>
    </row>
    <row r="32" spans="1:5" x14ac:dyDescent="0.25">
      <c r="A32" s="12">
        <v>2</v>
      </c>
      <c r="B32" s="11">
        <v>3</v>
      </c>
    </row>
    <row r="33" spans="1:6" x14ac:dyDescent="0.25">
      <c r="A33" s="12">
        <v>1</v>
      </c>
      <c r="B33" s="11">
        <v>5</v>
      </c>
    </row>
    <row r="34" spans="1:6" x14ac:dyDescent="0.25">
      <c r="A34" s="12">
        <v>1</v>
      </c>
      <c r="B34" s="11">
        <v>4</v>
      </c>
    </row>
    <row r="35" spans="1:6" x14ac:dyDescent="0.25">
      <c r="A35" s="12">
        <v>1</v>
      </c>
      <c r="B35" s="11">
        <v>4</v>
      </c>
    </row>
    <row r="36" spans="1:6" x14ac:dyDescent="0.25">
      <c r="A36" s="12">
        <v>2</v>
      </c>
      <c r="B36" s="11">
        <v>3</v>
      </c>
    </row>
    <row r="37" spans="1:6" x14ac:dyDescent="0.25">
      <c r="A37" s="12">
        <v>1</v>
      </c>
      <c r="B37" s="11">
        <v>5</v>
      </c>
    </row>
    <row r="38" spans="1:6" x14ac:dyDescent="0.25">
      <c r="A38" s="12">
        <v>4</v>
      </c>
      <c r="B38" s="11">
        <v>3</v>
      </c>
    </row>
    <row r="39" spans="1:6" x14ac:dyDescent="0.25">
      <c r="A39" s="12">
        <v>2</v>
      </c>
      <c r="B39" s="11">
        <v>3</v>
      </c>
    </row>
    <row r="40" spans="1:6" x14ac:dyDescent="0.25">
      <c r="A40" s="12">
        <v>2</v>
      </c>
      <c r="B40" s="11">
        <v>4</v>
      </c>
    </row>
    <row r="41" spans="1:6" ht="29.25" customHeight="1" x14ac:dyDescent="0.25">
      <c r="A41" s="12">
        <v>3</v>
      </c>
      <c r="B41" s="11">
        <v>4</v>
      </c>
      <c r="D41" t="s">
        <v>9</v>
      </c>
      <c r="E41">
        <f>(((E5^2)/E6)+((E11^2)/E12))^2</f>
        <v>2.8040069318133057E-4</v>
      </c>
    </row>
    <row r="42" spans="1:6" ht="47.25" customHeight="1" x14ac:dyDescent="0.25">
      <c r="A42" s="12">
        <v>1</v>
      </c>
      <c r="B42" s="11">
        <v>2</v>
      </c>
      <c r="D42" t="s">
        <v>10</v>
      </c>
      <c r="E42">
        <f>(((E5^2)/E6)^2)/(E6-1)</f>
        <v>6.1553254915964304E-7</v>
      </c>
    </row>
    <row r="43" spans="1:6" ht="43.5" customHeight="1" x14ac:dyDescent="0.25">
      <c r="A43" s="12">
        <v>3</v>
      </c>
      <c r="B43" s="11">
        <v>4</v>
      </c>
      <c r="D43" t="s">
        <v>11</v>
      </c>
      <c r="E43">
        <f>(((E11^2)/E12)^2)/(E12-1)</f>
        <v>1.0426844478826433E-6</v>
      </c>
    </row>
    <row r="44" spans="1:6" x14ac:dyDescent="0.25">
      <c r="A44" s="12">
        <v>1</v>
      </c>
      <c r="B44" s="11">
        <v>5</v>
      </c>
    </row>
    <row r="45" spans="1:6" x14ac:dyDescent="0.25">
      <c r="A45" s="12">
        <v>2</v>
      </c>
      <c r="B45" s="11">
        <v>4</v>
      </c>
      <c r="D45" t="s">
        <v>8</v>
      </c>
      <c r="E45">
        <f>E41/(E42+E43)</f>
        <v>169.09770776772473</v>
      </c>
      <c r="F45" s="6" t="s">
        <v>13</v>
      </c>
    </row>
    <row r="46" spans="1:6" x14ac:dyDescent="0.25">
      <c r="A46" s="12">
        <v>2</v>
      </c>
      <c r="B46" s="11">
        <v>5</v>
      </c>
    </row>
    <row r="47" spans="1:6" x14ac:dyDescent="0.25">
      <c r="A47" s="12">
        <v>2</v>
      </c>
      <c r="B47" s="11">
        <v>5</v>
      </c>
      <c r="D47" t="s">
        <v>14</v>
      </c>
      <c r="E47">
        <v>0.05</v>
      </c>
      <c r="F47" s="6" t="s">
        <v>13</v>
      </c>
    </row>
    <row r="48" spans="1:6" x14ac:dyDescent="0.25">
      <c r="A48" s="12">
        <v>2</v>
      </c>
      <c r="B48" s="11">
        <v>3</v>
      </c>
    </row>
    <row r="49" spans="1:5" x14ac:dyDescent="0.25">
      <c r="A49" s="12">
        <v>2</v>
      </c>
      <c r="B49" s="11">
        <v>4</v>
      </c>
    </row>
    <row r="50" spans="1:5" x14ac:dyDescent="0.25">
      <c r="A50" s="12">
        <v>1</v>
      </c>
      <c r="B50" s="11">
        <v>4</v>
      </c>
    </row>
    <row r="51" spans="1:5" x14ac:dyDescent="0.25">
      <c r="A51" s="12">
        <v>1</v>
      </c>
      <c r="B51" s="11">
        <v>3</v>
      </c>
      <c r="D51" s="5"/>
      <c r="E51" s="5"/>
    </row>
    <row r="52" spans="1:5" x14ac:dyDescent="0.25">
      <c r="A52" s="12">
        <v>1</v>
      </c>
      <c r="B52" s="11">
        <v>4</v>
      </c>
      <c r="D52" t="s">
        <v>17</v>
      </c>
      <c r="E52">
        <f>_xlfn.T.INV.2T(E47,E45)</f>
        <v>1.9741004473989796</v>
      </c>
    </row>
    <row r="53" spans="1:5" x14ac:dyDescent="0.25">
      <c r="A53" s="12">
        <v>2</v>
      </c>
      <c r="B53" s="11">
        <v>4</v>
      </c>
      <c r="D53" t="s">
        <v>18</v>
      </c>
      <c r="E53">
        <f>_xlfn.T.INV(E47, E45)</f>
        <v>-1.6539199418820105</v>
      </c>
    </row>
    <row r="54" spans="1:5" x14ac:dyDescent="0.25">
      <c r="A54" s="12">
        <v>2</v>
      </c>
      <c r="B54" s="11">
        <v>4</v>
      </c>
    </row>
    <row r="55" spans="1:5" x14ac:dyDescent="0.25">
      <c r="A55" s="12">
        <v>3</v>
      </c>
      <c r="B55" s="11">
        <v>5</v>
      </c>
      <c r="D55" t="s">
        <v>19</v>
      </c>
      <c r="E55">
        <f>TTEST(A:A,B:B,2,2)</f>
        <v>2.4434380393762893E-37</v>
      </c>
    </row>
    <row r="56" spans="1:5" x14ac:dyDescent="0.25">
      <c r="A56" s="12">
        <v>1</v>
      </c>
      <c r="B56" s="11">
        <v>5</v>
      </c>
      <c r="D56" t="s">
        <v>20</v>
      </c>
      <c r="E56">
        <f>TTEST(A:A,B:B,1,2)</f>
        <v>1.2217190196881446E-37</v>
      </c>
    </row>
    <row r="57" spans="1:5" x14ac:dyDescent="0.25">
      <c r="A57" s="12">
        <v>2</v>
      </c>
      <c r="B57" s="11">
        <v>4</v>
      </c>
    </row>
    <row r="58" spans="1:5" x14ac:dyDescent="0.25">
      <c r="A58" s="12">
        <v>2</v>
      </c>
      <c r="B58" s="11">
        <v>5</v>
      </c>
    </row>
    <row r="59" spans="1:5" x14ac:dyDescent="0.25">
      <c r="A59" s="12">
        <v>1</v>
      </c>
      <c r="B59" s="11">
        <v>5</v>
      </c>
      <c r="D59" s="5" t="s">
        <v>21</v>
      </c>
      <c r="E59" s="5"/>
    </row>
    <row r="60" spans="1:5" x14ac:dyDescent="0.25">
      <c r="A60" s="12">
        <v>1</v>
      </c>
      <c r="B60" s="11">
        <v>5</v>
      </c>
    </row>
    <row r="61" spans="1:5" x14ac:dyDescent="0.25">
      <c r="A61" s="12">
        <v>2</v>
      </c>
      <c r="B61" s="11">
        <v>5</v>
      </c>
      <c r="D61" t="s">
        <v>22</v>
      </c>
    </row>
    <row r="62" spans="1:5" x14ac:dyDescent="0.25">
      <c r="A62" s="12">
        <v>2</v>
      </c>
      <c r="B62" s="11">
        <v>5</v>
      </c>
      <c r="D62" t="s">
        <v>23</v>
      </c>
    </row>
    <row r="63" spans="1:5" x14ac:dyDescent="0.25">
      <c r="A63" s="12">
        <v>1</v>
      </c>
      <c r="B63" s="11">
        <v>4</v>
      </c>
    </row>
    <row r="64" spans="1:5" x14ac:dyDescent="0.25">
      <c r="A64" s="12">
        <v>2</v>
      </c>
      <c r="B64" s="11">
        <v>3</v>
      </c>
      <c r="D64" t="s">
        <v>24</v>
      </c>
    </row>
    <row r="65" spans="1:4" x14ac:dyDescent="0.25">
      <c r="A65" s="12">
        <v>1</v>
      </c>
      <c r="B65" s="11">
        <v>4</v>
      </c>
      <c r="D65" t="s">
        <v>25</v>
      </c>
    </row>
    <row r="66" spans="1:4" x14ac:dyDescent="0.25">
      <c r="A66" s="12">
        <v>2</v>
      </c>
      <c r="B66" s="11">
        <v>4</v>
      </c>
    </row>
    <row r="67" spans="1:4" x14ac:dyDescent="0.25">
      <c r="A67" s="12">
        <v>5</v>
      </c>
      <c r="B67" s="11">
        <v>1</v>
      </c>
    </row>
    <row r="68" spans="1:4" x14ac:dyDescent="0.25">
      <c r="A68" s="12">
        <v>2</v>
      </c>
      <c r="B68" s="11">
        <v>4</v>
      </c>
      <c r="D68" s="10" t="s">
        <v>26</v>
      </c>
    </row>
    <row r="69" spans="1:4" x14ac:dyDescent="0.25">
      <c r="A69" s="12">
        <v>3</v>
      </c>
      <c r="B69" s="11">
        <v>3</v>
      </c>
    </row>
    <row r="70" spans="1:4" x14ac:dyDescent="0.25">
      <c r="A70" s="12">
        <v>2</v>
      </c>
      <c r="B70" s="11">
        <v>3</v>
      </c>
      <c r="D70" t="s">
        <v>27</v>
      </c>
    </row>
    <row r="71" spans="1:4" x14ac:dyDescent="0.25">
      <c r="A71" s="12">
        <v>1</v>
      </c>
      <c r="B71" s="11">
        <v>5</v>
      </c>
      <c r="D71" t="s">
        <v>28</v>
      </c>
    </row>
    <row r="72" spans="1:4" x14ac:dyDescent="0.25">
      <c r="A72" s="12">
        <v>2</v>
      </c>
      <c r="B72" s="11">
        <v>5</v>
      </c>
      <c r="D72" t="s">
        <v>29</v>
      </c>
    </row>
    <row r="73" spans="1:4" x14ac:dyDescent="0.25">
      <c r="A73" s="12">
        <v>1</v>
      </c>
      <c r="B73" s="11">
        <v>2</v>
      </c>
    </row>
    <row r="74" spans="1:4" x14ac:dyDescent="0.25">
      <c r="A74" s="12">
        <v>2</v>
      </c>
      <c r="B74" s="11">
        <v>3</v>
      </c>
    </row>
    <row r="75" spans="1:4" x14ac:dyDescent="0.25">
      <c r="A75" s="12">
        <v>1</v>
      </c>
      <c r="B75" s="11">
        <v>5</v>
      </c>
      <c r="D75" s="10" t="s">
        <v>26</v>
      </c>
    </row>
    <row r="76" spans="1:4" x14ac:dyDescent="0.25">
      <c r="A76" s="12">
        <v>2</v>
      </c>
      <c r="B76" s="11">
        <v>3</v>
      </c>
    </row>
    <row r="77" spans="1:4" x14ac:dyDescent="0.25">
      <c r="A77" s="12">
        <v>2</v>
      </c>
      <c r="B77" s="11">
        <v>3</v>
      </c>
    </row>
    <row r="78" spans="1:4" x14ac:dyDescent="0.25">
      <c r="A78" s="12">
        <v>3</v>
      </c>
      <c r="B78" s="11">
        <v>4</v>
      </c>
    </row>
    <row r="79" spans="1:4" x14ac:dyDescent="0.25">
      <c r="A79" s="12">
        <v>1</v>
      </c>
      <c r="B79" s="11">
        <v>3</v>
      </c>
    </row>
    <row r="80" spans="1:4" x14ac:dyDescent="0.25">
      <c r="A80" s="12">
        <v>1</v>
      </c>
      <c r="B80" s="11">
        <v>5</v>
      </c>
    </row>
    <row r="81" spans="1:4" x14ac:dyDescent="0.25">
      <c r="A81" s="12">
        <v>2</v>
      </c>
      <c r="B81" s="11">
        <v>3</v>
      </c>
    </row>
    <row r="82" spans="1:4" x14ac:dyDescent="0.25">
      <c r="A82" s="12">
        <v>1</v>
      </c>
      <c r="B82" s="11">
        <v>3</v>
      </c>
      <c r="D82" t="s">
        <v>30</v>
      </c>
    </row>
    <row r="83" spans="1:4" x14ac:dyDescent="0.25">
      <c r="A83" s="12">
        <v>2</v>
      </c>
      <c r="B83" s="11">
        <v>4</v>
      </c>
      <c r="D83" t="s">
        <v>29</v>
      </c>
    </row>
    <row r="84" spans="1:4" x14ac:dyDescent="0.25">
      <c r="A84" s="12">
        <v>2</v>
      </c>
      <c r="B84" s="11">
        <v>3</v>
      </c>
      <c r="D84" t="s">
        <v>30</v>
      </c>
    </row>
    <row r="85" spans="1:4" x14ac:dyDescent="0.25">
      <c r="A85" s="12">
        <v>1</v>
      </c>
      <c r="B85" s="11">
        <v>5</v>
      </c>
      <c r="D85" t="s">
        <v>29</v>
      </c>
    </row>
    <row r="86" spans="1:4" x14ac:dyDescent="0.25">
      <c r="A86" s="12">
        <v>2</v>
      </c>
      <c r="B86" s="11">
        <v>4</v>
      </c>
    </row>
    <row r="87" spans="1:4" x14ac:dyDescent="0.25">
      <c r="A87" s="12">
        <v>2</v>
      </c>
      <c r="B87" s="11">
        <v>5</v>
      </c>
    </row>
    <row r="88" spans="1:4" x14ac:dyDescent="0.25">
      <c r="A88" s="12">
        <v>2</v>
      </c>
      <c r="B88" s="11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C2C9-F886-461E-A9C4-4795E18E35CE}">
  <dimension ref="A1:F88"/>
  <sheetViews>
    <sheetView zoomScale="70" zoomScaleNormal="70" workbookViewId="0">
      <selection activeCell="D8" sqref="D8"/>
    </sheetView>
  </sheetViews>
  <sheetFormatPr baseColWidth="10" defaultColWidth="9.140625" defaultRowHeight="15" x14ac:dyDescent="0.25"/>
  <cols>
    <col min="1" max="1" width="21.7109375" style="12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41" customHeight="1" x14ac:dyDescent="0.25">
      <c r="A1" s="8" t="s">
        <v>35</v>
      </c>
      <c r="B1" s="9" t="s">
        <v>36</v>
      </c>
    </row>
    <row r="2" spans="1:5" x14ac:dyDescent="0.25">
      <c r="A2" s="12">
        <v>2</v>
      </c>
      <c r="B2" s="11">
        <v>4</v>
      </c>
      <c r="D2" s="1" t="s">
        <v>0</v>
      </c>
      <c r="E2">
        <f>AVERAGE(A:A)</f>
        <v>1.6666666666666667</v>
      </c>
    </row>
    <row r="3" spans="1:5" x14ac:dyDescent="0.25">
      <c r="A3" s="12">
        <v>2</v>
      </c>
      <c r="B3" s="11">
        <v>5</v>
      </c>
      <c r="D3" s="1" t="s">
        <v>1</v>
      </c>
      <c r="E3">
        <f>MEDIAN(A:A)</f>
        <v>2</v>
      </c>
    </row>
    <row r="4" spans="1:5" x14ac:dyDescent="0.25">
      <c r="A4" s="12">
        <v>1</v>
      </c>
      <c r="B4" s="11">
        <v>4</v>
      </c>
      <c r="D4" s="1" t="s">
        <v>2</v>
      </c>
      <c r="E4">
        <f>MODE(A:A)</f>
        <v>1</v>
      </c>
    </row>
    <row r="5" spans="1:5" x14ac:dyDescent="0.25">
      <c r="A5" s="12">
        <v>1</v>
      </c>
      <c r="B5" s="11">
        <v>5</v>
      </c>
      <c r="D5" s="1" t="s">
        <v>16</v>
      </c>
      <c r="E5">
        <f>STDEV(A:A)</f>
        <v>0.77259253478544665</v>
      </c>
    </row>
    <row r="6" spans="1:5" x14ac:dyDescent="0.25">
      <c r="A6" s="12">
        <v>1</v>
      </c>
      <c r="B6" s="11">
        <v>4</v>
      </c>
      <c r="D6" s="4" t="s">
        <v>5</v>
      </c>
      <c r="E6">
        <f>COUNT(A:A)</f>
        <v>87</v>
      </c>
    </row>
    <row r="7" spans="1:5" x14ac:dyDescent="0.25">
      <c r="A7" s="12">
        <v>1</v>
      </c>
      <c r="B7" s="11">
        <v>3</v>
      </c>
    </row>
    <row r="8" spans="1:5" x14ac:dyDescent="0.25">
      <c r="A8" s="12">
        <v>1</v>
      </c>
      <c r="B8" s="11">
        <v>2</v>
      </c>
      <c r="D8" s="3" t="s">
        <v>63</v>
      </c>
      <c r="E8">
        <f>AVERAGE(B:B)</f>
        <v>3.6666666666666665</v>
      </c>
    </row>
    <row r="9" spans="1:5" x14ac:dyDescent="0.25">
      <c r="A9" s="12">
        <v>1</v>
      </c>
      <c r="B9" s="11">
        <v>4</v>
      </c>
      <c r="D9" s="3" t="s">
        <v>3</v>
      </c>
      <c r="E9">
        <f>MEDIAN(B:B)</f>
        <v>4</v>
      </c>
    </row>
    <row r="10" spans="1:5" x14ac:dyDescent="0.25">
      <c r="A10" s="12">
        <v>1</v>
      </c>
      <c r="B10" s="11">
        <v>3</v>
      </c>
      <c r="D10" s="3" t="s">
        <v>4</v>
      </c>
      <c r="E10">
        <f>MODE(B:B)</f>
        <v>3</v>
      </c>
    </row>
    <row r="11" spans="1:5" x14ac:dyDescent="0.25">
      <c r="A11" s="12">
        <v>1</v>
      </c>
      <c r="B11" s="11">
        <v>5</v>
      </c>
      <c r="D11" s="3" t="s">
        <v>15</v>
      </c>
      <c r="E11">
        <f>STDEV(B:B)</f>
        <v>0.99611649018350412</v>
      </c>
    </row>
    <row r="12" spans="1:5" x14ac:dyDescent="0.25">
      <c r="A12" s="12">
        <v>2</v>
      </c>
      <c r="B12" s="11">
        <v>3</v>
      </c>
      <c r="D12" s="5" t="s">
        <v>6</v>
      </c>
      <c r="E12">
        <f>COUNT(B:B)</f>
        <v>87</v>
      </c>
    </row>
    <row r="13" spans="1:5" x14ac:dyDescent="0.25">
      <c r="A13" s="12">
        <v>2</v>
      </c>
      <c r="B13" s="11">
        <v>3</v>
      </c>
    </row>
    <row r="14" spans="1:5" x14ac:dyDescent="0.25">
      <c r="A14" s="12">
        <v>1</v>
      </c>
      <c r="B14" s="11">
        <v>5</v>
      </c>
    </row>
    <row r="15" spans="1:5" x14ac:dyDescent="0.25">
      <c r="A15" s="12">
        <v>2</v>
      </c>
      <c r="B15" s="11">
        <v>3</v>
      </c>
    </row>
    <row r="16" spans="1:5" x14ac:dyDescent="0.25">
      <c r="A16" s="12">
        <v>1</v>
      </c>
      <c r="B16" s="11">
        <v>5</v>
      </c>
    </row>
    <row r="17" spans="1:5" x14ac:dyDescent="0.25">
      <c r="A17" s="12">
        <v>1</v>
      </c>
      <c r="B17" s="11">
        <v>3</v>
      </c>
      <c r="D17" s="2" t="s">
        <v>7</v>
      </c>
      <c r="E17" s="2"/>
    </row>
    <row r="18" spans="1:5" x14ac:dyDescent="0.25">
      <c r="A18" s="12">
        <v>3</v>
      </c>
      <c r="B18" s="11">
        <v>3</v>
      </c>
    </row>
    <row r="19" spans="1:5" x14ac:dyDescent="0.25">
      <c r="A19" s="12">
        <v>2</v>
      </c>
      <c r="B19" s="11">
        <v>3</v>
      </c>
    </row>
    <row r="20" spans="1:5" x14ac:dyDescent="0.25">
      <c r="A20" s="12">
        <v>2</v>
      </c>
      <c r="B20" s="11">
        <v>3</v>
      </c>
    </row>
    <row r="21" spans="1:5" x14ac:dyDescent="0.25">
      <c r="A21" s="12">
        <v>1</v>
      </c>
      <c r="B21" s="11">
        <v>3</v>
      </c>
    </row>
    <row r="22" spans="1:5" x14ac:dyDescent="0.25">
      <c r="A22" s="12">
        <v>2</v>
      </c>
      <c r="B22" s="11">
        <v>5</v>
      </c>
    </row>
    <row r="23" spans="1:5" x14ac:dyDescent="0.25">
      <c r="A23" s="12">
        <v>4</v>
      </c>
      <c r="B23" s="11">
        <v>4</v>
      </c>
    </row>
    <row r="24" spans="1:5" x14ac:dyDescent="0.25">
      <c r="A24" s="12">
        <v>1</v>
      </c>
      <c r="B24" s="11">
        <v>3</v>
      </c>
    </row>
    <row r="25" spans="1:5" x14ac:dyDescent="0.25">
      <c r="A25" s="12">
        <v>1</v>
      </c>
      <c r="B25" s="11">
        <v>4</v>
      </c>
    </row>
    <row r="26" spans="1:5" x14ac:dyDescent="0.25">
      <c r="A26" s="12">
        <v>1</v>
      </c>
      <c r="B26" s="11">
        <v>4</v>
      </c>
    </row>
    <row r="27" spans="1:5" x14ac:dyDescent="0.25">
      <c r="A27" s="12">
        <v>2</v>
      </c>
      <c r="B27" s="11">
        <v>3</v>
      </c>
    </row>
    <row r="28" spans="1:5" x14ac:dyDescent="0.25">
      <c r="A28" s="12">
        <v>1</v>
      </c>
      <c r="B28" s="11">
        <v>3</v>
      </c>
    </row>
    <row r="29" spans="1:5" x14ac:dyDescent="0.25">
      <c r="A29" s="12">
        <v>2</v>
      </c>
      <c r="B29" s="11">
        <v>4</v>
      </c>
      <c r="D29" t="s">
        <v>12</v>
      </c>
      <c r="E29">
        <f>(E2-E8)/SQRT(((E5^2)/E6)+((E11^2)/E12))</f>
        <v>-14.798154136704301</v>
      </c>
    </row>
    <row r="30" spans="1:5" x14ac:dyDescent="0.25">
      <c r="A30" s="12">
        <v>2</v>
      </c>
      <c r="B30" s="11">
        <v>2</v>
      </c>
    </row>
    <row r="31" spans="1:5" x14ac:dyDescent="0.25">
      <c r="A31" s="12">
        <v>1</v>
      </c>
      <c r="B31" s="11">
        <v>4</v>
      </c>
      <c r="D31" s="2" t="s">
        <v>8</v>
      </c>
      <c r="E31" s="2"/>
    </row>
    <row r="32" spans="1:5" x14ac:dyDescent="0.25">
      <c r="A32" s="12">
        <v>2</v>
      </c>
      <c r="B32" s="11">
        <v>5</v>
      </c>
    </row>
    <row r="33" spans="1:6" x14ac:dyDescent="0.25">
      <c r="A33" s="12">
        <v>1</v>
      </c>
      <c r="B33" s="11">
        <v>4</v>
      </c>
    </row>
    <row r="34" spans="1:6" x14ac:dyDescent="0.25">
      <c r="A34" s="12">
        <v>1</v>
      </c>
      <c r="B34" s="11">
        <v>5</v>
      </c>
    </row>
    <row r="35" spans="1:6" x14ac:dyDescent="0.25">
      <c r="A35" s="12">
        <v>1</v>
      </c>
      <c r="B35" s="11">
        <v>1</v>
      </c>
    </row>
    <row r="36" spans="1:6" x14ac:dyDescent="0.25">
      <c r="A36" s="12">
        <v>2</v>
      </c>
      <c r="B36" s="11">
        <v>4</v>
      </c>
    </row>
    <row r="37" spans="1:6" x14ac:dyDescent="0.25">
      <c r="A37" s="12">
        <v>1</v>
      </c>
      <c r="B37" s="11">
        <v>4</v>
      </c>
    </row>
    <row r="38" spans="1:6" x14ac:dyDescent="0.25">
      <c r="A38" s="12">
        <v>2</v>
      </c>
      <c r="B38" s="11">
        <v>3</v>
      </c>
    </row>
    <row r="39" spans="1:6" x14ac:dyDescent="0.25">
      <c r="A39" s="12">
        <v>2</v>
      </c>
      <c r="B39" s="11">
        <v>3</v>
      </c>
    </row>
    <row r="40" spans="1:6" x14ac:dyDescent="0.25">
      <c r="A40" s="12">
        <v>2</v>
      </c>
      <c r="B40" s="11">
        <v>4</v>
      </c>
    </row>
    <row r="41" spans="1:6" ht="29.25" customHeight="1" x14ac:dyDescent="0.25">
      <c r="A41" s="12">
        <v>1</v>
      </c>
      <c r="B41" s="11">
        <v>5</v>
      </c>
      <c r="D41" t="s">
        <v>9</v>
      </c>
      <c r="E41">
        <f>(((E5^2)/E6)+((E11^2)/E12))^2</f>
        <v>3.3364897598266418E-4</v>
      </c>
    </row>
    <row r="42" spans="1:6" ht="47.25" customHeight="1" x14ac:dyDescent="0.25">
      <c r="A42" s="12">
        <v>1</v>
      </c>
      <c r="B42" s="11">
        <v>4</v>
      </c>
      <c r="D42" t="s">
        <v>10</v>
      </c>
      <c r="E42">
        <f>(((E5^2)/E6)^2)/(E6-1)</f>
        <v>5.4734993804939422E-7</v>
      </c>
    </row>
    <row r="43" spans="1:6" ht="43.5" customHeight="1" x14ac:dyDescent="0.25">
      <c r="A43" s="12">
        <v>2</v>
      </c>
      <c r="B43" s="11">
        <v>5</v>
      </c>
      <c r="D43" t="s">
        <v>11</v>
      </c>
      <c r="E43">
        <f>(((E11^2)/E12)^2)/(E12-1)</f>
        <v>1.5125284845675933E-6</v>
      </c>
    </row>
    <row r="44" spans="1:6" x14ac:dyDescent="0.25">
      <c r="A44" s="12">
        <v>1</v>
      </c>
      <c r="B44" s="11">
        <v>3</v>
      </c>
    </row>
    <row r="45" spans="1:6" x14ac:dyDescent="0.25">
      <c r="A45" s="12">
        <v>3</v>
      </c>
      <c r="B45" s="11">
        <v>3</v>
      </c>
      <c r="D45" t="s">
        <v>8</v>
      </c>
      <c r="E45">
        <f>E41/(E42+E43)</f>
        <v>161.97508179088425</v>
      </c>
      <c r="F45" s="6" t="s">
        <v>13</v>
      </c>
    </row>
    <row r="46" spans="1:6" x14ac:dyDescent="0.25">
      <c r="A46" s="12">
        <v>2</v>
      </c>
      <c r="B46" s="11">
        <v>3</v>
      </c>
    </row>
    <row r="47" spans="1:6" x14ac:dyDescent="0.25">
      <c r="A47" s="12">
        <v>2</v>
      </c>
      <c r="B47" s="11">
        <v>3</v>
      </c>
      <c r="D47" t="s">
        <v>14</v>
      </c>
      <c r="E47">
        <v>0.05</v>
      </c>
      <c r="F47" s="6" t="s">
        <v>13</v>
      </c>
    </row>
    <row r="48" spans="1:6" x14ac:dyDescent="0.25">
      <c r="A48" s="12">
        <v>4</v>
      </c>
      <c r="B48" s="11">
        <v>2</v>
      </c>
    </row>
    <row r="49" spans="1:5" x14ac:dyDescent="0.25">
      <c r="A49" s="12">
        <v>2</v>
      </c>
      <c r="B49" s="11">
        <v>5</v>
      </c>
    </row>
    <row r="50" spans="1:5" x14ac:dyDescent="0.25">
      <c r="A50" s="12">
        <v>1</v>
      </c>
      <c r="B50" s="11">
        <v>3</v>
      </c>
    </row>
    <row r="51" spans="1:5" x14ac:dyDescent="0.25">
      <c r="A51" s="12">
        <v>1</v>
      </c>
      <c r="B51" s="11">
        <v>4</v>
      </c>
      <c r="D51" s="5"/>
      <c r="E51" s="5"/>
    </row>
    <row r="52" spans="1:5" x14ac:dyDescent="0.25">
      <c r="A52" s="12">
        <v>1</v>
      </c>
      <c r="B52" s="11">
        <v>3</v>
      </c>
      <c r="D52" t="s">
        <v>17</v>
      </c>
      <c r="E52">
        <f>_xlfn.T.INV.2T(E47,E45)</f>
        <v>1.9748080917517898</v>
      </c>
    </row>
    <row r="53" spans="1:5" x14ac:dyDescent="0.25">
      <c r="A53" s="12">
        <v>2</v>
      </c>
      <c r="B53" s="11">
        <v>3</v>
      </c>
      <c r="D53" t="s">
        <v>18</v>
      </c>
      <c r="E53">
        <f>_xlfn.T.INV(E47, E45)</f>
        <v>-1.6543730574567295</v>
      </c>
    </row>
    <row r="54" spans="1:5" x14ac:dyDescent="0.25">
      <c r="A54" s="12">
        <v>2</v>
      </c>
      <c r="B54" s="11">
        <v>3</v>
      </c>
    </row>
    <row r="55" spans="1:5" x14ac:dyDescent="0.25">
      <c r="A55" s="12">
        <v>1</v>
      </c>
      <c r="B55" s="11">
        <v>4</v>
      </c>
      <c r="D55" t="s">
        <v>19</v>
      </c>
      <c r="E55">
        <f>TTEST(A:A,B:B,2,2)</f>
        <v>1.7263206477968623E-32</v>
      </c>
    </row>
    <row r="56" spans="1:5" x14ac:dyDescent="0.25">
      <c r="A56" s="12">
        <v>1</v>
      </c>
      <c r="B56" s="11">
        <v>5</v>
      </c>
      <c r="D56" t="s">
        <v>20</v>
      </c>
      <c r="E56">
        <f>TTEST(A:A,B:B,1,2)</f>
        <v>8.6316032389843114E-33</v>
      </c>
    </row>
    <row r="57" spans="1:5" x14ac:dyDescent="0.25">
      <c r="A57" s="12">
        <v>2</v>
      </c>
      <c r="B57" s="11">
        <v>4</v>
      </c>
    </row>
    <row r="58" spans="1:5" x14ac:dyDescent="0.25">
      <c r="A58" s="12">
        <v>2</v>
      </c>
      <c r="B58" s="11">
        <v>5</v>
      </c>
    </row>
    <row r="59" spans="1:5" x14ac:dyDescent="0.25">
      <c r="A59" s="12">
        <v>1</v>
      </c>
      <c r="B59" s="11">
        <v>4</v>
      </c>
      <c r="D59" s="5" t="s">
        <v>21</v>
      </c>
      <c r="E59" s="5"/>
    </row>
    <row r="60" spans="1:5" x14ac:dyDescent="0.25">
      <c r="A60" s="12">
        <v>1</v>
      </c>
      <c r="B60" s="11">
        <v>4</v>
      </c>
    </row>
    <row r="61" spans="1:5" x14ac:dyDescent="0.25">
      <c r="A61" s="12">
        <v>2</v>
      </c>
      <c r="B61" s="11">
        <v>3</v>
      </c>
      <c r="D61" t="s">
        <v>22</v>
      </c>
    </row>
    <row r="62" spans="1:5" x14ac:dyDescent="0.25">
      <c r="A62" s="12">
        <v>3</v>
      </c>
      <c r="B62" s="11">
        <v>5</v>
      </c>
      <c r="D62" t="s">
        <v>23</v>
      </c>
    </row>
    <row r="63" spans="1:5" x14ac:dyDescent="0.25">
      <c r="A63" s="12">
        <v>1</v>
      </c>
      <c r="B63" s="11">
        <v>4</v>
      </c>
    </row>
    <row r="64" spans="1:5" x14ac:dyDescent="0.25">
      <c r="A64" s="12">
        <v>2</v>
      </c>
      <c r="B64" s="11">
        <v>5</v>
      </c>
      <c r="D64" t="s">
        <v>24</v>
      </c>
    </row>
    <row r="65" spans="1:4" x14ac:dyDescent="0.25">
      <c r="A65" s="12">
        <v>1</v>
      </c>
      <c r="B65" s="11">
        <v>4</v>
      </c>
      <c r="D65" t="s">
        <v>25</v>
      </c>
    </row>
    <row r="66" spans="1:4" x14ac:dyDescent="0.25">
      <c r="A66" s="12">
        <v>2</v>
      </c>
      <c r="B66" s="11">
        <v>3</v>
      </c>
    </row>
    <row r="67" spans="1:4" x14ac:dyDescent="0.25">
      <c r="A67" s="12">
        <v>4</v>
      </c>
      <c r="B67" s="11">
        <v>4</v>
      </c>
    </row>
    <row r="68" spans="1:4" x14ac:dyDescent="0.25">
      <c r="A68" s="12">
        <v>2</v>
      </c>
      <c r="B68" s="11">
        <v>4</v>
      </c>
      <c r="D68" s="10" t="s">
        <v>26</v>
      </c>
    </row>
    <row r="69" spans="1:4" x14ac:dyDescent="0.25">
      <c r="A69" s="12">
        <v>1</v>
      </c>
      <c r="B69" s="11">
        <v>2</v>
      </c>
    </row>
    <row r="70" spans="1:4" x14ac:dyDescent="0.25">
      <c r="A70" s="12">
        <v>2</v>
      </c>
      <c r="B70" s="11">
        <v>3</v>
      </c>
      <c r="D70" t="s">
        <v>27</v>
      </c>
    </row>
    <row r="71" spans="1:4" x14ac:dyDescent="0.25">
      <c r="A71" s="12">
        <v>1</v>
      </c>
      <c r="B71" s="11">
        <v>3</v>
      </c>
      <c r="D71" t="s">
        <v>28</v>
      </c>
    </row>
    <row r="72" spans="1:4" x14ac:dyDescent="0.25">
      <c r="A72" s="12">
        <v>2</v>
      </c>
      <c r="B72" s="11">
        <v>5</v>
      </c>
      <c r="D72" t="s">
        <v>29</v>
      </c>
    </row>
    <row r="73" spans="1:4" x14ac:dyDescent="0.25">
      <c r="A73" s="12">
        <v>1</v>
      </c>
      <c r="B73" s="11">
        <v>4</v>
      </c>
    </row>
    <row r="74" spans="1:4" x14ac:dyDescent="0.25">
      <c r="A74" s="12">
        <v>2</v>
      </c>
      <c r="B74" s="11">
        <v>5</v>
      </c>
    </row>
    <row r="75" spans="1:4" x14ac:dyDescent="0.25">
      <c r="A75" s="12">
        <v>1</v>
      </c>
      <c r="B75" s="11">
        <v>3</v>
      </c>
      <c r="D75" s="10" t="s">
        <v>26</v>
      </c>
    </row>
    <row r="76" spans="1:4" x14ac:dyDescent="0.25">
      <c r="A76" s="12">
        <v>3</v>
      </c>
      <c r="B76" s="11">
        <v>5</v>
      </c>
    </row>
    <row r="77" spans="1:4" x14ac:dyDescent="0.25">
      <c r="A77" s="12">
        <v>2</v>
      </c>
      <c r="B77" s="11">
        <v>5</v>
      </c>
    </row>
    <row r="78" spans="1:4" x14ac:dyDescent="0.25">
      <c r="A78" s="12">
        <v>2</v>
      </c>
      <c r="B78" s="11">
        <v>3</v>
      </c>
    </row>
    <row r="79" spans="1:4" x14ac:dyDescent="0.25">
      <c r="A79" s="12">
        <v>1</v>
      </c>
      <c r="B79" s="11">
        <v>4</v>
      </c>
    </row>
    <row r="80" spans="1:4" x14ac:dyDescent="0.25">
      <c r="A80" s="12">
        <v>1</v>
      </c>
      <c r="B80" s="11">
        <v>4</v>
      </c>
    </row>
    <row r="81" spans="1:4" x14ac:dyDescent="0.25">
      <c r="A81" s="12">
        <v>2</v>
      </c>
      <c r="B81" s="11">
        <v>4</v>
      </c>
    </row>
    <row r="82" spans="1:4" x14ac:dyDescent="0.25">
      <c r="A82" s="12">
        <v>1</v>
      </c>
      <c r="B82" s="11">
        <v>1</v>
      </c>
      <c r="D82" t="s">
        <v>30</v>
      </c>
    </row>
    <row r="83" spans="1:4" x14ac:dyDescent="0.25">
      <c r="A83" s="12">
        <v>2</v>
      </c>
      <c r="B83" s="11">
        <v>3</v>
      </c>
      <c r="D83" t="s">
        <v>29</v>
      </c>
    </row>
    <row r="84" spans="1:4" x14ac:dyDescent="0.25">
      <c r="A84" s="12">
        <v>2</v>
      </c>
      <c r="B84" s="11">
        <v>1</v>
      </c>
      <c r="D84" t="s">
        <v>30</v>
      </c>
    </row>
    <row r="85" spans="1:4" x14ac:dyDescent="0.25">
      <c r="A85" s="12">
        <v>1</v>
      </c>
      <c r="B85" s="11">
        <v>5</v>
      </c>
      <c r="D85" t="s">
        <v>29</v>
      </c>
    </row>
    <row r="86" spans="1:4" x14ac:dyDescent="0.25">
      <c r="A86" s="12">
        <v>4</v>
      </c>
      <c r="B86" s="11">
        <v>3</v>
      </c>
    </row>
    <row r="87" spans="1:4" x14ac:dyDescent="0.25">
      <c r="A87" s="12">
        <v>2</v>
      </c>
      <c r="B87" s="11">
        <v>4</v>
      </c>
    </row>
    <row r="88" spans="1:4" x14ac:dyDescent="0.25">
      <c r="A88" s="12">
        <v>2</v>
      </c>
      <c r="B88" s="11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7E12-1B33-4A49-A799-B4B3A6F06735}">
  <dimension ref="A1:F88"/>
  <sheetViews>
    <sheetView zoomScale="70" zoomScaleNormal="70" workbookViewId="0">
      <selection activeCell="D8" sqref="D8"/>
    </sheetView>
  </sheetViews>
  <sheetFormatPr baseColWidth="10" defaultColWidth="9.140625" defaultRowHeight="15" x14ac:dyDescent="0.25"/>
  <cols>
    <col min="1" max="1" width="21.7109375" style="12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41" customHeight="1" x14ac:dyDescent="0.25">
      <c r="A1" s="8" t="s">
        <v>33</v>
      </c>
      <c r="B1" s="9" t="s">
        <v>34</v>
      </c>
    </row>
    <row r="2" spans="1:5" x14ac:dyDescent="0.25">
      <c r="A2" s="12">
        <v>2</v>
      </c>
      <c r="B2" s="11">
        <v>3</v>
      </c>
      <c r="D2" s="1" t="s">
        <v>0</v>
      </c>
      <c r="E2">
        <f>AVERAGE(A:A)</f>
        <v>1.7931034482758621</v>
      </c>
    </row>
    <row r="3" spans="1:5" x14ac:dyDescent="0.25">
      <c r="A3" s="12">
        <v>2</v>
      </c>
      <c r="B3" s="11">
        <v>5</v>
      </c>
      <c r="D3" s="1" t="s">
        <v>1</v>
      </c>
      <c r="E3">
        <f>MEDIAN(A:A)</f>
        <v>2</v>
      </c>
    </row>
    <row r="4" spans="1:5" x14ac:dyDescent="0.25">
      <c r="A4" s="12">
        <v>1</v>
      </c>
      <c r="B4" s="11">
        <v>4</v>
      </c>
      <c r="D4" s="1" t="s">
        <v>2</v>
      </c>
      <c r="E4">
        <f>MODE(A:A)</f>
        <v>2</v>
      </c>
    </row>
    <row r="5" spans="1:5" x14ac:dyDescent="0.25">
      <c r="A5" s="12">
        <v>1</v>
      </c>
      <c r="B5" s="11">
        <v>4</v>
      </c>
      <c r="D5" s="1" t="s">
        <v>16</v>
      </c>
      <c r="E5">
        <f>STDEV(A:A)</f>
        <v>0.87786648127232858</v>
      </c>
    </row>
    <row r="6" spans="1:5" x14ac:dyDescent="0.25">
      <c r="A6" s="12">
        <v>5</v>
      </c>
      <c r="B6" s="11">
        <v>3</v>
      </c>
      <c r="D6" s="4" t="s">
        <v>5</v>
      </c>
      <c r="E6">
        <f>COUNT(A:A)</f>
        <v>87</v>
      </c>
    </row>
    <row r="7" spans="1:5" x14ac:dyDescent="0.25">
      <c r="A7" s="12">
        <v>1</v>
      </c>
      <c r="B7" s="11">
        <v>2</v>
      </c>
    </row>
    <row r="8" spans="1:5" x14ac:dyDescent="0.25">
      <c r="A8" s="12">
        <v>1</v>
      </c>
      <c r="B8" s="11">
        <v>5</v>
      </c>
      <c r="D8" s="3" t="s">
        <v>63</v>
      </c>
      <c r="E8">
        <f>AVERAGE(B:B)</f>
        <v>4.0114942528735629</v>
      </c>
    </row>
    <row r="9" spans="1:5" x14ac:dyDescent="0.25">
      <c r="A9" s="12">
        <v>1</v>
      </c>
      <c r="B9" s="11">
        <v>4</v>
      </c>
      <c r="D9" s="3" t="s">
        <v>3</v>
      </c>
      <c r="E9">
        <f>MEDIAN(B:B)</f>
        <v>4</v>
      </c>
    </row>
    <row r="10" spans="1:5" x14ac:dyDescent="0.25">
      <c r="A10" s="12">
        <v>1</v>
      </c>
      <c r="B10" s="11">
        <v>4</v>
      </c>
      <c r="D10" s="3" t="s">
        <v>4</v>
      </c>
      <c r="E10">
        <f>MODE(B:B)</f>
        <v>5</v>
      </c>
    </row>
    <row r="11" spans="1:5" x14ac:dyDescent="0.25">
      <c r="A11" s="12">
        <v>1</v>
      </c>
      <c r="B11" s="11">
        <v>5</v>
      </c>
      <c r="D11" s="3" t="s">
        <v>15</v>
      </c>
      <c r="E11">
        <f>STDEV(B:B)</f>
        <v>0.9085415462408184</v>
      </c>
    </row>
    <row r="12" spans="1:5" x14ac:dyDescent="0.25">
      <c r="A12" s="12">
        <v>2</v>
      </c>
      <c r="B12" s="11">
        <v>4</v>
      </c>
      <c r="D12" s="5" t="s">
        <v>6</v>
      </c>
      <c r="E12">
        <f>COUNT(B:B)</f>
        <v>87</v>
      </c>
    </row>
    <row r="13" spans="1:5" x14ac:dyDescent="0.25">
      <c r="A13" s="12">
        <v>2</v>
      </c>
      <c r="B13" s="11">
        <v>4</v>
      </c>
    </row>
    <row r="14" spans="1:5" x14ac:dyDescent="0.25">
      <c r="A14" s="12">
        <v>1</v>
      </c>
      <c r="B14" s="11">
        <v>5</v>
      </c>
    </row>
    <row r="15" spans="1:5" x14ac:dyDescent="0.25">
      <c r="A15" s="12">
        <v>2</v>
      </c>
      <c r="B15" s="11">
        <v>3</v>
      </c>
    </row>
    <row r="16" spans="1:5" x14ac:dyDescent="0.25">
      <c r="A16" s="12">
        <v>1</v>
      </c>
      <c r="B16" s="11">
        <v>5</v>
      </c>
    </row>
    <row r="17" spans="1:5" x14ac:dyDescent="0.25">
      <c r="A17" s="12">
        <v>1</v>
      </c>
      <c r="B17" s="11">
        <v>5</v>
      </c>
      <c r="D17" s="2" t="s">
        <v>7</v>
      </c>
      <c r="E17" s="2"/>
    </row>
    <row r="18" spans="1:5" x14ac:dyDescent="0.25">
      <c r="A18" s="12">
        <v>2</v>
      </c>
      <c r="B18" s="11">
        <v>3</v>
      </c>
    </row>
    <row r="19" spans="1:5" x14ac:dyDescent="0.25">
      <c r="A19" s="12">
        <v>2</v>
      </c>
      <c r="B19" s="11">
        <v>4</v>
      </c>
    </row>
    <row r="20" spans="1:5" x14ac:dyDescent="0.25">
      <c r="A20" s="12">
        <v>3</v>
      </c>
      <c r="B20" s="11">
        <v>4</v>
      </c>
    </row>
    <row r="21" spans="1:5" x14ac:dyDescent="0.25">
      <c r="A21" s="12">
        <v>3</v>
      </c>
      <c r="B21" s="11">
        <v>5</v>
      </c>
    </row>
    <row r="22" spans="1:5" x14ac:dyDescent="0.25">
      <c r="A22" s="12">
        <v>2</v>
      </c>
      <c r="B22" s="11">
        <v>4</v>
      </c>
    </row>
    <row r="23" spans="1:5" x14ac:dyDescent="0.25">
      <c r="A23" s="12">
        <v>1</v>
      </c>
      <c r="B23" s="11">
        <v>5</v>
      </c>
    </row>
    <row r="24" spans="1:5" x14ac:dyDescent="0.25">
      <c r="A24" s="12">
        <v>1</v>
      </c>
      <c r="B24" s="11">
        <v>3</v>
      </c>
    </row>
    <row r="25" spans="1:5" x14ac:dyDescent="0.25">
      <c r="A25" s="12">
        <v>1</v>
      </c>
      <c r="B25" s="11">
        <v>5</v>
      </c>
    </row>
    <row r="26" spans="1:5" x14ac:dyDescent="0.25">
      <c r="A26" s="12">
        <v>1</v>
      </c>
      <c r="B26" s="11">
        <v>3</v>
      </c>
    </row>
    <row r="27" spans="1:5" x14ac:dyDescent="0.25">
      <c r="A27" s="12">
        <v>2</v>
      </c>
      <c r="B27" s="11">
        <v>5</v>
      </c>
    </row>
    <row r="28" spans="1:5" x14ac:dyDescent="0.25">
      <c r="A28" s="12">
        <v>1</v>
      </c>
      <c r="B28" s="11">
        <v>4</v>
      </c>
    </row>
    <row r="29" spans="1:5" x14ac:dyDescent="0.25">
      <c r="A29" s="12">
        <v>2</v>
      </c>
      <c r="B29" s="11">
        <v>3</v>
      </c>
      <c r="D29" t="s">
        <v>12</v>
      </c>
      <c r="E29">
        <f>(E2-E8)/SQRT(((E5^2)/E6)+((E11^2)/E12))</f>
        <v>-16.378269053936936</v>
      </c>
    </row>
    <row r="30" spans="1:5" x14ac:dyDescent="0.25">
      <c r="A30" s="12">
        <v>2</v>
      </c>
      <c r="B30" s="11">
        <v>4</v>
      </c>
    </row>
    <row r="31" spans="1:5" x14ac:dyDescent="0.25">
      <c r="A31" s="12">
        <v>1</v>
      </c>
      <c r="B31" s="11">
        <v>5</v>
      </c>
      <c r="D31" s="2" t="s">
        <v>8</v>
      </c>
      <c r="E31" s="2"/>
    </row>
    <row r="32" spans="1:5" x14ac:dyDescent="0.25">
      <c r="A32" s="12">
        <v>2</v>
      </c>
      <c r="B32" s="11">
        <v>4</v>
      </c>
    </row>
    <row r="33" spans="1:6" x14ac:dyDescent="0.25">
      <c r="A33" s="12">
        <v>1</v>
      </c>
      <c r="B33" s="11">
        <v>4</v>
      </c>
    </row>
    <row r="34" spans="1:6" x14ac:dyDescent="0.25">
      <c r="A34" s="12">
        <v>1</v>
      </c>
      <c r="B34" s="11">
        <v>2</v>
      </c>
    </row>
    <row r="35" spans="1:6" x14ac:dyDescent="0.25">
      <c r="A35" s="12">
        <v>1</v>
      </c>
      <c r="B35" s="11">
        <v>4</v>
      </c>
    </row>
    <row r="36" spans="1:6" x14ac:dyDescent="0.25">
      <c r="A36" s="12">
        <v>2</v>
      </c>
      <c r="B36" s="11">
        <v>4</v>
      </c>
    </row>
    <row r="37" spans="1:6" x14ac:dyDescent="0.25">
      <c r="A37" s="12">
        <v>1</v>
      </c>
      <c r="B37" s="11">
        <v>5</v>
      </c>
    </row>
    <row r="38" spans="1:6" x14ac:dyDescent="0.25">
      <c r="A38" s="12">
        <v>2</v>
      </c>
      <c r="B38" s="11">
        <v>5</v>
      </c>
    </row>
    <row r="39" spans="1:6" x14ac:dyDescent="0.25">
      <c r="A39" s="12">
        <v>2</v>
      </c>
      <c r="B39" s="11">
        <v>3</v>
      </c>
    </row>
    <row r="40" spans="1:6" x14ac:dyDescent="0.25">
      <c r="A40" s="12">
        <v>2</v>
      </c>
      <c r="B40" s="11">
        <v>4</v>
      </c>
    </row>
    <row r="41" spans="1:6" ht="29.25" customHeight="1" x14ac:dyDescent="0.25">
      <c r="A41" s="12">
        <v>5</v>
      </c>
      <c r="B41" s="11">
        <v>3</v>
      </c>
      <c r="D41" t="s">
        <v>9</v>
      </c>
      <c r="E41">
        <f>(((E5^2)/E6)+((E11^2)/E12))^2</f>
        <v>3.3657373387033994E-4</v>
      </c>
    </row>
    <row r="42" spans="1:6" ht="47.25" customHeight="1" x14ac:dyDescent="0.25">
      <c r="A42" s="12">
        <v>3</v>
      </c>
      <c r="B42" s="11">
        <v>3</v>
      </c>
      <c r="D42" t="s">
        <v>10</v>
      </c>
      <c r="E42">
        <f>(((E5^2)/E6)^2)/(E6-1)</f>
        <v>9.1238242693831677E-7</v>
      </c>
    </row>
    <row r="43" spans="1:6" ht="43.5" customHeight="1" x14ac:dyDescent="0.25">
      <c r="A43" s="12">
        <v>2</v>
      </c>
      <c r="B43" s="11">
        <v>3</v>
      </c>
      <c r="D43" t="s">
        <v>11</v>
      </c>
      <c r="E43">
        <f>(((E11^2)/E12)^2)/(E12-1)</f>
        <v>1.0467481703637502E-6</v>
      </c>
    </row>
    <row r="44" spans="1:6" x14ac:dyDescent="0.25">
      <c r="A44" s="12">
        <v>1</v>
      </c>
      <c r="B44" s="11">
        <v>5</v>
      </c>
    </row>
    <row r="45" spans="1:6" x14ac:dyDescent="0.25">
      <c r="A45" s="12">
        <v>2</v>
      </c>
      <c r="B45" s="11">
        <v>3</v>
      </c>
      <c r="D45" t="s">
        <v>8</v>
      </c>
      <c r="E45">
        <f>E41/(E42+E43)</f>
        <v>171.79749748885456</v>
      </c>
      <c r="F45" s="6" t="s">
        <v>13</v>
      </c>
    </row>
    <row r="46" spans="1:6" x14ac:dyDescent="0.25">
      <c r="A46" s="12">
        <v>2</v>
      </c>
      <c r="B46" s="11">
        <v>3</v>
      </c>
    </row>
    <row r="47" spans="1:6" x14ac:dyDescent="0.25">
      <c r="A47" s="12">
        <v>2</v>
      </c>
      <c r="B47" s="11">
        <v>5</v>
      </c>
      <c r="D47" t="s">
        <v>14</v>
      </c>
      <c r="E47">
        <v>0.05</v>
      </c>
      <c r="F47" s="6" t="s">
        <v>13</v>
      </c>
    </row>
    <row r="48" spans="1:6" x14ac:dyDescent="0.25">
      <c r="A48" s="12">
        <v>2</v>
      </c>
      <c r="B48" s="11">
        <v>5</v>
      </c>
    </row>
    <row r="49" spans="1:5" x14ac:dyDescent="0.25">
      <c r="A49" s="12">
        <v>2</v>
      </c>
      <c r="B49" s="11">
        <v>5</v>
      </c>
    </row>
    <row r="50" spans="1:5" x14ac:dyDescent="0.25">
      <c r="A50" s="12">
        <v>1</v>
      </c>
      <c r="B50" s="11">
        <v>3</v>
      </c>
    </row>
    <row r="51" spans="1:5" x14ac:dyDescent="0.25">
      <c r="A51" s="12">
        <v>1</v>
      </c>
      <c r="B51" s="11">
        <v>4</v>
      </c>
      <c r="D51" s="5"/>
      <c r="E51" s="5"/>
    </row>
    <row r="52" spans="1:5" x14ac:dyDescent="0.25">
      <c r="A52" s="12">
        <v>1</v>
      </c>
      <c r="B52" s="11">
        <v>5</v>
      </c>
      <c r="D52" t="s">
        <v>17</v>
      </c>
      <c r="E52">
        <f>_xlfn.T.INV.2T(E47,E45)</f>
        <v>1.9739339541031049</v>
      </c>
    </row>
    <row r="53" spans="1:5" x14ac:dyDescent="0.25">
      <c r="A53" s="12">
        <v>2</v>
      </c>
      <c r="B53" s="11">
        <v>4</v>
      </c>
      <c r="D53" t="s">
        <v>18</v>
      </c>
      <c r="E53">
        <f>_xlfn.T.INV(E47, E45)</f>
        <v>-1.6538133236322152</v>
      </c>
    </row>
    <row r="54" spans="1:5" x14ac:dyDescent="0.25">
      <c r="A54" s="12">
        <v>2</v>
      </c>
      <c r="B54" s="11">
        <v>4</v>
      </c>
    </row>
    <row r="55" spans="1:5" x14ac:dyDescent="0.25">
      <c r="A55" s="12">
        <v>1</v>
      </c>
      <c r="B55" s="11">
        <v>4</v>
      </c>
      <c r="D55" t="s">
        <v>19</v>
      </c>
      <c r="E55">
        <f>TTEST(A:A,B:B,2,2)</f>
        <v>6.1240041611745449E-37</v>
      </c>
    </row>
    <row r="56" spans="1:5" x14ac:dyDescent="0.25">
      <c r="A56" s="12">
        <v>1</v>
      </c>
      <c r="B56" s="11">
        <v>5</v>
      </c>
      <c r="D56" t="s">
        <v>20</v>
      </c>
      <c r="E56">
        <f>TTEST(A:A,B:B,1,2)</f>
        <v>3.0620020805872725E-37</v>
      </c>
    </row>
    <row r="57" spans="1:5" x14ac:dyDescent="0.25">
      <c r="A57" s="12">
        <v>2</v>
      </c>
      <c r="B57" s="11">
        <v>3</v>
      </c>
    </row>
    <row r="58" spans="1:5" x14ac:dyDescent="0.25">
      <c r="A58" s="12">
        <v>2</v>
      </c>
      <c r="B58" s="11">
        <v>2</v>
      </c>
    </row>
    <row r="59" spans="1:5" x14ac:dyDescent="0.25">
      <c r="A59" s="12">
        <v>1</v>
      </c>
      <c r="B59" s="11">
        <v>4</v>
      </c>
      <c r="D59" s="5" t="s">
        <v>21</v>
      </c>
      <c r="E59" s="5"/>
    </row>
    <row r="60" spans="1:5" x14ac:dyDescent="0.25">
      <c r="A60" s="12">
        <v>1</v>
      </c>
      <c r="B60" s="11">
        <v>5</v>
      </c>
    </row>
    <row r="61" spans="1:5" x14ac:dyDescent="0.25">
      <c r="A61" s="12">
        <v>2</v>
      </c>
      <c r="B61" s="11">
        <v>4</v>
      </c>
      <c r="D61" t="s">
        <v>22</v>
      </c>
    </row>
    <row r="62" spans="1:5" x14ac:dyDescent="0.25">
      <c r="A62" s="12">
        <v>3</v>
      </c>
      <c r="B62" s="11">
        <v>5</v>
      </c>
      <c r="D62" t="s">
        <v>23</v>
      </c>
    </row>
    <row r="63" spans="1:5" x14ac:dyDescent="0.25">
      <c r="A63" s="12">
        <v>3</v>
      </c>
      <c r="B63" s="11">
        <v>3</v>
      </c>
    </row>
    <row r="64" spans="1:5" x14ac:dyDescent="0.25">
      <c r="A64" s="12">
        <v>2</v>
      </c>
      <c r="B64" s="11">
        <v>3</v>
      </c>
      <c r="D64" t="s">
        <v>24</v>
      </c>
    </row>
    <row r="65" spans="1:4" x14ac:dyDescent="0.25">
      <c r="A65" s="12">
        <v>1</v>
      </c>
      <c r="B65" s="11">
        <v>3</v>
      </c>
      <c r="D65" t="s">
        <v>25</v>
      </c>
    </row>
    <row r="66" spans="1:4" x14ac:dyDescent="0.25">
      <c r="A66" s="12">
        <v>2</v>
      </c>
      <c r="B66" s="11">
        <v>5</v>
      </c>
    </row>
    <row r="67" spans="1:4" x14ac:dyDescent="0.25">
      <c r="A67" s="12">
        <v>5</v>
      </c>
      <c r="B67" s="11">
        <v>5</v>
      </c>
    </row>
    <row r="68" spans="1:4" x14ac:dyDescent="0.25">
      <c r="A68" s="12">
        <v>2</v>
      </c>
      <c r="B68" s="11">
        <v>3</v>
      </c>
      <c r="D68" s="10" t="s">
        <v>26</v>
      </c>
    </row>
    <row r="69" spans="1:4" x14ac:dyDescent="0.25">
      <c r="A69" s="12">
        <v>3</v>
      </c>
      <c r="B69" s="11">
        <v>4</v>
      </c>
    </row>
    <row r="70" spans="1:4" x14ac:dyDescent="0.25">
      <c r="A70" s="12">
        <v>2</v>
      </c>
      <c r="B70" s="11">
        <v>5</v>
      </c>
      <c r="D70" t="s">
        <v>27</v>
      </c>
    </row>
    <row r="71" spans="1:4" x14ac:dyDescent="0.25">
      <c r="A71" s="12">
        <v>1</v>
      </c>
      <c r="B71" s="11">
        <v>3</v>
      </c>
      <c r="D71" t="s">
        <v>28</v>
      </c>
    </row>
    <row r="72" spans="1:4" x14ac:dyDescent="0.25">
      <c r="A72" s="12">
        <v>2</v>
      </c>
      <c r="B72" s="11">
        <v>3</v>
      </c>
      <c r="D72" t="s">
        <v>29</v>
      </c>
    </row>
    <row r="73" spans="1:4" x14ac:dyDescent="0.25">
      <c r="A73" s="12">
        <v>1</v>
      </c>
      <c r="B73" s="11">
        <v>4</v>
      </c>
    </row>
    <row r="74" spans="1:4" x14ac:dyDescent="0.25">
      <c r="A74" s="12">
        <v>2</v>
      </c>
      <c r="B74" s="11">
        <v>5</v>
      </c>
    </row>
    <row r="75" spans="1:4" x14ac:dyDescent="0.25">
      <c r="A75" s="12">
        <v>1</v>
      </c>
      <c r="B75" s="11">
        <v>5</v>
      </c>
      <c r="D75" s="10" t="s">
        <v>26</v>
      </c>
    </row>
    <row r="76" spans="1:4" x14ac:dyDescent="0.25">
      <c r="A76" s="12">
        <v>2</v>
      </c>
      <c r="B76" s="11">
        <v>5</v>
      </c>
    </row>
    <row r="77" spans="1:4" x14ac:dyDescent="0.25">
      <c r="A77" s="12">
        <v>2</v>
      </c>
      <c r="B77" s="11">
        <v>5</v>
      </c>
    </row>
    <row r="78" spans="1:4" x14ac:dyDescent="0.25">
      <c r="A78" s="12">
        <v>2</v>
      </c>
      <c r="B78" s="11">
        <v>3</v>
      </c>
    </row>
    <row r="79" spans="1:4" x14ac:dyDescent="0.25">
      <c r="A79" s="12">
        <v>1</v>
      </c>
      <c r="B79" s="11">
        <v>5</v>
      </c>
    </row>
    <row r="80" spans="1:4" x14ac:dyDescent="0.25">
      <c r="A80" s="12">
        <v>1</v>
      </c>
      <c r="B80" s="11">
        <v>2</v>
      </c>
    </row>
    <row r="81" spans="1:4" x14ac:dyDescent="0.25">
      <c r="A81" s="12">
        <v>2</v>
      </c>
      <c r="B81" s="11">
        <v>4</v>
      </c>
    </row>
    <row r="82" spans="1:4" x14ac:dyDescent="0.25">
      <c r="A82" s="12">
        <v>1</v>
      </c>
      <c r="B82" s="11">
        <v>3</v>
      </c>
      <c r="D82" t="s">
        <v>30</v>
      </c>
    </row>
    <row r="83" spans="1:4" x14ac:dyDescent="0.25">
      <c r="A83" s="12">
        <v>2</v>
      </c>
      <c r="B83" s="11">
        <v>4</v>
      </c>
      <c r="D83" t="s">
        <v>29</v>
      </c>
    </row>
    <row r="84" spans="1:4" x14ac:dyDescent="0.25">
      <c r="A84" s="12">
        <v>2</v>
      </c>
      <c r="B84" s="11">
        <v>5</v>
      </c>
      <c r="D84" t="s">
        <v>30</v>
      </c>
    </row>
    <row r="85" spans="1:4" x14ac:dyDescent="0.25">
      <c r="A85" s="12">
        <v>3</v>
      </c>
      <c r="B85" s="11">
        <v>5</v>
      </c>
      <c r="D85" t="s">
        <v>29</v>
      </c>
    </row>
    <row r="86" spans="1:4" x14ac:dyDescent="0.25">
      <c r="A86" s="12">
        <v>2</v>
      </c>
      <c r="B86" s="11">
        <v>4</v>
      </c>
    </row>
    <row r="87" spans="1:4" x14ac:dyDescent="0.25">
      <c r="A87" s="12">
        <v>3</v>
      </c>
      <c r="B87" s="11">
        <v>4</v>
      </c>
    </row>
    <row r="88" spans="1:4" x14ac:dyDescent="0.25">
      <c r="A88" s="12">
        <v>2</v>
      </c>
      <c r="B88" s="11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zoomScale="70" zoomScaleNormal="70" workbookViewId="0">
      <selection activeCell="D8" sqref="D8"/>
    </sheetView>
  </sheetViews>
  <sheetFormatPr baseColWidth="10" defaultColWidth="9.140625" defaultRowHeight="15" x14ac:dyDescent="0.25"/>
  <cols>
    <col min="1" max="1" width="25.140625" style="12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41" customHeight="1" x14ac:dyDescent="0.25">
      <c r="A1" s="8" t="s">
        <v>31</v>
      </c>
      <c r="B1" s="9" t="s">
        <v>32</v>
      </c>
    </row>
    <row r="2" spans="1:5" x14ac:dyDescent="0.25">
      <c r="A2" s="12">
        <v>2</v>
      </c>
      <c r="B2" s="11">
        <v>3</v>
      </c>
      <c r="D2" s="1" t="s">
        <v>0</v>
      </c>
      <c r="E2">
        <f>AVERAGE(A:A)</f>
        <v>1.6551724137931034</v>
      </c>
    </row>
    <row r="3" spans="1:5" x14ac:dyDescent="0.25">
      <c r="A3" s="12">
        <v>2</v>
      </c>
      <c r="B3" s="11">
        <v>5</v>
      </c>
      <c r="D3" s="1" t="s">
        <v>1</v>
      </c>
      <c r="E3">
        <f>MEDIAN(A:A)</f>
        <v>2</v>
      </c>
    </row>
    <row r="4" spans="1:5" x14ac:dyDescent="0.25">
      <c r="A4" s="12">
        <v>1</v>
      </c>
      <c r="B4" s="11">
        <v>2</v>
      </c>
      <c r="D4" s="1" t="s">
        <v>2</v>
      </c>
      <c r="E4">
        <f>MODE(A:A)</f>
        <v>1</v>
      </c>
    </row>
    <row r="5" spans="1:5" x14ac:dyDescent="0.25">
      <c r="A5" s="12">
        <v>1</v>
      </c>
      <c r="B5" s="11">
        <v>4</v>
      </c>
      <c r="D5" s="1" t="s">
        <v>16</v>
      </c>
      <c r="E5">
        <f>STDEV(A:A)</f>
        <v>0.71247335661154043</v>
      </c>
    </row>
    <row r="6" spans="1:5" x14ac:dyDescent="0.25">
      <c r="A6" s="12">
        <v>4</v>
      </c>
      <c r="B6" s="11">
        <v>2</v>
      </c>
      <c r="D6" s="4" t="s">
        <v>5</v>
      </c>
      <c r="E6">
        <f>COUNT(A:A)</f>
        <v>87</v>
      </c>
    </row>
    <row r="7" spans="1:5" x14ac:dyDescent="0.25">
      <c r="A7" s="12">
        <v>1</v>
      </c>
      <c r="B7" s="11">
        <v>2</v>
      </c>
    </row>
    <row r="8" spans="1:5" x14ac:dyDescent="0.25">
      <c r="A8" s="12">
        <v>1</v>
      </c>
      <c r="B8" s="11">
        <v>4</v>
      </c>
      <c r="D8" s="3" t="s">
        <v>63</v>
      </c>
      <c r="E8">
        <f>AVERAGE(B:B)</f>
        <v>3.7126436781609193</v>
      </c>
    </row>
    <row r="9" spans="1:5" x14ac:dyDescent="0.25">
      <c r="A9" s="12">
        <v>1</v>
      </c>
      <c r="B9" s="11">
        <v>4</v>
      </c>
      <c r="D9" s="3" t="s">
        <v>3</v>
      </c>
      <c r="E9">
        <f>MEDIAN(B:B)</f>
        <v>4</v>
      </c>
    </row>
    <row r="10" spans="1:5" x14ac:dyDescent="0.25">
      <c r="A10" s="12">
        <v>1</v>
      </c>
      <c r="B10" s="11">
        <v>4</v>
      </c>
      <c r="D10" s="3" t="s">
        <v>4</v>
      </c>
      <c r="E10">
        <f>MODE(B:B)</f>
        <v>4</v>
      </c>
    </row>
    <row r="11" spans="1:5" x14ac:dyDescent="0.25">
      <c r="A11" s="12">
        <v>1</v>
      </c>
      <c r="B11" s="11">
        <v>5</v>
      </c>
      <c r="D11" s="3" t="s">
        <v>15</v>
      </c>
      <c r="E11">
        <f>STDEV(B:B)</f>
        <v>1.0444543025729074</v>
      </c>
    </row>
    <row r="12" spans="1:5" x14ac:dyDescent="0.25">
      <c r="A12" s="12">
        <v>2</v>
      </c>
      <c r="B12" s="11">
        <v>4</v>
      </c>
      <c r="D12" s="5" t="s">
        <v>6</v>
      </c>
      <c r="E12">
        <f>COUNT(B:B)</f>
        <v>87</v>
      </c>
    </row>
    <row r="13" spans="1:5" x14ac:dyDescent="0.25">
      <c r="A13" s="12">
        <v>2</v>
      </c>
      <c r="B13" s="11">
        <v>5</v>
      </c>
    </row>
    <row r="14" spans="1:5" x14ac:dyDescent="0.25">
      <c r="A14" s="12">
        <v>1</v>
      </c>
      <c r="B14" s="11">
        <v>5</v>
      </c>
    </row>
    <row r="15" spans="1:5" x14ac:dyDescent="0.25">
      <c r="A15" s="12">
        <v>2</v>
      </c>
      <c r="B15" s="11">
        <v>4</v>
      </c>
    </row>
    <row r="16" spans="1:5" x14ac:dyDescent="0.25">
      <c r="A16" s="12">
        <v>1</v>
      </c>
      <c r="B16" s="11">
        <v>4</v>
      </c>
    </row>
    <row r="17" spans="1:5" x14ac:dyDescent="0.25">
      <c r="A17" s="12">
        <v>1</v>
      </c>
      <c r="B17" s="11">
        <v>5</v>
      </c>
      <c r="D17" s="2" t="s">
        <v>7</v>
      </c>
      <c r="E17" s="2"/>
    </row>
    <row r="18" spans="1:5" x14ac:dyDescent="0.25">
      <c r="A18" s="12">
        <v>2</v>
      </c>
      <c r="B18" s="11">
        <v>4</v>
      </c>
    </row>
    <row r="19" spans="1:5" x14ac:dyDescent="0.25">
      <c r="A19" s="12">
        <v>2</v>
      </c>
      <c r="B19" s="11">
        <v>5</v>
      </c>
    </row>
    <row r="20" spans="1:5" x14ac:dyDescent="0.25">
      <c r="A20" s="12">
        <v>2</v>
      </c>
      <c r="B20" s="11">
        <v>5</v>
      </c>
    </row>
    <row r="21" spans="1:5" x14ac:dyDescent="0.25">
      <c r="A21" s="12">
        <v>1</v>
      </c>
      <c r="B21" s="11">
        <v>5</v>
      </c>
    </row>
    <row r="22" spans="1:5" x14ac:dyDescent="0.25">
      <c r="A22" s="12">
        <v>3</v>
      </c>
      <c r="B22" s="11">
        <v>4</v>
      </c>
    </row>
    <row r="23" spans="1:5" x14ac:dyDescent="0.25">
      <c r="A23" s="12">
        <v>1</v>
      </c>
      <c r="B23" s="11">
        <v>4</v>
      </c>
    </row>
    <row r="24" spans="1:5" x14ac:dyDescent="0.25">
      <c r="A24" s="12">
        <v>1</v>
      </c>
      <c r="B24" s="11">
        <v>2</v>
      </c>
    </row>
    <row r="25" spans="1:5" x14ac:dyDescent="0.25">
      <c r="A25" s="12">
        <v>1</v>
      </c>
      <c r="B25" s="11">
        <v>2</v>
      </c>
    </row>
    <row r="26" spans="1:5" x14ac:dyDescent="0.25">
      <c r="A26" s="12">
        <v>1</v>
      </c>
      <c r="B26" s="11">
        <v>5</v>
      </c>
    </row>
    <row r="27" spans="1:5" x14ac:dyDescent="0.25">
      <c r="A27" s="12">
        <v>3</v>
      </c>
      <c r="B27" s="11">
        <v>3</v>
      </c>
    </row>
    <row r="28" spans="1:5" x14ac:dyDescent="0.25">
      <c r="A28" s="12">
        <v>1</v>
      </c>
      <c r="B28" s="11">
        <v>4</v>
      </c>
    </row>
    <row r="29" spans="1:5" x14ac:dyDescent="0.25">
      <c r="A29" s="12">
        <v>2</v>
      </c>
      <c r="B29" s="11">
        <v>3</v>
      </c>
      <c r="D29" t="s">
        <v>12</v>
      </c>
      <c r="E29">
        <f>(E2-E8)/SQRT(((E5^2)/E6)+((E11^2)/E12))</f>
        <v>-15.178773023590287</v>
      </c>
    </row>
    <row r="30" spans="1:5" x14ac:dyDescent="0.25">
      <c r="A30" s="12">
        <v>2</v>
      </c>
      <c r="B30" s="11">
        <v>4</v>
      </c>
    </row>
    <row r="31" spans="1:5" x14ac:dyDescent="0.25">
      <c r="A31" s="12">
        <v>1</v>
      </c>
      <c r="B31" s="11">
        <v>3</v>
      </c>
      <c r="D31" s="2" t="s">
        <v>8</v>
      </c>
      <c r="E31" s="2"/>
    </row>
    <row r="32" spans="1:5" x14ac:dyDescent="0.25">
      <c r="A32" s="12">
        <v>2</v>
      </c>
      <c r="B32" s="11">
        <v>4</v>
      </c>
    </row>
    <row r="33" spans="1:6" x14ac:dyDescent="0.25">
      <c r="A33" s="12">
        <v>1</v>
      </c>
      <c r="B33" s="11">
        <v>5</v>
      </c>
    </row>
    <row r="34" spans="1:6" x14ac:dyDescent="0.25">
      <c r="A34" s="12">
        <v>1</v>
      </c>
      <c r="B34" s="11">
        <v>3</v>
      </c>
    </row>
    <row r="35" spans="1:6" x14ac:dyDescent="0.25">
      <c r="A35" s="12">
        <v>1</v>
      </c>
      <c r="B35" s="11">
        <v>5</v>
      </c>
    </row>
    <row r="36" spans="1:6" x14ac:dyDescent="0.25">
      <c r="A36" s="12">
        <v>2</v>
      </c>
      <c r="B36" s="11">
        <v>4</v>
      </c>
    </row>
    <row r="37" spans="1:6" x14ac:dyDescent="0.25">
      <c r="A37" s="12">
        <v>1</v>
      </c>
      <c r="B37" s="11">
        <v>5</v>
      </c>
    </row>
    <row r="38" spans="1:6" x14ac:dyDescent="0.25">
      <c r="A38" s="12">
        <v>2</v>
      </c>
      <c r="B38" s="11">
        <v>4</v>
      </c>
    </row>
    <row r="39" spans="1:6" x14ac:dyDescent="0.25">
      <c r="A39" s="12">
        <v>3</v>
      </c>
      <c r="B39" s="11">
        <v>3</v>
      </c>
    </row>
    <row r="40" spans="1:6" x14ac:dyDescent="0.25">
      <c r="A40" s="12">
        <v>2</v>
      </c>
      <c r="B40" s="11">
        <v>4</v>
      </c>
    </row>
    <row r="41" spans="1:6" ht="29.25" customHeight="1" x14ac:dyDescent="0.25">
      <c r="A41" s="12">
        <v>4</v>
      </c>
      <c r="B41" s="11">
        <v>4</v>
      </c>
      <c r="D41" t="s">
        <v>9</v>
      </c>
      <c r="E41">
        <f>(((E5^2)/E6)+((E11^2)/E12))^2</f>
        <v>3.3758912375866197E-4</v>
      </c>
    </row>
    <row r="42" spans="1:6" ht="47.25" customHeight="1" x14ac:dyDescent="0.25">
      <c r="A42" s="12">
        <v>1</v>
      </c>
      <c r="B42" s="11">
        <v>5</v>
      </c>
      <c r="D42" t="s">
        <v>10</v>
      </c>
      <c r="E42">
        <f>(((E5^2)/E6)^2)/(E6-1)</f>
        <v>3.9585629592341399E-7</v>
      </c>
    </row>
    <row r="43" spans="1:6" ht="43.5" customHeight="1" x14ac:dyDescent="0.25">
      <c r="A43" s="12">
        <v>2</v>
      </c>
      <c r="B43" s="11">
        <v>3</v>
      </c>
      <c r="D43" t="s">
        <v>11</v>
      </c>
      <c r="E43">
        <f>(((E11^2)/E12)^2)/(E12-1)</f>
        <v>1.8281878430211044E-6</v>
      </c>
    </row>
    <row r="44" spans="1:6" x14ac:dyDescent="0.25">
      <c r="A44" s="12">
        <v>1</v>
      </c>
      <c r="B44" s="11">
        <v>4</v>
      </c>
    </row>
    <row r="45" spans="1:6" x14ac:dyDescent="0.25">
      <c r="A45" s="12">
        <v>2</v>
      </c>
      <c r="B45" s="11">
        <v>2</v>
      </c>
      <c r="D45" t="s">
        <v>8</v>
      </c>
      <c r="E45">
        <f>E41/(E42+E43)</f>
        <v>151.79065821907392</v>
      </c>
      <c r="F45" s="6" t="s">
        <v>13</v>
      </c>
    </row>
    <row r="46" spans="1:6" x14ac:dyDescent="0.25">
      <c r="A46" s="12">
        <v>2</v>
      </c>
      <c r="B46" s="11">
        <v>4</v>
      </c>
    </row>
    <row r="47" spans="1:6" x14ac:dyDescent="0.25">
      <c r="A47" s="12">
        <v>3</v>
      </c>
      <c r="B47" s="11">
        <v>5</v>
      </c>
      <c r="D47" t="s">
        <v>14</v>
      </c>
      <c r="E47">
        <v>0.05</v>
      </c>
      <c r="F47" s="6" t="s">
        <v>13</v>
      </c>
    </row>
    <row r="48" spans="1:6" x14ac:dyDescent="0.25">
      <c r="A48" s="12">
        <v>2</v>
      </c>
      <c r="B48" s="11">
        <v>5</v>
      </c>
    </row>
    <row r="49" spans="1:5" x14ac:dyDescent="0.25">
      <c r="A49" s="12">
        <v>2</v>
      </c>
      <c r="B49" s="11">
        <v>5</v>
      </c>
    </row>
    <row r="50" spans="1:5" x14ac:dyDescent="0.25">
      <c r="A50" s="12">
        <v>1</v>
      </c>
      <c r="B50" s="11">
        <v>2</v>
      </c>
    </row>
    <row r="51" spans="1:5" x14ac:dyDescent="0.25">
      <c r="A51" s="12">
        <v>1</v>
      </c>
      <c r="B51" s="11">
        <v>3</v>
      </c>
      <c r="D51" s="5"/>
      <c r="E51" s="5"/>
    </row>
    <row r="52" spans="1:5" x14ac:dyDescent="0.25">
      <c r="A52" s="12">
        <v>1</v>
      </c>
      <c r="B52" s="11">
        <v>2</v>
      </c>
      <c r="D52" t="s">
        <v>17</v>
      </c>
      <c r="E52">
        <f>_xlfn.T.INV.2T(E47,E45)</f>
        <v>1.9757989238179368</v>
      </c>
    </row>
    <row r="53" spans="1:5" x14ac:dyDescent="0.25">
      <c r="A53" s="12">
        <v>2</v>
      </c>
      <c r="B53" s="11">
        <v>5</v>
      </c>
      <c r="D53" t="s">
        <v>18</v>
      </c>
      <c r="E53">
        <f>_xlfn.T.INV(E47, E45)</f>
        <v>-1.6550073865802402</v>
      </c>
    </row>
    <row r="54" spans="1:5" x14ac:dyDescent="0.25">
      <c r="A54" s="12">
        <v>2</v>
      </c>
      <c r="B54" s="11">
        <v>3</v>
      </c>
    </row>
    <row r="55" spans="1:5" x14ac:dyDescent="0.25">
      <c r="A55" s="12">
        <v>1</v>
      </c>
      <c r="B55" s="11">
        <v>5</v>
      </c>
      <c r="D55" t="s">
        <v>19</v>
      </c>
      <c r="E55">
        <f>TTEST(A:A,B:B,2,2)</f>
        <v>1.4391340292912887E-33</v>
      </c>
    </row>
    <row r="56" spans="1:5" x14ac:dyDescent="0.25">
      <c r="A56" s="12">
        <v>1</v>
      </c>
      <c r="B56" s="11">
        <v>4</v>
      </c>
      <c r="D56" t="s">
        <v>20</v>
      </c>
      <c r="E56">
        <f>TTEST(A:A,B:B,1,2)</f>
        <v>7.1956701464564434E-34</v>
      </c>
    </row>
    <row r="57" spans="1:5" x14ac:dyDescent="0.25">
      <c r="A57" s="12">
        <v>2</v>
      </c>
      <c r="B57" s="11">
        <v>3</v>
      </c>
    </row>
    <row r="58" spans="1:5" x14ac:dyDescent="0.25">
      <c r="A58" s="12">
        <v>2</v>
      </c>
      <c r="B58" s="11">
        <v>3</v>
      </c>
    </row>
    <row r="59" spans="1:5" x14ac:dyDescent="0.25">
      <c r="A59" s="12">
        <v>1</v>
      </c>
      <c r="B59" s="11">
        <v>2</v>
      </c>
      <c r="D59" s="5" t="s">
        <v>21</v>
      </c>
      <c r="E59" s="5"/>
    </row>
    <row r="60" spans="1:5" x14ac:dyDescent="0.25">
      <c r="A60" s="12">
        <v>1</v>
      </c>
      <c r="B60" s="11">
        <v>3</v>
      </c>
    </row>
    <row r="61" spans="1:5" x14ac:dyDescent="0.25">
      <c r="A61" s="12">
        <v>2</v>
      </c>
      <c r="B61" s="11">
        <v>2</v>
      </c>
      <c r="D61" t="s">
        <v>22</v>
      </c>
    </row>
    <row r="62" spans="1:5" x14ac:dyDescent="0.25">
      <c r="A62" s="12">
        <v>2</v>
      </c>
      <c r="B62" s="11">
        <v>5</v>
      </c>
      <c r="D62" t="s">
        <v>23</v>
      </c>
    </row>
    <row r="63" spans="1:5" x14ac:dyDescent="0.25">
      <c r="A63" s="12">
        <v>1</v>
      </c>
      <c r="B63" s="11">
        <v>4</v>
      </c>
    </row>
    <row r="64" spans="1:5" x14ac:dyDescent="0.25">
      <c r="A64" s="12">
        <v>2</v>
      </c>
      <c r="B64" s="11">
        <v>3</v>
      </c>
      <c r="D64" t="s">
        <v>24</v>
      </c>
    </row>
    <row r="65" spans="1:4" x14ac:dyDescent="0.25">
      <c r="A65" s="12">
        <v>1</v>
      </c>
      <c r="B65" s="11">
        <v>4</v>
      </c>
      <c r="D65" t="s">
        <v>25</v>
      </c>
    </row>
    <row r="66" spans="1:4" x14ac:dyDescent="0.25">
      <c r="A66" s="12">
        <v>2</v>
      </c>
      <c r="B66" s="11">
        <v>4</v>
      </c>
    </row>
    <row r="67" spans="1:4" x14ac:dyDescent="0.25">
      <c r="A67" s="12">
        <v>3</v>
      </c>
      <c r="B67" s="11">
        <v>3</v>
      </c>
    </row>
    <row r="68" spans="1:4" x14ac:dyDescent="0.25">
      <c r="A68" s="12">
        <v>2</v>
      </c>
      <c r="B68" s="11">
        <v>5</v>
      </c>
      <c r="D68" s="10" t="s">
        <v>26</v>
      </c>
    </row>
    <row r="69" spans="1:4" x14ac:dyDescent="0.25">
      <c r="A69" s="12">
        <v>1</v>
      </c>
      <c r="B69" s="11">
        <v>3</v>
      </c>
    </row>
    <row r="70" spans="1:4" x14ac:dyDescent="0.25">
      <c r="A70" s="12">
        <v>2</v>
      </c>
      <c r="B70" s="11">
        <v>4</v>
      </c>
      <c r="D70" t="s">
        <v>27</v>
      </c>
    </row>
    <row r="71" spans="1:4" x14ac:dyDescent="0.25">
      <c r="A71" s="12">
        <v>1</v>
      </c>
      <c r="B71" s="11">
        <v>4</v>
      </c>
      <c r="D71" t="s">
        <v>28</v>
      </c>
    </row>
    <row r="72" spans="1:4" x14ac:dyDescent="0.25">
      <c r="A72" s="12">
        <v>3</v>
      </c>
      <c r="B72" s="11">
        <v>4</v>
      </c>
      <c r="D72" t="s">
        <v>29</v>
      </c>
    </row>
    <row r="73" spans="1:4" x14ac:dyDescent="0.25">
      <c r="A73" s="12">
        <v>1</v>
      </c>
      <c r="B73" s="11">
        <v>5</v>
      </c>
    </row>
    <row r="74" spans="1:4" x14ac:dyDescent="0.25">
      <c r="A74" s="12">
        <v>2</v>
      </c>
      <c r="B74" s="11">
        <v>3</v>
      </c>
    </row>
    <row r="75" spans="1:4" x14ac:dyDescent="0.25">
      <c r="A75" s="12">
        <v>1</v>
      </c>
      <c r="B75" s="11">
        <v>3</v>
      </c>
      <c r="D75" s="10" t="s">
        <v>26</v>
      </c>
    </row>
    <row r="76" spans="1:4" x14ac:dyDescent="0.25">
      <c r="A76" s="12">
        <v>2</v>
      </c>
      <c r="B76" s="11">
        <v>3</v>
      </c>
    </row>
    <row r="77" spans="1:4" x14ac:dyDescent="0.25">
      <c r="A77" s="12">
        <v>2</v>
      </c>
      <c r="B77" s="11">
        <v>4</v>
      </c>
    </row>
    <row r="78" spans="1:4" x14ac:dyDescent="0.25">
      <c r="A78" s="12">
        <v>2</v>
      </c>
      <c r="B78" s="11">
        <v>1</v>
      </c>
    </row>
    <row r="79" spans="1:4" x14ac:dyDescent="0.25">
      <c r="A79" s="12">
        <v>1</v>
      </c>
      <c r="B79" s="11">
        <v>3</v>
      </c>
    </row>
    <row r="80" spans="1:4" x14ac:dyDescent="0.25">
      <c r="A80" s="12">
        <v>1</v>
      </c>
      <c r="B80" s="11">
        <v>4</v>
      </c>
    </row>
    <row r="81" spans="1:4" x14ac:dyDescent="0.25">
      <c r="A81" s="12">
        <v>2</v>
      </c>
      <c r="B81" s="11">
        <v>5</v>
      </c>
    </row>
    <row r="82" spans="1:4" x14ac:dyDescent="0.25">
      <c r="A82" s="12">
        <v>1</v>
      </c>
      <c r="B82" s="11">
        <v>5</v>
      </c>
      <c r="D82" t="s">
        <v>30</v>
      </c>
    </row>
    <row r="83" spans="1:4" x14ac:dyDescent="0.25">
      <c r="A83" s="12">
        <v>2</v>
      </c>
      <c r="B83" s="11">
        <v>2</v>
      </c>
      <c r="D83" t="s">
        <v>29</v>
      </c>
    </row>
    <row r="84" spans="1:4" x14ac:dyDescent="0.25">
      <c r="A84" s="12">
        <v>2</v>
      </c>
      <c r="B84" s="11">
        <v>4</v>
      </c>
      <c r="D84" t="s">
        <v>30</v>
      </c>
    </row>
    <row r="85" spans="1:4" x14ac:dyDescent="0.25">
      <c r="A85" s="12">
        <v>1</v>
      </c>
      <c r="B85" s="11">
        <v>2</v>
      </c>
      <c r="D85" t="s">
        <v>29</v>
      </c>
    </row>
    <row r="86" spans="1:4" x14ac:dyDescent="0.25">
      <c r="A86" s="12">
        <v>2</v>
      </c>
      <c r="B86" s="11">
        <v>3</v>
      </c>
    </row>
    <row r="87" spans="1:4" x14ac:dyDescent="0.25">
      <c r="A87" s="12">
        <v>2</v>
      </c>
      <c r="B87" s="11">
        <v>3</v>
      </c>
    </row>
    <row r="88" spans="1:4" x14ac:dyDescent="0.25">
      <c r="A88" s="12">
        <v>2</v>
      </c>
      <c r="B88" s="11"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SatisfacciónModuloReportes</vt:lpstr>
      <vt:lpstr>FacilidadUsoModReportes</vt:lpstr>
      <vt:lpstr>TiempoGenerarReportesPagosCurso</vt:lpstr>
      <vt:lpstr>TiempoGenerarReportesPagosEstud</vt:lpstr>
      <vt:lpstr>SatisfaccionModuloPagos</vt:lpstr>
      <vt:lpstr>TiempoAccesoInfoPago</vt:lpstr>
      <vt:lpstr>FacilidadUsoModuloPagos</vt:lpstr>
      <vt:lpstr>TiempoRegistroPago</vt:lpstr>
      <vt:lpstr>SatisfacciónModuloInscripciones</vt:lpstr>
      <vt:lpstr>TiempoAccesoInfoInscripciones</vt:lpstr>
      <vt:lpstr>FacilidadUsoModuloInscripciones</vt:lpstr>
      <vt:lpstr>TiempoRegistroInscripcion</vt:lpstr>
      <vt:lpstr>SatisfaccionUsuarios</vt:lpstr>
      <vt:lpstr>TiempoAccesoInfUsuario</vt:lpstr>
      <vt:lpstr>FacilidadUsoModuloUsuario</vt:lpstr>
      <vt:lpstr>TiempoRegistroUsuario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2025-11-14T16:44:49Z</dcterms:modified>
</cp:coreProperties>
</file>
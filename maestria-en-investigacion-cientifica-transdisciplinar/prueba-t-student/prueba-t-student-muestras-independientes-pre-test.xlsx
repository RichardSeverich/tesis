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14B3CE9D-97B3-4345-AE12-010A15C82830}" xr6:coauthVersionLast="47" xr6:coauthVersionMax="47" xr10:uidLastSave="{00000000-0000-0000-0000-000000000000}"/>
  <bookViews>
    <workbookView xWindow="-120" yWindow="-120" windowWidth="20730" windowHeight="11160" tabRatio="911" firstSheet="1" activeTab="4" xr2:uid="{00000000-000D-0000-FFFF-FFFF00000000}"/>
  </bookViews>
  <sheets>
    <sheet name="SatisfacciónModuloReportes" sheetId="16" r:id="rId1"/>
    <sheet name="FacilidadUsoModReportes" sheetId="15" r:id="rId2"/>
    <sheet name="TiempoGenerarReportesPagosCurso" sheetId="14" r:id="rId3"/>
    <sheet name="TiempoGenerarReportesPagosEstud" sheetId="13" r:id="rId4"/>
    <sheet name="SatisfaccionModuloPagos" sheetId="12" r:id="rId5"/>
    <sheet name="TiempoAccesoInfoPago" sheetId="11" r:id="rId6"/>
    <sheet name="FacilidadUsoModuloPagos" sheetId="10" r:id="rId7"/>
    <sheet name="TiempoRegistroPago" sheetId="9" r:id="rId8"/>
    <sheet name="SatisfacciónModuloInscripciones" sheetId="8" r:id="rId9"/>
    <sheet name="TiempoAccesoInfoInscripciones" sheetId="7" r:id="rId10"/>
    <sheet name="FacilidadUsoModuloInscripciones" sheetId="6" r:id="rId11"/>
    <sheet name="TiempoRegistroInscripcion" sheetId="5" r:id="rId12"/>
    <sheet name="SatisfaccionUsuarios" sheetId="4" r:id="rId13"/>
    <sheet name="TiempoAccesoInfUsuario" sheetId="3" r:id="rId14"/>
    <sheet name="FacilidadUsoModuloUsuario" sheetId="2" r:id="rId15"/>
    <sheet name="TiempoRegistroUsuario" sheetId="1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6" l="1"/>
  <c r="E55" i="16"/>
  <c r="E56" i="15"/>
  <c r="E55" i="15"/>
  <c r="E56" i="14"/>
  <c r="E55" i="14"/>
  <c r="E56" i="13"/>
  <c r="E55" i="13"/>
  <c r="E56" i="12"/>
  <c r="E55" i="12"/>
  <c r="E56" i="11"/>
  <c r="E55" i="11"/>
  <c r="E56" i="10"/>
  <c r="E55" i="10"/>
  <c r="E56" i="9"/>
  <c r="E55" i="9"/>
  <c r="E56" i="8"/>
  <c r="E55" i="8"/>
  <c r="E56" i="7"/>
  <c r="E55" i="7"/>
  <c r="E56" i="6"/>
  <c r="E55" i="6"/>
  <c r="E56" i="5"/>
  <c r="E55" i="5"/>
  <c r="E56" i="4"/>
  <c r="E55" i="4"/>
  <c r="E56" i="3"/>
  <c r="E55" i="3"/>
  <c r="E56" i="2"/>
  <c r="E55" i="2"/>
  <c r="E56" i="1"/>
  <c r="E55" i="1"/>
  <c r="E12" i="2"/>
  <c r="E11" i="2"/>
  <c r="E10" i="2"/>
  <c r="E9" i="2"/>
  <c r="E8" i="2"/>
  <c r="E6" i="2"/>
  <c r="E5" i="2"/>
  <c r="E42" i="2" s="1"/>
  <c r="E4" i="2"/>
  <c r="E3" i="2"/>
  <c r="E2" i="2"/>
  <c r="E2" i="14"/>
  <c r="E5" i="9"/>
  <c r="E2" i="9"/>
  <c r="E8" i="7"/>
  <c r="E6" i="6"/>
  <c r="E12" i="16"/>
  <c r="E11" i="16"/>
  <c r="E10" i="16"/>
  <c r="E9" i="16"/>
  <c r="E8" i="16"/>
  <c r="E6" i="16"/>
  <c r="E5" i="16"/>
  <c r="E4" i="16"/>
  <c r="E3" i="16"/>
  <c r="E2" i="16"/>
  <c r="E12" i="15"/>
  <c r="E11" i="15"/>
  <c r="E43" i="15" s="1"/>
  <c r="E10" i="15"/>
  <c r="E9" i="15"/>
  <c r="E8" i="15"/>
  <c r="E6" i="15"/>
  <c r="E5" i="15"/>
  <c r="E4" i="15"/>
  <c r="E3" i="15"/>
  <c r="E2" i="15"/>
  <c r="E12" i="14"/>
  <c r="E11" i="14"/>
  <c r="E10" i="14"/>
  <c r="E9" i="14"/>
  <c r="E8" i="14"/>
  <c r="E6" i="14"/>
  <c r="E5" i="14"/>
  <c r="E4" i="14"/>
  <c r="E3" i="14"/>
  <c r="E12" i="13"/>
  <c r="E11" i="13"/>
  <c r="E43" i="13" s="1"/>
  <c r="E10" i="13"/>
  <c r="E9" i="13"/>
  <c r="E8" i="13"/>
  <c r="E6" i="13"/>
  <c r="E5" i="13"/>
  <c r="E4" i="13"/>
  <c r="E3" i="13"/>
  <c r="E2" i="13"/>
  <c r="E12" i="12"/>
  <c r="E11" i="12"/>
  <c r="E10" i="12"/>
  <c r="E9" i="12"/>
  <c r="E8" i="12"/>
  <c r="E6" i="12"/>
  <c r="E5" i="12"/>
  <c r="E4" i="12"/>
  <c r="E3" i="12"/>
  <c r="E2" i="12"/>
  <c r="E12" i="11"/>
  <c r="E11" i="11"/>
  <c r="E10" i="11"/>
  <c r="E9" i="11"/>
  <c r="E8" i="11"/>
  <c r="E6" i="11"/>
  <c r="E5" i="11"/>
  <c r="E4" i="11"/>
  <c r="E3" i="11"/>
  <c r="E2" i="11"/>
  <c r="E12" i="10"/>
  <c r="E11" i="10"/>
  <c r="E10" i="10"/>
  <c r="E9" i="10"/>
  <c r="E8" i="10"/>
  <c r="E6" i="10"/>
  <c r="E5" i="10"/>
  <c r="E4" i="10"/>
  <c r="E3" i="10"/>
  <c r="E2" i="10"/>
  <c r="E12" i="9"/>
  <c r="E11" i="9"/>
  <c r="E10" i="9"/>
  <c r="E9" i="9"/>
  <c r="E8" i="9"/>
  <c r="E6" i="9"/>
  <c r="E4" i="9"/>
  <c r="E3" i="9"/>
  <c r="E12" i="8"/>
  <c r="E11" i="8"/>
  <c r="E10" i="8"/>
  <c r="E9" i="8"/>
  <c r="E8" i="8"/>
  <c r="E6" i="8"/>
  <c r="E5" i="8"/>
  <c r="E4" i="8"/>
  <c r="E3" i="8"/>
  <c r="E2" i="8"/>
  <c r="E12" i="7"/>
  <c r="E11" i="7"/>
  <c r="E10" i="7"/>
  <c r="E9" i="7"/>
  <c r="E6" i="7"/>
  <c r="E5" i="7"/>
  <c r="E4" i="7"/>
  <c r="E3" i="7"/>
  <c r="E2" i="7"/>
  <c r="E12" i="6"/>
  <c r="E11" i="6"/>
  <c r="E10" i="6"/>
  <c r="E9" i="6"/>
  <c r="E8" i="6"/>
  <c r="E5" i="6"/>
  <c r="E4" i="6"/>
  <c r="E3" i="6"/>
  <c r="E2" i="6"/>
  <c r="E12" i="5"/>
  <c r="E11" i="5"/>
  <c r="E10" i="5"/>
  <c r="E9" i="5"/>
  <c r="E8" i="5"/>
  <c r="E6" i="5"/>
  <c r="E5" i="5"/>
  <c r="E4" i="5"/>
  <c r="E3" i="5"/>
  <c r="E2" i="5"/>
  <c r="E12" i="4"/>
  <c r="E11" i="4"/>
  <c r="E10" i="4"/>
  <c r="E9" i="4"/>
  <c r="E8" i="4"/>
  <c r="E6" i="4"/>
  <c r="E5" i="4"/>
  <c r="E4" i="4"/>
  <c r="E3" i="4"/>
  <c r="E2" i="4"/>
  <c r="E12" i="3"/>
  <c r="E11" i="3"/>
  <c r="E10" i="3"/>
  <c r="E9" i="3"/>
  <c r="E8" i="3"/>
  <c r="E6" i="3"/>
  <c r="E5" i="3"/>
  <c r="E4" i="3"/>
  <c r="E3" i="3"/>
  <c r="E2" i="3"/>
  <c r="E29" i="2" l="1"/>
  <c r="E29" i="6"/>
  <c r="E29" i="16"/>
  <c r="E43" i="16"/>
  <c r="E41" i="16"/>
  <c r="E42" i="16"/>
  <c r="E29" i="15"/>
  <c r="E42" i="15"/>
  <c r="E41" i="15"/>
  <c r="E45" i="15" s="1"/>
  <c r="E43" i="14"/>
  <c r="E29" i="14"/>
  <c r="E41" i="14"/>
  <c r="E42" i="14"/>
  <c r="E29" i="13"/>
  <c r="E41" i="13"/>
  <c r="E42" i="13"/>
  <c r="E43" i="12"/>
  <c r="E29" i="12"/>
  <c r="E41" i="12"/>
  <c r="E42" i="12"/>
  <c r="E43" i="11"/>
  <c r="E29" i="11"/>
  <c r="E41" i="11"/>
  <c r="E42" i="11"/>
  <c r="E29" i="10"/>
  <c r="E43" i="10"/>
  <c r="E41" i="10"/>
  <c r="E42" i="10"/>
  <c r="E43" i="9"/>
  <c r="E41" i="9"/>
  <c r="E29" i="9"/>
  <c r="E42" i="9"/>
  <c r="E43" i="8"/>
  <c r="E29" i="8"/>
  <c r="E41" i="8"/>
  <c r="E42" i="8"/>
  <c r="E43" i="7"/>
  <c r="E41" i="7"/>
  <c r="E29" i="7"/>
  <c r="E42" i="7"/>
  <c r="E43" i="6"/>
  <c r="E41" i="6"/>
  <c r="E42" i="6"/>
  <c r="E43" i="5"/>
  <c r="E29" i="5"/>
  <c r="E42" i="5"/>
  <c r="E41" i="5"/>
  <c r="E41" i="4"/>
  <c r="E43" i="4"/>
  <c r="E29" i="4"/>
  <c r="E42" i="4"/>
  <c r="E43" i="3"/>
  <c r="E29" i="3"/>
  <c r="E41" i="3"/>
  <c r="E42" i="3"/>
  <c r="E43" i="2"/>
  <c r="E41" i="2"/>
  <c r="E45" i="7" l="1"/>
  <c r="E45" i="3"/>
  <c r="E52" i="3" s="1"/>
  <c r="E45" i="10"/>
  <c r="E53" i="10" s="1"/>
  <c r="E45" i="16"/>
  <c r="E53" i="15"/>
  <c r="E52" i="15"/>
  <c r="E45" i="14"/>
  <c r="E53" i="14" s="1"/>
  <c r="E45" i="13"/>
  <c r="E53" i="13" s="1"/>
  <c r="E45" i="12"/>
  <c r="E45" i="11"/>
  <c r="E52" i="10"/>
  <c r="E45" i="9"/>
  <c r="E53" i="9" s="1"/>
  <c r="E45" i="8"/>
  <c r="E45" i="6"/>
  <c r="E45" i="5"/>
  <c r="E53" i="5" s="1"/>
  <c r="E45" i="4"/>
  <c r="E53" i="4" s="1"/>
  <c r="E53" i="3"/>
  <c r="E45" i="2"/>
  <c r="E52" i="2" s="1"/>
  <c r="E53" i="7" l="1"/>
  <c r="E52" i="7"/>
  <c r="E52" i="13"/>
  <c r="E52" i="9"/>
  <c r="E52" i="5"/>
  <c r="E53" i="16"/>
  <c r="E52" i="16"/>
  <c r="E52" i="14"/>
  <c r="E53" i="12"/>
  <c r="E52" i="12"/>
  <c r="E53" i="11"/>
  <c r="E52" i="11"/>
  <c r="E53" i="8"/>
  <c r="E52" i="8"/>
  <c r="E53" i="6"/>
  <c r="E52" i="6"/>
  <c r="E52" i="4"/>
  <c r="E53" i="2"/>
  <c r="E12" i="1" l="1"/>
  <c r="E11" i="1"/>
  <c r="E10" i="1"/>
  <c r="E9" i="1"/>
  <c r="E8" i="1"/>
  <c r="E6" i="1"/>
  <c r="E5" i="1"/>
  <c r="E4" i="1"/>
  <c r="E3" i="1"/>
  <c r="E2" i="1"/>
  <c r="E29" i="1" l="1"/>
  <c r="E42" i="1"/>
  <c r="E41" i="1"/>
  <c r="E43" i="1"/>
  <c r="E45" i="1" l="1"/>
  <c r="E53" i="1" l="1"/>
  <c r="E52" i="1"/>
</calcChain>
</file>

<file path=xl/sharedStrings.xml><?xml version="1.0" encoding="utf-8"?>
<sst xmlns="http://schemas.openxmlformats.org/spreadsheetml/2006/main" count="640" uniqueCount="64">
  <si>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Sin sistema</t>
    </r>
  </si>
  <si>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</si>
  <si>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</si>
  <si>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Sin sistema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</si>
  <si>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</si>
  <si>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</si>
  <si>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</si>
  <si>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</si>
  <si>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</si>
  <si>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</si>
  <si>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</si>
  <si>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</si>
  <si>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</si>
  <si>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</si>
  <si>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</si>
  <si>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</si>
  <si>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</si>
  <si>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</si>
  <si>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</si>
  <si>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</si>
  <si>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</si>
  <si>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</si>
  <si>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</si>
  <si>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</si>
  <si>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</si>
  <si>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</si>
  <si>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</si>
  <si>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Concluciones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</si>
  <si>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</si>
  <si>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t>La diferencia observada es lo suficientemente grande como para que no sea atribuible al azar.</t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</si>
  <si>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</si>
  <si>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 xml:space="preserve">Como p valor es menor que  el nivel de significancia  </t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</si>
  <si>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</si>
  <si>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de usuario (Minutos)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a) Menos de 2 -&gt; 5
b) 2 - 4 -&gt; 4
c) 5 -7 -&gt; 3
d) 8 -10 -&gt; 2 
e) Más de 10 -&gt;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</si>
  <si>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</si>
  <si>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usuarios
a) Muy fácil = 5
b) Fácil = 4
c) Moderado = 3
d) Difícil = 2
e) Muy difícil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</si>
  <si>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</si>
  <si>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información de usuario
a) 1 o menos = 5
b) 2 - 3 = 4
c) 4 - 5 =3
d) 6 - 7 = 2
e) 8 o mas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</si>
  <si>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</si>
  <si>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 usuarios
a) Muy bueno = 5
b) Bueno = 4
c) Moderado = 3
d) Malo = 2
e) Muy malo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</si>
  <si>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</si>
  <si>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registro inscripcion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</si>
  <si>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</si>
  <si>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modulo inscripciones
a)	Muy fácil
b)	Fácil
c)	Moderado
d)	Difícil
e)	Muy difícil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</si>
  <si>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</si>
  <si>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 inscripciones
a)	1 o menos = 5
b)	2 - 3 = 4
c)	4 - 5  = 3
d)	6 - 7 = 2
e)	8 o mas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</si>
  <si>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</si>
  <si>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modulo inscripciones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</si>
  <si>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</si>
  <si>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registro de pago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</si>
  <si>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</si>
  <si>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 de pagos
a)	Muy fácil = 5
b)	Fácil = 4
c)	Moderado = 3
d)	Difícil = 2
e)	e) Muy difícil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</si>
  <si>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</si>
  <si>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de acceso a la informacion del pago/historial
a)	1 o menos =5
b)	2 – 3 = 4
c)	4 - 5 = 3
d)	6 – 7 = 2
e)	8 o mas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</si>
  <si>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</si>
  <si>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Satisfaccion del modulo de pagos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</si>
  <si>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</si>
  <si>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estudiante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</si>
  <si>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</si>
  <si>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Tiempo en generar reportes de pagos por curso
a)	Menos de 2 = 5
b)	2 – 4 = 4
c)	5 – 7 = 3
d)	8 – 10 = 2
e)	Más de 10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</si>
  <si>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</si>
  <si>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Facilidad de uso del modulo de reportes
a)	Muy fácil = 5
b)	Fácil = 4
c)	Moderado = 3
d)	Difícil = 2
e)	Muy difícil = 1</t>
    </r>
  </si>
  <si>
    <r>
      <rPr>
        <sz val="11"/>
        <color rgb="FFC00000"/>
        <rFont val="Calibri"/>
        <family val="2"/>
        <scheme val="minor"/>
      </rPr>
      <t>Grupo Experimental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del modulo de reportes
a)	Muy bueno = 5
b)	Bueno = 4
c)	Moderado = 3
d)	Malo = 2
e)	Muy malo = 1</t>
    </r>
  </si>
  <si>
    <r>
      <rPr>
        <sz val="11"/>
        <color rgb="FFC00000"/>
        <rFont val="Calibri"/>
        <family val="2"/>
        <scheme val="minor"/>
      </rPr>
      <t>Grupo Control
(Sin Sistema) Pre-test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Satisfacción del modulo de reportes
a)	Muy bueno = 5
b)	Bueno = 4
c)	Moderado = 3
d)	Malo = 2
e)	Muy malo =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</si>
</sst>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7" fillId="6" borderId="0" applyNumberFormat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5" fillId="0" borderId="0"/>
  </cellStyleXfs>
  <cellXfs count="12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0" fillId="0" borderId="4" xfId="0" applyBorder="1" applyAlignment="1">
      <alignment horizontal="center" vertical="top" wrapText="1"/>
    </xf>
    <xf numFmtId="0" fontId="1" fillId="7" borderId="4" xfId="1" applyFill="1" applyBorder="1" applyAlignment="1">
      <alignment horizontal="center" vertical="center" wrapText="1"/>
    </xf>
    <xf numFmtId="0" fontId="7" fillId="6" borderId="0" xfId="5"/>
    <xf numFmtId="0" fontId="0" fillId="0" borderId="0" xfId="0" applyAlignment="1">
      <alignment horizontal="center"/>
    </xf>
    <xf numFmtId="0" fontId="15" fillId="0" borderId="0" xfId="11" applyAlignment="1">
      <alignment horizontal="center"/>
    </xf>
  </cellXfs>
  <cellStyles count="12">
    <cellStyle name="Bueno" xfId="1" builtinId="26"/>
    <cellStyle name="Entrada" xfId="3" builtinId="20"/>
    <cellStyle name="Incorrecto" xfId="2" builtinId="27"/>
    <cellStyle name="Neutral" xfId="5" builtinId="28"/>
    <cellStyle name="Normal" xfId="0" builtinId="0"/>
    <cellStyle name="Normal 2" xfId="8" xr:uid="{00000000-0005-0000-0000-000005000000}"/>
    <cellStyle name="Normal 2 2" xfId="10" xr:uid="{00000000-0005-0000-0000-000006000000}"/>
    <cellStyle name="Normal 3" xfId="6" xr:uid="{00000000-0005-0000-0000-000007000000}"/>
    <cellStyle name="Normal 3 2" xfId="9" xr:uid="{00000000-0005-0000-0000-000008000000}"/>
    <cellStyle name="Normal 4" xfId="7" xr:uid="{00000000-0005-0000-0000-000009000000}"/>
    <cellStyle name="Normal 5" xfId="11" xr:uid="{00000000-0005-0000-0000-00000A000000}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D1E2EE-03D4-49B1-B0B2-E022BF0C1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7861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932F7E-EB01-49E2-B41E-5BDAF783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4932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C436906-B5E1-47ED-AEA2-2A47154A6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1762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AAA2D4E-180C-4ABE-B5CC-C41A6582D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5770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0632E4-1636-4213-94BA-7443A9660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1697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262CF60-AAD0-4166-AF6A-4A721E3D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009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590FEF9-3872-4866-A63A-91BEF0C7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866577"/>
          <a:ext cx="2868490" cy="809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743E09-2FC2-46B2-B29A-C312E5ACA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7861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D23A04-7CB8-4365-92E4-5F32830A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4932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66B637-B6FD-42FA-B303-2B8A4257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1762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0B24A6-9A3A-49AD-AE5E-1049C300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5770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82222-11DA-4525-82CD-ABDF0CD62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1697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35D8CCD-0748-4A3F-BDCD-9A6588AF2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009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EDF5C4B-FA8F-4632-9514-2F09F542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866577"/>
          <a:ext cx="2868490" cy="809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4D9EB2-0625-4E04-83CA-378221C5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7861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2F83DB-BEB0-473F-BB4D-A69DA52A0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4932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93DF73-3B95-4947-BFDA-A9BFA9C1B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1762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B8020C-3FFF-4FE7-8357-243661C7C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5770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85FD0D9-AAF0-4179-BB82-15F57AED0D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1697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A3130E-67E8-4358-B36B-1A636CAF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009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E3A566E-4989-42E3-95BF-262BABA0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866577"/>
          <a:ext cx="2868490" cy="8092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5B3020-C188-4152-B7DE-048619E7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7861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BB178-B4AA-43A8-BB8B-53C74D92E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4932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693D1D-4BB5-4D15-90C6-282FDD6F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1762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47843B-6C1F-4689-BAF3-D9F9B57B8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5770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93D37E-5D31-4DE7-A1F3-597D1BEB5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1697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0304EF2-5B3A-46E2-B36E-94EB5B4A7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009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01DF92E-AD8F-40C3-A7C6-FC875CE07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866577"/>
          <a:ext cx="2868490" cy="809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722BAE-A62E-4263-B6F9-DC267B003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78613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E1D06-C215-4BA0-95D9-786AF20D2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49327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B6A3F0-0BE8-461C-A810-B08B20C7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17623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35320C-6142-4F2C-BC52-8243CFAD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57702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B1C8E0C-80A7-4344-964B-997418C53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16976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34212D-3C48-468D-AA59-BEC243E8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0097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1D0630-C44E-4A57-9806-58750BA5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866577"/>
          <a:ext cx="2868490" cy="809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3C895B-D13C-4854-9F78-032FD324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4C330E-A571-43C8-AC43-4F46DCE83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BDC88CC-6C22-4D2B-9305-E6950E0DC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E99DF62-7094-4917-AD5E-65FBE67D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C4DDAE-7317-477D-88FE-3A3CDE5AA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DF35F6-ACCF-4457-A7EA-D9C56A7DD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EEBB9A8-55F6-4CAC-96A5-EDA2D582A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7527C7-9BE6-4871-88DD-A90E0DEF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709539-59A4-401E-B6AD-8C8E1ACCE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A20BC2-8D8B-4238-BAC8-93DCD1C48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3DE05F-26B1-4CB0-A68C-EB79E16EE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CE2950-C520-45A7-B6E3-973B6C43A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EF2941-F23B-4ADF-A4C2-D71BEDF19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E63D216-D29D-4F97-9CEF-3C53190F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771133-00F4-45F7-BEF6-A99026CD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2AC38-8BD8-492D-8E5B-591DAB901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C525AD-4823-4ED3-9AF9-2267FB0A8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7F5B6B-23CE-4C04-9C46-0B9BF6EE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9276F65-9AE6-4D97-9C55-2C21CE632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4D141E-D218-46D5-8839-92672622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6C99ACE-23E3-4255-BD41-33146F0D3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FFA468-ACD3-4A02-9BEC-C2FBD1F8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3EDA2-EE9D-415D-A733-4305E1FA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17760B9-5501-40AC-9D08-99617171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222CDE-FA5C-4E5B-911F-BE52E3D4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35597C0-2E72-4A9A-A094-A64959329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6C589B-20A6-48F7-8F7F-A367FAFFA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F5FFDC-0269-4C3B-B7F3-67F0043F1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134B4E-8093-47A4-9D67-30D9A19DD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231B68-8766-41DC-92DF-0196DB1A2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3DF204-DA9B-4A14-8F64-949D7C17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F10047-28C1-418B-927D-E5EFD6CC6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D80A54F-0784-495B-AEAC-0E5B395608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D9FE3F-39C9-43D2-8CC0-1BB43586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1AC893D-3918-427D-B83A-5C0D80CDC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DA11A5-A408-4A92-AD94-1E3F64AB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3FF43D-7F6F-4A09-8C4B-0B9F9E72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651F84-0CA4-46E3-B847-AB2DB57CF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CBB5D5-14AC-4A0F-A0DA-961E3DA6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649992-5840-41B7-BD7C-DF4904280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5C9E73-09F6-4AAA-B2B9-026F3151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0CFABC-A5DE-4E4A-8B96-D77859CB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BD99BD-3E2E-4717-AA4C-0EBDD3A32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FA1CB5-151F-44CE-8C0D-90C909E2D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3D37CFC-42BF-4A98-A5C3-9D7B0964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822989-E6F0-4BCE-BBD9-F4B7FA38B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D48874-D29B-4BFA-A982-B2AA7BFAF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07743D-67FD-4730-A169-04B6B628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C261E90-EBF9-4F67-9058-07B4AF260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4B163B-A475-4CEB-B17D-713FEDEAC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CE657-25E1-4BB3-8C2C-56B7AB07D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361B4D-536B-4B72-B529-962F94C3C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AC5BA9-E08A-4E0C-B0FB-C8BF04E6E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8447D1-B344-4499-8609-F52304E81E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E16ADBB-AE9D-4CF1-B46F-E96752A73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AE1A413-289C-466B-A324-9D7D95BF2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41D03D-63AE-4AC9-B3A2-C52EFE5E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8611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1C6CF1-A721-46A0-A767-B90DEBDAE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932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49B1B7-DDF1-44CA-BBEB-CB293FE5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762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327469-49D8-4B05-9986-0882C7A4C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769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ABA5B2-FDF7-42AD-98BC-2287EAF91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697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41F115-9B75-45BF-B0AA-F545AEF04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30095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061BB27-5D30-4E15-8830-3D15A939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66552"/>
          <a:ext cx="2868490" cy="8092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7C4986-7BBE-4D0C-9FCE-E8203016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538486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A1CE6-245E-45B8-9E5F-C5B742181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2456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6C4619-8832-47E8-A281-2A49E0103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89285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007E1D-638F-498F-BB13-5B1AD3DA3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3293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C2BE3F-6EDB-4F42-B667-8E5A8CE0E1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99221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5E4EF3-46CA-4F24-91D8-77F25EE96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253328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588733-CE0D-478D-8C38-C6D4A3DBE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618927"/>
          <a:ext cx="2868490" cy="8092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785131</xdr:colOff>
      <xdr:row>70</xdr:row>
      <xdr:rowOff>41230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1707" y="137579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533400</xdr:colOff>
      <xdr:row>79</xdr:row>
      <xdr:rowOff>168849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zoomScale="115" zoomScaleNormal="115" workbookViewId="0">
      <selection activeCell="E55" sqref="E55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63</v>
      </c>
      <c r="B1" s="8" t="s">
        <v>62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2.0114942528735633</v>
      </c>
    </row>
    <row r="3" spans="1:5" x14ac:dyDescent="0.25">
      <c r="A3" s="10">
        <v>2</v>
      </c>
      <c r="B3" s="11">
        <v>3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1.0619667238859254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3</v>
      </c>
    </row>
    <row r="8" spans="1:5" x14ac:dyDescent="0.25">
      <c r="A8" s="10">
        <v>2</v>
      </c>
      <c r="B8" s="11">
        <v>3</v>
      </c>
      <c r="D8" s="3" t="s">
        <v>3</v>
      </c>
      <c r="E8">
        <f>AVERAGE(B:B)</f>
        <v>1.7701149425287357</v>
      </c>
    </row>
    <row r="9" spans="1:5" x14ac:dyDescent="0.25">
      <c r="A9" s="10">
        <v>3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0.78800822545121674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3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3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4</v>
      </c>
      <c r="D17" s="2" t="s">
        <v>8</v>
      </c>
      <c r="E17" s="2"/>
    </row>
    <row r="18" spans="1:5" x14ac:dyDescent="0.25">
      <c r="A18" s="10">
        <v>1</v>
      </c>
      <c r="B18" s="11">
        <v>3</v>
      </c>
    </row>
    <row r="19" spans="1:5" x14ac:dyDescent="0.25">
      <c r="A19" s="10">
        <v>4</v>
      </c>
      <c r="B19" s="11">
        <v>3</v>
      </c>
    </row>
    <row r="20" spans="1:5" x14ac:dyDescent="0.25">
      <c r="A20" s="10">
        <v>5</v>
      </c>
      <c r="B20" s="11">
        <v>3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4</v>
      </c>
      <c r="B27" s="11">
        <v>1</v>
      </c>
    </row>
    <row r="28" spans="1:5" x14ac:dyDescent="0.25">
      <c r="A28" s="10">
        <v>3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1.702543639855661</v>
      </c>
    </row>
    <row r="30" spans="1:5" x14ac:dyDescent="0.25">
      <c r="A30" s="10">
        <v>4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3</v>
      </c>
      <c r="B34" s="11">
        <v>2</v>
      </c>
    </row>
    <row r="35" spans="1:6" x14ac:dyDescent="0.25">
      <c r="A35" s="10">
        <v>3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4.0402399435101412E-4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1.9539195483117079E-6</v>
      </c>
    </row>
    <row r="43" spans="1:6" ht="43.5" customHeight="1" x14ac:dyDescent="0.25">
      <c r="A43" s="10">
        <v>1</v>
      </c>
      <c r="B43" s="11">
        <v>3</v>
      </c>
      <c r="D43" t="s">
        <v>12</v>
      </c>
      <c r="E43">
        <f>(((E11^2)/E12)^2)/(E12-1)</f>
        <v>5.9236043956620817E-7</v>
      </c>
    </row>
    <row r="44" spans="1:6" x14ac:dyDescent="0.25">
      <c r="A44" s="10">
        <v>1</v>
      </c>
      <c r="B44" s="11">
        <v>3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158.67225767568866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3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3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1.9750920727120791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-1.654554875439588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9.0459989775224639E-2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4.522999488761232E-2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4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3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3</v>
      </c>
    </row>
    <row r="68" spans="1:4" x14ac:dyDescent="0.25">
      <c r="A68" s="10">
        <v>1</v>
      </c>
      <c r="B68" s="11">
        <v>4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5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3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4</v>
      </c>
    </row>
    <row r="82" spans="1:4" x14ac:dyDescent="0.25">
      <c r="A82" s="10">
        <v>4</v>
      </c>
      <c r="B82" s="11">
        <v>3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zoomScale="70" zoomScaleNormal="70" workbookViewId="0">
      <selection activeCell="E52" sqref="E52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60</v>
      </c>
      <c r="B1" s="8" t="s">
        <v>61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1.9425287356321839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1.10344409916344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1.6781609195402298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0.73917384545436648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4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3</v>
      </c>
      <c r="B29" s="11">
        <v>1</v>
      </c>
      <c r="D29" t="s">
        <v>13</v>
      </c>
      <c r="E29">
        <f>(E2-E8)/SQRT(((E5^2)/E6)+((E11^2)/E12))</f>
        <v>1.8566198937622163</v>
      </c>
    </row>
    <row r="30" spans="1:5" x14ac:dyDescent="0.25">
      <c r="A30" s="10">
        <v>5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3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4</v>
      </c>
      <c r="B36" s="11">
        <v>4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3</v>
      </c>
      <c r="D41" t="s">
        <v>10</v>
      </c>
      <c r="E41">
        <f>(((E5^2)/E6)+((E11^2)/E12))^2</f>
        <v>4.1109513294266338E-4</v>
      </c>
    </row>
    <row r="42" spans="1:6" ht="47.25" customHeight="1" x14ac:dyDescent="0.25">
      <c r="A42" s="10">
        <v>4</v>
      </c>
      <c r="B42" s="11">
        <v>2</v>
      </c>
      <c r="D42" t="s">
        <v>11</v>
      </c>
      <c r="E42">
        <f>(((E5^2)/E6)^2)/(E6-1)</f>
        <v>2.2775314865217976E-6</v>
      </c>
    </row>
    <row r="43" spans="1:6" ht="43.5" customHeight="1" x14ac:dyDescent="0.25">
      <c r="A43" s="10">
        <v>1</v>
      </c>
      <c r="B43" s="11">
        <v>3</v>
      </c>
      <c r="D43" t="s">
        <v>12</v>
      </c>
      <c r="E43">
        <f>(((E11^2)/E12)^2)/(E12-1)</f>
        <v>4.5861621955212245E-7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150.24595785895676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3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4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1.9759053308966197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-1.6550755001871769</v>
      </c>
    </row>
    <row r="54" spans="1:5" x14ac:dyDescent="0.25">
      <c r="A54" s="10">
        <v>2</v>
      </c>
      <c r="B54" s="11">
        <v>3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6.5075565320898615E-2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3.2537782660449308E-2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3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3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4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3</v>
      </c>
      <c r="D72" t="s">
        <v>30</v>
      </c>
    </row>
    <row r="73" spans="1:4" x14ac:dyDescent="0.25">
      <c r="A73" s="10">
        <v>5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3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zoomScale="85" zoomScaleNormal="85" workbookViewId="0">
      <selection activeCell="E52" sqref="E52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58</v>
      </c>
      <c r="B1" s="8" t="s">
        <v>59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1.8275862068965518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3</v>
      </c>
      <c r="D5" s="1" t="s">
        <v>17</v>
      </c>
      <c r="E5">
        <f>STDEV(A:A)</f>
        <v>0.75030066146727847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3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1.6781609195402298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3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0.63784252765307625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4</v>
      </c>
      <c r="B20" s="11">
        <v>2</v>
      </c>
    </row>
    <row r="21" spans="1:5" x14ac:dyDescent="0.25">
      <c r="A21" s="10">
        <v>3</v>
      </c>
      <c r="B21" s="11">
        <v>3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1.4152851209346988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3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4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3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1.2425693451793116E-4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4.8686029827682289E-7</v>
      </c>
    </row>
    <row r="43" spans="1:6" ht="43.5" customHeight="1" x14ac:dyDescent="0.25">
      <c r="A43" s="10">
        <v>3</v>
      </c>
      <c r="B43" s="11">
        <v>1</v>
      </c>
      <c r="D43" t="s">
        <v>12</v>
      </c>
      <c r="E43">
        <f>(((E11^2)/E12)^2)/(E12-1)</f>
        <v>2.5428276898760014E-7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167.65580089221709</v>
      </c>
      <c r="F45" s="6" t="s">
        <v>14</v>
      </c>
    </row>
    <row r="46" spans="1:6" x14ac:dyDescent="0.25">
      <c r="A46" s="10">
        <v>3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3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1.9742709570280526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-1.6540291281334114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0.15879294525271481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7.9396472626357406E-2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3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3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3</v>
      </c>
    </row>
    <row r="70" spans="1:4" x14ac:dyDescent="0.25">
      <c r="A70" s="10">
        <v>3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3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3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3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3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zoomScale="115" zoomScaleNormal="115" workbookViewId="0">
      <selection activeCell="E53" sqref="E53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56</v>
      </c>
      <c r="B1" s="8" t="s">
        <v>57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1.8045977011494252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3</v>
      </c>
      <c r="D5" s="1" t="s">
        <v>17</v>
      </c>
      <c r="E5">
        <f>STDEV(A:A)</f>
        <v>0.7900409241647669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1.6551724137931034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3</v>
      </c>
      <c r="D11" s="3" t="s">
        <v>16</v>
      </c>
      <c r="E11">
        <f>STDEV(B:B)</f>
        <v>0.62557111035746638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3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3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3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3</v>
      </c>
      <c r="B26" s="11">
        <v>2</v>
      </c>
    </row>
    <row r="27" spans="1:5" x14ac:dyDescent="0.25">
      <c r="A27" s="10">
        <v>2</v>
      </c>
      <c r="B27" s="11">
        <v>3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3</v>
      </c>
      <c r="B29" s="11">
        <v>3</v>
      </c>
      <c r="D29" t="s">
        <v>13</v>
      </c>
      <c r="E29">
        <f>(E2-E8)/SQRT(((E5^2)/E6)+((E11^2)/E12))</f>
        <v>1.3830660896611635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1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3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3</v>
      </c>
      <c r="D41" t="s">
        <v>10</v>
      </c>
      <c r="E41">
        <f>(((E5^2)/E6)+((E11^2)/E12))^2</f>
        <v>1.3624628380341482E-4</v>
      </c>
    </row>
    <row r="42" spans="1:6" ht="47.25" customHeight="1" x14ac:dyDescent="0.25">
      <c r="A42" s="10">
        <v>3</v>
      </c>
      <c r="B42" s="11">
        <v>2</v>
      </c>
      <c r="D42" t="s">
        <v>11</v>
      </c>
      <c r="E42">
        <f>(((E5^2)/E6)^2)/(E6-1)</f>
        <v>5.9849619947447064E-7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2.352717487537355E-7</v>
      </c>
    </row>
    <row r="44" spans="1:6" x14ac:dyDescent="0.25">
      <c r="A44" s="10">
        <v>1</v>
      </c>
      <c r="B44" s="11">
        <v>1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163.41031589538099</v>
      </c>
      <c r="F45" s="6" t="s">
        <v>14</v>
      </c>
    </row>
    <row r="46" spans="1:6" x14ac:dyDescent="0.25">
      <c r="A46" s="10">
        <v>3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2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1.974624620966356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-1.6542555849136273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0.16843734908120678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8.4218674540603389E-2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1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3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1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4</v>
      </c>
      <c r="B73" s="11">
        <v>3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3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3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8"/>
  <sheetViews>
    <sheetView tabSelected="1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54</v>
      </c>
      <c r="B1" s="8" t="s">
        <v>55</v>
      </c>
    </row>
    <row r="2" spans="1:5" x14ac:dyDescent="0.25">
      <c r="A2" s="10">
        <v>2</v>
      </c>
      <c r="B2" s="11">
        <v>1</v>
      </c>
      <c r="D2" s="1" t="s">
        <v>0</v>
      </c>
      <c r="E2">
        <f>AVERAGE(A:A)</f>
        <v>1.8275862068965518</v>
      </c>
    </row>
    <row r="3" spans="1:5" x14ac:dyDescent="0.25">
      <c r="A3" s="10">
        <v>1</v>
      </c>
      <c r="B3" s="11">
        <v>2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0.91761694079833556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4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1.6551724137931034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0.75985901701682823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4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4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4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1.3498273587037295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4</v>
      </c>
      <c r="B38" s="11">
        <v>2</v>
      </c>
    </row>
    <row r="39" spans="1:6" x14ac:dyDescent="0.25">
      <c r="A39" s="10">
        <v>1</v>
      </c>
      <c r="B39" s="11">
        <v>4</v>
      </c>
    </row>
    <row r="40" spans="1:6" x14ac:dyDescent="0.25">
      <c r="A40" s="10">
        <v>1</v>
      </c>
      <c r="B40" s="11">
        <v>4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2.6617981600909397E-4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1.0892027638781289E-6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5.1214758530106364E-7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166.22209883398114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4</v>
      </c>
      <c r="B48" s="11">
        <v>4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1.9743577636580343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-1.654084713428595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4</v>
      </c>
      <c r="D55" t="s">
        <v>20</v>
      </c>
      <c r="E55">
        <f>TTEST(A:A,B:B,2,2)</f>
        <v>0.17884514682207023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8.9422573411035114E-2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4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4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2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3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topLeftCell="A41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33.5" customHeight="1" x14ac:dyDescent="0.25">
      <c r="A1" s="7" t="s">
        <v>52</v>
      </c>
      <c r="B1" s="8" t="s">
        <v>53</v>
      </c>
    </row>
    <row r="2" spans="1:5" x14ac:dyDescent="0.25">
      <c r="A2" s="10">
        <v>2</v>
      </c>
      <c r="B2" s="11">
        <v>1</v>
      </c>
      <c r="D2" s="1" t="s">
        <v>0</v>
      </c>
      <c r="E2">
        <f>AVERAGE(A:A)</f>
        <v>1.8045977011494252</v>
      </c>
    </row>
    <row r="3" spans="1:5" x14ac:dyDescent="0.25">
      <c r="A3" s="10">
        <v>1</v>
      </c>
      <c r="B3" s="11">
        <v>2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3</v>
      </c>
      <c r="D5" s="1" t="s">
        <v>17</v>
      </c>
      <c r="E5">
        <f>STDEV(A:A)</f>
        <v>0.88710504424760073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1.5977011494252873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2</v>
      </c>
      <c r="D11" s="3" t="s">
        <v>16</v>
      </c>
      <c r="E11">
        <f>STDEV(B:B)</f>
        <v>0.57989113081966914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2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3</v>
      </c>
      <c r="D29" t="s">
        <v>13</v>
      </c>
      <c r="E29">
        <f>(E2-E8)/SQRT(((E5^2)/E6)+((E11^2)/E12))</f>
        <v>1.8208690280013817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3</v>
      </c>
      <c r="B36" s="11">
        <v>3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1.6668563524844339E-4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9.5140020016201919E-7</v>
      </c>
    </row>
    <row r="43" spans="1:6" ht="43.5" customHeight="1" x14ac:dyDescent="0.25">
      <c r="A43" s="10">
        <v>1</v>
      </c>
      <c r="B43" s="11">
        <v>3</v>
      </c>
      <c r="D43" t="s">
        <v>12</v>
      </c>
      <c r="E43">
        <f>(((E11^2)/E12)^2)/(E12-1)</f>
        <v>1.7371963545618825E-7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148.14922817253188</v>
      </c>
      <c r="F45" s="6" t="s">
        <v>14</v>
      </c>
    </row>
    <row r="46" spans="1:6" x14ac:dyDescent="0.25">
      <c r="A46" s="10">
        <v>3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1.9761224936137434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-1.655214506178732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7.0364574659068077E-2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3.5182287329534039E-2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3</v>
      </c>
      <c r="B63" s="11">
        <v>1</v>
      </c>
    </row>
    <row r="64" spans="1:5" x14ac:dyDescent="0.25">
      <c r="A64" s="10">
        <v>3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2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4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"/>
  <sheetViews>
    <sheetView topLeftCell="D41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50</v>
      </c>
      <c r="B1" s="8" t="s">
        <v>51</v>
      </c>
    </row>
    <row r="2" spans="1:5" x14ac:dyDescent="0.25">
      <c r="A2" s="10">
        <v>2</v>
      </c>
      <c r="B2" s="11">
        <v>1</v>
      </c>
      <c r="D2" s="1" t="s">
        <v>0</v>
      </c>
      <c r="E2">
        <f>AVERAGE(A:A)</f>
        <v>1.9080459770114941</v>
      </c>
    </row>
    <row r="3" spans="1:5" x14ac:dyDescent="0.25">
      <c r="A3" s="10">
        <v>1</v>
      </c>
      <c r="B3" s="11">
        <v>2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0.9957138833000263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1.7471264367816093</v>
      </c>
    </row>
    <row r="9" spans="1:5" x14ac:dyDescent="0.25">
      <c r="A9" s="10">
        <v>2</v>
      </c>
      <c r="B9" s="11">
        <v>3</v>
      </c>
      <c r="D9" s="3" t="s">
        <v>4</v>
      </c>
      <c r="E9">
        <f>MEDIAN(B:B)</f>
        <v>2</v>
      </c>
    </row>
    <row r="10" spans="1:5" x14ac:dyDescent="0.25">
      <c r="A10" s="10">
        <v>3</v>
      </c>
      <c r="B10" s="11">
        <v>3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0.76581603845707369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3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3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1.1948843468744381</v>
      </c>
    </row>
    <row r="30" spans="1:5" x14ac:dyDescent="0.25">
      <c r="A30" s="10">
        <v>5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4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3</v>
      </c>
      <c r="B36" s="11">
        <v>3</v>
      </c>
    </row>
    <row r="37" spans="1:6" x14ac:dyDescent="0.25">
      <c r="A37" s="10">
        <v>3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3</v>
      </c>
    </row>
    <row r="40" spans="1:6" x14ac:dyDescent="0.25">
      <c r="A40" s="10">
        <v>1</v>
      </c>
      <c r="B40" s="11">
        <v>3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3.2895132860153115E-4</v>
      </c>
    </row>
    <row r="42" spans="1:6" ht="47.25" customHeight="1" x14ac:dyDescent="0.25">
      <c r="A42" s="10">
        <v>1</v>
      </c>
      <c r="B42" s="11">
        <v>3</v>
      </c>
      <c r="D42" t="s">
        <v>11</v>
      </c>
      <c r="E42">
        <f>(((E5^2)/E6)^2)/(E6-1)</f>
        <v>1.510084652757849E-6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5.2839764530141247E-7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161.37070648820915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3</v>
      </c>
      <c r="B48" s="11">
        <v>2</v>
      </c>
    </row>
    <row r="49" spans="1:5" x14ac:dyDescent="0.25">
      <c r="A49" s="10">
        <v>3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1.9748080917517898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-1.6543730574567295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0.23377723217830393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0.11688861608915196</v>
      </c>
    </row>
    <row r="57" spans="1:5" x14ac:dyDescent="0.25">
      <c r="A57" s="10">
        <v>1</v>
      </c>
      <c r="B57" s="11">
        <v>3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2</v>
      </c>
      <c r="D61" t="s">
        <v>23</v>
      </c>
    </row>
    <row r="62" spans="1:5" x14ac:dyDescent="0.25">
      <c r="A62" s="10">
        <v>2</v>
      </c>
      <c r="B62" s="11">
        <v>4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3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2</v>
      </c>
      <c r="B72" s="11">
        <v>2</v>
      </c>
      <c r="D72" t="s">
        <v>30</v>
      </c>
    </row>
    <row r="73" spans="1:4" x14ac:dyDescent="0.25">
      <c r="A73" s="10">
        <v>3</v>
      </c>
      <c r="B73" s="11">
        <v>4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3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2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4</v>
      </c>
      <c r="B85" s="11">
        <v>1</v>
      </c>
      <c r="D85" t="s">
        <v>30</v>
      </c>
    </row>
    <row r="86" spans="1:4" x14ac:dyDescent="0.25">
      <c r="A86" s="10">
        <v>4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8"/>
  <sheetViews>
    <sheetView topLeftCell="D45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48</v>
      </c>
      <c r="B1" s="8" t="s">
        <v>49</v>
      </c>
    </row>
    <row r="2" spans="1:5" x14ac:dyDescent="0.25">
      <c r="A2" s="10">
        <v>2</v>
      </c>
      <c r="B2" s="11">
        <v>1</v>
      </c>
      <c r="D2" s="1" t="s">
        <v>0</v>
      </c>
      <c r="E2">
        <f>AVERAGE(A:A)</f>
        <v>1.7471264367816093</v>
      </c>
    </row>
    <row r="3" spans="1:5" x14ac:dyDescent="0.25">
      <c r="A3" s="10">
        <v>1</v>
      </c>
      <c r="B3" s="11">
        <v>2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1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0.87893157662356913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1.5517241379310345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1</v>
      </c>
    </row>
    <row r="10" spans="1:5" x14ac:dyDescent="0.25">
      <c r="A10" s="10">
        <v>5</v>
      </c>
      <c r="B10" s="11">
        <v>3</v>
      </c>
      <c r="D10" s="3" t="s">
        <v>5</v>
      </c>
      <c r="E10">
        <f>MODE(B:B)</f>
        <v>1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0.62428788621572795</v>
      </c>
    </row>
    <row r="12" spans="1:5" x14ac:dyDescent="0.25">
      <c r="A12" s="10">
        <v>1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4</v>
      </c>
    </row>
    <row r="19" spans="1:5" x14ac:dyDescent="0.25">
      <c r="A19" s="10">
        <v>2</v>
      </c>
      <c r="B19" s="11">
        <v>1</v>
      </c>
    </row>
    <row r="20" spans="1:5" x14ac:dyDescent="0.25">
      <c r="A20" s="10">
        <v>4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1.6905903336328867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3</v>
      </c>
      <c r="B33" s="11">
        <v>1</v>
      </c>
    </row>
    <row r="34" spans="1:6" x14ac:dyDescent="0.25">
      <c r="A34" s="10">
        <v>4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4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3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1.7846996940544212E-4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9.1681838288601894E-7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2.3334724355279701E-7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155.16892985058789</v>
      </c>
      <c r="F45" s="6" t="s">
        <v>14</v>
      </c>
    </row>
    <row r="46" spans="1:6" x14ac:dyDescent="0.25">
      <c r="A46" s="10">
        <v>1</v>
      </c>
      <c r="B46" s="11">
        <v>3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3</v>
      </c>
      <c r="B48" s="11">
        <v>2</v>
      </c>
    </row>
    <row r="49" spans="1:5" x14ac:dyDescent="0.25">
      <c r="A49" s="10">
        <v>3</v>
      </c>
      <c r="B49" s="11">
        <v>1</v>
      </c>
    </row>
    <row r="50" spans="1:5" x14ac:dyDescent="0.25">
      <c r="A50" s="10">
        <v>1</v>
      </c>
      <c r="B50" s="11">
        <v>1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1.9753871310551163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-1.6547437739197817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1</v>
      </c>
      <c r="B55" s="11">
        <v>1</v>
      </c>
      <c r="D55" t="s">
        <v>20</v>
      </c>
      <c r="E55">
        <f>TTEST(A:A,B:B,2,2)</f>
        <v>9.2726441728456413E-2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4.6363220864228206E-2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2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1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2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4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2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2</v>
      </c>
    </row>
    <row r="82" spans="1:4" x14ac:dyDescent="0.25">
      <c r="A82" s="10">
        <v>4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1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8"/>
  <sheetViews>
    <sheetView topLeftCell="D49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46</v>
      </c>
      <c r="B1" s="8" t="s">
        <v>47</v>
      </c>
    </row>
    <row r="2" spans="1:5" x14ac:dyDescent="0.25">
      <c r="A2" s="10">
        <v>5</v>
      </c>
      <c r="B2" s="11">
        <v>2</v>
      </c>
      <c r="D2" s="1" t="s">
        <v>0</v>
      </c>
      <c r="E2">
        <f>AVERAGE(A:A)</f>
        <v>1.9195402298850575</v>
      </c>
    </row>
    <row r="3" spans="1:5" x14ac:dyDescent="0.25">
      <c r="A3" s="10">
        <v>2</v>
      </c>
      <c r="B3" s="11">
        <v>4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4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1.0254708595703017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1.7471264367816093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4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0.90500405761132907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3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1.1758137046157751</v>
      </c>
    </row>
    <row r="30" spans="1:5" x14ac:dyDescent="0.25">
      <c r="A30" s="10">
        <v>5</v>
      </c>
      <c r="B30" s="11">
        <v>2</v>
      </c>
    </row>
    <row r="31" spans="1:5" x14ac:dyDescent="0.25">
      <c r="A31" s="10">
        <v>4</v>
      </c>
      <c r="B31" s="11">
        <v>1</v>
      </c>
      <c r="D31" s="2" t="s">
        <v>9</v>
      </c>
      <c r="E31" s="2"/>
    </row>
    <row r="32" spans="1:5" x14ac:dyDescent="0.25">
      <c r="A32" s="10">
        <v>4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4</v>
      </c>
    </row>
    <row r="38" spans="1:6" x14ac:dyDescent="0.25">
      <c r="A38" s="10">
        <v>3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4.6231071014489987E-4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1.6988551000213519E-6</v>
      </c>
    </row>
    <row r="43" spans="1:6" ht="43.5" customHeight="1" x14ac:dyDescent="0.25">
      <c r="A43" s="10">
        <v>1</v>
      </c>
      <c r="B43" s="11">
        <v>5</v>
      </c>
      <c r="D43" t="s">
        <v>12</v>
      </c>
      <c r="E43">
        <f>(((E11^2)/E12)^2)/(E12-1)</f>
        <v>1.0305407015120393E-6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4</v>
      </c>
      <c r="D45" t="s">
        <v>9</v>
      </c>
      <c r="E45">
        <f>E41/(E42+E43)</f>
        <v>169.38206979184585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4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1.9741004473989796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-1.6539199418820105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0.24129426486156863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0.12064713243078432</v>
      </c>
    </row>
    <row r="57" spans="1:5" x14ac:dyDescent="0.25">
      <c r="A57" s="10">
        <v>4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5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4</v>
      </c>
      <c r="B77" s="11">
        <v>1</v>
      </c>
    </row>
    <row r="78" spans="1:4" x14ac:dyDescent="0.25">
      <c r="A78" s="10">
        <v>2</v>
      </c>
      <c r="B78" s="11">
        <v>5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4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4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8"/>
  <sheetViews>
    <sheetView topLeftCell="D45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44</v>
      </c>
      <c r="B1" s="8" t="s">
        <v>45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1.8390804597701149</v>
      </c>
    </row>
    <row r="3" spans="1:5" x14ac:dyDescent="0.25">
      <c r="A3" s="10">
        <v>2</v>
      </c>
      <c r="B3" s="11">
        <v>3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3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0.98681497545210095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1.5977011494252873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4</v>
      </c>
      <c r="B10" s="11">
        <v>2</v>
      </c>
      <c r="D10" s="3" t="s">
        <v>5</v>
      </c>
      <c r="E10">
        <f>MODE(B:B)</f>
        <v>1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0.61869649385647185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3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1.9330162244890576</v>
      </c>
    </row>
    <row r="30" spans="1:5" x14ac:dyDescent="0.25">
      <c r="A30" s="10">
        <v>4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3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2.4314098487731366E-4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1.4568202500849228E-6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2.2509905048877043E-7</v>
      </c>
    </row>
    <row r="44" spans="1:6" x14ac:dyDescent="0.25">
      <c r="A44" s="10">
        <v>1</v>
      </c>
      <c r="B44" s="11">
        <v>3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144.56162361320168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3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1.9765750658304413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-1.6555041770875589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5.4876567575525691E-2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2.7438283787762845E-2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3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3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5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3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3</v>
      </c>
      <c r="B80" s="11">
        <v>2</v>
      </c>
    </row>
    <row r="81" spans="1:4" x14ac:dyDescent="0.25">
      <c r="A81" s="10">
        <v>1</v>
      </c>
      <c r="B81" s="11">
        <v>3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3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8"/>
  <sheetViews>
    <sheetView topLeftCell="D45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42</v>
      </c>
      <c r="B1" s="8" t="s">
        <v>43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1.9080459770114941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0.94785171919581646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3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1.8505747126436782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3</v>
      </c>
      <c r="B10" s="11">
        <v>3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3</v>
      </c>
      <c r="D11" s="3" t="s">
        <v>16</v>
      </c>
      <c r="E11">
        <f>STDEV(B:B)</f>
        <v>0.93421694149256285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3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3</v>
      </c>
      <c r="B26" s="11">
        <v>2</v>
      </c>
    </row>
    <row r="27" spans="1:5" x14ac:dyDescent="0.25">
      <c r="A27" s="10">
        <v>4</v>
      </c>
      <c r="B27" s="11">
        <v>1</v>
      </c>
    </row>
    <row r="28" spans="1:5" x14ac:dyDescent="0.25">
      <c r="A28" s="10">
        <v>3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0.40278984835496989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3</v>
      </c>
      <c r="B32" s="11">
        <v>2</v>
      </c>
    </row>
    <row r="33" spans="1:6" x14ac:dyDescent="0.25">
      <c r="A33" s="10">
        <v>2</v>
      </c>
      <c r="B33" s="11">
        <v>3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3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4.1446603025830086E-4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1.2400084711367663E-6</v>
      </c>
    </row>
    <row r="43" spans="1:6" ht="43.5" customHeight="1" x14ac:dyDescent="0.25">
      <c r="A43" s="10">
        <v>1</v>
      </c>
      <c r="B43" s="11">
        <v>3</v>
      </c>
      <c r="D43" t="s">
        <v>12</v>
      </c>
      <c r="E43">
        <f>(((E11^2)/E12)^2)/(E12-1)</f>
        <v>1.1701835760708217E-6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171.96390251909381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3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3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3</v>
      </c>
      <c r="B52" s="11">
        <v>5</v>
      </c>
      <c r="D52" t="s">
        <v>18</v>
      </c>
      <c r="E52">
        <f>_xlfn.T.INV.2T(E47,E45)</f>
        <v>1.9739339541031049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-1.6538133236322152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0.68760301785999389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0.34380150892999695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5</v>
      </c>
      <c r="B58" s="11">
        <v>3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5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3</v>
      </c>
      <c r="B64" s="11">
        <v>2</v>
      </c>
      <c r="D64" t="s">
        <v>25</v>
      </c>
    </row>
    <row r="65" spans="1:4" x14ac:dyDescent="0.25">
      <c r="A65" s="10">
        <v>2</v>
      </c>
      <c r="B65" s="11">
        <v>3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4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4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5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4</v>
      </c>
      <c r="B86" s="11">
        <v>2</v>
      </c>
    </row>
    <row r="87" spans="1:4" x14ac:dyDescent="0.25">
      <c r="A87" s="10">
        <v>2</v>
      </c>
      <c r="B87" s="11">
        <v>5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8"/>
  <sheetViews>
    <sheetView topLeftCell="D45" zoomScale="85" zoomScaleNormal="8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40</v>
      </c>
      <c r="B1" s="8" t="s">
        <v>41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1.8390804597701149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3</v>
      </c>
      <c r="B4" s="11">
        <v>3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0.97496050269897716</v>
      </c>
    </row>
    <row r="6" spans="1:5" x14ac:dyDescent="0.25">
      <c r="A6" s="10">
        <v>2</v>
      </c>
      <c r="B6" s="11">
        <v>3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1.6206896551724137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4</v>
      </c>
      <c r="B10" s="11">
        <v>2</v>
      </c>
      <c r="D10" s="3" t="s">
        <v>5</v>
      </c>
      <c r="E10">
        <f>MODE(B:B)</f>
        <v>1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0.66893492766477647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3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3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1.7228084146683313</v>
      </c>
    </row>
    <row r="30" spans="1:5" x14ac:dyDescent="0.25">
      <c r="A30" s="10">
        <v>4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3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2.5821974987020002E-4</v>
      </c>
    </row>
    <row r="42" spans="1:6" ht="47.25" customHeight="1" x14ac:dyDescent="0.25">
      <c r="A42" s="10">
        <v>1</v>
      </c>
      <c r="B42" s="11">
        <v>3</v>
      </c>
      <c r="D42" t="s">
        <v>11</v>
      </c>
      <c r="E42">
        <f>(((E5^2)/E6)^2)/(E6-1)</f>
        <v>1.3880692447281268E-6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3.0760864342145118E-7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152.28113291728087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1.9756939278152725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-1.6549401747078736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8.6720486172759362E-2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4.3360243086379681E-2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3</v>
      </c>
      <c r="D61" t="s">
        <v>23</v>
      </c>
    </row>
    <row r="62" spans="1:5" x14ac:dyDescent="0.25">
      <c r="A62" s="10">
        <v>2</v>
      </c>
      <c r="B62" s="11">
        <v>4</v>
      </c>
      <c r="D62" t="s">
        <v>24</v>
      </c>
    </row>
    <row r="63" spans="1:5" x14ac:dyDescent="0.25">
      <c r="A63" s="10">
        <v>1</v>
      </c>
      <c r="B63" s="11">
        <v>3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3</v>
      </c>
      <c r="B72" s="11">
        <v>2</v>
      </c>
      <c r="D72" t="s">
        <v>30</v>
      </c>
    </row>
    <row r="73" spans="1:4" x14ac:dyDescent="0.25">
      <c r="A73" s="10">
        <v>4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3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4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8"/>
  <sheetViews>
    <sheetView zoomScale="115" zoomScaleNormal="115" workbookViewId="0">
      <selection activeCell="E55" sqref="E55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39</v>
      </c>
      <c r="B1" s="8" t="s">
        <v>38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1.9195402298850575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1.0479036748360178</v>
      </c>
    </row>
    <row r="6" spans="1:5" x14ac:dyDescent="0.25">
      <c r="A6" s="10">
        <v>2</v>
      </c>
      <c r="B6" s="11">
        <v>3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3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1.6896551724137931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5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0.7362751133251787</v>
      </c>
    </row>
    <row r="12" spans="1:5" x14ac:dyDescent="0.25">
      <c r="A12" s="10">
        <v>4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4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3</v>
      </c>
      <c r="B21" s="11">
        <v>3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4</v>
      </c>
    </row>
    <row r="28" spans="1:5" x14ac:dyDescent="0.25">
      <c r="A28" s="10">
        <v>3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1.6742547817806921</v>
      </c>
    </row>
    <row r="30" spans="1:5" x14ac:dyDescent="0.25">
      <c r="A30" s="10">
        <v>5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3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3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3.5543220863634082E-4</v>
      </c>
    </row>
    <row r="42" spans="1:6" ht="47.25" customHeight="1" x14ac:dyDescent="0.25">
      <c r="A42" s="10">
        <v>4</v>
      </c>
      <c r="B42" s="11">
        <v>2</v>
      </c>
      <c r="D42" t="s">
        <v>11</v>
      </c>
      <c r="E42">
        <f>(((E5^2)/E6)^2)/(E6-1)</f>
        <v>1.8524585407990579E-6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4.514644192525823E-7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154.27261015202268</v>
      </c>
      <c r="F45" s="6" t="s">
        <v>14</v>
      </c>
    </row>
    <row r="46" spans="1:6" x14ac:dyDescent="0.25">
      <c r="A46" s="10">
        <v>1</v>
      </c>
      <c r="B46" s="11">
        <v>3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1.9754880582343397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-1.6548083854766809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4</v>
      </c>
      <c r="D55" t="s">
        <v>20</v>
      </c>
      <c r="E55">
        <f>TTEST(A:A,B:B,2,2)</f>
        <v>9.5897939951365196E-2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4.7948969975682598E-2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3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5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4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8"/>
  <sheetViews>
    <sheetView topLeftCell="D41" zoomScale="85" zoomScaleNormal="85" workbookViewId="0">
      <selection activeCell="E56" sqref="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36</v>
      </c>
      <c r="B1" s="8" t="s">
        <v>37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1.7931034482758621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3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0.86451937224562592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1.632183908045977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3</v>
      </c>
      <c r="B10" s="11">
        <v>2</v>
      </c>
      <c r="D10" s="3" t="s">
        <v>5</v>
      </c>
      <c r="E10">
        <f>MODE(B:B)</f>
        <v>1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0.73318265322759224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3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3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4</v>
      </c>
      <c r="B27" s="11">
        <v>1</v>
      </c>
    </row>
    <row r="28" spans="1:5" x14ac:dyDescent="0.25">
      <c r="A28" s="10">
        <v>1</v>
      </c>
      <c r="B28" s="11">
        <v>3</v>
      </c>
    </row>
    <row r="29" spans="1:5" x14ac:dyDescent="0.25">
      <c r="A29" s="10">
        <v>4</v>
      </c>
      <c r="B29" s="11">
        <v>1</v>
      </c>
      <c r="D29" t="s">
        <v>13</v>
      </c>
      <c r="E29">
        <f>(E2-E8)/SQRT(((E5^2)/E6)+((E11^2)/E12))</f>
        <v>1.3241134663660594</v>
      </c>
    </row>
    <row r="30" spans="1:5" x14ac:dyDescent="0.25">
      <c r="A30" s="10">
        <v>4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3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4</v>
      </c>
      <c r="D41" t="s">
        <v>10</v>
      </c>
      <c r="E41">
        <f>(((E5^2)/E6)+((E11^2)/E12))^2</f>
        <v>2.1813950465831509E-4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8.581475388397967E-7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4.4392721296624667E-7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167.53224371776244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1.9742709570280526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-1.6540291281334114</v>
      </c>
    </row>
    <row r="54" spans="1:5" x14ac:dyDescent="0.25">
      <c r="A54" s="10">
        <v>2</v>
      </c>
      <c r="B54" s="11">
        <v>4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0.18722228486135131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9.3611142430675656E-2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4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3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4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3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4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4</v>
      </c>
      <c r="B82" s="11">
        <v>2</v>
      </c>
      <c r="D82" t="s">
        <v>31</v>
      </c>
    </row>
    <row r="83" spans="1:4" x14ac:dyDescent="0.25">
      <c r="A83" s="10">
        <v>3</v>
      </c>
      <c r="B83" s="11">
        <v>1</v>
      </c>
      <c r="D83" t="s">
        <v>30</v>
      </c>
    </row>
    <row r="84" spans="1:4" x14ac:dyDescent="0.25">
      <c r="A84" s="10">
        <v>2</v>
      </c>
      <c r="B84" s="11">
        <v>3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3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8"/>
  <sheetViews>
    <sheetView topLeftCell="D45" zoomScale="115" zoomScaleNormal="115" workbookViewId="0">
      <selection activeCell="E54" sqref="E54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</cols>
  <sheetData>
    <row r="1" spans="1:5" ht="117.75" customHeight="1" x14ac:dyDescent="0.25">
      <c r="A1" s="7" t="s">
        <v>34</v>
      </c>
      <c r="B1" s="8" t="s">
        <v>35</v>
      </c>
    </row>
    <row r="2" spans="1:5" x14ac:dyDescent="0.25">
      <c r="A2" s="10">
        <v>2</v>
      </c>
      <c r="B2" s="11">
        <v>2</v>
      </c>
      <c r="D2" s="1" t="s">
        <v>0</v>
      </c>
      <c r="E2">
        <f>AVERAGE(A:A)</f>
        <v>1.8620689655172413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0.92977133714397708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2</v>
      </c>
      <c r="D8" s="3" t="s">
        <v>3</v>
      </c>
      <c r="E8">
        <f>AVERAGE(B:B)</f>
        <v>1.6551724137931034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4</v>
      </c>
      <c r="B10" s="11">
        <v>2</v>
      </c>
      <c r="D10" s="3" t="s">
        <v>5</v>
      </c>
      <c r="E10">
        <f>MODE(B:B)</f>
        <v>2</v>
      </c>
    </row>
    <row r="11" spans="1:5" x14ac:dyDescent="0.25">
      <c r="A11" s="10">
        <v>2</v>
      </c>
      <c r="B11" s="11">
        <v>3</v>
      </c>
      <c r="D11" s="3" t="s">
        <v>16</v>
      </c>
      <c r="E11">
        <f>STDEV(B:B)</f>
        <v>0.64389054043941485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5</v>
      </c>
      <c r="B20" s="11">
        <v>2</v>
      </c>
    </row>
    <row r="21" spans="1:5" x14ac:dyDescent="0.25">
      <c r="A21" s="10">
        <v>3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2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3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1.7063407473542624</v>
      </c>
    </row>
    <row r="30" spans="1:5" x14ac:dyDescent="0.25">
      <c r="A30" s="10">
        <v>5</v>
      </c>
      <c r="B30" s="11">
        <v>2</v>
      </c>
    </row>
    <row r="31" spans="1:5" x14ac:dyDescent="0.25">
      <c r="A31" s="10">
        <v>3</v>
      </c>
      <c r="B31" s="11">
        <v>1</v>
      </c>
      <c r="D31" s="2" t="s">
        <v>9</v>
      </c>
      <c r="E31" s="2"/>
    </row>
    <row r="32" spans="1:5" x14ac:dyDescent="0.25">
      <c r="A32" s="10">
        <v>3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3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3</v>
      </c>
    </row>
    <row r="38" spans="1:6" x14ac:dyDescent="0.25">
      <c r="A38" s="10">
        <v>5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2.1614737349501595E-4</v>
      </c>
    </row>
    <row r="42" spans="1:6" ht="47.25" customHeight="1" x14ac:dyDescent="0.25">
      <c r="A42" s="10">
        <v>1</v>
      </c>
      <c r="B42" s="11">
        <v>2</v>
      </c>
      <c r="D42" t="s">
        <v>11</v>
      </c>
      <c r="E42">
        <f>(((E5^2)/E6)^2)/(E6-1)</f>
        <v>1.148068122139277E-6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2.6406523134169735E-7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153.06442055362734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3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2</v>
      </c>
    </row>
    <row r="51" spans="1:5" x14ac:dyDescent="0.25">
      <c r="A51" s="10">
        <v>2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1.975590315005247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-1.6548738467813242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8.9749506335305193E-2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4.4874753167652597E-2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3</v>
      </c>
      <c r="D59" s="5" t="s">
        <v>22</v>
      </c>
      <c r="E59" s="5"/>
    </row>
    <row r="60" spans="1:5" x14ac:dyDescent="0.25">
      <c r="A60" s="10">
        <v>1</v>
      </c>
      <c r="B60" s="11">
        <v>3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2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3</v>
      </c>
      <c r="B66" s="11">
        <v>2</v>
      </c>
    </row>
    <row r="67" spans="1:4" x14ac:dyDescent="0.25">
      <c r="A67" s="10">
        <v>2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3</v>
      </c>
      <c r="B69" s="11">
        <v>1</v>
      </c>
    </row>
    <row r="70" spans="1:4" x14ac:dyDescent="0.25">
      <c r="A70" s="10">
        <v>3</v>
      </c>
      <c r="B70" s="11">
        <v>2</v>
      </c>
      <c r="D70" t="s">
        <v>28</v>
      </c>
    </row>
    <row r="71" spans="1:4" x14ac:dyDescent="0.25">
      <c r="A71" s="10">
        <v>3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4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3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2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2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3</v>
      </c>
      <c r="D84" t="s">
        <v>31</v>
      </c>
    </row>
    <row r="85" spans="1:4" x14ac:dyDescent="0.25">
      <c r="A85" s="10">
        <v>2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8"/>
  <sheetViews>
    <sheetView topLeftCell="A45" zoomScale="115" zoomScaleNormal="115" workbookViewId="0">
      <selection activeCell="E56" sqref="E55:E56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6.28515625" customWidth="1"/>
    <col min="5" max="5" width="21.5703125" customWidth="1"/>
    <col min="6" max="6" width="17.85546875" customWidth="1"/>
    <col min="7" max="7" width="20" customWidth="1"/>
  </cols>
  <sheetData>
    <row r="1" spans="1:5" ht="114" x14ac:dyDescent="0.25">
      <c r="A1" s="7" t="s">
        <v>32</v>
      </c>
      <c r="B1" s="8" t="s">
        <v>33</v>
      </c>
    </row>
    <row r="2" spans="1:5" x14ac:dyDescent="0.25">
      <c r="A2" s="10">
        <v>3</v>
      </c>
      <c r="B2" s="11">
        <v>2</v>
      </c>
      <c r="D2" s="1" t="s">
        <v>0</v>
      </c>
      <c r="E2">
        <f>AVERAGE(A:A)</f>
        <v>1.7126436781609196</v>
      </c>
    </row>
    <row r="3" spans="1:5" x14ac:dyDescent="0.25">
      <c r="A3" s="10">
        <v>2</v>
      </c>
      <c r="B3" s="11">
        <v>1</v>
      </c>
      <c r="D3" s="1" t="s">
        <v>1</v>
      </c>
      <c r="E3">
        <f>MEDIAN(A:A)</f>
        <v>2</v>
      </c>
    </row>
    <row r="4" spans="1:5" x14ac:dyDescent="0.25">
      <c r="A4" s="10">
        <v>2</v>
      </c>
      <c r="B4" s="11">
        <v>2</v>
      </c>
      <c r="D4" s="1" t="s">
        <v>2</v>
      </c>
      <c r="E4">
        <f>MODE(A:A)</f>
        <v>2</v>
      </c>
    </row>
    <row r="5" spans="1:5" x14ac:dyDescent="0.25">
      <c r="A5" s="10">
        <v>2</v>
      </c>
      <c r="B5" s="11">
        <v>1</v>
      </c>
      <c r="D5" s="1" t="s">
        <v>17</v>
      </c>
      <c r="E5">
        <f>STDEV(A:A)</f>
        <v>0.74565479226839648</v>
      </c>
    </row>
    <row r="6" spans="1:5" x14ac:dyDescent="0.25">
      <c r="A6" s="10">
        <v>2</v>
      </c>
      <c r="B6" s="11">
        <v>2</v>
      </c>
      <c r="D6" s="4" t="s">
        <v>6</v>
      </c>
      <c r="E6">
        <f>COUNT(A:A)</f>
        <v>87</v>
      </c>
    </row>
    <row r="7" spans="1:5" x14ac:dyDescent="0.25">
      <c r="A7" s="10">
        <v>1</v>
      </c>
      <c r="B7" s="11">
        <v>1</v>
      </c>
    </row>
    <row r="8" spans="1:5" x14ac:dyDescent="0.25">
      <c r="A8" s="10">
        <v>2</v>
      </c>
      <c r="B8" s="11">
        <v>3</v>
      </c>
      <c r="D8" s="3" t="s">
        <v>3</v>
      </c>
      <c r="E8">
        <f>AVERAGE(B:B)</f>
        <v>1.5632183908045978</v>
      </c>
    </row>
    <row r="9" spans="1:5" x14ac:dyDescent="0.25">
      <c r="A9" s="10">
        <v>2</v>
      </c>
      <c r="B9" s="11">
        <v>1</v>
      </c>
      <c r="D9" s="3" t="s">
        <v>4</v>
      </c>
      <c r="E9">
        <f>MEDIAN(B:B)</f>
        <v>2</v>
      </c>
    </row>
    <row r="10" spans="1:5" x14ac:dyDescent="0.25">
      <c r="A10" s="10">
        <v>4</v>
      </c>
      <c r="B10" s="11">
        <v>2</v>
      </c>
      <c r="D10" s="3" t="s">
        <v>5</v>
      </c>
      <c r="E10">
        <f>MODE(B:B)</f>
        <v>1</v>
      </c>
    </row>
    <row r="11" spans="1:5" x14ac:dyDescent="0.25">
      <c r="A11" s="10">
        <v>2</v>
      </c>
      <c r="B11" s="11">
        <v>1</v>
      </c>
      <c r="D11" s="3" t="s">
        <v>16</v>
      </c>
      <c r="E11">
        <f>STDEV(B:B)</f>
        <v>0.604270642916238</v>
      </c>
    </row>
    <row r="12" spans="1:5" x14ac:dyDescent="0.25">
      <c r="A12" s="10">
        <v>2</v>
      </c>
      <c r="B12" s="11">
        <v>2</v>
      </c>
      <c r="D12" s="5" t="s">
        <v>7</v>
      </c>
      <c r="E12">
        <f>COUNT(B:B)</f>
        <v>87</v>
      </c>
    </row>
    <row r="13" spans="1:5" x14ac:dyDescent="0.25">
      <c r="A13" s="10">
        <v>1</v>
      </c>
      <c r="B13" s="11">
        <v>1</v>
      </c>
    </row>
    <row r="14" spans="1:5" x14ac:dyDescent="0.25">
      <c r="A14" s="10">
        <v>1</v>
      </c>
      <c r="B14" s="11">
        <v>2</v>
      </c>
    </row>
    <row r="15" spans="1:5" x14ac:dyDescent="0.25">
      <c r="A15" s="10">
        <v>2</v>
      </c>
      <c r="B15" s="11">
        <v>1</v>
      </c>
    </row>
    <row r="16" spans="1:5" x14ac:dyDescent="0.25">
      <c r="A16" s="10">
        <v>1</v>
      </c>
      <c r="B16" s="11">
        <v>2</v>
      </c>
    </row>
    <row r="17" spans="1:5" x14ac:dyDescent="0.25">
      <c r="A17" s="10">
        <v>2</v>
      </c>
      <c r="B17" s="11">
        <v>1</v>
      </c>
      <c r="D17" s="2" t="s">
        <v>8</v>
      </c>
      <c r="E17" s="2"/>
    </row>
    <row r="18" spans="1:5" x14ac:dyDescent="0.25">
      <c r="A18" s="10">
        <v>1</v>
      </c>
      <c r="B18" s="11">
        <v>2</v>
      </c>
    </row>
    <row r="19" spans="1:5" x14ac:dyDescent="0.25">
      <c r="A19" s="10">
        <v>1</v>
      </c>
      <c r="B19" s="11">
        <v>1</v>
      </c>
    </row>
    <row r="20" spans="1:5" x14ac:dyDescent="0.25">
      <c r="A20" s="10">
        <v>3</v>
      </c>
      <c r="B20" s="11">
        <v>2</v>
      </c>
    </row>
    <row r="21" spans="1:5" x14ac:dyDescent="0.25">
      <c r="A21" s="10">
        <v>1</v>
      </c>
      <c r="B21" s="11">
        <v>1</v>
      </c>
    </row>
    <row r="22" spans="1:5" x14ac:dyDescent="0.25">
      <c r="A22" s="10">
        <v>1</v>
      </c>
      <c r="B22" s="11">
        <v>2</v>
      </c>
    </row>
    <row r="23" spans="1:5" x14ac:dyDescent="0.25">
      <c r="A23" s="10">
        <v>2</v>
      </c>
      <c r="B23" s="11">
        <v>1</v>
      </c>
    </row>
    <row r="24" spans="1:5" x14ac:dyDescent="0.25">
      <c r="A24" s="10">
        <v>3</v>
      </c>
      <c r="B24" s="11">
        <v>2</v>
      </c>
    </row>
    <row r="25" spans="1:5" x14ac:dyDescent="0.25">
      <c r="A25" s="10">
        <v>2</v>
      </c>
      <c r="B25" s="11">
        <v>1</v>
      </c>
    </row>
    <row r="26" spans="1:5" x14ac:dyDescent="0.25">
      <c r="A26" s="10">
        <v>1</v>
      </c>
      <c r="B26" s="11">
        <v>2</v>
      </c>
    </row>
    <row r="27" spans="1:5" x14ac:dyDescent="0.25">
      <c r="A27" s="10">
        <v>2</v>
      </c>
      <c r="B27" s="11">
        <v>1</v>
      </c>
    </row>
    <row r="28" spans="1:5" x14ac:dyDescent="0.25">
      <c r="A28" s="10">
        <v>1</v>
      </c>
      <c r="B28" s="11">
        <v>2</v>
      </c>
    </row>
    <row r="29" spans="1:5" x14ac:dyDescent="0.25">
      <c r="A29" s="10">
        <v>1</v>
      </c>
      <c r="B29" s="11">
        <v>1</v>
      </c>
      <c r="D29" t="s">
        <v>13</v>
      </c>
      <c r="E29">
        <f>(E2-E8)/SQRT(((E5^2)/E6)+((E11^2)/E12))</f>
        <v>1.4521783025519914</v>
      </c>
    </row>
    <row r="30" spans="1:5" x14ac:dyDescent="0.25">
      <c r="A30" s="10">
        <v>3</v>
      </c>
      <c r="B30" s="11">
        <v>2</v>
      </c>
    </row>
    <row r="31" spans="1:5" x14ac:dyDescent="0.25">
      <c r="A31" s="10">
        <v>1</v>
      </c>
      <c r="B31" s="11">
        <v>1</v>
      </c>
      <c r="D31" s="2" t="s">
        <v>9</v>
      </c>
      <c r="E31" s="2"/>
    </row>
    <row r="32" spans="1:5" x14ac:dyDescent="0.25">
      <c r="A32" s="10">
        <v>1</v>
      </c>
      <c r="B32" s="11">
        <v>2</v>
      </c>
    </row>
    <row r="33" spans="1:6" x14ac:dyDescent="0.25">
      <c r="A33" s="10">
        <v>2</v>
      </c>
      <c r="B33" s="11">
        <v>1</v>
      </c>
    </row>
    <row r="34" spans="1:6" x14ac:dyDescent="0.25">
      <c r="A34" s="10">
        <v>2</v>
      </c>
      <c r="B34" s="11">
        <v>2</v>
      </c>
    </row>
    <row r="35" spans="1:6" x14ac:dyDescent="0.25">
      <c r="A35" s="10">
        <v>2</v>
      </c>
      <c r="B35" s="11">
        <v>1</v>
      </c>
    </row>
    <row r="36" spans="1:6" x14ac:dyDescent="0.25">
      <c r="A36" s="10">
        <v>2</v>
      </c>
      <c r="B36" s="11">
        <v>2</v>
      </c>
    </row>
    <row r="37" spans="1:6" x14ac:dyDescent="0.25">
      <c r="A37" s="10">
        <v>1</v>
      </c>
      <c r="B37" s="11">
        <v>1</v>
      </c>
    </row>
    <row r="38" spans="1:6" x14ac:dyDescent="0.25">
      <c r="A38" s="10">
        <v>3</v>
      </c>
      <c r="B38" s="11">
        <v>2</v>
      </c>
    </row>
    <row r="39" spans="1:6" x14ac:dyDescent="0.25">
      <c r="A39" s="10">
        <v>1</v>
      </c>
      <c r="B39" s="11">
        <v>1</v>
      </c>
    </row>
    <row r="40" spans="1:6" x14ac:dyDescent="0.25">
      <c r="A40" s="10">
        <v>1</v>
      </c>
      <c r="B40" s="11">
        <v>2</v>
      </c>
    </row>
    <row r="41" spans="1:6" ht="29.25" customHeight="1" x14ac:dyDescent="0.25">
      <c r="A41" s="10">
        <v>2</v>
      </c>
      <c r="B41" s="11">
        <v>1</v>
      </c>
      <c r="D41" t="s">
        <v>10</v>
      </c>
      <c r="E41">
        <f>(((E5^2)/E6)+((E11^2)/E12))^2</f>
        <v>1.1210284244996458E-4</v>
      </c>
    </row>
    <row r="42" spans="1:6" ht="47.25" customHeight="1" x14ac:dyDescent="0.25">
      <c r="A42" s="10">
        <v>1</v>
      </c>
      <c r="B42" s="11">
        <v>3</v>
      </c>
      <c r="D42" t="s">
        <v>11</v>
      </c>
      <c r="E42">
        <f>(((E5^2)/E6)^2)/(E6-1)</f>
        <v>4.7491326154117817E-7</v>
      </c>
    </row>
    <row r="43" spans="1:6" ht="43.5" customHeight="1" x14ac:dyDescent="0.25">
      <c r="A43" s="10">
        <v>1</v>
      </c>
      <c r="B43" s="11">
        <v>1</v>
      </c>
      <c r="D43" t="s">
        <v>12</v>
      </c>
      <c r="E43">
        <f>(((E11^2)/E12)^2)/(E12-1)</f>
        <v>2.0482785915595648E-7</v>
      </c>
    </row>
    <row r="44" spans="1:6" x14ac:dyDescent="0.25">
      <c r="A44" s="10">
        <v>1</v>
      </c>
      <c r="B44" s="11">
        <v>2</v>
      </c>
    </row>
    <row r="45" spans="1:6" x14ac:dyDescent="0.25">
      <c r="A45" s="10">
        <v>2</v>
      </c>
      <c r="B45" s="11">
        <v>1</v>
      </c>
      <c r="D45" t="s">
        <v>9</v>
      </c>
      <c r="E45">
        <f>E41/(E42+E43)</f>
        <v>164.91990705960703</v>
      </c>
      <c r="F45" s="6" t="s">
        <v>14</v>
      </c>
    </row>
    <row r="46" spans="1:6" x14ac:dyDescent="0.25">
      <c r="A46" s="10">
        <v>1</v>
      </c>
      <c r="B46" s="11">
        <v>2</v>
      </c>
    </row>
    <row r="47" spans="1:6" x14ac:dyDescent="0.25">
      <c r="A47" s="10">
        <v>1</v>
      </c>
      <c r="B47" s="11">
        <v>1</v>
      </c>
      <c r="D47" t="s">
        <v>15</v>
      </c>
      <c r="E47">
        <v>0.05</v>
      </c>
      <c r="F47" s="6" t="s">
        <v>14</v>
      </c>
    </row>
    <row r="48" spans="1:6" x14ac:dyDescent="0.25">
      <c r="A48" s="10">
        <v>2</v>
      </c>
      <c r="B48" s="11">
        <v>2</v>
      </c>
    </row>
    <row r="49" spans="1:5" x14ac:dyDescent="0.25">
      <c r="A49" s="10">
        <v>2</v>
      </c>
      <c r="B49" s="11">
        <v>1</v>
      </c>
    </row>
    <row r="50" spans="1:5" x14ac:dyDescent="0.25">
      <c r="A50" s="10">
        <v>1</v>
      </c>
      <c r="B50" s="11">
        <v>3</v>
      </c>
    </row>
    <row r="51" spans="1:5" x14ac:dyDescent="0.25">
      <c r="A51" s="10">
        <v>3</v>
      </c>
      <c r="B51" s="11">
        <v>1</v>
      </c>
      <c r="D51" s="5"/>
      <c r="E51" s="5"/>
    </row>
    <row r="52" spans="1:5" x14ac:dyDescent="0.25">
      <c r="A52" s="10">
        <v>2</v>
      </c>
      <c r="B52" s="11">
        <v>2</v>
      </c>
      <c r="D52" t="s">
        <v>18</v>
      </c>
      <c r="E52">
        <f>_xlfn.T.INV.2T(E47,E45)</f>
        <v>1.9745345758584751</v>
      </c>
    </row>
    <row r="53" spans="1:5" x14ac:dyDescent="0.25">
      <c r="A53" s="10">
        <v>2</v>
      </c>
      <c r="B53" s="11">
        <v>1</v>
      </c>
      <c r="D53" t="s">
        <v>19</v>
      </c>
      <c r="E53">
        <f>_xlfn.T.INV(E47, E45)</f>
        <v>-1.6541979291998445</v>
      </c>
    </row>
    <row r="54" spans="1:5" x14ac:dyDescent="0.25">
      <c r="A54" s="10">
        <v>2</v>
      </c>
      <c r="B54" s="11">
        <v>2</v>
      </c>
    </row>
    <row r="55" spans="1:5" x14ac:dyDescent="0.25">
      <c r="A55" s="10">
        <v>2</v>
      </c>
      <c r="B55" s="11">
        <v>1</v>
      </c>
      <c r="D55" t="s">
        <v>20</v>
      </c>
      <c r="E55">
        <f>TTEST(A:A,B:B,2,2)</f>
        <v>0.14827374964073345</v>
      </c>
    </row>
    <row r="56" spans="1:5" x14ac:dyDescent="0.25">
      <c r="A56" s="10">
        <v>2</v>
      </c>
      <c r="B56" s="11">
        <v>2</v>
      </c>
      <c r="D56" t="s">
        <v>21</v>
      </c>
      <c r="E56">
        <f>TTEST(A:A,B:B,1,2)</f>
        <v>7.4136874820366724E-2</v>
      </c>
    </row>
    <row r="57" spans="1:5" x14ac:dyDescent="0.25">
      <c r="A57" s="10">
        <v>1</v>
      </c>
      <c r="B57" s="11">
        <v>1</v>
      </c>
    </row>
    <row r="58" spans="1:5" x14ac:dyDescent="0.25">
      <c r="A58" s="10">
        <v>2</v>
      </c>
      <c r="B58" s="11">
        <v>2</v>
      </c>
    </row>
    <row r="59" spans="1:5" x14ac:dyDescent="0.25">
      <c r="A59" s="10">
        <v>2</v>
      </c>
      <c r="B59" s="11">
        <v>1</v>
      </c>
      <c r="D59" s="5" t="s">
        <v>22</v>
      </c>
      <c r="E59" s="5"/>
    </row>
    <row r="60" spans="1:5" x14ac:dyDescent="0.25">
      <c r="A60" s="10">
        <v>1</v>
      </c>
      <c r="B60" s="11">
        <v>2</v>
      </c>
    </row>
    <row r="61" spans="1:5" x14ac:dyDescent="0.25">
      <c r="A61" s="10">
        <v>1</v>
      </c>
      <c r="B61" s="11">
        <v>1</v>
      </c>
      <c r="D61" t="s">
        <v>23</v>
      </c>
    </row>
    <row r="62" spans="1:5" x14ac:dyDescent="0.25">
      <c r="A62" s="10">
        <v>2</v>
      </c>
      <c r="B62" s="11">
        <v>3</v>
      </c>
      <c r="D62" t="s">
        <v>24</v>
      </c>
    </row>
    <row r="63" spans="1:5" x14ac:dyDescent="0.25">
      <c r="A63" s="10">
        <v>1</v>
      </c>
      <c r="B63" s="11">
        <v>1</v>
      </c>
    </row>
    <row r="64" spans="1:5" x14ac:dyDescent="0.25">
      <c r="A64" s="10">
        <v>1</v>
      </c>
      <c r="B64" s="11">
        <v>2</v>
      </c>
      <c r="D64" t="s">
        <v>25</v>
      </c>
    </row>
    <row r="65" spans="1:4" x14ac:dyDescent="0.25">
      <c r="A65" s="10">
        <v>2</v>
      </c>
      <c r="B65" s="11">
        <v>1</v>
      </c>
      <c r="D65" t="s">
        <v>26</v>
      </c>
    </row>
    <row r="66" spans="1:4" x14ac:dyDescent="0.25">
      <c r="A66" s="10">
        <v>2</v>
      </c>
      <c r="B66" s="11">
        <v>2</v>
      </c>
    </row>
    <row r="67" spans="1:4" x14ac:dyDescent="0.25">
      <c r="A67" s="10">
        <v>3</v>
      </c>
      <c r="B67" s="11">
        <v>1</v>
      </c>
    </row>
    <row r="68" spans="1:4" x14ac:dyDescent="0.25">
      <c r="A68" s="10">
        <v>1</v>
      </c>
      <c r="B68" s="11">
        <v>2</v>
      </c>
      <c r="D68" s="9" t="s">
        <v>27</v>
      </c>
    </row>
    <row r="69" spans="1:4" x14ac:dyDescent="0.25">
      <c r="A69" s="10">
        <v>1</v>
      </c>
      <c r="B69" s="11">
        <v>1</v>
      </c>
    </row>
    <row r="70" spans="1:4" x14ac:dyDescent="0.25">
      <c r="A70" s="10">
        <v>2</v>
      </c>
      <c r="B70" s="11">
        <v>2</v>
      </c>
      <c r="D70" t="s">
        <v>28</v>
      </c>
    </row>
    <row r="71" spans="1:4" x14ac:dyDescent="0.25">
      <c r="A71" s="10">
        <v>2</v>
      </c>
      <c r="B71" s="11">
        <v>1</v>
      </c>
      <c r="D71" t="s">
        <v>29</v>
      </c>
    </row>
    <row r="72" spans="1:4" x14ac:dyDescent="0.25">
      <c r="A72" s="10">
        <v>1</v>
      </c>
      <c r="B72" s="11">
        <v>2</v>
      </c>
      <c r="D72" t="s">
        <v>30</v>
      </c>
    </row>
    <row r="73" spans="1:4" x14ac:dyDescent="0.25">
      <c r="A73" s="10">
        <v>3</v>
      </c>
      <c r="B73" s="11">
        <v>1</v>
      </c>
    </row>
    <row r="74" spans="1:4" x14ac:dyDescent="0.25">
      <c r="A74" s="10">
        <v>1</v>
      </c>
      <c r="B74" s="11">
        <v>2</v>
      </c>
    </row>
    <row r="75" spans="1:4" x14ac:dyDescent="0.25">
      <c r="A75" s="10">
        <v>1</v>
      </c>
      <c r="B75" s="11">
        <v>1</v>
      </c>
      <c r="D75" s="9" t="s">
        <v>27</v>
      </c>
    </row>
    <row r="76" spans="1:4" x14ac:dyDescent="0.25">
      <c r="A76" s="10">
        <v>1</v>
      </c>
      <c r="B76" s="11">
        <v>2</v>
      </c>
    </row>
    <row r="77" spans="1:4" x14ac:dyDescent="0.25">
      <c r="A77" s="10">
        <v>1</v>
      </c>
      <c r="B77" s="11">
        <v>1</v>
      </c>
    </row>
    <row r="78" spans="1:4" x14ac:dyDescent="0.25">
      <c r="A78" s="10">
        <v>2</v>
      </c>
      <c r="B78" s="11">
        <v>3</v>
      </c>
    </row>
    <row r="79" spans="1:4" x14ac:dyDescent="0.25">
      <c r="A79" s="10">
        <v>1</v>
      </c>
      <c r="B79" s="11">
        <v>1</v>
      </c>
    </row>
    <row r="80" spans="1:4" x14ac:dyDescent="0.25">
      <c r="A80" s="10">
        <v>2</v>
      </c>
      <c r="B80" s="11">
        <v>2</v>
      </c>
    </row>
    <row r="81" spans="1:4" x14ac:dyDescent="0.25">
      <c r="A81" s="10">
        <v>1</v>
      </c>
      <c r="B81" s="11">
        <v>1</v>
      </c>
    </row>
    <row r="82" spans="1:4" x14ac:dyDescent="0.25">
      <c r="A82" s="10">
        <v>4</v>
      </c>
      <c r="B82" s="11">
        <v>2</v>
      </c>
      <c r="D82" t="s">
        <v>31</v>
      </c>
    </row>
    <row r="83" spans="1:4" x14ac:dyDescent="0.25">
      <c r="A83" s="10">
        <v>2</v>
      </c>
      <c r="B83" s="11">
        <v>1</v>
      </c>
      <c r="D83" t="s">
        <v>30</v>
      </c>
    </row>
    <row r="84" spans="1:4" x14ac:dyDescent="0.25">
      <c r="A84" s="10">
        <v>2</v>
      </c>
      <c r="B84" s="11">
        <v>2</v>
      </c>
      <c r="D84" t="s">
        <v>31</v>
      </c>
    </row>
    <row r="85" spans="1:4" x14ac:dyDescent="0.25">
      <c r="A85" s="10">
        <v>3</v>
      </c>
      <c r="B85" s="11">
        <v>1</v>
      </c>
      <c r="D85" t="s">
        <v>30</v>
      </c>
    </row>
    <row r="86" spans="1:4" x14ac:dyDescent="0.25">
      <c r="A86" s="10">
        <v>1</v>
      </c>
      <c r="B86" s="11">
        <v>2</v>
      </c>
    </row>
    <row r="87" spans="1:4" x14ac:dyDescent="0.25">
      <c r="A87" s="10">
        <v>2</v>
      </c>
      <c r="B87" s="11">
        <v>1</v>
      </c>
    </row>
    <row r="88" spans="1:4" x14ac:dyDescent="0.25">
      <c r="A88" s="10">
        <v>1</v>
      </c>
      <c r="B88" s="11">
        <v>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SatisfacciónModuloReportes</vt:lpstr>
      <vt:lpstr>FacilidadUsoModReportes</vt:lpstr>
      <vt:lpstr>TiempoGenerarReportesPagosCurso</vt:lpstr>
      <vt:lpstr>TiempoGenerarReportesPagosEstud</vt:lpstr>
      <vt:lpstr>SatisfaccionModuloPagos</vt:lpstr>
      <vt:lpstr>TiempoAccesoInfoPago</vt:lpstr>
      <vt:lpstr>FacilidadUsoModuloPagos</vt:lpstr>
      <vt:lpstr>TiempoRegistroPago</vt:lpstr>
      <vt:lpstr>SatisfacciónModuloInscripciones</vt:lpstr>
      <vt:lpstr>TiempoAccesoInfoInscripciones</vt:lpstr>
      <vt:lpstr>FacilidadUsoModuloInscripciones</vt:lpstr>
      <vt:lpstr>TiempoRegistroInscripcion</vt:lpstr>
      <vt:lpstr>SatisfaccionUsuarios</vt:lpstr>
      <vt:lpstr>TiempoAccesoInfUsuario</vt:lpstr>
      <vt:lpstr>FacilidadUsoModuloUsuario</vt:lpstr>
      <vt:lpstr>TiempoRegistroUsuario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2025-11-14T16:45:56Z</dcterms:modified>
</cp:coreProperties>
</file>
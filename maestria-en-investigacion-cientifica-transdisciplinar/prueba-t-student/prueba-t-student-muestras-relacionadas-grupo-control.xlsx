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5A42AF6A-BEA6-48D9-9442-D882DE682FA7}" xr6:coauthVersionLast="47" xr6:coauthVersionMax="47" xr10:uidLastSave="{00000000-0000-0000-0000-000000000000}"/>
  <bookViews>
    <workbookView xWindow="-120" yWindow="-120" windowWidth="20640" windowHeight="11310" firstSheet="13" activeTab="15" xr2:uid="{00000000-000D-0000-FFFF-FFFF00000000}"/>
  </bookViews>
  <sheets>
    <sheet name="SatisfacciónModuloReportes" sheetId="16" r:id="rId1"/>
    <sheet name="FacilidadUsoModReportes" sheetId="15" r:id="rId2"/>
    <sheet name="TiempoGenerarReportesPagosCurso" sheetId="14" r:id="rId3"/>
    <sheet name="TiempoGenerarReportesPagosEstud" sheetId="13" r:id="rId4"/>
    <sheet name="SatisfaccionModuloPagos" sheetId="12" r:id="rId5"/>
    <sheet name="TiempoAccesoInfoPago" sheetId="11" r:id="rId6"/>
    <sheet name="FacilidadUsoModuloPagos" sheetId="10" r:id="rId7"/>
    <sheet name="TiempoRegistroPago" sheetId="9" r:id="rId8"/>
    <sheet name="SatisfacciónModuloInscripciones" sheetId="8" r:id="rId9"/>
    <sheet name="TiempoAccesoInfoInscripciones" sheetId="7" r:id="rId10"/>
    <sheet name="FacilidadUsoModuloInscripciones" sheetId="6" r:id="rId11"/>
    <sheet name="TiempoRegistroInscripcion" sheetId="5" r:id="rId12"/>
    <sheet name="SatisfaccionUsuarios" sheetId="4" r:id="rId13"/>
    <sheet name="TiempoAccesoInfUsuario" sheetId="3" r:id="rId14"/>
    <sheet name="FacilidadUsoModuloUsuario" sheetId="2" r:id="rId15"/>
    <sheet name="TiempoRegistroUsuario" sheetId="1" r:id="rId16"/>
  </sheets>
  <calcPr calcId="191029"/>
</workbook>
</file>

<file path=xl/calcChain.xml><?xml version="1.0" encoding="utf-8"?>
<calcChain xmlns="http://schemas.openxmlformats.org/spreadsheetml/2006/main">
  <c r="C88" i="16" l="1"/>
  <c r="C87" i="16"/>
  <c r="C86" i="16"/>
  <c r="C85" i="16"/>
  <c r="C84" i="16"/>
  <c r="C83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G42" i="16"/>
  <c r="C42" i="16"/>
  <c r="G41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G18" i="16"/>
  <c r="G24" i="16" s="1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G5" i="16" l="1"/>
  <c r="G6" i="16" s="1"/>
  <c r="D12" i="16" s="1"/>
  <c r="G23" i="16"/>
  <c r="D50" i="16" l="1"/>
  <c r="D34" i="16"/>
  <c r="D10" i="16"/>
  <c r="D46" i="16"/>
  <c r="D66" i="16"/>
  <c r="D5" i="16"/>
  <c r="D26" i="16"/>
  <c r="D2" i="16"/>
  <c r="D40" i="16"/>
  <c r="D60" i="16"/>
  <c r="D51" i="16"/>
  <c r="D36" i="16"/>
  <c r="D87" i="16"/>
  <c r="D74" i="16"/>
  <c r="D32" i="16"/>
  <c r="D52" i="16"/>
  <c r="D43" i="16"/>
  <c r="D28" i="16"/>
  <c r="D47" i="16"/>
  <c r="D86" i="16"/>
  <c r="D24" i="16"/>
  <c r="D44" i="16"/>
  <c r="D37" i="16"/>
  <c r="D13" i="16"/>
  <c r="D41" i="16"/>
  <c r="D17" i="16"/>
  <c r="D42" i="16"/>
  <c r="D88" i="16"/>
  <c r="D33" i="16"/>
  <c r="D70" i="16"/>
  <c r="D58" i="16"/>
  <c r="D30" i="16"/>
  <c r="D21" i="16"/>
  <c r="D19" i="16"/>
  <c r="D29" i="16"/>
  <c r="D56" i="16"/>
  <c r="D25" i="16"/>
  <c r="D62" i="16"/>
  <c r="D23" i="16"/>
  <c r="D22" i="16"/>
  <c r="D6" i="16"/>
  <c r="D84" i="16"/>
  <c r="D80" i="16"/>
  <c r="D76" i="16"/>
  <c r="D72" i="16"/>
  <c r="D68" i="16"/>
  <c r="D64" i="16"/>
  <c r="D14" i="16"/>
  <c r="D39" i="16"/>
  <c r="D83" i="16"/>
  <c r="D79" i="16"/>
  <c r="D75" i="16"/>
  <c r="D71" i="16"/>
  <c r="D67" i="16"/>
  <c r="D63" i="16"/>
  <c r="D59" i="16"/>
  <c r="D55" i="16"/>
  <c r="D35" i="16"/>
  <c r="D27" i="16"/>
  <c r="D20" i="16"/>
  <c r="D9" i="16"/>
  <c r="D3" i="16"/>
  <c r="D15" i="16"/>
  <c r="D8" i="16"/>
  <c r="D31" i="16"/>
  <c r="D85" i="16"/>
  <c r="D81" i="16"/>
  <c r="D77" i="16"/>
  <c r="D73" i="16"/>
  <c r="D69" i="16"/>
  <c r="D65" i="16"/>
  <c r="D61" i="16"/>
  <c r="D57" i="16"/>
  <c r="D53" i="16"/>
  <c r="D49" i="16"/>
  <c r="D45" i="16"/>
  <c r="D78" i="16"/>
  <c r="D38" i="16"/>
  <c r="D48" i="16"/>
  <c r="D18" i="16"/>
  <c r="D54" i="16"/>
  <c r="D16" i="16"/>
  <c r="D7" i="16"/>
  <c r="D82" i="16"/>
  <c r="D4" i="16"/>
  <c r="D11" i="16"/>
  <c r="G7" i="16" l="1"/>
  <c r="G8" i="16" s="1"/>
  <c r="G12" i="16" s="1"/>
  <c r="C88" i="15" l="1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G42" i="15"/>
  <c r="C42" i="15"/>
  <c r="G41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G18" i="15"/>
  <c r="G24" i="15" s="1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G42" i="14"/>
  <c r="C42" i="14"/>
  <c r="G41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G23" i="14"/>
  <c r="C23" i="14"/>
  <c r="C22" i="14"/>
  <c r="C21" i="14"/>
  <c r="C20" i="14"/>
  <c r="C19" i="14"/>
  <c r="G18" i="14"/>
  <c r="G24" i="14" s="1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G42" i="13"/>
  <c r="C42" i="13"/>
  <c r="G41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G18" i="13"/>
  <c r="G24" i="13" s="1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G42" i="12"/>
  <c r="C42" i="12"/>
  <c r="G41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G23" i="12"/>
  <c r="C23" i="12"/>
  <c r="C22" i="12"/>
  <c r="C21" i="12"/>
  <c r="C20" i="12"/>
  <c r="C19" i="12"/>
  <c r="G18" i="12"/>
  <c r="G24" i="12" s="1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G42" i="11"/>
  <c r="C42" i="11"/>
  <c r="G41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G18" i="11"/>
  <c r="G24" i="11" s="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G42" i="10"/>
  <c r="C42" i="10"/>
  <c r="G41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G23" i="10"/>
  <c r="C23" i="10"/>
  <c r="C22" i="10"/>
  <c r="C21" i="10"/>
  <c r="C20" i="10"/>
  <c r="C19" i="10"/>
  <c r="G18" i="10"/>
  <c r="G24" i="10" s="1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G5" i="10" s="1"/>
  <c r="G6" i="10" s="1"/>
  <c r="C3" i="10"/>
  <c r="C2" i="10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G42" i="9"/>
  <c r="C42" i="9"/>
  <c r="G41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G18" i="9"/>
  <c r="G24" i="9" s="1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G42" i="8"/>
  <c r="C42" i="8"/>
  <c r="G41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G24" i="8"/>
  <c r="C24" i="8"/>
  <c r="G23" i="8"/>
  <c r="C23" i="8"/>
  <c r="C22" i="8"/>
  <c r="C21" i="8"/>
  <c r="C20" i="8"/>
  <c r="C19" i="8"/>
  <c r="G18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G42" i="7"/>
  <c r="C42" i="7"/>
  <c r="G41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G18" i="7"/>
  <c r="G24" i="7" s="1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G42" i="6"/>
  <c r="C42" i="6"/>
  <c r="G41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G18" i="6"/>
  <c r="G24" i="6" s="1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G5" i="6"/>
  <c r="G6" i="6" s="1"/>
  <c r="C5" i="6"/>
  <c r="C4" i="6"/>
  <c r="C3" i="6"/>
  <c r="C2" i="6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G42" i="5"/>
  <c r="C42" i="5"/>
  <c r="G41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G18" i="5"/>
  <c r="G24" i="5" s="1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G42" i="4"/>
  <c r="C42" i="4"/>
  <c r="G41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G23" i="4"/>
  <c r="C23" i="4"/>
  <c r="C22" i="4"/>
  <c r="C21" i="4"/>
  <c r="C20" i="4"/>
  <c r="C19" i="4"/>
  <c r="G18" i="4"/>
  <c r="G24" i="4" s="1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G5" i="4" s="1"/>
  <c r="G6" i="4" s="1"/>
  <c r="C2" i="4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G42" i="3"/>
  <c r="C42" i="3"/>
  <c r="G41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G18" i="3"/>
  <c r="G24" i="3" s="1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G42" i="2"/>
  <c r="C42" i="2"/>
  <c r="G41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G23" i="2"/>
  <c r="C23" i="2"/>
  <c r="C22" i="2"/>
  <c r="C21" i="2"/>
  <c r="C20" i="2"/>
  <c r="C19" i="2"/>
  <c r="G18" i="2"/>
  <c r="G24" i="2" s="1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G42" i="1"/>
  <c r="G5" i="15" l="1"/>
  <c r="G6" i="15" s="1"/>
  <c r="D13" i="15" s="1"/>
  <c r="G23" i="15"/>
  <c r="G5" i="14"/>
  <c r="G6" i="14" s="1"/>
  <c r="D73" i="14" s="1"/>
  <c r="G5" i="13"/>
  <c r="G6" i="13" s="1"/>
  <c r="D30" i="13" s="1"/>
  <c r="G23" i="13"/>
  <c r="G5" i="12"/>
  <c r="G6" i="12" s="1"/>
  <c r="D5" i="12" s="1"/>
  <c r="G5" i="11"/>
  <c r="G6" i="11" s="1"/>
  <c r="D49" i="11" s="1"/>
  <c r="G23" i="11"/>
  <c r="D5" i="10"/>
  <c r="D12" i="10"/>
  <c r="D19" i="10"/>
  <c r="D26" i="10"/>
  <c r="D34" i="10"/>
  <c r="D7" i="10"/>
  <c r="D22" i="10"/>
  <c r="D29" i="10"/>
  <c r="D37" i="10"/>
  <c r="D43" i="10"/>
  <c r="D51" i="10"/>
  <c r="D59" i="10"/>
  <c r="D67" i="10"/>
  <c r="D75" i="10"/>
  <c r="D83" i="10"/>
  <c r="D21" i="10"/>
  <c r="D58" i="10"/>
  <c r="D16" i="10"/>
  <c r="D23" i="10"/>
  <c r="D30" i="10"/>
  <c r="D38" i="10"/>
  <c r="D44" i="10"/>
  <c r="D52" i="10"/>
  <c r="D60" i="10"/>
  <c r="D68" i="10"/>
  <c r="D76" i="10"/>
  <c r="D28" i="10"/>
  <c r="D50" i="10"/>
  <c r="D6" i="10"/>
  <c r="D36" i="10"/>
  <c r="D66" i="10"/>
  <c r="D4" i="10"/>
  <c r="D11" i="10"/>
  <c r="D25" i="10"/>
  <c r="D33" i="10"/>
  <c r="D41" i="10"/>
  <c r="D47" i="10"/>
  <c r="D55" i="10"/>
  <c r="D63" i="10"/>
  <c r="D71" i="10"/>
  <c r="D79" i="10"/>
  <c r="D48" i="10"/>
  <c r="D56" i="10"/>
  <c r="D64" i="10"/>
  <c r="D72" i="10"/>
  <c r="D80" i="10"/>
  <c r="D88" i="10"/>
  <c r="D27" i="10"/>
  <c r="D73" i="10"/>
  <c r="D14" i="10"/>
  <c r="D31" i="10"/>
  <c r="D77" i="10"/>
  <c r="D53" i="10"/>
  <c r="D35" i="10"/>
  <c r="D81" i="10"/>
  <c r="D69" i="10"/>
  <c r="D61" i="10"/>
  <c r="D45" i="10"/>
  <c r="D15" i="10"/>
  <c r="D39" i="10"/>
  <c r="D85" i="10"/>
  <c r="D65" i="10"/>
  <c r="D57" i="10"/>
  <c r="D49" i="10"/>
  <c r="D8" i="10"/>
  <c r="D13" i="10"/>
  <c r="D20" i="10"/>
  <c r="D42" i="10"/>
  <c r="D74" i="10"/>
  <c r="D82" i="10"/>
  <c r="D84" i="10"/>
  <c r="D2" i="10"/>
  <c r="D9" i="10"/>
  <c r="D17" i="10"/>
  <c r="D3" i="10"/>
  <c r="D10" i="10"/>
  <c r="D18" i="10"/>
  <c r="D24" i="10"/>
  <c r="D32" i="10"/>
  <c r="D40" i="10"/>
  <c r="D46" i="10"/>
  <c r="D54" i="10"/>
  <c r="D62" i="10"/>
  <c r="D70" i="10"/>
  <c r="D78" i="10"/>
  <c r="D86" i="10"/>
  <c r="D87" i="10"/>
  <c r="G5" i="9"/>
  <c r="G6" i="9" s="1"/>
  <c r="D13" i="9" s="1"/>
  <c r="G23" i="9"/>
  <c r="G5" i="8"/>
  <c r="G6" i="8" s="1"/>
  <c r="D42" i="8" s="1"/>
  <c r="G5" i="7"/>
  <c r="G6" i="7" s="1"/>
  <c r="D65" i="7" s="1"/>
  <c r="D83" i="7"/>
  <c r="D9" i="7"/>
  <c r="D39" i="7"/>
  <c r="D72" i="7"/>
  <c r="G23" i="7"/>
  <c r="D4" i="6"/>
  <c r="D11" i="6"/>
  <c r="D5" i="6"/>
  <c r="D12" i="6"/>
  <c r="D19" i="6"/>
  <c r="D42" i="6"/>
  <c r="D49" i="6"/>
  <c r="D57" i="6"/>
  <c r="D65" i="6"/>
  <c r="D73" i="6"/>
  <c r="D81" i="6"/>
  <c r="D36" i="6"/>
  <c r="D43" i="6"/>
  <c r="D83" i="6"/>
  <c r="D13" i="6"/>
  <c r="D21" i="6"/>
  <c r="D51" i="6"/>
  <c r="D7" i="6"/>
  <c r="D22" i="6"/>
  <c r="D30" i="6"/>
  <c r="D38" i="6"/>
  <c r="D44" i="6"/>
  <c r="D52" i="6"/>
  <c r="D60" i="6"/>
  <c r="D68" i="6"/>
  <c r="D76" i="6"/>
  <c r="D84" i="6"/>
  <c r="D28" i="6"/>
  <c r="D6" i="6"/>
  <c r="D29" i="6"/>
  <c r="D75" i="6"/>
  <c r="D16" i="6"/>
  <c r="D23" i="6"/>
  <c r="D45" i="6"/>
  <c r="D53" i="6"/>
  <c r="D61" i="6"/>
  <c r="D69" i="6"/>
  <c r="D77" i="6"/>
  <c r="D85" i="6"/>
  <c r="D27" i="6"/>
  <c r="D3" i="6"/>
  <c r="D31" i="6"/>
  <c r="D20" i="6"/>
  <c r="D9" i="6"/>
  <c r="D39" i="6"/>
  <c r="D35" i="6"/>
  <c r="D8" i="6"/>
  <c r="D82" i="6"/>
  <c r="D78" i="6"/>
  <c r="D74" i="6"/>
  <c r="D70" i="6"/>
  <c r="D66" i="6"/>
  <c r="D62" i="6"/>
  <c r="D58" i="6"/>
  <c r="D54" i="6"/>
  <c r="D50" i="6"/>
  <c r="D46" i="6"/>
  <c r="D15" i="6"/>
  <c r="D59" i="6"/>
  <c r="D2" i="6"/>
  <c r="D24" i="6"/>
  <c r="D32" i="6"/>
  <c r="D40" i="6"/>
  <c r="D86" i="6"/>
  <c r="D14" i="6"/>
  <c r="D37" i="6"/>
  <c r="D67" i="6"/>
  <c r="D17" i="6"/>
  <c r="D10" i="6"/>
  <c r="D18" i="6"/>
  <c r="D25" i="6"/>
  <c r="D33" i="6"/>
  <c r="D41" i="6"/>
  <c r="D47" i="6"/>
  <c r="D55" i="6"/>
  <c r="D63" i="6"/>
  <c r="D71" i="6"/>
  <c r="D79" i="6"/>
  <c r="D87" i="6"/>
  <c r="D26" i="6"/>
  <c r="D34" i="6"/>
  <c r="D48" i="6"/>
  <c r="D56" i="6"/>
  <c r="D64" i="6"/>
  <c r="D72" i="6"/>
  <c r="D80" i="6"/>
  <c r="D88" i="6"/>
  <c r="G23" i="6"/>
  <c r="G5" i="5"/>
  <c r="G6" i="5" s="1"/>
  <c r="D23" i="5" s="1"/>
  <c r="D12" i="5"/>
  <c r="D13" i="5"/>
  <c r="D28" i="5"/>
  <c r="D6" i="5"/>
  <c r="D14" i="5"/>
  <c r="D21" i="5"/>
  <c r="D29" i="5"/>
  <c r="D37" i="5"/>
  <c r="D43" i="5"/>
  <c r="D51" i="5"/>
  <c r="D4" i="5"/>
  <c r="D19" i="5"/>
  <c r="D5" i="5"/>
  <c r="D36" i="5"/>
  <c r="D50" i="5"/>
  <c r="D7" i="5"/>
  <c r="D22" i="5"/>
  <c r="D30" i="5"/>
  <c r="D38" i="5"/>
  <c r="D44" i="5"/>
  <c r="D52" i="5"/>
  <c r="D60" i="5"/>
  <c r="D11" i="5"/>
  <c r="D42" i="5"/>
  <c r="D16" i="5"/>
  <c r="D17" i="5"/>
  <c r="D24" i="5"/>
  <c r="D32" i="5"/>
  <c r="D40" i="5"/>
  <c r="D46" i="5"/>
  <c r="D54" i="5"/>
  <c r="D86" i="5"/>
  <c r="D84" i="5"/>
  <c r="D80" i="5"/>
  <c r="D76" i="5"/>
  <c r="D72" i="5"/>
  <c r="D68" i="5"/>
  <c r="D27" i="5"/>
  <c r="D3" i="5"/>
  <c r="D53" i="5"/>
  <c r="D31" i="5"/>
  <c r="D49" i="5"/>
  <c r="D15" i="5"/>
  <c r="D83" i="5"/>
  <c r="D79" i="5"/>
  <c r="D75" i="5"/>
  <c r="D71" i="5"/>
  <c r="D67" i="5"/>
  <c r="D63" i="5"/>
  <c r="D59" i="5"/>
  <c r="D35" i="5"/>
  <c r="D20" i="5"/>
  <c r="D9" i="5"/>
  <c r="D39" i="5"/>
  <c r="D82" i="5"/>
  <c r="D78" i="5"/>
  <c r="D74" i="5"/>
  <c r="D70" i="5"/>
  <c r="D66" i="5"/>
  <c r="D62" i="5"/>
  <c r="D58" i="5"/>
  <c r="D85" i="5"/>
  <c r="D81" i="5"/>
  <c r="D77" i="5"/>
  <c r="D73" i="5"/>
  <c r="D69" i="5"/>
  <c r="D65" i="5"/>
  <c r="D61" i="5"/>
  <c r="D57" i="5"/>
  <c r="D45" i="5"/>
  <c r="D8" i="5"/>
  <c r="D10" i="5"/>
  <c r="D18" i="5"/>
  <c r="D25" i="5"/>
  <c r="D33" i="5"/>
  <c r="D41" i="5"/>
  <c r="D47" i="5"/>
  <c r="D55" i="5"/>
  <c r="D87" i="5"/>
  <c r="D26" i="5"/>
  <c r="D34" i="5"/>
  <c r="D48" i="5"/>
  <c r="D56" i="5"/>
  <c r="D64" i="5"/>
  <c r="D88" i="5"/>
  <c r="G23" i="5"/>
  <c r="D2" i="5"/>
  <c r="D19" i="4"/>
  <c r="D6" i="4"/>
  <c r="D22" i="4"/>
  <c r="D37" i="4"/>
  <c r="D51" i="4"/>
  <c r="D59" i="4"/>
  <c r="D67" i="4"/>
  <c r="D75" i="4"/>
  <c r="D83" i="4"/>
  <c r="D21" i="4"/>
  <c r="D7" i="4"/>
  <c r="D30" i="4"/>
  <c r="D44" i="4"/>
  <c r="D60" i="4"/>
  <c r="D68" i="4"/>
  <c r="D76" i="4"/>
  <c r="D84" i="4"/>
  <c r="D34" i="4"/>
  <c r="D28" i="4"/>
  <c r="D43" i="4"/>
  <c r="D16" i="4"/>
  <c r="D38" i="4"/>
  <c r="D2" i="4"/>
  <c r="D17" i="4"/>
  <c r="D12" i="4"/>
  <c r="D36" i="4"/>
  <c r="D29" i="4"/>
  <c r="D23" i="4"/>
  <c r="D52" i="4"/>
  <c r="D9" i="4"/>
  <c r="D5" i="4"/>
  <c r="D26" i="4"/>
  <c r="D4" i="4"/>
  <c r="D11" i="4"/>
  <c r="D25" i="4"/>
  <c r="D33" i="4"/>
  <c r="D41" i="4"/>
  <c r="D47" i="4"/>
  <c r="D55" i="4"/>
  <c r="D63" i="4"/>
  <c r="D71" i="4"/>
  <c r="D79" i="4"/>
  <c r="D87" i="4"/>
  <c r="D48" i="4"/>
  <c r="D56" i="4"/>
  <c r="D64" i="4"/>
  <c r="D72" i="4"/>
  <c r="D80" i="4"/>
  <c r="D88" i="4"/>
  <c r="D77" i="4"/>
  <c r="D65" i="4"/>
  <c r="D49" i="4"/>
  <c r="D18" i="4"/>
  <c r="D14" i="4"/>
  <c r="D81" i="4"/>
  <c r="D69" i="4"/>
  <c r="D53" i="4"/>
  <c r="D8" i="4"/>
  <c r="D35" i="4"/>
  <c r="D85" i="4"/>
  <c r="D57" i="4"/>
  <c r="D39" i="4"/>
  <c r="D31" i="4"/>
  <c r="D27" i="4"/>
  <c r="D73" i="4"/>
  <c r="D61" i="4"/>
  <c r="D45" i="4"/>
  <c r="D15" i="4"/>
  <c r="D82" i="4"/>
  <c r="D78" i="4"/>
  <c r="D74" i="4"/>
  <c r="D70" i="4"/>
  <c r="D66" i="4"/>
  <c r="D62" i="4"/>
  <c r="D58" i="4"/>
  <c r="D54" i="4"/>
  <c r="D50" i="4"/>
  <c r="D46" i="4"/>
  <c r="D13" i="4"/>
  <c r="D20" i="4"/>
  <c r="D42" i="4"/>
  <c r="D3" i="4"/>
  <c r="D10" i="4"/>
  <c r="D24" i="4"/>
  <c r="D32" i="4"/>
  <c r="D40" i="4"/>
  <c r="D86" i="4"/>
  <c r="G5" i="3"/>
  <c r="G6" i="3" s="1"/>
  <c r="D40" i="3" s="1"/>
  <c r="G23" i="3"/>
  <c r="G5" i="2"/>
  <c r="G6" i="2" s="1"/>
  <c r="D64" i="2" s="1"/>
  <c r="D42" i="2"/>
  <c r="D38" i="2"/>
  <c r="D84" i="2"/>
  <c r="D76" i="2"/>
  <c r="D60" i="2"/>
  <c r="D56" i="2"/>
  <c r="D52" i="2"/>
  <c r="D81" i="2"/>
  <c r="D61" i="2"/>
  <c r="D45" i="2"/>
  <c r="D83" i="2"/>
  <c r="D63" i="2"/>
  <c r="D59" i="2"/>
  <c r="D55" i="2"/>
  <c r="D51" i="2"/>
  <c r="D32" i="2"/>
  <c r="D21" i="2"/>
  <c r="D10" i="2"/>
  <c r="D7" i="2"/>
  <c r="D49" i="2"/>
  <c r="D77" i="2"/>
  <c r="D73" i="2"/>
  <c r="D65" i="2"/>
  <c r="D6" i="2"/>
  <c r="D50" i="2"/>
  <c r="D66" i="2"/>
  <c r="D74" i="2"/>
  <c r="D25" i="2"/>
  <c r="D87" i="2"/>
  <c r="D5" i="2"/>
  <c r="D26" i="2"/>
  <c r="D16" i="2"/>
  <c r="D23" i="2"/>
  <c r="D30" i="2"/>
  <c r="D2" i="2"/>
  <c r="D33" i="2"/>
  <c r="D12" i="2"/>
  <c r="D19" i="2"/>
  <c r="D34" i="2"/>
  <c r="D28" i="2"/>
  <c r="D18" i="2"/>
  <c r="D24" i="2"/>
  <c r="D46" i="2"/>
  <c r="D54" i="2"/>
  <c r="D78" i="2"/>
  <c r="G41" i="1"/>
  <c r="D82" i="13" l="1"/>
  <c r="D71" i="13"/>
  <c r="D50" i="13"/>
  <c r="D11" i="13"/>
  <c r="D48" i="13"/>
  <c r="D71" i="15"/>
  <c r="D40" i="15"/>
  <c r="D30" i="15"/>
  <c r="D43" i="15"/>
  <c r="D63" i="15"/>
  <c r="D32" i="15"/>
  <c r="D7" i="15"/>
  <c r="D21" i="15"/>
  <c r="D55" i="15"/>
  <c r="D24" i="15"/>
  <c r="D4" i="15"/>
  <c r="D14" i="15"/>
  <c r="D23" i="15"/>
  <c r="D75" i="15"/>
  <c r="D36" i="15"/>
  <c r="D47" i="15"/>
  <c r="D6" i="15"/>
  <c r="D34" i="15"/>
  <c r="D26" i="15"/>
  <c r="D10" i="15"/>
  <c r="D16" i="15"/>
  <c r="D67" i="15"/>
  <c r="D28" i="15"/>
  <c r="D17" i="15"/>
  <c r="D87" i="15"/>
  <c r="D2" i="15"/>
  <c r="D12" i="15"/>
  <c r="D59" i="15"/>
  <c r="D88" i="15"/>
  <c r="D84" i="15"/>
  <c r="D80" i="15"/>
  <c r="D76" i="15"/>
  <c r="D72" i="15"/>
  <c r="D68" i="15"/>
  <c r="D64" i="15"/>
  <c r="D60" i="15"/>
  <c r="D56" i="15"/>
  <c r="D52" i="15"/>
  <c r="D48" i="15"/>
  <c r="D44" i="15"/>
  <c r="D41" i="15"/>
  <c r="D37" i="15"/>
  <c r="D33" i="15"/>
  <c r="D29" i="15"/>
  <c r="D25" i="15"/>
  <c r="D22" i="15"/>
  <c r="D11" i="15"/>
  <c r="D5" i="15"/>
  <c r="D27" i="15"/>
  <c r="D35" i="15"/>
  <c r="D20" i="15"/>
  <c r="D15" i="15"/>
  <c r="D8" i="15"/>
  <c r="D31" i="15"/>
  <c r="D39" i="15"/>
  <c r="D9" i="15"/>
  <c r="D3" i="15"/>
  <c r="D86" i="15"/>
  <c r="D82" i="15"/>
  <c r="D78" i="15"/>
  <c r="D74" i="15"/>
  <c r="D70" i="15"/>
  <c r="D66" i="15"/>
  <c r="D62" i="15"/>
  <c r="D58" i="15"/>
  <c r="D54" i="15"/>
  <c r="D50" i="15"/>
  <c r="D46" i="15"/>
  <c r="D85" i="15"/>
  <c r="D81" i="15"/>
  <c r="D77" i="15"/>
  <c r="D73" i="15"/>
  <c r="D69" i="15"/>
  <c r="D65" i="15"/>
  <c r="D61" i="15"/>
  <c r="D57" i="15"/>
  <c r="D53" i="15"/>
  <c r="D49" i="15"/>
  <c r="D45" i="15"/>
  <c r="D83" i="15"/>
  <c r="D18" i="15"/>
  <c r="D79" i="15"/>
  <c r="D42" i="15"/>
  <c r="D38" i="15"/>
  <c r="D51" i="15"/>
  <c r="D19" i="15"/>
  <c r="D15" i="14"/>
  <c r="D63" i="14"/>
  <c r="D59" i="14"/>
  <c r="D2" i="14"/>
  <c r="D26" i="14"/>
  <c r="D47" i="14"/>
  <c r="D50" i="14"/>
  <c r="D82" i="14"/>
  <c r="D85" i="14"/>
  <c r="D3" i="14"/>
  <c r="D45" i="14"/>
  <c r="D84" i="14"/>
  <c r="D23" i="14"/>
  <c r="D43" i="14"/>
  <c r="D25" i="14"/>
  <c r="D88" i="14"/>
  <c r="D19" i="14"/>
  <c r="D40" i="14"/>
  <c r="D54" i="14"/>
  <c r="D86" i="14"/>
  <c r="D77" i="14"/>
  <c r="D65" i="14"/>
  <c r="D17" i="14"/>
  <c r="D76" i="14"/>
  <c r="D16" i="14"/>
  <c r="D37" i="14"/>
  <c r="D8" i="14"/>
  <c r="D80" i="14"/>
  <c r="D12" i="14"/>
  <c r="D58" i="14"/>
  <c r="D27" i="14"/>
  <c r="D81" i="14"/>
  <c r="D49" i="14"/>
  <c r="D9" i="14"/>
  <c r="D68" i="14"/>
  <c r="D21" i="14"/>
  <c r="D29" i="14"/>
  <c r="D66" i="14"/>
  <c r="D61" i="14"/>
  <c r="D32" i="14"/>
  <c r="D72" i="14"/>
  <c r="D4" i="14"/>
  <c r="D24" i="14"/>
  <c r="D62" i="14"/>
  <c r="D39" i="14"/>
  <c r="D55" i="14"/>
  <c r="D13" i="14"/>
  <c r="D28" i="14"/>
  <c r="D60" i="14"/>
  <c r="D83" i="14"/>
  <c r="D22" i="14"/>
  <c r="D52" i="14"/>
  <c r="D75" i="14"/>
  <c r="D7" i="14"/>
  <c r="D64" i="14"/>
  <c r="D87" i="14"/>
  <c r="D18" i="14"/>
  <c r="D41" i="14"/>
  <c r="D57" i="14"/>
  <c r="D56" i="14"/>
  <c r="D71" i="14"/>
  <c r="D10" i="14"/>
  <c r="D70" i="14"/>
  <c r="D35" i="14"/>
  <c r="D33" i="14"/>
  <c r="D69" i="14"/>
  <c r="D42" i="14"/>
  <c r="D44" i="14"/>
  <c r="D67" i="14"/>
  <c r="D36" i="14"/>
  <c r="D48" i="14"/>
  <c r="D14" i="14"/>
  <c r="D20" i="14"/>
  <c r="D38" i="14"/>
  <c r="D6" i="14"/>
  <c r="D74" i="14"/>
  <c r="D34" i="14"/>
  <c r="D79" i="14"/>
  <c r="D46" i="14"/>
  <c r="D78" i="14"/>
  <c r="D31" i="14"/>
  <c r="D11" i="14"/>
  <c r="D53" i="14"/>
  <c r="D5" i="14"/>
  <c r="D30" i="14"/>
  <c r="D51" i="14"/>
  <c r="D34" i="13"/>
  <c r="D10" i="13"/>
  <c r="D70" i="13"/>
  <c r="D37" i="13"/>
  <c r="D40" i="13"/>
  <c r="D45" i="13"/>
  <c r="D21" i="13"/>
  <c r="D19" i="13"/>
  <c r="D5" i="13"/>
  <c r="D8" i="13"/>
  <c r="D74" i="13"/>
  <c r="D27" i="13"/>
  <c r="D41" i="13"/>
  <c r="D32" i="13"/>
  <c r="D16" i="13"/>
  <c r="D14" i="13"/>
  <c r="D12" i="13"/>
  <c r="D79" i="13"/>
  <c r="D15" i="13"/>
  <c r="D78" i="13"/>
  <c r="D31" i="13"/>
  <c r="D44" i="13"/>
  <c r="D76" i="13"/>
  <c r="D17" i="13"/>
  <c r="D38" i="13"/>
  <c r="D6" i="13"/>
  <c r="D4" i="13"/>
  <c r="D81" i="13"/>
  <c r="D80" i="13"/>
  <c r="D85" i="13"/>
  <c r="D83" i="13"/>
  <c r="D52" i="13"/>
  <c r="D63" i="13"/>
  <c r="D54" i="13"/>
  <c r="D39" i="13"/>
  <c r="D22" i="13"/>
  <c r="D84" i="13"/>
  <c r="D77" i="13"/>
  <c r="D75" i="13"/>
  <c r="D73" i="13"/>
  <c r="D13" i="13"/>
  <c r="D55" i="13"/>
  <c r="D58" i="13"/>
  <c r="D3" i="13"/>
  <c r="D25" i="13"/>
  <c r="D56" i="13"/>
  <c r="D88" i="13"/>
  <c r="D69" i="13"/>
  <c r="D67" i="13"/>
  <c r="D65" i="13"/>
  <c r="D36" i="13"/>
  <c r="D47" i="13"/>
  <c r="D62" i="13"/>
  <c r="D35" i="13"/>
  <c r="D29" i="13"/>
  <c r="D60" i="13"/>
  <c r="D86" i="13"/>
  <c r="D61" i="13"/>
  <c r="D59" i="13"/>
  <c r="D57" i="13"/>
  <c r="D7" i="13"/>
  <c r="D2" i="13"/>
  <c r="D18" i="13"/>
  <c r="D66" i="13"/>
  <c r="D9" i="13"/>
  <c r="D33" i="13"/>
  <c r="D64" i="13"/>
  <c r="D46" i="13"/>
  <c r="D53" i="13"/>
  <c r="D51" i="13"/>
  <c r="D42" i="13"/>
  <c r="D28" i="13"/>
  <c r="D68" i="13"/>
  <c r="D20" i="13"/>
  <c r="D87" i="13"/>
  <c r="D72" i="13"/>
  <c r="D26" i="13"/>
  <c r="D24" i="13"/>
  <c r="D23" i="13"/>
  <c r="D43" i="13"/>
  <c r="D49" i="13"/>
  <c r="D2" i="12"/>
  <c r="D26" i="12"/>
  <c r="D6" i="12"/>
  <c r="D85" i="12"/>
  <c r="D84" i="12"/>
  <c r="D23" i="12"/>
  <c r="D21" i="12"/>
  <c r="D67" i="12"/>
  <c r="D81" i="12"/>
  <c r="D88" i="12"/>
  <c r="D19" i="12"/>
  <c r="D46" i="12"/>
  <c r="D16" i="12"/>
  <c r="D77" i="12"/>
  <c r="D76" i="12"/>
  <c r="D82" i="12"/>
  <c r="D87" i="12"/>
  <c r="D25" i="12"/>
  <c r="D59" i="12"/>
  <c r="D65" i="12"/>
  <c r="D80" i="12"/>
  <c r="D40" i="12"/>
  <c r="D68" i="12"/>
  <c r="D79" i="12"/>
  <c r="D11" i="12"/>
  <c r="D57" i="12"/>
  <c r="D54" i="12"/>
  <c r="D33" i="12"/>
  <c r="D12" i="12"/>
  <c r="D39" i="12"/>
  <c r="D69" i="12"/>
  <c r="D74" i="12"/>
  <c r="D51" i="12"/>
  <c r="D72" i="12"/>
  <c r="D4" i="12"/>
  <c r="D32" i="12"/>
  <c r="D15" i="12"/>
  <c r="D61" i="12"/>
  <c r="D60" i="12"/>
  <c r="D66" i="12"/>
  <c r="D71" i="12"/>
  <c r="D3" i="12"/>
  <c r="D43" i="12"/>
  <c r="D49" i="12"/>
  <c r="D64" i="12"/>
  <c r="D24" i="12"/>
  <c r="D35" i="12"/>
  <c r="D53" i="12"/>
  <c r="D52" i="12"/>
  <c r="D58" i="12"/>
  <c r="D63" i="12"/>
  <c r="D37" i="12"/>
  <c r="D42" i="12"/>
  <c r="D56" i="12"/>
  <c r="D78" i="12"/>
  <c r="D18" i="12"/>
  <c r="D31" i="12"/>
  <c r="D45" i="12"/>
  <c r="D44" i="12"/>
  <c r="D50" i="12"/>
  <c r="D55" i="12"/>
  <c r="D73" i="12"/>
  <c r="D29" i="12"/>
  <c r="D20" i="12"/>
  <c r="D70" i="12"/>
  <c r="D14" i="12"/>
  <c r="D47" i="12"/>
  <c r="D13" i="12"/>
  <c r="D86" i="12"/>
  <c r="D48" i="12"/>
  <c r="D10" i="12"/>
  <c r="D17" i="12"/>
  <c r="D38" i="12"/>
  <c r="D36" i="12"/>
  <c r="D83" i="12"/>
  <c r="D22" i="12"/>
  <c r="D34" i="12"/>
  <c r="D62" i="12"/>
  <c r="D8" i="12"/>
  <c r="D27" i="12"/>
  <c r="D9" i="12"/>
  <c r="D30" i="12"/>
  <c r="D28" i="12"/>
  <c r="D41" i="12"/>
  <c r="D75" i="12"/>
  <c r="D7" i="12"/>
  <c r="D80" i="11"/>
  <c r="D25" i="11"/>
  <c r="D53" i="11"/>
  <c r="D72" i="11"/>
  <c r="D10" i="11"/>
  <c r="D23" i="11"/>
  <c r="D56" i="11"/>
  <c r="D21" i="11"/>
  <c r="D84" i="11"/>
  <c r="D48" i="11"/>
  <c r="D78" i="11"/>
  <c r="D38" i="11"/>
  <c r="D34" i="11"/>
  <c r="D62" i="11"/>
  <c r="D22" i="11"/>
  <c r="D87" i="11"/>
  <c r="D32" i="11"/>
  <c r="D66" i="11"/>
  <c r="D47" i="11"/>
  <c r="D17" i="11"/>
  <c r="D50" i="11"/>
  <c r="D88" i="11"/>
  <c r="D41" i="11"/>
  <c r="D85" i="11"/>
  <c r="D81" i="11"/>
  <c r="D64" i="11"/>
  <c r="D33" i="11"/>
  <c r="D70" i="11"/>
  <c r="D37" i="11"/>
  <c r="D43" i="11"/>
  <c r="D30" i="11"/>
  <c r="D58" i="11"/>
  <c r="D73" i="11"/>
  <c r="D65" i="11"/>
  <c r="D18" i="11"/>
  <c r="D54" i="11"/>
  <c r="D77" i="11"/>
  <c r="D76" i="11"/>
  <c r="D7" i="11"/>
  <c r="D36" i="11"/>
  <c r="D57" i="11"/>
  <c r="D46" i="11"/>
  <c r="D69" i="11"/>
  <c r="D68" i="11"/>
  <c r="D29" i="11"/>
  <c r="D28" i="11"/>
  <c r="D31" i="11"/>
  <c r="D14" i="11"/>
  <c r="D27" i="11"/>
  <c r="D3" i="11"/>
  <c r="D83" i="11"/>
  <c r="D79" i="11"/>
  <c r="D75" i="11"/>
  <c r="D71" i="11"/>
  <c r="D67" i="11"/>
  <c r="D63" i="11"/>
  <c r="D59" i="11"/>
  <c r="D55" i="11"/>
  <c r="D35" i="11"/>
  <c r="D20" i="11"/>
  <c r="D9" i="11"/>
  <c r="D39" i="11"/>
  <c r="D16" i="11"/>
  <c r="D6" i="11"/>
  <c r="D15" i="11"/>
  <c r="D8" i="11"/>
  <c r="D26" i="11"/>
  <c r="D2" i="11"/>
  <c r="D40" i="11"/>
  <c r="D61" i="11"/>
  <c r="D60" i="11"/>
  <c r="D51" i="11"/>
  <c r="D13" i="11"/>
  <c r="D42" i="11"/>
  <c r="D52" i="11"/>
  <c r="D82" i="11"/>
  <c r="D5" i="11"/>
  <c r="D19" i="11"/>
  <c r="D86" i="11"/>
  <c r="D24" i="11"/>
  <c r="D45" i="11"/>
  <c r="D44" i="11"/>
  <c r="D74" i="11"/>
  <c r="D11" i="11"/>
  <c r="D12" i="11"/>
  <c r="D4" i="11"/>
  <c r="G7" i="10"/>
  <c r="G8" i="10" s="1"/>
  <c r="G12" i="10" s="1"/>
  <c r="D16" i="9"/>
  <c r="D47" i="9"/>
  <c r="D18" i="9"/>
  <c r="D2" i="9"/>
  <c r="D43" i="9"/>
  <c r="D28" i="9"/>
  <c r="D88" i="9"/>
  <c r="D84" i="9"/>
  <c r="D80" i="9"/>
  <c r="D76" i="9"/>
  <c r="D72" i="9"/>
  <c r="D68" i="9"/>
  <c r="D64" i="9"/>
  <c r="D60" i="9"/>
  <c r="D56" i="9"/>
  <c r="D52" i="9"/>
  <c r="D48" i="9"/>
  <c r="D44" i="9"/>
  <c r="D41" i="9"/>
  <c r="D37" i="9"/>
  <c r="D33" i="9"/>
  <c r="D29" i="9"/>
  <c r="D25" i="9"/>
  <c r="D22" i="9"/>
  <c r="D11" i="9"/>
  <c r="D5" i="9"/>
  <c r="D27" i="9"/>
  <c r="D31" i="9"/>
  <c r="D20" i="9"/>
  <c r="D9" i="9"/>
  <c r="D3" i="9"/>
  <c r="D15" i="9"/>
  <c r="D8" i="9"/>
  <c r="D83" i="9"/>
  <c r="D79" i="9"/>
  <c r="D75" i="9"/>
  <c r="D71" i="9"/>
  <c r="D67" i="9"/>
  <c r="D63" i="9"/>
  <c r="D59" i="9"/>
  <c r="D10" i="9"/>
  <c r="D7" i="9"/>
  <c r="D4" i="9"/>
  <c r="D35" i="9"/>
  <c r="D39" i="9"/>
  <c r="D86" i="9"/>
  <c r="D82" i="9"/>
  <c r="D78" i="9"/>
  <c r="D74" i="9"/>
  <c r="D70" i="9"/>
  <c r="D66" i="9"/>
  <c r="D62" i="9"/>
  <c r="D58" i="9"/>
  <c r="D54" i="9"/>
  <c r="D50" i="9"/>
  <c r="D46" i="9"/>
  <c r="D85" i="9"/>
  <c r="D81" i="9"/>
  <c r="D77" i="9"/>
  <c r="D73" i="9"/>
  <c r="D69" i="9"/>
  <c r="D65" i="9"/>
  <c r="D61" i="9"/>
  <c r="D57" i="9"/>
  <c r="D53" i="9"/>
  <c r="D49" i="9"/>
  <c r="D45" i="9"/>
  <c r="D32" i="9"/>
  <c r="D38" i="9"/>
  <c r="D19" i="9"/>
  <c r="D34" i="9"/>
  <c r="D24" i="9"/>
  <c r="D14" i="9"/>
  <c r="D12" i="9"/>
  <c r="D26" i="9"/>
  <c r="D17" i="9"/>
  <c r="D51" i="9"/>
  <c r="D55" i="9"/>
  <c r="D87" i="9"/>
  <c r="D23" i="9"/>
  <c r="D21" i="9"/>
  <c r="D30" i="9"/>
  <c r="D36" i="9"/>
  <c r="D40" i="9"/>
  <c r="D6" i="9"/>
  <c r="D42" i="9"/>
  <c r="D86" i="8"/>
  <c r="D16" i="8"/>
  <c r="D80" i="8"/>
  <c r="D64" i="8"/>
  <c r="D5" i="8"/>
  <c r="D12" i="8"/>
  <c r="D13" i="8"/>
  <c r="D3" i="8"/>
  <c r="D29" i="8"/>
  <c r="D84" i="8"/>
  <c r="D22" i="8"/>
  <c r="D76" i="8"/>
  <c r="D68" i="8"/>
  <c r="D72" i="8"/>
  <c r="D74" i="8"/>
  <c r="D17" i="8"/>
  <c r="D9" i="8"/>
  <c r="D56" i="8"/>
  <c r="D11" i="8"/>
  <c r="D82" i="8"/>
  <c r="D78" i="8"/>
  <c r="D58" i="8"/>
  <c r="D60" i="8"/>
  <c r="D37" i="8"/>
  <c r="D48" i="8"/>
  <c r="D41" i="8"/>
  <c r="D70" i="8"/>
  <c r="D24" i="8"/>
  <c r="D52" i="8"/>
  <c r="D50" i="8"/>
  <c r="D34" i="8"/>
  <c r="D33" i="8"/>
  <c r="D62" i="8"/>
  <c r="D18" i="8"/>
  <c r="D44" i="8"/>
  <c r="D10" i="8"/>
  <c r="D7" i="8"/>
  <c r="D4" i="8"/>
  <c r="D35" i="8"/>
  <c r="D31" i="8"/>
  <c r="D27" i="8"/>
  <c r="D85" i="8"/>
  <c r="D81" i="8"/>
  <c r="D77" i="8"/>
  <c r="D73" i="8"/>
  <c r="D65" i="8"/>
  <c r="D61" i="8"/>
  <c r="D57" i="8"/>
  <c r="D53" i="8"/>
  <c r="D49" i="8"/>
  <c r="D45" i="8"/>
  <c r="D15" i="8"/>
  <c r="D8" i="8"/>
  <c r="D21" i="8"/>
  <c r="D69" i="8"/>
  <c r="D87" i="8"/>
  <c r="D83" i="8"/>
  <c r="D79" i="8"/>
  <c r="D75" i="8"/>
  <c r="D71" i="8"/>
  <c r="D67" i="8"/>
  <c r="D63" i="8"/>
  <c r="D59" i="8"/>
  <c r="D55" i="8"/>
  <c r="D51" i="8"/>
  <c r="D47" i="8"/>
  <c r="D43" i="8"/>
  <c r="D40" i="8"/>
  <c r="D36" i="8"/>
  <c r="D32" i="8"/>
  <c r="D28" i="8"/>
  <c r="D39" i="8"/>
  <c r="D23" i="8"/>
  <c r="D26" i="8"/>
  <c r="D25" i="8"/>
  <c r="D54" i="8"/>
  <c r="D2" i="8"/>
  <c r="D38" i="8"/>
  <c r="D14" i="8"/>
  <c r="D88" i="8"/>
  <c r="D20" i="8"/>
  <c r="D19" i="8"/>
  <c r="D46" i="8"/>
  <c r="D66" i="8"/>
  <c r="D30" i="8"/>
  <c r="D6" i="8"/>
  <c r="D71" i="7"/>
  <c r="D88" i="7"/>
  <c r="D18" i="7"/>
  <c r="D69" i="7"/>
  <c r="D34" i="7"/>
  <c r="D78" i="7"/>
  <c r="D59" i="7"/>
  <c r="D87" i="7"/>
  <c r="D46" i="7"/>
  <c r="D21" i="7"/>
  <c r="D79" i="7"/>
  <c r="D86" i="7"/>
  <c r="D28" i="7"/>
  <c r="D41" i="7"/>
  <c r="D84" i="7"/>
  <c r="D12" i="7"/>
  <c r="D2" i="7"/>
  <c r="D25" i="7"/>
  <c r="D53" i="7"/>
  <c r="D52" i="7"/>
  <c r="D62" i="7"/>
  <c r="D66" i="7"/>
  <c r="D80" i="7"/>
  <c r="D77" i="7"/>
  <c r="D67" i="7"/>
  <c r="D36" i="7"/>
  <c r="D42" i="7"/>
  <c r="D60" i="7"/>
  <c r="D10" i="7"/>
  <c r="D3" i="7"/>
  <c r="D54" i="7"/>
  <c r="D40" i="7"/>
  <c r="D61" i="7"/>
  <c r="D51" i="7"/>
  <c r="D13" i="7"/>
  <c r="D4" i="7"/>
  <c r="D44" i="7"/>
  <c r="D64" i="7"/>
  <c r="D63" i="7"/>
  <c r="D8" i="7"/>
  <c r="D20" i="7"/>
  <c r="D70" i="7"/>
  <c r="D32" i="7"/>
  <c r="D45" i="7"/>
  <c r="D43" i="7"/>
  <c r="D5" i="7"/>
  <c r="D11" i="7"/>
  <c r="D38" i="7"/>
  <c r="D56" i="7"/>
  <c r="D55" i="7"/>
  <c r="D15" i="7"/>
  <c r="D27" i="7"/>
  <c r="D82" i="7"/>
  <c r="D24" i="7"/>
  <c r="D23" i="7"/>
  <c r="D37" i="7"/>
  <c r="D81" i="7"/>
  <c r="D57" i="7"/>
  <c r="D30" i="7"/>
  <c r="D48" i="7"/>
  <c r="D47" i="7"/>
  <c r="D31" i="7"/>
  <c r="D35" i="7"/>
  <c r="D14" i="7"/>
  <c r="D17" i="7"/>
  <c r="D16" i="7"/>
  <c r="D29" i="7"/>
  <c r="D73" i="7"/>
  <c r="D19" i="7"/>
  <c r="D22" i="7"/>
  <c r="D76" i="7"/>
  <c r="D7" i="7"/>
  <c r="D26" i="7"/>
  <c r="D33" i="7"/>
  <c r="D50" i="7"/>
  <c r="D58" i="7"/>
  <c r="D74" i="7"/>
  <c r="D85" i="7"/>
  <c r="D75" i="7"/>
  <c r="D6" i="7"/>
  <c r="D49" i="7"/>
  <c r="D68" i="7"/>
  <c r="G7" i="6"/>
  <c r="G8" i="6" s="1"/>
  <c r="G12" i="6" s="1"/>
  <c r="G7" i="5"/>
  <c r="G8" i="5" s="1"/>
  <c r="G12" i="5" s="1"/>
  <c r="G7" i="4"/>
  <c r="G8" i="4" s="1"/>
  <c r="G12" i="4" s="1"/>
  <c r="D64" i="3"/>
  <c r="D42" i="3"/>
  <c r="D82" i="3"/>
  <c r="D4" i="3"/>
  <c r="D87" i="3"/>
  <c r="D15" i="3"/>
  <c r="D70" i="3"/>
  <c r="D85" i="3"/>
  <c r="D76" i="3"/>
  <c r="D32" i="3"/>
  <c r="D43" i="3"/>
  <c r="D81" i="3"/>
  <c r="D79" i="3"/>
  <c r="D46" i="3"/>
  <c r="D33" i="3"/>
  <c r="D50" i="3"/>
  <c r="D5" i="3"/>
  <c r="D2" i="3"/>
  <c r="D47" i="3"/>
  <c r="D54" i="3"/>
  <c r="D74" i="3"/>
  <c r="D77" i="3"/>
  <c r="D68" i="3"/>
  <c r="D84" i="3"/>
  <c r="D29" i="3"/>
  <c r="D65" i="3"/>
  <c r="D71" i="3"/>
  <c r="D53" i="3"/>
  <c r="D28" i="3"/>
  <c r="D39" i="3"/>
  <c r="D23" i="3"/>
  <c r="D59" i="3"/>
  <c r="D88" i="3"/>
  <c r="D25" i="3"/>
  <c r="D66" i="3"/>
  <c r="D86" i="3"/>
  <c r="D69" i="3"/>
  <c r="D60" i="3"/>
  <c r="D22" i="3"/>
  <c r="D21" i="3"/>
  <c r="D57" i="3"/>
  <c r="D63" i="3"/>
  <c r="D72" i="3"/>
  <c r="D3" i="3"/>
  <c r="D78" i="3"/>
  <c r="D31" i="3"/>
  <c r="D61" i="3"/>
  <c r="D52" i="3"/>
  <c r="D83" i="3"/>
  <c r="D6" i="3"/>
  <c r="D49" i="3"/>
  <c r="D41" i="3"/>
  <c r="D9" i="3"/>
  <c r="D75" i="3"/>
  <c r="D56" i="3"/>
  <c r="D20" i="3"/>
  <c r="D35" i="3"/>
  <c r="D62" i="3"/>
  <c r="D45" i="3"/>
  <c r="D38" i="3"/>
  <c r="D67" i="3"/>
  <c r="D13" i="3"/>
  <c r="D12" i="3"/>
  <c r="D24" i="3"/>
  <c r="D27" i="3"/>
  <c r="D44" i="3"/>
  <c r="D48" i="3"/>
  <c r="D30" i="3"/>
  <c r="D34" i="3"/>
  <c r="D8" i="3"/>
  <c r="D58" i="3"/>
  <c r="D11" i="3"/>
  <c r="D16" i="3"/>
  <c r="D7" i="3"/>
  <c r="D51" i="3"/>
  <c r="D17" i="3"/>
  <c r="D26" i="3"/>
  <c r="D36" i="3"/>
  <c r="D37" i="3"/>
  <c r="D18" i="3"/>
  <c r="G7" i="3" s="1"/>
  <c r="G8" i="3" s="1"/>
  <c r="G12" i="3" s="1"/>
  <c r="D19" i="3"/>
  <c r="D55" i="3"/>
  <c r="D14" i="3"/>
  <c r="D73" i="3"/>
  <c r="D80" i="3"/>
  <c r="D10" i="3"/>
  <c r="D86" i="2"/>
  <c r="D3" i="2"/>
  <c r="D39" i="2"/>
  <c r="D58" i="2"/>
  <c r="D11" i="2"/>
  <c r="D27" i="2"/>
  <c r="D57" i="2"/>
  <c r="D36" i="2"/>
  <c r="D67" i="2"/>
  <c r="D37" i="2"/>
  <c r="D68" i="2"/>
  <c r="D31" i="2"/>
  <c r="D14" i="2"/>
  <c r="D29" i="2"/>
  <c r="D8" i="2"/>
  <c r="D69" i="2"/>
  <c r="D40" i="2"/>
  <c r="D71" i="2"/>
  <c r="D41" i="2"/>
  <c r="D72" i="2"/>
  <c r="D70" i="2"/>
  <c r="D35" i="2"/>
  <c r="D17" i="2"/>
  <c r="D20" i="2"/>
  <c r="D22" i="2"/>
  <c r="D15" i="2"/>
  <c r="D85" i="2"/>
  <c r="D43" i="2"/>
  <c r="D75" i="2"/>
  <c r="D44" i="2"/>
  <c r="D62" i="2"/>
  <c r="D13" i="2"/>
  <c r="D9" i="2"/>
  <c r="D88" i="2"/>
  <c r="D82" i="2"/>
  <c r="D53" i="2"/>
  <c r="D4" i="2"/>
  <c r="G7" i="2" s="1"/>
  <c r="G8" i="2" s="1"/>
  <c r="G12" i="2" s="1"/>
  <c r="D47" i="2"/>
  <c r="D79" i="2"/>
  <c r="D48" i="2"/>
  <c r="D80" i="2"/>
  <c r="G18" i="1"/>
  <c r="G7" i="15" l="1"/>
  <c r="G8" i="15" s="1"/>
  <c r="G12" i="15" s="1"/>
  <c r="G7" i="14"/>
  <c r="G8" i="14" s="1"/>
  <c r="G12" i="14" s="1"/>
  <c r="G7" i="13"/>
  <c r="G8" i="13" s="1"/>
  <c r="G12" i="13" s="1"/>
  <c r="G7" i="12"/>
  <c r="G8" i="12" s="1"/>
  <c r="G12" i="12" s="1"/>
  <c r="G7" i="11"/>
  <c r="G8" i="11" s="1"/>
  <c r="G12" i="11" s="1"/>
  <c r="G7" i="9"/>
  <c r="G8" i="9" s="1"/>
  <c r="G12" i="9" s="1"/>
  <c r="G7" i="8"/>
  <c r="G8" i="8" s="1"/>
  <c r="G12" i="8" s="1"/>
  <c r="G7" i="7"/>
  <c r="G8" i="7" s="1"/>
  <c r="G12" i="7" s="1"/>
  <c r="G24" i="1"/>
  <c r="G2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2" i="1"/>
  <c r="G5" i="1" l="1"/>
  <c r="G6" i="1" s="1"/>
  <c r="D71" i="1" s="1"/>
  <c r="D8" i="1" l="1"/>
  <c r="D24" i="1"/>
  <c r="D40" i="1"/>
  <c r="D56" i="1"/>
  <c r="D72" i="1"/>
  <c r="D88" i="1"/>
  <c r="D13" i="1"/>
  <c r="D29" i="1"/>
  <c r="D45" i="1"/>
  <c r="D61" i="1"/>
  <c r="D77" i="1"/>
  <c r="D18" i="1"/>
  <c r="D50" i="1"/>
  <c r="D16" i="1"/>
  <c r="D32" i="1"/>
  <c r="D48" i="1"/>
  <c r="D64" i="1"/>
  <c r="D80" i="1"/>
  <c r="D5" i="1"/>
  <c r="D21" i="1"/>
  <c r="D37" i="1"/>
  <c r="D53" i="1"/>
  <c r="D69" i="1"/>
  <c r="D85" i="1"/>
  <c r="D10" i="1"/>
  <c r="D26" i="1"/>
  <c r="D42" i="1"/>
  <c r="D58" i="1"/>
  <c r="D74" i="1"/>
  <c r="D3" i="1"/>
  <c r="D19" i="1"/>
  <c r="D35" i="1"/>
  <c r="D51" i="1"/>
  <c r="D67" i="1"/>
  <c r="D87" i="1"/>
  <c r="D4" i="1"/>
  <c r="D20" i="1"/>
  <c r="D36" i="1"/>
  <c r="D52" i="1"/>
  <c r="D68" i="1"/>
  <c r="D84" i="1"/>
  <c r="D9" i="1"/>
  <c r="D25" i="1"/>
  <c r="D41" i="1"/>
  <c r="D57" i="1"/>
  <c r="D73" i="1"/>
  <c r="D2" i="1"/>
  <c r="D14" i="1"/>
  <c r="D30" i="1"/>
  <c r="D46" i="1"/>
  <c r="D62" i="1"/>
  <c r="D78" i="1"/>
  <c r="D7" i="1"/>
  <c r="D23" i="1"/>
  <c r="D39" i="1"/>
  <c r="D55" i="1"/>
  <c r="D34" i="1"/>
  <c r="D66" i="1"/>
  <c r="D82" i="1"/>
  <c r="D11" i="1"/>
  <c r="D27" i="1"/>
  <c r="D43" i="1"/>
  <c r="D59" i="1"/>
  <c r="D75" i="1"/>
  <c r="D12" i="1"/>
  <c r="D28" i="1"/>
  <c r="D44" i="1"/>
  <c r="D60" i="1"/>
  <c r="D76" i="1"/>
  <c r="D79" i="1"/>
  <c r="D17" i="1"/>
  <c r="D33" i="1"/>
  <c r="D49" i="1"/>
  <c r="D65" i="1"/>
  <c r="D81" i="1"/>
  <c r="D6" i="1"/>
  <c r="D22" i="1"/>
  <c r="D38" i="1"/>
  <c r="D54" i="1"/>
  <c r="D70" i="1"/>
  <c r="D86" i="1"/>
  <c r="D15" i="1"/>
  <c r="D31" i="1"/>
  <c r="D47" i="1"/>
  <c r="D63" i="1"/>
  <c r="D83" i="1"/>
  <c r="G7" i="1" l="1"/>
  <c r="G8" i="1" s="1"/>
  <c r="G12" i="1" s="1"/>
</calcChain>
</file>

<file path=xl/sharedStrings.xml><?xml version="1.0" encoding="utf-8"?>
<sst xmlns="http://schemas.openxmlformats.org/spreadsheetml/2006/main" count="560" uniqueCount="60">
  <si>
    <r>
      <rPr>
        <sz val="11"/>
        <color rgb="FFC00000"/>
        <rFont val="Calibri"/>
        <family val="2"/>
        <scheme val="minor"/>
      </rPr>
      <t>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Registro de usuario (Minutos)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a) Menos de 2 -&gt; 5
b) 2 - 4 -&gt; 4
c) 5 -7 -&gt; 3
d) 8 -10 -&gt; 2 
e) Más de 10 -&gt; 1</t>
    </r>
  </si>
  <si>
    <t>Diferencia</t>
  </si>
  <si>
    <t>Media de las diferencias</t>
  </si>
  <si>
    <t>Sumatoria Diferencias</t>
  </si>
  <si>
    <t>Sumatoria</t>
  </si>
  <si>
    <t>numero de datos</t>
  </si>
  <si>
    <t>desviación estándar de las diferencias</t>
  </si>
  <si>
    <t>nivel de significancia (α)</t>
  </si>
  <si>
    <t>grados de libertad   (DF)</t>
  </si>
  <si>
    <t>Valor critico t</t>
  </si>
  <si>
    <t>t crítico: te dice si tu t calculado cae en la zona de rechazo.</t>
  </si>
  <si>
    <t>Si t calculado &gt; valor critico el aumento de calificaciones es estadísticamente significativo.</t>
  </si>
  <si>
    <t>t calculado (estadistico t):</t>
  </si>
  <si>
    <t>p valor</t>
  </si>
  <si>
    <r>
      <t xml:space="preserve">hipotesis nula Ho = </t>
    </r>
    <r>
      <rPr>
        <sz val="11"/>
        <color rgb="FFC00000"/>
        <rFont val="Calibri"/>
        <family val="2"/>
        <scheme val="minor"/>
      </rPr>
      <t>No hay diferencias significativa</t>
    </r>
  </si>
  <si>
    <r>
      <t xml:space="preserve">hipotesis alternativa H1 = </t>
    </r>
    <r>
      <rPr>
        <sz val="11"/>
        <color rgb="FF00B050"/>
        <rFont val="Calibri"/>
        <family val="2"/>
        <scheme val="minor"/>
      </rPr>
      <t>Si hay diferencia significativa</t>
    </r>
  </si>
  <si>
    <t>Hipotesis</t>
  </si>
  <si>
    <t>Datos</t>
  </si>
  <si>
    <t>si te calculado &gt; a t critico (de tabla) ---&gt; se rechaza la hipotesis nula y se acepta la hipotesis alternativa ?</t>
  </si>
  <si>
    <t>y si p valor &lt; 0.05 ---&gt; se rechaza la hipotesis nula y se acepta la hipotesis alternativa ?</t>
  </si>
  <si>
    <t>La diferencia observada es lo suficientemente grande como para que no sea atribuible al azar.</t>
  </si>
  <si>
    <r>
      <t xml:space="preserve">Si </t>
    </r>
    <r>
      <rPr>
        <sz val="11"/>
        <color rgb="FF00B050"/>
        <rFont val="Calibri"/>
        <family val="2"/>
        <scheme val="minor"/>
      </rPr>
      <t>t calculado</t>
    </r>
    <r>
      <rPr>
        <sz val="11"/>
        <color rgb="FFC00000"/>
        <rFont val="Calibri"/>
        <family val="2"/>
        <scheme val="minor"/>
      </rPr>
      <t xml:space="preserve"> &gt; t critico (Tabla)</t>
    </r>
  </si>
  <si>
    <r>
      <t xml:space="preserve">Se </t>
    </r>
    <r>
      <rPr>
        <sz val="11"/>
        <color rgb="FFC00000"/>
        <rFont val="Calibri"/>
        <family val="2"/>
        <scheme val="minor"/>
      </rPr>
      <t>rechaza</t>
    </r>
    <r>
      <rPr>
        <sz val="11"/>
        <color theme="1"/>
        <rFont val="Calibri"/>
        <family val="2"/>
        <scheme val="minor"/>
      </rPr>
      <t xml:space="preserve"> la hipotesis nula </t>
    </r>
    <r>
      <rPr>
        <sz val="11"/>
        <color rgb="FFC00000"/>
        <rFont val="Calibri"/>
        <family val="2"/>
        <scheme val="minor"/>
      </rPr>
      <t>Ho</t>
    </r>
    <r>
      <rPr>
        <sz val="11"/>
        <color theme="1"/>
        <rFont val="Calibri"/>
        <family val="2"/>
        <scheme val="minor"/>
      </rPr>
      <t xml:space="preserve"> y se </t>
    </r>
    <r>
      <rPr>
        <sz val="11"/>
        <color rgb="FF00B050"/>
        <rFont val="Calibri"/>
        <family val="2"/>
        <scheme val="minor"/>
      </rPr>
      <t>acepta</t>
    </r>
    <r>
      <rPr>
        <sz val="11"/>
        <color theme="1"/>
        <rFont val="Calibri"/>
        <family val="2"/>
        <scheme val="minor"/>
      </rPr>
      <t xml:space="preserve"> la hipotesis alternativa </t>
    </r>
    <r>
      <rPr>
        <sz val="11"/>
        <color rgb="FF00B050"/>
        <rFont val="Calibri"/>
        <family val="2"/>
        <scheme val="minor"/>
      </rPr>
      <t>H1</t>
    </r>
  </si>
  <si>
    <t>Concluciones</t>
  </si>
  <si>
    <t xml:space="preserve">Como p valor es menor que  el nivel de significancia  </t>
  </si>
  <si>
    <r>
      <t xml:space="preserve">p valor con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dos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</si>
  <si>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- 2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</si>
  <si>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- 1 colas</t>
    </r>
  </si>
  <si>
    <r>
      <rPr>
        <sz val="11"/>
        <color rgb="FFC00000"/>
        <rFont val="Calibri"/>
        <family val="2"/>
        <scheme val="minor"/>
      </rPr>
      <t>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Registro de usuario (Minutos)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a) Menos de 2 -&gt; 5
b) 2 - 4 -&gt; 4
c) 5 -7 -&gt; 3
d) 8 -10 -&gt; 2 
e) Más de 10 -&gt; 1</t>
    </r>
  </si>
  <si>
    <r>
      <t xml:space="preserve">p valor con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una cola</t>
    </r>
  </si>
  <si>
    <r>
      <rPr>
        <sz val="11"/>
        <color rgb="FFC00000"/>
        <rFont val="Calibri"/>
        <family val="2"/>
        <scheme val="minor"/>
      </rPr>
      <t>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modulo usuarios
a) Muy fácil = 5
b) Fácil = 4
c) Moderado = 3
d) Difícil = 2
e) Muy difícil = 1</t>
    </r>
  </si>
  <si>
    <r>
      <rPr>
        <sz val="11"/>
        <color rgb="FFC00000"/>
        <rFont val="Calibri"/>
        <family val="2"/>
        <scheme val="minor"/>
      </rPr>
      <t>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modulo usuarios
a) Muy fácil = 5
b) Fácil = 4
c) Moderado = 3
d) Difícil = 2
e) Muy difícil = 1</t>
    </r>
  </si>
  <si>
    <r>
      <rPr>
        <sz val="11"/>
        <color rgb="FFC00000"/>
        <rFont val="Calibri"/>
        <family val="2"/>
        <scheme val="minor"/>
      </rPr>
      <t>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acceso a información de usuario
a) 1 o menos = 5
b) 2 - 3 = 4
c) 4 - 5 =3
d) 6 - 7 = 2
e) 8 o mas = 1</t>
    </r>
  </si>
  <si>
    <r>
      <rPr>
        <sz val="11"/>
        <color rgb="FFC00000"/>
        <rFont val="Calibri"/>
        <family val="2"/>
        <scheme val="minor"/>
      </rPr>
      <t>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acceso a información de usuario
a) 1 o menos = 5
b) 2 - 3 = 4
c) 4 - 5 =3
d) 6 - 7 = 2
e) 8 o mas = 1</t>
    </r>
  </si>
  <si>
    <r>
      <rPr>
        <sz val="11"/>
        <color rgb="FFC00000"/>
        <rFont val="Calibri"/>
        <family val="2"/>
        <scheme val="minor"/>
      </rPr>
      <t>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Satisfaccion de usuarios
a) Muy bueno = 5
b) Bueno = 4
c) Moderado = 3
d) Malo = 2
e) Muy malo = 1</t>
    </r>
  </si>
  <si>
    <r>
      <rPr>
        <sz val="11"/>
        <color rgb="FFC00000"/>
        <rFont val="Calibri"/>
        <family val="2"/>
        <scheme val="minor"/>
      </rPr>
      <t>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Satisfaccion de usuarios
a) Muy bueno = 5
b) Bueno = 4
c) Moderado = 3
d) Malo = 2
e) Muy malo = 1</t>
    </r>
  </si>
  <si>
    <r>
      <rPr>
        <sz val="11"/>
        <color rgb="FFC00000"/>
        <rFont val="Calibri"/>
        <family val="2"/>
        <scheme val="minor"/>
      </rPr>
      <t>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registro inscripcion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</si>
  <si>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registro inscripcion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</si>
  <si>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modulo inscripciones
a)	Muy fácil
b)	Fácil
c)	Moderado
d)	Difícil
e)	Muy difícil</t>
    </r>
  </si>
  <si>
    <r>
      <rPr>
        <sz val="11"/>
        <color rgb="FFC00000"/>
        <rFont val="Calibri"/>
        <family val="2"/>
        <scheme val="minor"/>
      </rPr>
      <t>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modulo inscripciones
a)	Muy fácil
b)	Fácil
c)	Moderado
d)	Difícil
e)	Muy difícil</t>
    </r>
  </si>
  <si>
    <r>
      <rPr>
        <sz val="11"/>
        <color rgb="FFC00000"/>
        <rFont val="Calibri"/>
        <family val="2"/>
        <scheme val="minor"/>
      </rPr>
      <t>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acceso a la informacion de inscripciones
a)	1 o menos = 5
b)	2 - 3 = 4
c)	4 - 5  = 3
d)	6 - 7 = 2
e)	8 o mas = 1</t>
    </r>
  </si>
  <si>
    <r>
      <rPr>
        <sz val="11"/>
        <color rgb="FFC00000"/>
        <rFont val="Calibri"/>
        <family val="2"/>
        <scheme val="minor"/>
      </rPr>
      <t>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acceso a la informacion de inscripciones
a)	1 o menos = 5
b)	2 - 3 = 4
c)	4 - 5  = 3
d)	6 - 7 = 2
e)	8 o mas = 1</t>
    </r>
  </si>
  <si>
    <r>
      <rPr>
        <sz val="11"/>
        <color rgb="FFC00000"/>
        <rFont val="Calibri"/>
        <family val="2"/>
        <scheme val="minor"/>
      </rPr>
      <t>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Satisfacción modulo inscripciones
a)	Muy bueno = 5
b)	Bueno = 4
c)	Moderado = 3
d)	Malo = 2
e)	Muy malo = 1</t>
    </r>
  </si>
  <si>
    <r>
      <rPr>
        <sz val="11"/>
        <color rgb="FFC00000"/>
        <rFont val="Calibri"/>
        <family val="2"/>
        <scheme val="minor"/>
      </rPr>
      <t>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Satisfacción modulo inscripciones
a)	Muy bueno = 5
b)	Bueno = 4
c)	Moderado = 3
d)	Malo = 2
e)	Muy malo = 1</t>
    </r>
  </si>
  <si>
    <r>
      <rPr>
        <sz val="11"/>
        <color rgb="FFC00000"/>
        <rFont val="Calibri"/>
        <family val="2"/>
        <scheme val="minor"/>
      </rPr>
      <t>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registro de pago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</si>
  <si>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registro de pago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</si>
  <si>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del modulo  de pagos
a)	Muy fácil = 5
b)	Fácil = 4
c)	Moderado = 3
d)	Difícil = 2
e)	e) Muy difícil = 1</t>
    </r>
  </si>
  <si>
    <r>
      <rPr>
        <sz val="11"/>
        <color rgb="FFC00000"/>
        <rFont val="Calibri"/>
        <family val="2"/>
        <scheme val="minor"/>
      </rPr>
      <t>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del modulo  de pagos
a)	Muy fácil = 5
b)	Fácil = 4
c)	Moderado = 3
d)	Difícil = 2
e)	e) Muy difícil = 1</t>
    </r>
  </si>
  <si>
    <r>
      <rPr>
        <sz val="11"/>
        <color rgb="FFC00000"/>
        <rFont val="Calibri"/>
        <family val="2"/>
        <scheme val="minor"/>
      </rPr>
      <t>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acceso a la informacion del pago/historial
a)	1 o menos =5
b)	2 – 3 = 4
c)	4 - 5 = 3
d)	6 – 7 = 2
e)	8 o mas = 1</t>
    </r>
  </si>
  <si>
    <r>
      <rPr>
        <sz val="11"/>
        <color rgb="FFC00000"/>
        <rFont val="Calibri"/>
        <family val="2"/>
        <scheme val="minor"/>
      </rPr>
      <t>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acceso a la informacion del pago/historial
a)	1 o menos =5
b)	2 – 3 = 4
c)	4 - 5 = 3
d)	6 – 7 = 2
e)	8 o mas = 1</t>
    </r>
  </si>
  <si>
    <r>
      <rPr>
        <sz val="11"/>
        <color rgb="FFC00000"/>
        <rFont val="Calibri"/>
        <family val="2"/>
        <scheme val="minor"/>
      </rPr>
      <t>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Satisfaccion del modulo de pagos
a)	Muy bueno = 5
b)	Bueno = 4
c)	Moderado = 3
d)	Malo = 2
e)	Muy malo = 1</t>
    </r>
  </si>
  <si>
    <r>
      <rPr>
        <sz val="11"/>
        <color rgb="FFC00000"/>
        <rFont val="Calibri"/>
        <family val="2"/>
        <scheme val="minor"/>
      </rPr>
      <t>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Satisfaccion del modulo de pagos
a)	Muy bueno = 5
b)	Bueno = 4
c)	Moderado = 3
d)	Malo = 2
e)	Muy malo = 1</t>
    </r>
  </si>
  <si>
    <r>
      <rPr>
        <sz val="11"/>
        <color rgb="FFC00000"/>
        <rFont val="Calibri"/>
        <family val="2"/>
        <scheme val="minor"/>
      </rPr>
      <t>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en generar reportes de pagos por estudiante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</si>
  <si>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en generar reportes de pagos por estudiante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</si>
  <si>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en generar reportes de pagos por curso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</si>
  <si>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en generar reportes de pagos por curso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</si>
  <si>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del modulo de reportes
a)	Muy fácil = 5
b)	Fácil = 4
c)	Moderado = 3
d)	Difícil = 2
e)	Muy difícil = 1</t>
    </r>
  </si>
  <si>
    <r>
      <rPr>
        <sz val="11"/>
        <color rgb="FFC00000"/>
        <rFont val="Calibri"/>
        <family val="2"/>
        <scheme val="minor"/>
      </rPr>
      <t>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del modulo de reportes
a)	Muy fácil = 5
b)	Fácil = 4
c)	Moderado = 3
d)	Difícil = 2
e)	Muy difícil = 1</t>
    </r>
  </si>
  <si>
    <r>
      <rPr>
        <sz val="11"/>
        <color rgb="FFC00000"/>
        <rFont val="Calibri"/>
        <family val="2"/>
        <scheme val="minor"/>
      </rPr>
      <t>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Satisfacción del modulo de reportes
a)	Muy bueno = 5
b)	Bueno = 4
c)	Moderado = 3
d)	Malo = 2
e)	Muy malo = 1</t>
    </r>
  </si>
  <si>
    <r>
      <rPr>
        <sz val="11"/>
        <color rgb="FFC00000"/>
        <rFont val="Calibri"/>
        <family val="2"/>
        <scheme val="minor"/>
      </rPr>
      <t>(Sin Sistema)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Satisfacción del modulo de reportes
a)	Muy bueno = 5
b)	Bueno = 4
c)	Moderado = 3
d)	Malo = 2
e)	Muy malo =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</si>
</sst>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7" fillId="4" borderId="0" applyNumberFormat="0" applyBorder="0" applyAlignment="0" applyProtection="0"/>
    <xf numFmtId="0" fontId="3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0" borderId="0" xfId="2" applyAlignment="1">
      <alignment horizontal="center"/>
    </xf>
    <xf numFmtId="0" fontId="0" fillId="0" borderId="1" xfId="0" applyBorder="1" applyAlignment="1">
      <alignment horizontal="center" vertical="top" wrapText="1"/>
    </xf>
    <xf numFmtId="0" fontId="1" fillId="3" borderId="1" xfId="1" applyFill="1" applyBorder="1" applyAlignment="1">
      <alignment horizontal="center" vertical="center" wrapText="1"/>
    </xf>
    <xf numFmtId="0" fontId="0" fillId="3" borderId="1" xfId="1" applyFont="1" applyFill="1" applyBorder="1" applyAlignment="1">
      <alignment horizontal="center" vertical="center" wrapText="1"/>
    </xf>
    <xf numFmtId="0" fontId="7" fillId="4" borderId="0" xfId="6"/>
    <xf numFmtId="0" fontId="0" fillId="0" borderId="0" xfId="0" applyAlignment="1">
      <alignment wrapText="1"/>
    </xf>
  </cellXfs>
  <cellStyles count="8">
    <cellStyle name="Bueno" xfId="1" builtinId="26"/>
    <cellStyle name="Neutral" xfId="6" builtinId="28"/>
    <cellStyle name="Normal" xfId="0" builtinId="0"/>
    <cellStyle name="Normal 2" xfId="3" xr:uid="{00000000-0005-0000-0000-000003000000}"/>
    <cellStyle name="Normal 2 2" xfId="5" xr:uid="{00000000-0005-0000-0000-000004000000}"/>
    <cellStyle name="Normal 3" xfId="2" xr:uid="{00000000-0005-0000-0000-000005000000}"/>
    <cellStyle name="Normal 3 2" xfId="4" xr:uid="{00000000-0005-0000-0000-000006000000}"/>
    <cellStyle name="Normal 4" xfId="7" xr:uid="{00000000-0005-0000-0000-00000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442416-2D16-416B-B664-F56FF3824B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521739" y="21202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AD353B-0992-4F80-AA72-F890EE4945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111389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541147</xdr:colOff>
      <xdr:row>0</xdr:row>
      <xdr:rowOff>872951</xdr:rowOff>
    </xdr:from>
    <xdr:to>
      <xdr:col>2</xdr:col>
      <xdr:colOff>826897</xdr:colOff>
      <xdr:row>0</xdr:row>
      <xdr:rowOff>1095201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27D23E1-77D8-4D9C-982E-7E1E6E0F0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847" y="87295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9AB0473-D3AA-44C2-B70D-C10A3A84E2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073009" y="23168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7804057-F7EA-4EFB-9514-5EA5D7293B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370344" y="19466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9EF0198-5275-4281-8D4A-6ABADB19D9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509267" y="17598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E45187D-D98B-4299-98D2-8C901F04E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5997" y="25015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48CB2B9-CE06-45E8-8A50-F52C07055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5877" y="26920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9C950D4-341C-4953-B5AE-62372241D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128" y="34340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7B09F76-E7D5-453F-9C22-AC5A364DD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4996" y="43865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6325F0B-8557-49A4-8A81-D457F3BBD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517" y="58368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C847382-93DF-4FE3-B215-934686A3F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01707" y="119005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886D931-135C-4169-A90F-BE6A310C6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9085" y="13647127"/>
          <a:ext cx="2868490" cy="8092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5B16DF-04E3-4435-B392-53B0256ACA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521739" y="21202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BA6701-2069-4A58-AD65-E071BC313F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111389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541147</xdr:colOff>
      <xdr:row>0</xdr:row>
      <xdr:rowOff>872951</xdr:rowOff>
    </xdr:from>
    <xdr:to>
      <xdr:col>2</xdr:col>
      <xdr:colOff>826897</xdr:colOff>
      <xdr:row>0</xdr:row>
      <xdr:rowOff>1095201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818EEB2-0D5E-4A01-A3D8-AF9A1ABF0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847" y="87295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DF6C67E-41D9-41AB-A009-645B9C556D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073009" y="23168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33C350C-0C29-4EE2-9017-34A1B63990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370344" y="19466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7CD8DDF-C0FC-4EA0-ABCD-04420565DF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509267" y="17598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12C287C-EE69-4328-9C5C-BFC104F4C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5997" y="25015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4F1C432-AF1E-461D-9E14-ED5F60F3F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5877" y="26920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3DC8350-35EF-45A2-9119-7C6C5D3EB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128" y="34340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2F0D9B9-3CA2-42B8-B44E-642D3E3DD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4996" y="43865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A43830AC-A107-4611-84C3-5F8A6A14C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517" y="58368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E78C088-1662-442F-8D30-BC6E07A57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01707" y="119005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9039F75-92F7-491C-8E05-3227195AA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9085" y="13647127"/>
          <a:ext cx="2868490" cy="8092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0C0A1C-B12E-4ECD-A9FA-1A5ACC933C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521739" y="21202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656246-DDF5-45AF-BCA3-588F646E47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111389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541147</xdr:colOff>
      <xdr:row>0</xdr:row>
      <xdr:rowOff>872951</xdr:rowOff>
    </xdr:from>
    <xdr:to>
      <xdr:col>2</xdr:col>
      <xdr:colOff>826897</xdr:colOff>
      <xdr:row>0</xdr:row>
      <xdr:rowOff>1095201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441461C-49DB-4D1D-B769-12A427B3F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847" y="87295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ED29490-E8B4-41FD-8644-7BDBD9B595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073009" y="23168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22F65A8-8F1E-4C4A-9B52-3C46E68F08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370344" y="19466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4A68610-AA48-465E-8377-54B247CD15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509267" y="17598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C7FCC80-AD10-4107-89E0-23CEA3653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5997" y="25015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E2A9983-FF3E-4A5A-BE32-BBCEB6501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5877" y="26920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D84B37D-764C-4113-92B3-7EAB81384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128" y="34340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6260A63-A5C2-4C27-89BA-0A3E7802F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4996" y="43865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78EBCCD-DBB3-40B7-AC1C-6A0950336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517" y="58368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C31F88C-DEDF-4109-A558-21C1A2722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01707" y="119005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6333D0F-D448-4CAA-AD60-062681262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9085" y="13647127"/>
          <a:ext cx="2868490" cy="8092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52C4EF-CE82-4E7F-9F55-BD68405229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521739" y="21202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14FA95-DFB0-4782-9477-D7F2E8D030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111389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541147</xdr:colOff>
      <xdr:row>0</xdr:row>
      <xdr:rowOff>872951</xdr:rowOff>
    </xdr:from>
    <xdr:to>
      <xdr:col>2</xdr:col>
      <xdr:colOff>826897</xdr:colOff>
      <xdr:row>0</xdr:row>
      <xdr:rowOff>1095201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0C7CAB0-1061-443E-AEC2-A4F63DF1C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847" y="87295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FFA3B6-0DEF-4E29-A62B-F9440A2134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073009" y="23168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BB562FF-7152-45DE-B43B-04F2B34972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370344" y="19466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7E70203-F4FC-4E96-9918-88EBFC1FE4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509267" y="17598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F4A5EFE-FAAE-44DE-AA1A-7654C2EF3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5997" y="25015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AEBF6D0-4262-4B7A-BEE7-280320B75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5877" y="26920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C27281C-F5F5-4495-B20B-2BFCDA417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128" y="34340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8280EC3-0612-454B-877F-663909175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4996" y="43865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7F211FC-6FF5-4056-A7FF-A8BD901B4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517" y="58368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B6C608E-2786-4D0F-83FA-D6245B8D5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01707" y="119005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2ED1975-3254-404A-9AFE-1B12251E2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9085" y="13647127"/>
          <a:ext cx="2868490" cy="8092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FE88A3-501F-4FB2-B547-D5A6ADCAEE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521739" y="21202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0286BB-3743-4744-80D6-B2788495EA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111389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541147</xdr:colOff>
      <xdr:row>0</xdr:row>
      <xdr:rowOff>872951</xdr:rowOff>
    </xdr:from>
    <xdr:to>
      <xdr:col>2</xdr:col>
      <xdr:colOff>826897</xdr:colOff>
      <xdr:row>0</xdr:row>
      <xdr:rowOff>1095201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4BF10DF-238B-419D-B03D-3EA7CEC30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847" y="87295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8C3AFBE-0A7F-4016-942C-191004E921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073009" y="23168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7EACAF8-840C-42DA-B2EC-077E33742D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370344" y="19466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CD72269-A801-48CE-89E0-B2689CE0E8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509267" y="17598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BDD3955-4EA6-4518-9F84-03FAFB1AC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5997" y="25015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D171933-5774-4C1B-A4CB-F9E065AD5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5877" y="26920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DFD72E3-4077-4DAB-BA7F-45EEC3152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128" y="34340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512C4C9-87FA-40CD-B5D0-2104DE775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4996" y="43865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7231EA7-C791-4430-8410-36D03C459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517" y="58368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764AF5E-76F3-4C1E-A7EB-6F47053C7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01707" y="119005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BD7BE5F-2CAA-41A1-9818-C533C9255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9085" y="13647127"/>
          <a:ext cx="2868490" cy="8092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8D0A04-FAF4-4108-937A-98C7E54B0B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521739" y="21202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31C00D-7ECD-4A0C-A281-AD502DB357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111389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541147</xdr:colOff>
      <xdr:row>0</xdr:row>
      <xdr:rowOff>872951</xdr:rowOff>
    </xdr:from>
    <xdr:to>
      <xdr:col>2</xdr:col>
      <xdr:colOff>826897</xdr:colOff>
      <xdr:row>0</xdr:row>
      <xdr:rowOff>1095201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5204857-A6FF-4CF9-AD34-533359A39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847" y="87295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452D076-AD98-49C9-A309-81E93281BC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073009" y="23168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B42937B-0F16-457E-96D6-58E5005EF0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370344" y="19466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397D93C-DBB3-4CE7-84F1-C4D8555283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509267" y="17598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2F742B1-8216-42D4-AD3D-D93C857E7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5997" y="25015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92F024C-719D-4E2C-B851-BB2065A10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5877" y="26920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61B58F1-3445-4099-9EC3-3E0B9D170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128" y="34340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677C756-8E95-48BA-99B6-CD9D0C871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4996" y="43865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5F62DC8-56D9-4FD3-B6D0-62E903F19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517" y="58368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96C6DB1-BFFA-4C26-926C-31DC433C4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01707" y="119005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E05625B-743E-4B17-B435-3772E8D11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9085" y="13647127"/>
          <a:ext cx="2868490" cy="80922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1E80A9-BF41-4B53-853D-0925D26DC0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521739" y="21202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771FD0-8DDD-4D1B-A1DE-BB80CD07F9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111389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541147</xdr:colOff>
      <xdr:row>0</xdr:row>
      <xdr:rowOff>872951</xdr:rowOff>
    </xdr:from>
    <xdr:to>
      <xdr:col>2</xdr:col>
      <xdr:colOff>826897</xdr:colOff>
      <xdr:row>0</xdr:row>
      <xdr:rowOff>1095201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4CE725A-376F-44C1-B45E-6B7E8C7C3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847" y="87295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9ED1A35-7D1B-42F3-BF8B-A9108F5727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073009" y="23168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DA93713-AC08-4066-A3EC-697D130AB0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370344" y="19466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8059344-46AD-4866-B0F7-FB806690A8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509267" y="17598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027943C-ACC4-4AAB-9700-14710E1AB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5997" y="25015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2E5EA16-C2A3-4A20-9809-769E457B2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5877" y="26920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E80FEB6-E723-43EA-9531-CA7606FF6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128" y="34340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C2E64C0-E87E-4097-844C-59FAFCEE4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4996" y="43865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B64274A-E36A-4017-8DA2-9A70AB81C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517" y="58368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D3BDFC4-0C82-47D0-B8B2-83A9F891D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01707" y="119005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A7938A2-5D18-47D5-B85F-4B4957C65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9085" y="13647127"/>
          <a:ext cx="2868490" cy="80922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7C80C1-6CB2-446D-91AB-73B5E73D50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521739" y="21202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D77402-F44C-4125-B310-A14FAEB8CE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111389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541147</xdr:colOff>
      <xdr:row>0</xdr:row>
      <xdr:rowOff>872951</xdr:rowOff>
    </xdr:from>
    <xdr:to>
      <xdr:col>2</xdr:col>
      <xdr:colOff>826897</xdr:colOff>
      <xdr:row>0</xdr:row>
      <xdr:rowOff>1095201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C09587-8F98-4944-841F-200F2065B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847" y="87295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5C512CF-6244-4699-80BD-C3622B6729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073009" y="23168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DF3B6FB-DF36-4558-A880-584F51D587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370344" y="19466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53E606F-4989-47D8-8F6B-2B3023AF4A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509267" y="17598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DF65286-B747-4EF8-A6DB-6AF7E9D46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5997" y="25015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B7DFA35-4AF7-4BC5-BE95-855766456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5877" y="26920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943F912-D3C0-4BDF-A34F-5B54D3A47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128" y="34340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24414E1-D2F5-44BB-944E-146D5A1CB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4996" y="43865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BE3DEB5-F37F-448B-B1EA-F6DAC6CC2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517" y="58368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918AFC1-4336-43F5-A560-BDF180569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01707" y="119005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EA1DFC9-FFC2-44AC-98D3-BCD1798A3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9085" y="13647127"/>
          <a:ext cx="2868490" cy="80922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D2D873-3FFC-4A66-81EF-F5A1282181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521739" y="21202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69E8DA-65D9-4D94-B67C-1A52AA4117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111389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541147</xdr:colOff>
      <xdr:row>0</xdr:row>
      <xdr:rowOff>872951</xdr:rowOff>
    </xdr:from>
    <xdr:to>
      <xdr:col>2</xdr:col>
      <xdr:colOff>826897</xdr:colOff>
      <xdr:row>0</xdr:row>
      <xdr:rowOff>1095201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30325A6-63DB-4061-A2C3-7BECCCEE7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847" y="87295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9E0C36-DDDB-47BB-8909-AE6AE8F207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073009" y="23168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56F3B31-0BF8-4783-8FBC-B203B8476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370344" y="19466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03013D1-75AD-4206-8711-C2794939E1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509267" y="17598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CA39AF9-EF3E-4817-ADB3-C3623C0EF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5997" y="25015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7CA5B82-3991-4F8B-873A-D1C4515E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5877" y="26920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5EC1C3D-A421-4CF0-B1E7-5F7C29055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128" y="34340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27D70DE-0F2E-42E7-9E24-B51E2436B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4996" y="43865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988B1AF-EEE7-400C-B332-E106C75A1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517" y="58368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1BFE774-5E88-431B-A22F-114416734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01707" y="119005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3A65297-FC8F-4B35-A749-E96C1B169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9085" y="13647127"/>
          <a:ext cx="2868490" cy="80922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01512E-A7F8-4AEB-8575-19479A745B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521739" y="21202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3E7CB5-386A-405F-9DA7-2627BAE2D5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111389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541147</xdr:colOff>
      <xdr:row>0</xdr:row>
      <xdr:rowOff>872951</xdr:rowOff>
    </xdr:from>
    <xdr:to>
      <xdr:col>2</xdr:col>
      <xdr:colOff>826897</xdr:colOff>
      <xdr:row>0</xdr:row>
      <xdr:rowOff>1095201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0D985EE-D797-4584-A8BE-FDBBA555B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847" y="87295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561B4D1-FCE9-4C1B-B664-CE27DD4BA3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073009" y="23168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50763C2-831C-4D8C-A59C-267759656D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370344" y="19466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FBA444C-74BC-4FB3-90E7-F8FF51AB00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509267" y="17598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32430C7-A71E-4EBC-ADA5-B37253C61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5997" y="25015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D371F28-4EA8-409A-8D38-A11D6C063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5877" y="26920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A8BE13D-B852-4647-91D7-E2E7FB506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128" y="34340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A6ADE71-4125-42B5-9CE2-8546E36DE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4996" y="43865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A8C0652-D7AC-4904-9DC4-2194797C5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517" y="58368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0136F3D-05C1-4895-9937-0056F5070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01707" y="119005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C450CD5-5BB9-4C70-823F-EE8AA4AE8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9085" y="13647127"/>
          <a:ext cx="2868490" cy="80922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004F13-AE81-4808-A19C-52C28B709D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521739" y="21202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59C5BC-CC1F-4C08-A12C-8833227D8E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111389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541147</xdr:colOff>
      <xdr:row>0</xdr:row>
      <xdr:rowOff>872951</xdr:rowOff>
    </xdr:from>
    <xdr:to>
      <xdr:col>2</xdr:col>
      <xdr:colOff>826897</xdr:colOff>
      <xdr:row>0</xdr:row>
      <xdr:rowOff>1095201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6D7DE72-21D3-4156-A307-AD84FA980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847" y="87295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AD44FC4-981D-4575-BE3B-F2ABF9AE88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073009" y="23168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4FC7F3D-D178-48CD-A981-D6DDBDA532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370344" y="19466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01BFAAF-D912-4539-9080-03B034ABC0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509267" y="17598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12FAB1E-4F6B-4D20-AE25-A0D226317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5997" y="25015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1DCA36B-5927-4FCB-BDC4-26580F5AE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5877" y="26920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47DDDFA-9FE0-4D7A-B0A2-1AEB84D66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128" y="34340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28E7D3C-2651-4858-BDAC-77BAE72B2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4996" y="43865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5D69629-4051-4CA9-A788-65B037E45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517" y="58368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4A4C97C-9FFC-4A28-9213-4DFC3397B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01707" y="119005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66602A4-73D6-453E-8CD4-F7CECB549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9085" y="13647127"/>
          <a:ext cx="2868490" cy="80922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ABC1B4-C1E2-450C-9B8F-760EA5F053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521739" y="21202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8DB2C4-3312-4535-AB6D-DFCF5AC1EB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111389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541147</xdr:colOff>
      <xdr:row>0</xdr:row>
      <xdr:rowOff>872951</xdr:rowOff>
    </xdr:from>
    <xdr:to>
      <xdr:col>2</xdr:col>
      <xdr:colOff>826897</xdr:colOff>
      <xdr:row>0</xdr:row>
      <xdr:rowOff>1095201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AE85679-D00A-4A14-BCB6-A8162387E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847" y="87295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A102988-5D04-4DAD-9B4A-8DD0ED3B96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073009" y="23168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4E00B31-3986-47D6-83F8-B51FDE245E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370344" y="19466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24C3150-C629-47C5-BEF7-3B24EE6802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509267" y="17598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6948516-C674-4464-BEAF-8016BBE01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5997" y="25015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2ACE574-ADFA-4534-A2E4-D8F98B22A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5877" y="26920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17252B2-4831-4F64-A6B6-34F7CABCE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128" y="34340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2B5709B-3D70-4FDF-A09B-ADDAAA0ED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4996" y="43865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EB51FB2-169B-440A-B157-8067968F4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517" y="58368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6243D6F-BD41-4EC3-93AD-846AC1755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01707" y="119005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90BD93F-EB97-403D-94B3-FABE7528E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9085" y="13647127"/>
          <a:ext cx="2868490" cy="80922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7A0950-A26F-40C8-B463-207CB14B6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521739" y="21202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8E5B62-0B0F-49F3-B141-50EDD0FD35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111389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541147</xdr:colOff>
      <xdr:row>0</xdr:row>
      <xdr:rowOff>872951</xdr:rowOff>
    </xdr:from>
    <xdr:to>
      <xdr:col>2</xdr:col>
      <xdr:colOff>826897</xdr:colOff>
      <xdr:row>0</xdr:row>
      <xdr:rowOff>1095201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2E82361-8073-4CC7-B491-C340C1D66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847" y="87295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DE57EAF-0B87-4D0F-BA75-5697D4AEC4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073009" y="23168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C34691F-AA6D-426C-BFE0-FDA557DEAF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370344" y="19466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CA0F81B-D6A1-43DE-A932-6E9571A89C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509267" y="17598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671E791-79A1-4621-98ED-6926F55D5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5997" y="25015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CAE09BD-9980-43E2-BBE7-23BA1DB39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5877" y="26920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397C03C-5BF2-4987-942B-B918B9365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128" y="34340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C25C003-369C-4970-B7FA-7DDE675DD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4996" y="43865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8BB9B87-F6D5-4127-BFA9-5BC8DFF73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517" y="58368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8A1B97F-A26E-4B26-A361-ED9947617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01707" y="119005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4299092-4B0F-470C-9D67-26585E63C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9085" y="13647127"/>
          <a:ext cx="2868490" cy="80922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FA9344-B3BC-4EEF-B169-B2E4BE4C45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521739" y="212024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AD42D6-87C0-4E5C-9C97-2C8F42DF18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111389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541147</xdr:colOff>
      <xdr:row>0</xdr:row>
      <xdr:rowOff>872951</xdr:rowOff>
    </xdr:from>
    <xdr:to>
      <xdr:col>2</xdr:col>
      <xdr:colOff>826897</xdr:colOff>
      <xdr:row>0</xdr:row>
      <xdr:rowOff>1095201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68876CC-82CE-453A-B5AC-F900483E2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847" y="87295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6E738A8-66BB-4648-BE4B-7DF58E91C0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073009" y="231687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3AAE606-AD0A-4A14-9DC6-2FD0F190B3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370344" y="194661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2C0AE8D-102E-4E52-B975-7A25DD29BA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509267" y="17598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ECB2DEC-4804-431E-A946-110094A4F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5997" y="250156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95BE6D5-6DC1-40BA-8B88-3483603BC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5877" y="269206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B21D553-65DA-4E37-B8FD-356DC4D43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128" y="343401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BBA980D-8253-4267-9A96-CBBCECD7F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4996" y="438651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344774F-99EE-4C88-AF68-1BE5456B2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517" y="583681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346C8D9-9AD6-418A-98A4-34A3B6072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01707" y="119005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0A27921-8737-40AA-89C1-EA36C57D2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9085" y="13647127"/>
          <a:ext cx="2868490" cy="80922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16ECAA-9F8A-4C92-9474-340CA4F975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521739" y="1882116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E6E1EF-B9EB-4825-9DD2-28C3EEEB72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111389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541147</xdr:colOff>
      <xdr:row>0</xdr:row>
      <xdr:rowOff>872951</xdr:rowOff>
    </xdr:from>
    <xdr:to>
      <xdr:col>2</xdr:col>
      <xdr:colOff>826897</xdr:colOff>
      <xdr:row>0</xdr:row>
      <xdr:rowOff>1095201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E8D3BC4-DAC9-47B1-8BA0-8F3EA50ED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4290" y="87295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C666B4-F9BE-4A6F-B254-D7D6529C95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073009" y="2078748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6B91389-2761-4EDE-B439-E54EC441FA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370344" y="1708492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6F73AD8-6427-471B-9B19-E6B77399ED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509267" y="1521722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EC70BBB-86D2-40C5-B77B-0EC146951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5997" y="2263441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A18FA7E-9C78-43CD-A44A-DF172BC52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5877" y="2453942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F55F727-66FF-4FB7-9AB7-587CCB8AA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128" y="3195889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17CF555-B9C9-4A25-B53E-C30909353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4996" y="4148387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9F54049-0063-4EDC-9E4F-16B789C46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517" y="5598689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FE75482-AD67-4D58-9C50-B1D7FD409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01707" y="1166240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946107A-CD4D-4969-B1B2-FC2E646C8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9085" y="13409002"/>
          <a:ext cx="2868490" cy="80922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2072309" y="1884623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329714</xdr:colOff>
      <xdr:row>0</xdr:row>
      <xdr:rowOff>417635</xdr:rowOff>
    </xdr:from>
    <xdr:to>
      <xdr:col>3</xdr:col>
      <xdr:colOff>1296867</xdr:colOff>
      <xdr:row>0</xdr:row>
      <xdr:rowOff>703384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110656" y="41763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696058</xdr:rowOff>
    </xdr:from>
    <xdr:to>
      <xdr:col>2</xdr:col>
      <xdr:colOff>813290</xdr:colOff>
      <xdr:row>0</xdr:row>
      <xdr:rowOff>918308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2309" y="696058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1623579" y="2081255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1920914" y="1710999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2059837" y="1524229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26567" y="2265948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76447" y="2456449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71698" y="3198396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645566" y="4722394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517" y="5598689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654282" y="13756542"/>
          <a:ext cx="1228960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9085" y="15504502"/>
          <a:ext cx="2868490" cy="809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13C3-C2A8-4C02-99C3-AB8E8C8B8941}">
  <dimension ref="A1:G93"/>
  <sheetViews>
    <sheetView zoomScale="70" zoomScaleNormal="70" workbookViewId="0">
      <selection activeCell="B7" sqref="B7"/>
    </sheetView>
  </sheetViews>
  <sheetFormatPr baseColWidth="10" defaultColWidth="9.140625" defaultRowHeight="15" x14ac:dyDescent="0.25"/>
  <cols>
    <col min="1" max="2" width="33.4257812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05" customHeight="1" x14ac:dyDescent="0.25">
      <c r="A1" s="3" t="s">
        <v>58</v>
      </c>
      <c r="B1" s="4" t="s">
        <v>59</v>
      </c>
      <c r="C1" s="5" t="s">
        <v>1</v>
      </c>
      <c r="D1" s="5"/>
    </row>
    <row r="2" spans="1:7" x14ac:dyDescent="0.25">
      <c r="A2" s="1">
        <v>2</v>
      </c>
      <c r="B2" s="1">
        <v>3</v>
      </c>
      <c r="C2" s="2">
        <f>B2-A2</f>
        <v>1</v>
      </c>
      <c r="D2" s="1">
        <f>(C2-$G$6)^2</f>
        <v>1.3477341788875679</v>
      </c>
    </row>
    <row r="3" spans="1:7" x14ac:dyDescent="0.25">
      <c r="A3" s="1">
        <v>2</v>
      </c>
      <c r="B3" s="1">
        <v>2</v>
      </c>
      <c r="C3" s="2">
        <f t="shared" ref="C3:C66" si="0">B3-A3</f>
        <v>0</v>
      </c>
      <c r="D3" s="1">
        <f>(C3-$G$6)^2</f>
        <v>2.5895098427797594E-2</v>
      </c>
      <c r="F3" s="6" t="s">
        <v>17</v>
      </c>
      <c r="G3" s="6"/>
    </row>
    <row r="4" spans="1:7" x14ac:dyDescent="0.25">
      <c r="A4" s="1">
        <v>2</v>
      </c>
      <c r="B4" s="1">
        <v>4</v>
      </c>
      <c r="C4" s="2">
        <f t="shared" si="0"/>
        <v>2</v>
      </c>
      <c r="D4" s="1">
        <f>(C4-$G$6)^2</f>
        <v>4.669573259347338</v>
      </c>
      <c r="F4" t="s">
        <v>5</v>
      </c>
      <c r="G4">
        <v>87</v>
      </c>
    </row>
    <row r="5" spans="1:7" x14ac:dyDescent="0.25">
      <c r="A5" s="1">
        <v>2</v>
      </c>
      <c r="B5" s="1">
        <v>1</v>
      </c>
      <c r="C5" s="2">
        <f t="shared" si="0"/>
        <v>-1</v>
      </c>
      <c r="D5" s="1">
        <f t="shared" ref="D5:D68" si="1">(C5-$G$6)^2</f>
        <v>0.70405601796802741</v>
      </c>
      <c r="F5" t="s">
        <v>3</v>
      </c>
      <c r="G5">
        <f>SUM(C:C)</f>
        <v>-14</v>
      </c>
    </row>
    <row r="6" spans="1:7" x14ac:dyDescent="0.25">
      <c r="A6" s="1">
        <v>2</v>
      </c>
      <c r="B6" s="1">
        <v>3</v>
      </c>
      <c r="C6" s="2">
        <f t="shared" si="0"/>
        <v>1</v>
      </c>
      <c r="D6" s="1">
        <f t="shared" si="1"/>
        <v>1.3477341788875679</v>
      </c>
      <c r="F6" t="s">
        <v>2</v>
      </c>
      <c r="G6">
        <f>G5/G4</f>
        <v>-0.16091954022988506</v>
      </c>
    </row>
    <row r="7" spans="1:7" x14ac:dyDescent="0.25">
      <c r="A7" s="1">
        <v>1</v>
      </c>
      <c r="B7" s="1">
        <v>1</v>
      </c>
      <c r="C7" s="2">
        <f t="shared" si="0"/>
        <v>0</v>
      </c>
      <c r="D7" s="1">
        <f t="shared" si="1"/>
        <v>2.5895098427797594E-2</v>
      </c>
      <c r="F7" t="s">
        <v>4</v>
      </c>
      <c r="G7">
        <f>SUM(D:D)</f>
        <v>161.74712643678166</v>
      </c>
    </row>
    <row r="8" spans="1:7" x14ac:dyDescent="0.25">
      <c r="A8" s="1">
        <v>2</v>
      </c>
      <c r="B8" s="1">
        <v>3</v>
      </c>
      <c r="C8" s="2">
        <f t="shared" si="0"/>
        <v>1</v>
      </c>
      <c r="D8" s="1">
        <f t="shared" si="1"/>
        <v>1.3477341788875679</v>
      </c>
      <c r="F8" t="s">
        <v>6</v>
      </c>
      <c r="G8">
        <f>SQRT(G7/(G4-1))</f>
        <v>1.3714155241802455</v>
      </c>
    </row>
    <row r="9" spans="1:7" x14ac:dyDescent="0.25">
      <c r="A9" s="1">
        <v>3</v>
      </c>
      <c r="B9" s="1">
        <v>1</v>
      </c>
      <c r="C9" s="2">
        <f t="shared" si="0"/>
        <v>-2</v>
      </c>
      <c r="D9" s="1">
        <f t="shared" si="1"/>
        <v>3.3822169375082574</v>
      </c>
    </row>
    <row r="10" spans="1:7" x14ac:dyDescent="0.25">
      <c r="A10" s="1">
        <v>5</v>
      </c>
      <c r="B10" s="1">
        <v>1</v>
      </c>
      <c r="C10" s="2">
        <f t="shared" si="0"/>
        <v>-4</v>
      </c>
      <c r="D10" s="1">
        <f t="shared" si="1"/>
        <v>14.738538776588717</v>
      </c>
    </row>
    <row r="11" spans="1:7" x14ac:dyDescent="0.25">
      <c r="A11" s="1">
        <v>2</v>
      </c>
      <c r="B11" s="1">
        <v>1</v>
      </c>
      <c r="C11" s="2">
        <f t="shared" si="0"/>
        <v>-1</v>
      </c>
      <c r="D11" s="1">
        <f t="shared" si="1"/>
        <v>0.70405601796802741</v>
      </c>
    </row>
    <row r="12" spans="1:7" x14ac:dyDescent="0.25">
      <c r="A12" s="1">
        <v>2</v>
      </c>
      <c r="B12" s="1">
        <v>2</v>
      </c>
      <c r="C12" s="2">
        <f t="shared" si="0"/>
        <v>0</v>
      </c>
      <c r="D12" s="1">
        <f t="shared" si="1"/>
        <v>2.5895098427797594E-2</v>
      </c>
      <c r="F12" t="s">
        <v>12</v>
      </c>
      <c r="G12">
        <f>G6/(G8/SQRT(G4))</f>
        <v>-1.0944586249088146</v>
      </c>
    </row>
    <row r="13" spans="1:7" x14ac:dyDescent="0.25">
      <c r="A13" s="1">
        <v>3</v>
      </c>
      <c r="B13" s="1">
        <v>3</v>
      </c>
      <c r="C13" s="2">
        <f t="shared" si="0"/>
        <v>0</v>
      </c>
      <c r="D13" s="1">
        <f t="shared" si="1"/>
        <v>2.5895098427797594E-2</v>
      </c>
    </row>
    <row r="14" spans="1:7" x14ac:dyDescent="0.25">
      <c r="A14" s="1">
        <v>1</v>
      </c>
      <c r="B14" s="1">
        <v>1</v>
      </c>
      <c r="C14" s="2">
        <f t="shared" si="0"/>
        <v>0</v>
      </c>
      <c r="D14" s="1">
        <f t="shared" si="1"/>
        <v>2.5895098427797594E-2</v>
      </c>
    </row>
    <row r="15" spans="1:7" x14ac:dyDescent="0.25">
      <c r="A15" s="1">
        <v>3</v>
      </c>
      <c r="B15" s="1">
        <v>2</v>
      </c>
      <c r="C15" s="2">
        <f t="shared" si="0"/>
        <v>-1</v>
      </c>
      <c r="D15" s="1">
        <f t="shared" si="1"/>
        <v>0.70405601796802741</v>
      </c>
    </row>
    <row r="16" spans="1:7" x14ac:dyDescent="0.25">
      <c r="A16" s="1">
        <v>1</v>
      </c>
      <c r="B16" s="1">
        <v>1</v>
      </c>
      <c r="C16" s="2">
        <f t="shared" si="0"/>
        <v>0</v>
      </c>
      <c r="D16" s="1">
        <f t="shared" si="1"/>
        <v>2.5895098427797594E-2</v>
      </c>
    </row>
    <row r="17" spans="1:7" x14ac:dyDescent="0.25">
      <c r="A17" s="1">
        <v>2</v>
      </c>
      <c r="B17" s="1">
        <v>1</v>
      </c>
      <c r="C17" s="2">
        <f t="shared" si="0"/>
        <v>-1</v>
      </c>
      <c r="D17" s="1">
        <f t="shared" si="1"/>
        <v>0.70405601796802741</v>
      </c>
      <c r="F17" t="s">
        <v>7</v>
      </c>
      <c r="G17">
        <v>0.05</v>
      </c>
    </row>
    <row r="18" spans="1:7" x14ac:dyDescent="0.25">
      <c r="A18" s="1">
        <v>1</v>
      </c>
      <c r="B18" s="1">
        <v>2</v>
      </c>
      <c r="C18" s="2">
        <f t="shared" si="0"/>
        <v>1</v>
      </c>
      <c r="D18" s="1">
        <f t="shared" si="1"/>
        <v>1.3477341788875679</v>
      </c>
      <c r="F18" t="s">
        <v>8</v>
      </c>
      <c r="G18">
        <f>G4-1</f>
        <v>86</v>
      </c>
    </row>
    <row r="19" spans="1:7" x14ac:dyDescent="0.25">
      <c r="A19" s="1">
        <v>4</v>
      </c>
      <c r="B19" s="1">
        <v>2</v>
      </c>
      <c r="C19" s="2">
        <f t="shared" si="0"/>
        <v>-2</v>
      </c>
      <c r="D19" s="1">
        <f t="shared" si="1"/>
        <v>3.3822169375082574</v>
      </c>
    </row>
    <row r="20" spans="1:7" x14ac:dyDescent="0.25">
      <c r="A20" s="1">
        <v>5</v>
      </c>
      <c r="B20" s="1">
        <v>2</v>
      </c>
      <c r="C20" s="2">
        <f t="shared" si="0"/>
        <v>-3</v>
      </c>
      <c r="D20" s="1">
        <f t="shared" si="1"/>
        <v>8.0603778570484863</v>
      </c>
    </row>
    <row r="21" spans="1:7" x14ac:dyDescent="0.25">
      <c r="A21" s="1">
        <v>1</v>
      </c>
      <c r="B21" s="1">
        <v>1</v>
      </c>
      <c r="C21" s="2">
        <f t="shared" si="0"/>
        <v>0</v>
      </c>
      <c r="D21" s="1">
        <f t="shared" si="1"/>
        <v>2.5895098427797594E-2</v>
      </c>
    </row>
    <row r="22" spans="1:7" x14ac:dyDescent="0.25">
      <c r="A22" s="1">
        <v>1</v>
      </c>
      <c r="B22" s="1">
        <v>2</v>
      </c>
      <c r="C22" s="2">
        <f t="shared" si="0"/>
        <v>1</v>
      </c>
      <c r="D22" s="1">
        <f t="shared" si="1"/>
        <v>1.3477341788875679</v>
      </c>
      <c r="F22" s="6" t="s">
        <v>9</v>
      </c>
      <c r="G22" s="6"/>
    </row>
    <row r="23" spans="1:7" x14ac:dyDescent="0.25">
      <c r="A23" s="1">
        <v>2</v>
      </c>
      <c r="B23" s="1">
        <v>1</v>
      </c>
      <c r="C23" s="2">
        <f t="shared" si="0"/>
        <v>-1</v>
      </c>
      <c r="D23" s="1">
        <f t="shared" si="1"/>
        <v>0.70405601796802741</v>
      </c>
      <c r="F23" t="s">
        <v>26</v>
      </c>
      <c r="G23">
        <f>_xlfn.T.INV.2T(G17,G18)</f>
        <v>1.987934206239018</v>
      </c>
    </row>
    <row r="24" spans="1:7" x14ac:dyDescent="0.25">
      <c r="A24" s="1">
        <v>2</v>
      </c>
      <c r="B24" s="1">
        <v>3</v>
      </c>
      <c r="C24" s="2">
        <f t="shared" si="0"/>
        <v>1</v>
      </c>
      <c r="D24" s="1">
        <f t="shared" si="1"/>
        <v>1.3477341788875679</v>
      </c>
      <c r="F24" t="s">
        <v>27</v>
      </c>
      <c r="G24">
        <f>_xlfn.T.INV(G17,G18)</f>
        <v>-1.662765449409072</v>
      </c>
    </row>
    <row r="25" spans="1:7" x14ac:dyDescent="0.25">
      <c r="A25" s="1">
        <v>2</v>
      </c>
      <c r="B25" s="1">
        <v>1</v>
      </c>
      <c r="C25" s="2">
        <f t="shared" si="0"/>
        <v>-1</v>
      </c>
      <c r="D25" s="1">
        <f t="shared" si="1"/>
        <v>0.70405601796802741</v>
      </c>
    </row>
    <row r="26" spans="1:7" x14ac:dyDescent="0.25">
      <c r="A26" s="1">
        <v>1</v>
      </c>
      <c r="B26" s="1">
        <v>3</v>
      </c>
      <c r="C26" s="2">
        <f t="shared" si="0"/>
        <v>2</v>
      </c>
      <c r="D26" s="1">
        <f t="shared" si="1"/>
        <v>4.669573259347338</v>
      </c>
    </row>
    <row r="27" spans="1:7" x14ac:dyDescent="0.25">
      <c r="A27" s="1">
        <v>4</v>
      </c>
      <c r="B27" s="1">
        <v>2</v>
      </c>
      <c r="C27" s="2">
        <f t="shared" si="0"/>
        <v>-2</v>
      </c>
      <c r="D27" s="1">
        <f t="shared" si="1"/>
        <v>3.3822169375082574</v>
      </c>
    </row>
    <row r="28" spans="1:7" x14ac:dyDescent="0.25">
      <c r="A28" s="1">
        <v>3</v>
      </c>
      <c r="B28" s="1">
        <v>1</v>
      </c>
      <c r="C28" s="2">
        <f t="shared" si="0"/>
        <v>-2</v>
      </c>
      <c r="D28" s="1">
        <f t="shared" si="1"/>
        <v>3.3822169375082574</v>
      </c>
    </row>
    <row r="29" spans="1:7" x14ac:dyDescent="0.25">
      <c r="A29" s="1">
        <v>1</v>
      </c>
      <c r="B29" s="1">
        <v>2</v>
      </c>
      <c r="C29" s="2">
        <f t="shared" si="0"/>
        <v>1</v>
      </c>
      <c r="D29" s="1">
        <f t="shared" si="1"/>
        <v>1.3477341788875679</v>
      </c>
    </row>
    <row r="30" spans="1:7" x14ac:dyDescent="0.25">
      <c r="A30" s="1">
        <v>4</v>
      </c>
      <c r="B30" s="1">
        <v>2</v>
      </c>
      <c r="C30" s="2">
        <f t="shared" si="0"/>
        <v>-2</v>
      </c>
      <c r="D30" s="1">
        <f t="shared" si="1"/>
        <v>3.3822169375082574</v>
      </c>
    </row>
    <row r="31" spans="1:7" x14ac:dyDescent="0.25">
      <c r="A31" s="1">
        <v>1</v>
      </c>
      <c r="B31" s="1">
        <v>3</v>
      </c>
      <c r="C31" s="2">
        <f t="shared" si="0"/>
        <v>2</v>
      </c>
      <c r="D31" s="1">
        <f t="shared" si="1"/>
        <v>4.669573259347338</v>
      </c>
    </row>
    <row r="32" spans="1:7" x14ac:dyDescent="0.25">
      <c r="A32" s="1">
        <v>1</v>
      </c>
      <c r="B32" s="1">
        <v>3</v>
      </c>
      <c r="C32" s="2">
        <f t="shared" si="0"/>
        <v>2</v>
      </c>
      <c r="D32" s="1">
        <f t="shared" si="1"/>
        <v>4.669573259347338</v>
      </c>
    </row>
    <row r="33" spans="1:7" x14ac:dyDescent="0.25">
      <c r="A33" s="1">
        <v>2</v>
      </c>
      <c r="B33" s="1">
        <v>3</v>
      </c>
      <c r="C33" s="2">
        <f t="shared" si="0"/>
        <v>1</v>
      </c>
      <c r="D33" s="1">
        <f t="shared" si="1"/>
        <v>1.3477341788875679</v>
      </c>
    </row>
    <row r="34" spans="1:7" x14ac:dyDescent="0.25">
      <c r="A34" s="1">
        <v>3</v>
      </c>
      <c r="B34" s="1">
        <v>1</v>
      </c>
      <c r="C34" s="2">
        <f t="shared" si="0"/>
        <v>-2</v>
      </c>
      <c r="D34" s="1">
        <f t="shared" si="1"/>
        <v>3.3822169375082574</v>
      </c>
      <c r="F34" t="s">
        <v>10</v>
      </c>
    </row>
    <row r="35" spans="1:7" x14ac:dyDescent="0.25">
      <c r="A35" s="1">
        <v>3</v>
      </c>
      <c r="B35" s="1">
        <v>4</v>
      </c>
      <c r="C35" s="2">
        <f t="shared" si="0"/>
        <v>1</v>
      </c>
      <c r="D35" s="1">
        <f t="shared" si="1"/>
        <v>1.3477341788875679</v>
      </c>
      <c r="F35" t="s">
        <v>11</v>
      </c>
    </row>
    <row r="36" spans="1:7" x14ac:dyDescent="0.25">
      <c r="A36" s="1">
        <v>2</v>
      </c>
      <c r="B36" s="1">
        <v>2</v>
      </c>
      <c r="C36" s="2">
        <f t="shared" si="0"/>
        <v>0</v>
      </c>
      <c r="D36" s="1">
        <f t="shared" si="1"/>
        <v>2.5895098427797594E-2</v>
      </c>
    </row>
    <row r="37" spans="1:7" x14ac:dyDescent="0.25">
      <c r="A37" s="1">
        <v>1</v>
      </c>
      <c r="B37" s="1">
        <v>1</v>
      </c>
      <c r="C37" s="2">
        <f t="shared" si="0"/>
        <v>0</v>
      </c>
      <c r="D37" s="1">
        <f t="shared" si="1"/>
        <v>2.5895098427797594E-2</v>
      </c>
    </row>
    <row r="38" spans="1:7" x14ac:dyDescent="0.25">
      <c r="A38" s="1">
        <v>5</v>
      </c>
      <c r="B38" s="1">
        <v>2</v>
      </c>
      <c r="C38" s="2">
        <f t="shared" si="0"/>
        <v>-3</v>
      </c>
      <c r="D38" s="1">
        <f t="shared" si="1"/>
        <v>8.0603778570484863</v>
      </c>
    </row>
    <row r="39" spans="1:7" x14ac:dyDescent="0.25">
      <c r="A39" s="1">
        <v>1</v>
      </c>
      <c r="B39" s="1">
        <v>3</v>
      </c>
      <c r="C39" s="2">
        <f t="shared" si="0"/>
        <v>2</v>
      </c>
      <c r="D39" s="1">
        <f t="shared" si="1"/>
        <v>4.669573259347338</v>
      </c>
      <c r="F39" s="6" t="s">
        <v>13</v>
      </c>
      <c r="G39" s="6"/>
    </row>
    <row r="40" spans="1:7" x14ac:dyDescent="0.25">
      <c r="A40" s="1">
        <v>1</v>
      </c>
      <c r="B40" s="1">
        <v>2</v>
      </c>
      <c r="C40" s="2">
        <f t="shared" si="0"/>
        <v>1</v>
      </c>
      <c r="D40" s="1">
        <f t="shared" si="1"/>
        <v>1.3477341788875679</v>
      </c>
      <c r="F40" t="s">
        <v>13</v>
      </c>
    </row>
    <row r="41" spans="1:7" x14ac:dyDescent="0.25">
      <c r="A41" s="1">
        <v>2</v>
      </c>
      <c r="B41" s="1">
        <v>3</v>
      </c>
      <c r="C41" s="2">
        <f t="shared" si="0"/>
        <v>1</v>
      </c>
      <c r="D41" s="1">
        <f t="shared" si="1"/>
        <v>1.3477341788875679</v>
      </c>
      <c r="F41" t="s">
        <v>25</v>
      </c>
      <c r="G41">
        <f>TTEST(A:A,B:B,2,1)</f>
        <v>0.27680977008926672</v>
      </c>
    </row>
    <row r="42" spans="1:7" x14ac:dyDescent="0.25">
      <c r="A42" s="1">
        <v>1</v>
      </c>
      <c r="B42" s="1">
        <v>1</v>
      </c>
      <c r="C42" s="2">
        <f t="shared" si="0"/>
        <v>0</v>
      </c>
      <c r="D42" s="1">
        <f t="shared" si="1"/>
        <v>2.5895098427797594E-2</v>
      </c>
      <c r="F42" t="s">
        <v>29</v>
      </c>
      <c r="G42">
        <f>TTEST(A:A,B:B,1,1)</f>
        <v>0.13840488504463336</v>
      </c>
    </row>
    <row r="43" spans="1:7" x14ac:dyDescent="0.25">
      <c r="A43" s="1">
        <v>1</v>
      </c>
      <c r="B43" s="1">
        <v>2</v>
      </c>
      <c r="C43" s="2">
        <f t="shared" si="0"/>
        <v>1</v>
      </c>
      <c r="D43" s="1">
        <f t="shared" si="1"/>
        <v>1.3477341788875679</v>
      </c>
    </row>
    <row r="44" spans="1:7" x14ac:dyDescent="0.25">
      <c r="A44" s="1">
        <v>1</v>
      </c>
      <c r="B44" s="1">
        <v>1</v>
      </c>
      <c r="C44" s="2">
        <f t="shared" si="0"/>
        <v>0</v>
      </c>
      <c r="D44" s="1">
        <f t="shared" si="1"/>
        <v>2.5895098427797594E-2</v>
      </c>
    </row>
    <row r="45" spans="1:7" x14ac:dyDescent="0.25">
      <c r="A45" s="1">
        <v>2</v>
      </c>
      <c r="B45" s="1">
        <v>2</v>
      </c>
      <c r="C45" s="2">
        <f t="shared" si="0"/>
        <v>0</v>
      </c>
      <c r="D45" s="1">
        <f t="shared" si="1"/>
        <v>2.5895098427797594E-2</v>
      </c>
      <c r="F45" s="6" t="s">
        <v>16</v>
      </c>
      <c r="G45" s="6"/>
    </row>
    <row r="46" spans="1:7" x14ac:dyDescent="0.25">
      <c r="A46" s="1">
        <v>1</v>
      </c>
      <c r="B46" s="1">
        <v>2</v>
      </c>
      <c r="C46" s="2">
        <f t="shared" si="0"/>
        <v>1</v>
      </c>
      <c r="D46" s="1">
        <f t="shared" si="1"/>
        <v>1.3477341788875679</v>
      </c>
    </row>
    <row r="47" spans="1:7" x14ac:dyDescent="0.25">
      <c r="A47" s="1">
        <v>3</v>
      </c>
      <c r="B47" s="1">
        <v>2</v>
      </c>
      <c r="C47" s="2">
        <f t="shared" si="0"/>
        <v>-1</v>
      </c>
      <c r="D47" s="1">
        <f t="shared" si="1"/>
        <v>0.70405601796802741</v>
      </c>
      <c r="F47" t="s">
        <v>14</v>
      </c>
    </row>
    <row r="48" spans="1:7" x14ac:dyDescent="0.25">
      <c r="A48" s="1">
        <v>2</v>
      </c>
      <c r="B48" s="1">
        <v>2</v>
      </c>
      <c r="C48" s="2">
        <f t="shared" si="0"/>
        <v>0</v>
      </c>
      <c r="D48" s="1">
        <f t="shared" si="1"/>
        <v>2.5895098427797594E-2</v>
      </c>
      <c r="F48" t="s">
        <v>15</v>
      </c>
    </row>
    <row r="49" spans="1:6" x14ac:dyDescent="0.25">
      <c r="A49" s="1">
        <v>2</v>
      </c>
      <c r="B49" s="1">
        <v>2</v>
      </c>
      <c r="C49" s="2">
        <f t="shared" si="0"/>
        <v>0</v>
      </c>
      <c r="D49" s="1">
        <f t="shared" si="1"/>
        <v>2.5895098427797594E-2</v>
      </c>
    </row>
    <row r="50" spans="1:6" x14ac:dyDescent="0.25">
      <c r="A50" s="1">
        <v>1</v>
      </c>
      <c r="B50" s="1">
        <v>1</v>
      </c>
      <c r="C50" s="2">
        <f t="shared" si="0"/>
        <v>0</v>
      </c>
      <c r="D50" s="1">
        <f t="shared" si="1"/>
        <v>2.5895098427797594E-2</v>
      </c>
      <c r="F50" t="s">
        <v>18</v>
      </c>
    </row>
    <row r="51" spans="1:6" x14ac:dyDescent="0.25">
      <c r="A51" s="1">
        <v>3</v>
      </c>
      <c r="B51" s="1">
        <v>1</v>
      </c>
      <c r="C51" s="2">
        <f t="shared" si="0"/>
        <v>-2</v>
      </c>
      <c r="D51" s="1">
        <f t="shared" si="1"/>
        <v>3.3822169375082574</v>
      </c>
      <c r="F51" t="s">
        <v>19</v>
      </c>
    </row>
    <row r="52" spans="1:6" x14ac:dyDescent="0.25">
      <c r="A52" s="1">
        <v>2</v>
      </c>
      <c r="B52" s="1">
        <v>1</v>
      </c>
      <c r="C52" s="2">
        <f t="shared" si="0"/>
        <v>-1</v>
      </c>
      <c r="D52" s="1">
        <f t="shared" si="1"/>
        <v>0.70405601796802741</v>
      </c>
    </row>
    <row r="53" spans="1:6" x14ac:dyDescent="0.25">
      <c r="A53" s="1">
        <v>2</v>
      </c>
      <c r="B53" s="1">
        <v>2</v>
      </c>
      <c r="C53" s="2">
        <f t="shared" si="0"/>
        <v>0</v>
      </c>
      <c r="D53" s="1">
        <f t="shared" si="1"/>
        <v>2.5895098427797594E-2</v>
      </c>
    </row>
    <row r="54" spans="1:6" x14ac:dyDescent="0.25">
      <c r="A54" s="1">
        <v>2</v>
      </c>
      <c r="B54" s="1">
        <v>2</v>
      </c>
      <c r="C54" s="2">
        <f t="shared" si="0"/>
        <v>0</v>
      </c>
      <c r="D54" s="1">
        <f t="shared" si="1"/>
        <v>2.5895098427797594E-2</v>
      </c>
    </row>
    <row r="55" spans="1:6" x14ac:dyDescent="0.25">
      <c r="A55" s="1">
        <v>2</v>
      </c>
      <c r="B55" s="1">
        <v>1</v>
      </c>
      <c r="C55" s="2">
        <f t="shared" si="0"/>
        <v>-1</v>
      </c>
      <c r="D55" s="1">
        <f t="shared" si="1"/>
        <v>0.70405601796802741</v>
      </c>
    </row>
    <row r="56" spans="1:6" x14ac:dyDescent="0.25">
      <c r="A56" s="1">
        <v>2</v>
      </c>
      <c r="B56" s="1">
        <v>1</v>
      </c>
      <c r="C56" s="2">
        <f t="shared" si="0"/>
        <v>-1</v>
      </c>
      <c r="D56" s="1">
        <f t="shared" si="1"/>
        <v>0.70405601796802741</v>
      </c>
      <c r="F56" s="6" t="s">
        <v>23</v>
      </c>
    </row>
    <row r="57" spans="1:6" x14ac:dyDescent="0.25">
      <c r="A57" s="1">
        <v>1</v>
      </c>
      <c r="B57" s="1">
        <v>2</v>
      </c>
      <c r="C57" s="2">
        <f t="shared" si="0"/>
        <v>1</v>
      </c>
      <c r="D57" s="1">
        <f t="shared" si="1"/>
        <v>1.3477341788875679</v>
      </c>
    </row>
    <row r="58" spans="1:6" x14ac:dyDescent="0.25">
      <c r="A58" s="1">
        <v>2</v>
      </c>
      <c r="B58" s="1">
        <v>2</v>
      </c>
      <c r="C58" s="2">
        <f t="shared" si="0"/>
        <v>0</v>
      </c>
      <c r="D58" s="1">
        <f t="shared" si="1"/>
        <v>2.5895098427797594E-2</v>
      </c>
      <c r="F58" t="s">
        <v>21</v>
      </c>
    </row>
    <row r="59" spans="1:6" x14ac:dyDescent="0.25">
      <c r="A59" s="1">
        <v>2</v>
      </c>
      <c r="B59" s="1">
        <v>1</v>
      </c>
      <c r="C59" s="2">
        <f t="shared" si="0"/>
        <v>-1</v>
      </c>
      <c r="D59" s="1">
        <f t="shared" si="1"/>
        <v>0.70405601796802741</v>
      </c>
      <c r="F59" t="s">
        <v>20</v>
      </c>
    </row>
    <row r="60" spans="1:6" x14ac:dyDescent="0.25">
      <c r="A60" s="1">
        <v>1</v>
      </c>
      <c r="B60" s="1">
        <v>1</v>
      </c>
      <c r="C60" s="2">
        <f t="shared" si="0"/>
        <v>0</v>
      </c>
      <c r="D60" s="1">
        <f t="shared" si="1"/>
        <v>2.5895098427797594E-2</v>
      </c>
      <c r="F60" t="s">
        <v>22</v>
      </c>
    </row>
    <row r="61" spans="1:6" x14ac:dyDescent="0.25">
      <c r="A61" s="1">
        <v>4</v>
      </c>
      <c r="B61" s="1">
        <v>2</v>
      </c>
      <c r="C61" s="2">
        <f t="shared" si="0"/>
        <v>-2</v>
      </c>
      <c r="D61" s="1">
        <f t="shared" si="1"/>
        <v>3.3822169375082574</v>
      </c>
    </row>
    <row r="62" spans="1:6" x14ac:dyDescent="0.25">
      <c r="A62" s="1">
        <v>2</v>
      </c>
      <c r="B62" s="1">
        <v>2</v>
      </c>
      <c r="C62" s="2">
        <f t="shared" si="0"/>
        <v>0</v>
      </c>
      <c r="D62" s="1">
        <f t="shared" si="1"/>
        <v>2.5895098427797594E-2</v>
      </c>
    </row>
    <row r="63" spans="1:6" x14ac:dyDescent="0.25">
      <c r="A63" s="1">
        <v>1</v>
      </c>
      <c r="B63" s="1">
        <v>1</v>
      </c>
      <c r="C63" s="2">
        <f t="shared" si="0"/>
        <v>0</v>
      </c>
      <c r="D63" s="1">
        <f t="shared" si="1"/>
        <v>2.5895098427797594E-2</v>
      </c>
    </row>
    <row r="64" spans="1:6" x14ac:dyDescent="0.25">
      <c r="A64" s="1">
        <v>3</v>
      </c>
      <c r="B64" s="1">
        <v>2</v>
      </c>
      <c r="C64" s="2">
        <f t="shared" si="0"/>
        <v>-1</v>
      </c>
      <c r="D64" s="1">
        <f t="shared" si="1"/>
        <v>0.70405601796802741</v>
      </c>
    </row>
    <row r="65" spans="1:6" x14ac:dyDescent="0.25">
      <c r="A65" s="1">
        <v>2</v>
      </c>
      <c r="B65" s="1">
        <v>1</v>
      </c>
      <c r="C65" s="2">
        <f t="shared" si="0"/>
        <v>-1</v>
      </c>
      <c r="D65" s="1">
        <f t="shared" si="1"/>
        <v>0.70405601796802741</v>
      </c>
      <c r="F65" s="6" t="s">
        <v>23</v>
      </c>
    </row>
    <row r="66" spans="1:6" x14ac:dyDescent="0.25">
      <c r="A66" s="1">
        <v>2</v>
      </c>
      <c r="B66" s="1">
        <v>2</v>
      </c>
      <c r="C66" s="2">
        <f t="shared" si="0"/>
        <v>0</v>
      </c>
      <c r="D66" s="1">
        <f t="shared" si="1"/>
        <v>2.5895098427797594E-2</v>
      </c>
    </row>
    <row r="67" spans="1:6" x14ac:dyDescent="0.25">
      <c r="A67" s="1">
        <v>2</v>
      </c>
      <c r="B67" s="1">
        <v>4</v>
      </c>
      <c r="C67" s="2">
        <f t="shared" ref="C67:C88" si="2">B67-A67</f>
        <v>2</v>
      </c>
      <c r="D67" s="1">
        <f t="shared" si="1"/>
        <v>4.669573259347338</v>
      </c>
    </row>
    <row r="68" spans="1:6" x14ac:dyDescent="0.25">
      <c r="A68" s="1">
        <v>1</v>
      </c>
      <c r="B68" s="1">
        <v>2</v>
      </c>
      <c r="C68" s="2">
        <f t="shared" si="2"/>
        <v>1</v>
      </c>
      <c r="D68" s="1">
        <f t="shared" si="1"/>
        <v>1.3477341788875679</v>
      </c>
    </row>
    <row r="69" spans="1:6" x14ac:dyDescent="0.25">
      <c r="A69" s="1">
        <v>1</v>
      </c>
      <c r="B69" s="1">
        <v>1</v>
      </c>
      <c r="C69" s="2">
        <f t="shared" si="2"/>
        <v>0</v>
      </c>
      <c r="D69" s="1">
        <f t="shared" ref="D69:D88" si="3">(C69-$G$6)^2</f>
        <v>2.5895098427797594E-2</v>
      </c>
    </row>
    <row r="70" spans="1:6" x14ac:dyDescent="0.25">
      <c r="A70" s="1">
        <v>2</v>
      </c>
      <c r="B70" s="1">
        <v>2</v>
      </c>
      <c r="C70" s="2">
        <f t="shared" si="2"/>
        <v>0</v>
      </c>
      <c r="D70" s="1">
        <f t="shared" si="3"/>
        <v>2.5895098427797594E-2</v>
      </c>
    </row>
    <row r="71" spans="1:6" x14ac:dyDescent="0.25">
      <c r="A71" s="1">
        <v>2</v>
      </c>
      <c r="B71" s="1">
        <v>1</v>
      </c>
      <c r="C71" s="2">
        <f t="shared" si="2"/>
        <v>-1</v>
      </c>
      <c r="D71" s="1">
        <f t="shared" si="3"/>
        <v>0.70405601796802741</v>
      </c>
    </row>
    <row r="72" spans="1:6" x14ac:dyDescent="0.25">
      <c r="A72" s="1">
        <v>1</v>
      </c>
      <c r="B72" s="1">
        <v>2</v>
      </c>
      <c r="C72" s="2">
        <f t="shared" si="2"/>
        <v>1</v>
      </c>
      <c r="D72" s="1">
        <f t="shared" si="3"/>
        <v>1.3477341788875679</v>
      </c>
      <c r="F72" t="s">
        <v>24</v>
      </c>
    </row>
    <row r="73" spans="1:6" x14ac:dyDescent="0.25">
      <c r="A73" s="1">
        <v>5</v>
      </c>
      <c r="B73" s="1">
        <v>1</v>
      </c>
      <c r="C73" s="2">
        <f t="shared" si="2"/>
        <v>-4</v>
      </c>
      <c r="D73" s="1">
        <f t="shared" si="3"/>
        <v>14.738538776588717</v>
      </c>
      <c r="F73" t="s">
        <v>22</v>
      </c>
    </row>
    <row r="74" spans="1:6" x14ac:dyDescent="0.25">
      <c r="A74" s="1">
        <v>1</v>
      </c>
      <c r="B74" s="1">
        <v>3</v>
      </c>
      <c r="C74" s="2">
        <f t="shared" si="2"/>
        <v>2</v>
      </c>
      <c r="D74" s="1">
        <f t="shared" si="3"/>
        <v>4.669573259347338</v>
      </c>
      <c r="F74" t="s">
        <v>24</v>
      </c>
    </row>
    <row r="75" spans="1:6" x14ac:dyDescent="0.25">
      <c r="A75" s="1">
        <v>1</v>
      </c>
      <c r="B75" s="1">
        <v>1</v>
      </c>
      <c r="C75" s="2">
        <f t="shared" si="2"/>
        <v>0</v>
      </c>
      <c r="D75" s="1">
        <f t="shared" si="3"/>
        <v>2.5895098427797594E-2</v>
      </c>
      <c r="F75" t="s">
        <v>22</v>
      </c>
    </row>
    <row r="76" spans="1:6" x14ac:dyDescent="0.25">
      <c r="A76" s="1">
        <v>1</v>
      </c>
      <c r="B76" s="1">
        <v>2</v>
      </c>
      <c r="C76" s="2">
        <f t="shared" si="2"/>
        <v>1</v>
      </c>
      <c r="D76" s="1">
        <f t="shared" si="3"/>
        <v>1.3477341788875679</v>
      </c>
    </row>
    <row r="77" spans="1:6" x14ac:dyDescent="0.25">
      <c r="A77" s="1">
        <v>3</v>
      </c>
      <c r="B77" s="1">
        <v>2</v>
      </c>
      <c r="C77" s="2">
        <f t="shared" si="2"/>
        <v>-1</v>
      </c>
      <c r="D77" s="1">
        <f t="shared" si="3"/>
        <v>0.70405601796802741</v>
      </c>
    </row>
    <row r="78" spans="1:6" x14ac:dyDescent="0.25">
      <c r="A78" s="1">
        <v>2</v>
      </c>
      <c r="B78" s="1">
        <v>2</v>
      </c>
      <c r="C78" s="2">
        <f t="shared" si="2"/>
        <v>0</v>
      </c>
      <c r="D78" s="1">
        <f t="shared" si="3"/>
        <v>2.5895098427797594E-2</v>
      </c>
    </row>
    <row r="79" spans="1:6" x14ac:dyDescent="0.25">
      <c r="A79" s="1">
        <v>1</v>
      </c>
      <c r="B79" s="1">
        <v>1</v>
      </c>
      <c r="C79" s="2">
        <f t="shared" si="2"/>
        <v>0</v>
      </c>
      <c r="D79" s="1">
        <f t="shared" si="3"/>
        <v>2.5895098427797594E-2</v>
      </c>
    </row>
    <row r="80" spans="1:6" x14ac:dyDescent="0.25">
      <c r="A80" s="1">
        <v>2</v>
      </c>
      <c r="B80" s="1">
        <v>1</v>
      </c>
      <c r="C80" s="2">
        <f t="shared" si="2"/>
        <v>-1</v>
      </c>
      <c r="D80" s="1">
        <f t="shared" si="3"/>
        <v>0.70405601796802741</v>
      </c>
    </row>
    <row r="81" spans="1:6" x14ac:dyDescent="0.25">
      <c r="A81" s="1">
        <v>1</v>
      </c>
      <c r="B81" s="1">
        <v>2</v>
      </c>
      <c r="C81" s="2">
        <f t="shared" si="2"/>
        <v>1</v>
      </c>
      <c r="D81" s="1">
        <f t="shared" si="3"/>
        <v>1.3477341788875679</v>
      </c>
    </row>
    <row r="82" spans="1:6" x14ac:dyDescent="0.25">
      <c r="A82" s="1">
        <v>4</v>
      </c>
      <c r="B82" s="1">
        <v>1</v>
      </c>
      <c r="C82" s="2">
        <f t="shared" si="2"/>
        <v>-3</v>
      </c>
      <c r="D82" s="1">
        <f t="shared" si="3"/>
        <v>8.0603778570484863</v>
      </c>
    </row>
    <row r="83" spans="1:6" x14ac:dyDescent="0.25">
      <c r="A83" s="1">
        <v>2</v>
      </c>
      <c r="B83" s="1">
        <v>2</v>
      </c>
      <c r="C83" s="2">
        <f t="shared" si="2"/>
        <v>0</v>
      </c>
      <c r="D83" s="1">
        <f t="shared" si="3"/>
        <v>2.5895098427797594E-2</v>
      </c>
    </row>
    <row r="84" spans="1:6" x14ac:dyDescent="0.25">
      <c r="A84" s="1">
        <v>2</v>
      </c>
      <c r="B84" s="1">
        <v>2</v>
      </c>
      <c r="C84" s="2">
        <f t="shared" si="2"/>
        <v>0</v>
      </c>
      <c r="D84" s="1">
        <f t="shared" si="3"/>
        <v>2.5895098427797594E-2</v>
      </c>
    </row>
    <row r="85" spans="1:6" x14ac:dyDescent="0.25">
      <c r="A85" s="1">
        <v>2</v>
      </c>
      <c r="B85" s="1">
        <v>1</v>
      </c>
      <c r="C85" s="2">
        <f t="shared" si="2"/>
        <v>-1</v>
      </c>
      <c r="D85" s="1">
        <f t="shared" si="3"/>
        <v>0.70405601796802741</v>
      </c>
    </row>
    <row r="86" spans="1:6" x14ac:dyDescent="0.25">
      <c r="A86" s="1">
        <v>1</v>
      </c>
      <c r="B86" s="1">
        <v>4</v>
      </c>
      <c r="C86" s="2">
        <f t="shared" si="2"/>
        <v>3</v>
      </c>
      <c r="D86" s="1">
        <f t="shared" si="3"/>
        <v>9.9914123398071073</v>
      </c>
    </row>
    <row r="87" spans="1:6" x14ac:dyDescent="0.25">
      <c r="A87" s="1">
        <v>2</v>
      </c>
      <c r="B87" s="1">
        <v>2</v>
      </c>
      <c r="C87" s="2">
        <f t="shared" si="2"/>
        <v>0</v>
      </c>
      <c r="D87" s="1">
        <f t="shared" si="3"/>
        <v>2.5895098427797594E-2</v>
      </c>
    </row>
    <row r="88" spans="1:6" x14ac:dyDescent="0.25">
      <c r="A88" s="1">
        <v>1</v>
      </c>
      <c r="B88" s="1">
        <v>2</v>
      </c>
      <c r="C88" s="2">
        <f t="shared" si="2"/>
        <v>1</v>
      </c>
      <c r="D88" s="1">
        <f t="shared" si="3"/>
        <v>1.3477341788875679</v>
      </c>
    </row>
    <row r="93" spans="1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5785-50E2-48DB-904F-530BFB487D49}">
  <dimension ref="A1:G93"/>
  <sheetViews>
    <sheetView zoomScale="70" zoomScaleNormal="70" workbookViewId="0">
      <selection activeCell="B6" sqref="B6"/>
    </sheetView>
  </sheetViews>
  <sheetFormatPr baseColWidth="10" defaultColWidth="9.140625" defaultRowHeight="15" x14ac:dyDescent="0.25"/>
  <cols>
    <col min="1" max="2" width="33.4257812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05" customHeight="1" x14ac:dyDescent="0.25">
      <c r="A1" s="3" t="s">
        <v>56</v>
      </c>
      <c r="B1" s="4" t="s">
        <v>57</v>
      </c>
      <c r="C1" s="5" t="s">
        <v>1</v>
      </c>
      <c r="D1" s="5"/>
    </row>
    <row r="2" spans="1:7" x14ac:dyDescent="0.25">
      <c r="A2" s="1">
        <v>2</v>
      </c>
      <c r="B2" s="1">
        <v>2</v>
      </c>
      <c r="C2" s="2">
        <f>B2-A2</f>
        <v>0</v>
      </c>
      <c r="D2" s="1">
        <f>(C2-$G$6)^2</f>
        <v>2.9726516052318672E-2</v>
      </c>
    </row>
    <row r="3" spans="1:7" x14ac:dyDescent="0.25">
      <c r="A3" s="1">
        <v>2</v>
      </c>
      <c r="B3" s="1">
        <v>2</v>
      </c>
      <c r="C3" s="2">
        <f t="shared" ref="C3:C66" si="0">B3-A3</f>
        <v>0</v>
      </c>
      <c r="D3" s="1">
        <f>(C3-$G$6)^2</f>
        <v>2.9726516052318672E-2</v>
      </c>
      <c r="F3" s="6" t="s">
        <v>17</v>
      </c>
      <c r="G3" s="6"/>
    </row>
    <row r="4" spans="1:7" x14ac:dyDescent="0.25">
      <c r="A4" s="1">
        <v>2</v>
      </c>
      <c r="B4" s="1">
        <v>1</v>
      </c>
      <c r="C4" s="2">
        <f t="shared" si="0"/>
        <v>-1</v>
      </c>
      <c r="D4" s="1">
        <f>(C4-$G$6)^2</f>
        <v>0.68489892984542211</v>
      </c>
      <c r="F4" t="s">
        <v>5</v>
      </c>
      <c r="G4">
        <v>87</v>
      </c>
    </row>
    <row r="5" spans="1:7" x14ac:dyDescent="0.25">
      <c r="A5" s="1">
        <v>2</v>
      </c>
      <c r="B5" s="1">
        <v>1</v>
      </c>
      <c r="C5" s="2">
        <f t="shared" si="0"/>
        <v>-1</v>
      </c>
      <c r="D5" s="1">
        <f t="shared" ref="D5:D68" si="1">(C5-$G$6)^2</f>
        <v>0.68489892984542211</v>
      </c>
      <c r="F5" t="s">
        <v>3</v>
      </c>
      <c r="G5">
        <f>SUM(C:C)</f>
        <v>-15</v>
      </c>
    </row>
    <row r="6" spans="1:7" x14ac:dyDescent="0.25">
      <c r="A6" s="1">
        <v>2</v>
      </c>
      <c r="B6" s="1">
        <v>3</v>
      </c>
      <c r="C6" s="2">
        <f t="shared" si="0"/>
        <v>1</v>
      </c>
      <c r="D6" s="1">
        <f t="shared" si="1"/>
        <v>1.3745541022592156</v>
      </c>
      <c r="F6" t="s">
        <v>2</v>
      </c>
      <c r="G6">
        <f>G5/G4</f>
        <v>-0.17241379310344829</v>
      </c>
    </row>
    <row r="7" spans="1:7" x14ac:dyDescent="0.25">
      <c r="A7" s="1">
        <v>1</v>
      </c>
      <c r="B7" s="1">
        <v>1</v>
      </c>
      <c r="C7" s="2">
        <f t="shared" si="0"/>
        <v>0</v>
      </c>
      <c r="D7" s="1">
        <f t="shared" si="1"/>
        <v>2.9726516052318672E-2</v>
      </c>
      <c r="F7" t="s">
        <v>4</v>
      </c>
      <c r="G7">
        <f>SUM(D:D)</f>
        <v>156.41379310344817</v>
      </c>
    </row>
    <row r="8" spans="1:7" x14ac:dyDescent="0.25">
      <c r="A8" s="1">
        <v>2</v>
      </c>
      <c r="B8" s="1">
        <v>1</v>
      </c>
      <c r="C8" s="2">
        <f t="shared" si="0"/>
        <v>-1</v>
      </c>
      <c r="D8" s="1">
        <f t="shared" si="1"/>
        <v>0.68489892984542211</v>
      </c>
      <c r="F8" t="s">
        <v>6</v>
      </c>
      <c r="G8">
        <f>SQRT(G7/(G4-1))</f>
        <v>1.3486159705737606</v>
      </c>
    </row>
    <row r="9" spans="1:7" x14ac:dyDescent="0.25">
      <c r="A9" s="1">
        <v>2</v>
      </c>
      <c r="B9" s="1">
        <v>1</v>
      </c>
      <c r="C9" s="2">
        <f t="shared" si="0"/>
        <v>-1</v>
      </c>
      <c r="D9" s="1">
        <f t="shared" si="1"/>
        <v>0.68489892984542211</v>
      </c>
    </row>
    <row r="10" spans="1:7" x14ac:dyDescent="0.25">
      <c r="A10" s="1">
        <v>5</v>
      </c>
      <c r="B10" s="1">
        <v>1</v>
      </c>
      <c r="C10" s="2">
        <f t="shared" si="0"/>
        <v>-4</v>
      </c>
      <c r="D10" s="1">
        <f t="shared" si="1"/>
        <v>14.650416171224732</v>
      </c>
    </row>
    <row r="11" spans="1:7" x14ac:dyDescent="0.25">
      <c r="A11" s="1">
        <v>2</v>
      </c>
      <c r="B11" s="1">
        <v>4</v>
      </c>
      <c r="C11" s="2">
        <f t="shared" si="0"/>
        <v>2</v>
      </c>
      <c r="D11" s="1">
        <f t="shared" si="1"/>
        <v>4.7193816884661119</v>
      </c>
    </row>
    <row r="12" spans="1:7" x14ac:dyDescent="0.25">
      <c r="A12" s="1">
        <v>2</v>
      </c>
      <c r="B12" s="1">
        <v>2</v>
      </c>
      <c r="C12" s="2">
        <f t="shared" si="0"/>
        <v>0</v>
      </c>
      <c r="D12" s="1">
        <f t="shared" si="1"/>
        <v>2.9726516052318672E-2</v>
      </c>
      <c r="F12" t="s">
        <v>12</v>
      </c>
      <c r="G12">
        <f>G6/(G8/SQRT(G4))</f>
        <v>-1.192458666771169</v>
      </c>
    </row>
    <row r="13" spans="1:7" x14ac:dyDescent="0.25">
      <c r="A13" s="1">
        <v>1</v>
      </c>
      <c r="B13" s="1">
        <v>2</v>
      </c>
      <c r="C13" s="2">
        <f t="shared" si="0"/>
        <v>1</v>
      </c>
      <c r="D13" s="1">
        <f t="shared" si="1"/>
        <v>1.3745541022592156</v>
      </c>
    </row>
    <row r="14" spans="1:7" x14ac:dyDescent="0.25">
      <c r="A14" s="1">
        <v>1</v>
      </c>
      <c r="B14" s="1">
        <v>1</v>
      </c>
      <c r="C14" s="2">
        <f t="shared" si="0"/>
        <v>0</v>
      </c>
      <c r="D14" s="1">
        <f t="shared" si="1"/>
        <v>2.9726516052318672E-2</v>
      </c>
    </row>
    <row r="15" spans="1:7" x14ac:dyDescent="0.25">
      <c r="A15" s="1">
        <v>2</v>
      </c>
      <c r="B15" s="1">
        <v>2</v>
      </c>
      <c r="C15" s="2">
        <f t="shared" si="0"/>
        <v>0</v>
      </c>
      <c r="D15" s="1">
        <f t="shared" si="1"/>
        <v>2.9726516052318672E-2</v>
      </c>
    </row>
    <row r="16" spans="1:7" x14ac:dyDescent="0.25">
      <c r="A16" s="1">
        <v>1</v>
      </c>
      <c r="B16" s="1">
        <v>1</v>
      </c>
      <c r="C16" s="2">
        <f t="shared" si="0"/>
        <v>0</v>
      </c>
      <c r="D16" s="1">
        <f t="shared" si="1"/>
        <v>2.9726516052318672E-2</v>
      </c>
    </row>
    <row r="17" spans="1:7" x14ac:dyDescent="0.25">
      <c r="A17" s="1">
        <v>2</v>
      </c>
      <c r="B17" s="1">
        <v>1</v>
      </c>
      <c r="C17" s="2">
        <f t="shared" si="0"/>
        <v>-1</v>
      </c>
      <c r="D17" s="1">
        <f t="shared" si="1"/>
        <v>0.68489892984542211</v>
      </c>
      <c r="F17" t="s">
        <v>7</v>
      </c>
      <c r="G17">
        <v>0.05</v>
      </c>
    </row>
    <row r="18" spans="1:7" x14ac:dyDescent="0.25">
      <c r="A18" s="1">
        <v>1</v>
      </c>
      <c r="B18" s="1">
        <v>2</v>
      </c>
      <c r="C18" s="2">
        <f t="shared" si="0"/>
        <v>1</v>
      </c>
      <c r="D18" s="1">
        <f t="shared" si="1"/>
        <v>1.3745541022592156</v>
      </c>
      <c r="F18" t="s">
        <v>8</v>
      </c>
      <c r="G18">
        <f>G4-1</f>
        <v>86</v>
      </c>
    </row>
    <row r="19" spans="1:7" x14ac:dyDescent="0.25">
      <c r="A19" s="1">
        <v>1</v>
      </c>
      <c r="B19" s="1">
        <v>2</v>
      </c>
      <c r="C19" s="2">
        <f t="shared" si="0"/>
        <v>1</v>
      </c>
      <c r="D19" s="1">
        <f t="shared" si="1"/>
        <v>1.3745541022592156</v>
      </c>
    </row>
    <row r="20" spans="1:7" x14ac:dyDescent="0.25">
      <c r="A20" s="1">
        <v>5</v>
      </c>
      <c r="B20" s="1">
        <v>2</v>
      </c>
      <c r="C20" s="2">
        <f t="shared" si="0"/>
        <v>-3</v>
      </c>
      <c r="D20" s="1">
        <f t="shared" si="1"/>
        <v>7.995243757431628</v>
      </c>
    </row>
    <row r="21" spans="1:7" x14ac:dyDescent="0.25">
      <c r="A21" s="1">
        <v>1</v>
      </c>
      <c r="B21" s="1">
        <v>3</v>
      </c>
      <c r="C21" s="2">
        <f t="shared" si="0"/>
        <v>2</v>
      </c>
      <c r="D21" s="1">
        <f t="shared" si="1"/>
        <v>4.7193816884661119</v>
      </c>
    </row>
    <row r="22" spans="1:7" x14ac:dyDescent="0.25">
      <c r="A22" s="1">
        <v>1</v>
      </c>
      <c r="B22" s="1">
        <v>2</v>
      </c>
      <c r="C22" s="2">
        <f t="shared" si="0"/>
        <v>1</v>
      </c>
      <c r="D22" s="1">
        <f t="shared" si="1"/>
        <v>1.3745541022592156</v>
      </c>
      <c r="F22" s="6" t="s">
        <v>9</v>
      </c>
      <c r="G22" s="6"/>
    </row>
    <row r="23" spans="1:7" x14ac:dyDescent="0.25">
      <c r="A23" s="1">
        <v>2</v>
      </c>
      <c r="B23" s="1">
        <v>3</v>
      </c>
      <c r="C23" s="2">
        <f t="shared" si="0"/>
        <v>1</v>
      </c>
      <c r="D23" s="1">
        <f t="shared" si="1"/>
        <v>1.3745541022592156</v>
      </c>
      <c r="F23" t="s">
        <v>26</v>
      </c>
      <c r="G23">
        <f>_xlfn.T.INV.2T(G17,G18)</f>
        <v>1.987934206239018</v>
      </c>
    </row>
    <row r="24" spans="1:7" x14ac:dyDescent="0.25">
      <c r="A24" s="1">
        <v>2</v>
      </c>
      <c r="B24" s="1">
        <v>1</v>
      </c>
      <c r="C24" s="2">
        <f t="shared" si="0"/>
        <v>-1</v>
      </c>
      <c r="D24" s="1">
        <f t="shared" si="1"/>
        <v>0.68489892984542211</v>
      </c>
      <c r="F24" t="s">
        <v>27</v>
      </c>
      <c r="G24">
        <f>_xlfn.T.INV(G17,G18)</f>
        <v>-1.662765449409072</v>
      </c>
    </row>
    <row r="25" spans="1:7" x14ac:dyDescent="0.25">
      <c r="A25" s="1">
        <v>2</v>
      </c>
      <c r="B25" s="1">
        <v>1</v>
      </c>
      <c r="C25" s="2">
        <f t="shared" si="0"/>
        <v>-1</v>
      </c>
      <c r="D25" s="1">
        <f t="shared" si="1"/>
        <v>0.68489892984542211</v>
      </c>
    </row>
    <row r="26" spans="1:7" x14ac:dyDescent="0.25">
      <c r="A26" s="1">
        <v>1</v>
      </c>
      <c r="B26" s="1">
        <v>1</v>
      </c>
      <c r="C26" s="2">
        <f t="shared" si="0"/>
        <v>0</v>
      </c>
      <c r="D26" s="1">
        <f t="shared" si="1"/>
        <v>2.9726516052318672E-2</v>
      </c>
    </row>
    <row r="27" spans="1:7" x14ac:dyDescent="0.25">
      <c r="A27" s="1">
        <v>2</v>
      </c>
      <c r="B27" s="1">
        <v>4</v>
      </c>
      <c r="C27" s="2">
        <f t="shared" si="0"/>
        <v>2</v>
      </c>
      <c r="D27" s="1">
        <f t="shared" si="1"/>
        <v>4.7193816884661119</v>
      </c>
    </row>
    <row r="28" spans="1:7" x14ac:dyDescent="0.25">
      <c r="A28" s="1">
        <v>1</v>
      </c>
      <c r="B28" s="1">
        <v>1</v>
      </c>
      <c r="C28" s="2">
        <f t="shared" si="0"/>
        <v>0</v>
      </c>
      <c r="D28" s="1">
        <f t="shared" si="1"/>
        <v>2.9726516052318672E-2</v>
      </c>
    </row>
    <row r="29" spans="1:7" x14ac:dyDescent="0.25">
      <c r="A29" s="1">
        <v>3</v>
      </c>
      <c r="B29" s="1">
        <v>2</v>
      </c>
      <c r="C29" s="2">
        <f t="shared" si="0"/>
        <v>-1</v>
      </c>
      <c r="D29" s="1">
        <f t="shared" si="1"/>
        <v>0.68489892984542211</v>
      </c>
    </row>
    <row r="30" spans="1:7" x14ac:dyDescent="0.25">
      <c r="A30" s="1">
        <v>5</v>
      </c>
      <c r="B30" s="1">
        <v>2</v>
      </c>
      <c r="C30" s="2">
        <f t="shared" si="0"/>
        <v>-3</v>
      </c>
      <c r="D30" s="1">
        <f t="shared" si="1"/>
        <v>7.995243757431628</v>
      </c>
    </row>
    <row r="31" spans="1:7" x14ac:dyDescent="0.25">
      <c r="A31" s="1">
        <v>1</v>
      </c>
      <c r="B31" s="1">
        <v>3</v>
      </c>
      <c r="C31" s="2">
        <f t="shared" si="0"/>
        <v>2</v>
      </c>
      <c r="D31" s="1">
        <f t="shared" si="1"/>
        <v>4.7193816884661119</v>
      </c>
    </row>
    <row r="32" spans="1:7" x14ac:dyDescent="0.25">
      <c r="A32" s="1">
        <v>3</v>
      </c>
      <c r="B32" s="1">
        <v>2</v>
      </c>
      <c r="C32" s="2">
        <f t="shared" si="0"/>
        <v>-1</v>
      </c>
      <c r="D32" s="1">
        <f t="shared" si="1"/>
        <v>0.68489892984542211</v>
      </c>
    </row>
    <row r="33" spans="1:7" x14ac:dyDescent="0.25">
      <c r="A33" s="1">
        <v>2</v>
      </c>
      <c r="B33" s="1">
        <v>1</v>
      </c>
      <c r="C33" s="2">
        <f t="shared" si="0"/>
        <v>-1</v>
      </c>
      <c r="D33" s="1">
        <f t="shared" si="1"/>
        <v>0.68489892984542211</v>
      </c>
    </row>
    <row r="34" spans="1:7" x14ac:dyDescent="0.25">
      <c r="A34" s="1">
        <v>2</v>
      </c>
      <c r="B34" s="1">
        <v>1</v>
      </c>
      <c r="C34" s="2">
        <f t="shared" si="0"/>
        <v>-1</v>
      </c>
      <c r="D34" s="1">
        <f t="shared" si="1"/>
        <v>0.68489892984542211</v>
      </c>
      <c r="F34" t="s">
        <v>10</v>
      </c>
    </row>
    <row r="35" spans="1:7" x14ac:dyDescent="0.25">
      <c r="A35" s="1">
        <v>2</v>
      </c>
      <c r="B35" s="1">
        <v>1</v>
      </c>
      <c r="C35" s="2">
        <f t="shared" si="0"/>
        <v>-1</v>
      </c>
      <c r="D35" s="1">
        <f t="shared" si="1"/>
        <v>0.68489892984542211</v>
      </c>
      <c r="F35" t="s">
        <v>11</v>
      </c>
    </row>
    <row r="36" spans="1:7" x14ac:dyDescent="0.25">
      <c r="A36" s="1">
        <v>4</v>
      </c>
      <c r="B36" s="1">
        <v>2</v>
      </c>
      <c r="C36" s="2">
        <f t="shared" si="0"/>
        <v>-2</v>
      </c>
      <c r="D36" s="1">
        <f t="shared" si="1"/>
        <v>3.3400713436385252</v>
      </c>
    </row>
    <row r="37" spans="1:7" x14ac:dyDescent="0.25">
      <c r="A37" s="1">
        <v>1</v>
      </c>
      <c r="B37" s="1">
        <v>1</v>
      </c>
      <c r="C37" s="2">
        <f t="shared" si="0"/>
        <v>0</v>
      </c>
      <c r="D37" s="1">
        <f t="shared" si="1"/>
        <v>2.9726516052318672E-2</v>
      </c>
    </row>
    <row r="38" spans="1:7" x14ac:dyDescent="0.25">
      <c r="A38" s="1">
        <v>5</v>
      </c>
      <c r="B38" s="1">
        <v>2</v>
      </c>
      <c r="C38" s="2">
        <f t="shared" si="0"/>
        <v>-3</v>
      </c>
      <c r="D38" s="1">
        <f t="shared" si="1"/>
        <v>7.995243757431628</v>
      </c>
    </row>
    <row r="39" spans="1:7" x14ac:dyDescent="0.25">
      <c r="A39" s="1">
        <v>1</v>
      </c>
      <c r="B39" s="1">
        <v>2</v>
      </c>
      <c r="C39" s="2">
        <f t="shared" si="0"/>
        <v>1</v>
      </c>
      <c r="D39" s="1">
        <f t="shared" si="1"/>
        <v>1.3745541022592156</v>
      </c>
      <c r="F39" s="6" t="s">
        <v>13</v>
      </c>
      <c r="G39" s="6"/>
    </row>
    <row r="40" spans="1:7" x14ac:dyDescent="0.25">
      <c r="A40" s="1">
        <v>1</v>
      </c>
      <c r="B40" s="1">
        <v>2</v>
      </c>
      <c r="C40" s="2">
        <f t="shared" si="0"/>
        <v>1</v>
      </c>
      <c r="D40" s="1">
        <f t="shared" si="1"/>
        <v>1.3745541022592156</v>
      </c>
      <c r="F40" t="s">
        <v>13</v>
      </c>
    </row>
    <row r="41" spans="1:7" x14ac:dyDescent="0.25">
      <c r="A41" s="1">
        <v>2</v>
      </c>
      <c r="B41" s="1">
        <v>3</v>
      </c>
      <c r="C41" s="2">
        <f t="shared" si="0"/>
        <v>1</v>
      </c>
      <c r="D41" s="1">
        <f t="shared" si="1"/>
        <v>1.3745541022592156</v>
      </c>
      <c r="F41" t="s">
        <v>25</v>
      </c>
      <c r="G41">
        <f>TTEST(A:A,B:B,2,1)</f>
        <v>0.23636130664321858</v>
      </c>
    </row>
    <row r="42" spans="1:7" x14ac:dyDescent="0.25">
      <c r="A42" s="1">
        <v>4</v>
      </c>
      <c r="B42" s="1">
        <v>1</v>
      </c>
      <c r="C42" s="2">
        <f t="shared" si="0"/>
        <v>-3</v>
      </c>
      <c r="D42" s="1">
        <f t="shared" si="1"/>
        <v>7.995243757431628</v>
      </c>
      <c r="F42" t="s">
        <v>29</v>
      </c>
      <c r="G42">
        <f>TTEST(A:A,B:B,1,1)</f>
        <v>0.11818065332160929</v>
      </c>
    </row>
    <row r="43" spans="1:7" x14ac:dyDescent="0.25">
      <c r="A43" s="1">
        <v>1</v>
      </c>
      <c r="B43" s="1">
        <v>2</v>
      </c>
      <c r="C43" s="2">
        <f t="shared" si="0"/>
        <v>1</v>
      </c>
      <c r="D43" s="1">
        <f t="shared" si="1"/>
        <v>1.3745541022592156</v>
      </c>
    </row>
    <row r="44" spans="1:7" x14ac:dyDescent="0.25">
      <c r="A44" s="1">
        <v>1</v>
      </c>
      <c r="B44" s="1">
        <v>1</v>
      </c>
      <c r="C44" s="2">
        <f t="shared" si="0"/>
        <v>0</v>
      </c>
      <c r="D44" s="1">
        <f t="shared" si="1"/>
        <v>2.9726516052318672E-2</v>
      </c>
    </row>
    <row r="45" spans="1:7" x14ac:dyDescent="0.25">
      <c r="A45" s="1">
        <v>2</v>
      </c>
      <c r="B45" s="1">
        <v>2</v>
      </c>
      <c r="C45" s="2">
        <f t="shared" si="0"/>
        <v>0</v>
      </c>
      <c r="D45" s="1">
        <f t="shared" si="1"/>
        <v>2.9726516052318672E-2</v>
      </c>
      <c r="F45" s="6" t="s">
        <v>16</v>
      </c>
      <c r="G45" s="6"/>
    </row>
    <row r="46" spans="1:7" x14ac:dyDescent="0.25">
      <c r="A46" s="1">
        <v>1</v>
      </c>
      <c r="B46" s="1">
        <v>2</v>
      </c>
      <c r="C46" s="2">
        <f t="shared" si="0"/>
        <v>1</v>
      </c>
      <c r="D46" s="1">
        <f t="shared" si="1"/>
        <v>1.3745541022592156</v>
      </c>
    </row>
    <row r="47" spans="1:7" x14ac:dyDescent="0.25">
      <c r="A47" s="1">
        <v>1</v>
      </c>
      <c r="B47" s="1">
        <v>2</v>
      </c>
      <c r="C47" s="2">
        <f t="shared" si="0"/>
        <v>1</v>
      </c>
      <c r="D47" s="1">
        <f t="shared" si="1"/>
        <v>1.3745541022592156</v>
      </c>
      <c r="F47" t="s">
        <v>14</v>
      </c>
    </row>
    <row r="48" spans="1:7" x14ac:dyDescent="0.25">
      <c r="A48" s="1">
        <v>2</v>
      </c>
      <c r="B48" s="1">
        <v>3</v>
      </c>
      <c r="C48" s="2">
        <f t="shared" si="0"/>
        <v>1</v>
      </c>
      <c r="D48" s="1">
        <f t="shared" si="1"/>
        <v>1.3745541022592156</v>
      </c>
      <c r="F48" t="s">
        <v>15</v>
      </c>
    </row>
    <row r="49" spans="1:6" x14ac:dyDescent="0.25">
      <c r="A49" s="1">
        <v>2</v>
      </c>
      <c r="B49" s="1">
        <v>2</v>
      </c>
      <c r="C49" s="2">
        <f t="shared" si="0"/>
        <v>0</v>
      </c>
      <c r="D49" s="1">
        <f t="shared" si="1"/>
        <v>2.9726516052318672E-2</v>
      </c>
    </row>
    <row r="50" spans="1:6" x14ac:dyDescent="0.25">
      <c r="A50" s="1">
        <v>1</v>
      </c>
      <c r="B50" s="1">
        <v>1</v>
      </c>
      <c r="C50" s="2">
        <f t="shared" si="0"/>
        <v>0</v>
      </c>
      <c r="D50" s="1">
        <f t="shared" si="1"/>
        <v>2.9726516052318672E-2</v>
      </c>
      <c r="F50" t="s">
        <v>18</v>
      </c>
    </row>
    <row r="51" spans="1:6" x14ac:dyDescent="0.25">
      <c r="A51" s="1">
        <v>2</v>
      </c>
      <c r="B51" s="1">
        <v>1</v>
      </c>
      <c r="C51" s="2">
        <f t="shared" si="0"/>
        <v>-1</v>
      </c>
      <c r="D51" s="1">
        <f t="shared" si="1"/>
        <v>0.68489892984542211</v>
      </c>
      <c r="F51" t="s">
        <v>19</v>
      </c>
    </row>
    <row r="52" spans="1:6" x14ac:dyDescent="0.25">
      <c r="A52" s="1">
        <v>2</v>
      </c>
      <c r="B52" s="1">
        <v>1</v>
      </c>
      <c r="C52" s="2">
        <f t="shared" si="0"/>
        <v>-1</v>
      </c>
      <c r="D52" s="1">
        <f t="shared" si="1"/>
        <v>0.68489892984542211</v>
      </c>
    </row>
    <row r="53" spans="1:6" x14ac:dyDescent="0.25">
      <c r="A53" s="1">
        <v>2</v>
      </c>
      <c r="B53" s="1">
        <v>2</v>
      </c>
      <c r="C53" s="2">
        <f t="shared" si="0"/>
        <v>0</v>
      </c>
      <c r="D53" s="1">
        <f t="shared" si="1"/>
        <v>2.9726516052318672E-2</v>
      </c>
    </row>
    <row r="54" spans="1:6" x14ac:dyDescent="0.25">
      <c r="A54" s="1">
        <v>2</v>
      </c>
      <c r="B54" s="1">
        <v>2</v>
      </c>
      <c r="C54" s="2">
        <f t="shared" si="0"/>
        <v>0</v>
      </c>
      <c r="D54" s="1">
        <f t="shared" si="1"/>
        <v>2.9726516052318672E-2</v>
      </c>
    </row>
    <row r="55" spans="1:6" x14ac:dyDescent="0.25">
      <c r="A55" s="1">
        <v>2</v>
      </c>
      <c r="B55" s="1">
        <v>1</v>
      </c>
      <c r="C55" s="2">
        <f t="shared" si="0"/>
        <v>-1</v>
      </c>
      <c r="D55" s="1">
        <f t="shared" si="1"/>
        <v>0.68489892984542211</v>
      </c>
    </row>
    <row r="56" spans="1:6" x14ac:dyDescent="0.25">
      <c r="A56" s="1">
        <v>2</v>
      </c>
      <c r="B56" s="1">
        <v>1</v>
      </c>
      <c r="C56" s="2">
        <f t="shared" si="0"/>
        <v>-1</v>
      </c>
      <c r="D56" s="1">
        <f t="shared" si="1"/>
        <v>0.68489892984542211</v>
      </c>
      <c r="F56" s="6" t="s">
        <v>23</v>
      </c>
    </row>
    <row r="57" spans="1:6" x14ac:dyDescent="0.25">
      <c r="A57" s="1">
        <v>1</v>
      </c>
      <c r="B57" s="1">
        <v>2</v>
      </c>
      <c r="C57" s="2">
        <f t="shared" si="0"/>
        <v>1</v>
      </c>
      <c r="D57" s="1">
        <f t="shared" si="1"/>
        <v>1.3745541022592156</v>
      </c>
    </row>
    <row r="58" spans="1:6" x14ac:dyDescent="0.25">
      <c r="A58" s="1">
        <v>2</v>
      </c>
      <c r="B58" s="1">
        <v>4</v>
      </c>
      <c r="C58" s="2">
        <f t="shared" si="0"/>
        <v>2</v>
      </c>
      <c r="D58" s="1">
        <f t="shared" si="1"/>
        <v>4.7193816884661119</v>
      </c>
      <c r="F58" t="s">
        <v>21</v>
      </c>
    </row>
    <row r="59" spans="1:6" x14ac:dyDescent="0.25">
      <c r="A59" s="1">
        <v>2</v>
      </c>
      <c r="B59" s="1">
        <v>1</v>
      </c>
      <c r="C59" s="2">
        <f t="shared" si="0"/>
        <v>-1</v>
      </c>
      <c r="D59" s="1">
        <f t="shared" si="1"/>
        <v>0.68489892984542211</v>
      </c>
      <c r="F59" t="s">
        <v>20</v>
      </c>
    </row>
    <row r="60" spans="1:6" x14ac:dyDescent="0.25">
      <c r="A60" s="1">
        <v>1</v>
      </c>
      <c r="B60" s="1">
        <v>1</v>
      </c>
      <c r="C60" s="2">
        <f t="shared" si="0"/>
        <v>0</v>
      </c>
      <c r="D60" s="1">
        <f t="shared" si="1"/>
        <v>2.9726516052318672E-2</v>
      </c>
      <c r="F60" t="s">
        <v>22</v>
      </c>
    </row>
    <row r="61" spans="1:6" x14ac:dyDescent="0.25">
      <c r="A61" s="1">
        <v>1</v>
      </c>
      <c r="B61" s="1">
        <v>2</v>
      </c>
      <c r="C61" s="2">
        <f t="shared" si="0"/>
        <v>1</v>
      </c>
      <c r="D61" s="1">
        <f t="shared" si="1"/>
        <v>1.3745541022592156</v>
      </c>
    </row>
    <row r="62" spans="1:6" x14ac:dyDescent="0.25">
      <c r="A62" s="1">
        <v>3</v>
      </c>
      <c r="B62" s="1">
        <v>2</v>
      </c>
      <c r="C62" s="2">
        <f t="shared" si="0"/>
        <v>-1</v>
      </c>
      <c r="D62" s="1">
        <f t="shared" si="1"/>
        <v>0.68489892984542211</v>
      </c>
    </row>
    <row r="63" spans="1:6" x14ac:dyDescent="0.25">
      <c r="A63" s="1">
        <v>1</v>
      </c>
      <c r="B63" s="1">
        <v>1</v>
      </c>
      <c r="C63" s="2">
        <f t="shared" si="0"/>
        <v>0</v>
      </c>
      <c r="D63" s="1">
        <f t="shared" si="1"/>
        <v>2.9726516052318672E-2</v>
      </c>
    </row>
    <row r="64" spans="1:6" x14ac:dyDescent="0.25">
      <c r="A64" s="1">
        <v>3</v>
      </c>
      <c r="B64" s="1">
        <v>2</v>
      </c>
      <c r="C64" s="2">
        <f t="shared" si="0"/>
        <v>-1</v>
      </c>
      <c r="D64" s="1">
        <f t="shared" si="1"/>
        <v>0.68489892984542211</v>
      </c>
    </row>
    <row r="65" spans="1:6" x14ac:dyDescent="0.25">
      <c r="A65" s="1">
        <v>2</v>
      </c>
      <c r="B65" s="1">
        <v>1</v>
      </c>
      <c r="C65" s="2">
        <f t="shared" si="0"/>
        <v>-1</v>
      </c>
      <c r="D65" s="1">
        <f t="shared" si="1"/>
        <v>0.68489892984542211</v>
      </c>
      <c r="F65" s="6" t="s">
        <v>23</v>
      </c>
    </row>
    <row r="66" spans="1:6" x14ac:dyDescent="0.25">
      <c r="A66" s="1">
        <v>2</v>
      </c>
      <c r="B66" s="1">
        <v>2</v>
      </c>
      <c r="C66" s="2">
        <f t="shared" si="0"/>
        <v>0</v>
      </c>
      <c r="D66" s="1">
        <f t="shared" si="1"/>
        <v>2.9726516052318672E-2</v>
      </c>
    </row>
    <row r="67" spans="1:6" x14ac:dyDescent="0.25">
      <c r="A67" s="1">
        <v>4</v>
      </c>
      <c r="B67" s="1">
        <v>5</v>
      </c>
      <c r="C67" s="2">
        <f t="shared" ref="C67:C88" si="2">B67-A67</f>
        <v>1</v>
      </c>
      <c r="D67" s="1">
        <f t="shared" si="1"/>
        <v>1.3745541022592156</v>
      </c>
    </row>
    <row r="68" spans="1:6" x14ac:dyDescent="0.25">
      <c r="A68" s="1">
        <v>1</v>
      </c>
      <c r="B68" s="1">
        <v>3</v>
      </c>
      <c r="C68" s="2">
        <f t="shared" si="2"/>
        <v>2</v>
      </c>
      <c r="D68" s="1">
        <f t="shared" si="1"/>
        <v>4.7193816884661119</v>
      </c>
    </row>
    <row r="69" spans="1:6" x14ac:dyDescent="0.25">
      <c r="A69" s="1">
        <v>1</v>
      </c>
      <c r="B69" s="1">
        <v>1</v>
      </c>
      <c r="C69" s="2">
        <f t="shared" si="2"/>
        <v>0</v>
      </c>
      <c r="D69" s="1">
        <f t="shared" ref="D69:D88" si="3">(C69-$G$6)^2</f>
        <v>2.9726516052318672E-2</v>
      </c>
    </row>
    <row r="70" spans="1:6" x14ac:dyDescent="0.25">
      <c r="A70" s="1">
        <v>2</v>
      </c>
      <c r="B70" s="1">
        <v>2</v>
      </c>
      <c r="C70" s="2">
        <f t="shared" si="2"/>
        <v>0</v>
      </c>
      <c r="D70" s="1">
        <f t="shared" si="3"/>
        <v>2.9726516052318672E-2</v>
      </c>
    </row>
    <row r="71" spans="1:6" x14ac:dyDescent="0.25">
      <c r="A71" s="1">
        <v>2</v>
      </c>
      <c r="B71" s="1">
        <v>1</v>
      </c>
      <c r="C71" s="2">
        <f t="shared" si="2"/>
        <v>-1</v>
      </c>
      <c r="D71" s="1">
        <f t="shared" si="3"/>
        <v>0.68489892984542211</v>
      </c>
    </row>
    <row r="72" spans="1:6" x14ac:dyDescent="0.25">
      <c r="A72" s="1">
        <v>1</v>
      </c>
      <c r="B72" s="1">
        <v>2</v>
      </c>
      <c r="C72" s="2">
        <f t="shared" si="2"/>
        <v>1</v>
      </c>
      <c r="D72" s="1">
        <f t="shared" si="3"/>
        <v>1.3745541022592156</v>
      </c>
      <c r="F72" t="s">
        <v>24</v>
      </c>
    </row>
    <row r="73" spans="1:6" x14ac:dyDescent="0.25">
      <c r="A73" s="1">
        <v>5</v>
      </c>
      <c r="B73" s="1">
        <v>1</v>
      </c>
      <c r="C73" s="2">
        <f t="shared" si="2"/>
        <v>-4</v>
      </c>
      <c r="D73" s="1">
        <f t="shared" si="3"/>
        <v>14.650416171224732</v>
      </c>
      <c r="F73" t="s">
        <v>22</v>
      </c>
    </row>
    <row r="74" spans="1:6" x14ac:dyDescent="0.25">
      <c r="A74" s="1">
        <v>1</v>
      </c>
      <c r="B74" s="1">
        <v>2</v>
      </c>
      <c r="C74" s="2">
        <f t="shared" si="2"/>
        <v>1</v>
      </c>
      <c r="D74" s="1">
        <f t="shared" si="3"/>
        <v>1.3745541022592156</v>
      </c>
      <c r="F74" t="s">
        <v>24</v>
      </c>
    </row>
    <row r="75" spans="1:6" x14ac:dyDescent="0.25">
      <c r="A75" s="1">
        <v>1</v>
      </c>
      <c r="B75" s="1">
        <v>1</v>
      </c>
      <c r="C75" s="2">
        <f t="shared" si="2"/>
        <v>0</v>
      </c>
      <c r="D75" s="1">
        <f t="shared" si="3"/>
        <v>2.9726516052318672E-2</v>
      </c>
      <c r="F75" t="s">
        <v>22</v>
      </c>
    </row>
    <row r="76" spans="1:6" x14ac:dyDescent="0.25">
      <c r="A76" s="1">
        <v>1</v>
      </c>
      <c r="B76" s="1">
        <v>2</v>
      </c>
      <c r="C76" s="2">
        <f t="shared" si="2"/>
        <v>1</v>
      </c>
      <c r="D76" s="1">
        <f t="shared" si="3"/>
        <v>1.3745541022592156</v>
      </c>
    </row>
    <row r="77" spans="1:6" x14ac:dyDescent="0.25">
      <c r="A77" s="1">
        <v>1</v>
      </c>
      <c r="B77" s="1">
        <v>2</v>
      </c>
      <c r="C77" s="2">
        <f t="shared" si="2"/>
        <v>1</v>
      </c>
      <c r="D77" s="1">
        <f t="shared" si="3"/>
        <v>1.3745541022592156</v>
      </c>
    </row>
    <row r="78" spans="1:6" x14ac:dyDescent="0.25">
      <c r="A78" s="1">
        <v>3</v>
      </c>
      <c r="B78" s="1">
        <v>2</v>
      </c>
      <c r="C78" s="2">
        <f t="shared" si="2"/>
        <v>-1</v>
      </c>
      <c r="D78" s="1">
        <f t="shared" si="3"/>
        <v>0.68489892984542211</v>
      </c>
    </row>
    <row r="79" spans="1:6" x14ac:dyDescent="0.25">
      <c r="A79" s="1">
        <v>1</v>
      </c>
      <c r="B79" s="1">
        <v>1</v>
      </c>
      <c r="C79" s="2">
        <f t="shared" si="2"/>
        <v>0</v>
      </c>
      <c r="D79" s="1">
        <f t="shared" si="3"/>
        <v>2.9726516052318672E-2</v>
      </c>
    </row>
    <row r="80" spans="1:6" x14ac:dyDescent="0.25">
      <c r="A80" s="1">
        <v>2</v>
      </c>
      <c r="B80" s="1">
        <v>1</v>
      </c>
      <c r="C80" s="2">
        <f t="shared" si="2"/>
        <v>-1</v>
      </c>
      <c r="D80" s="1">
        <f t="shared" si="3"/>
        <v>0.68489892984542211</v>
      </c>
    </row>
    <row r="81" spans="1:6" x14ac:dyDescent="0.25">
      <c r="A81" s="1">
        <v>1</v>
      </c>
      <c r="B81" s="1">
        <v>2</v>
      </c>
      <c r="C81" s="2">
        <f t="shared" si="2"/>
        <v>1</v>
      </c>
      <c r="D81" s="1">
        <f t="shared" si="3"/>
        <v>1.3745541022592156</v>
      </c>
    </row>
    <row r="82" spans="1:6" x14ac:dyDescent="0.25">
      <c r="A82" s="1">
        <v>5</v>
      </c>
      <c r="B82" s="1">
        <v>1</v>
      </c>
      <c r="C82" s="2">
        <f t="shared" si="2"/>
        <v>-4</v>
      </c>
      <c r="D82" s="1">
        <f t="shared" si="3"/>
        <v>14.650416171224732</v>
      </c>
    </row>
    <row r="83" spans="1:6" x14ac:dyDescent="0.25">
      <c r="A83" s="1">
        <v>2</v>
      </c>
      <c r="B83" s="1">
        <v>2</v>
      </c>
      <c r="C83" s="2">
        <f t="shared" si="2"/>
        <v>0</v>
      </c>
      <c r="D83" s="1">
        <f t="shared" si="3"/>
        <v>2.9726516052318672E-2</v>
      </c>
    </row>
    <row r="84" spans="1:6" x14ac:dyDescent="0.25">
      <c r="A84" s="1">
        <v>2</v>
      </c>
      <c r="B84" s="1">
        <v>2</v>
      </c>
      <c r="C84" s="2">
        <f t="shared" si="2"/>
        <v>0</v>
      </c>
      <c r="D84" s="1">
        <f t="shared" si="3"/>
        <v>2.9726516052318672E-2</v>
      </c>
    </row>
    <row r="85" spans="1:6" x14ac:dyDescent="0.25">
      <c r="A85" s="1">
        <v>2</v>
      </c>
      <c r="B85" s="1">
        <v>1</v>
      </c>
      <c r="C85" s="2">
        <f t="shared" si="2"/>
        <v>-1</v>
      </c>
      <c r="D85" s="1">
        <f t="shared" si="3"/>
        <v>0.68489892984542211</v>
      </c>
    </row>
    <row r="86" spans="1:6" x14ac:dyDescent="0.25">
      <c r="A86" s="1">
        <v>1</v>
      </c>
      <c r="B86" s="1">
        <v>2</v>
      </c>
      <c r="C86" s="2">
        <f t="shared" si="2"/>
        <v>1</v>
      </c>
      <c r="D86" s="1">
        <f t="shared" si="3"/>
        <v>1.3745541022592156</v>
      </c>
    </row>
    <row r="87" spans="1:6" x14ac:dyDescent="0.25">
      <c r="A87" s="1">
        <v>2</v>
      </c>
      <c r="B87" s="1">
        <v>2</v>
      </c>
      <c r="C87" s="2">
        <f t="shared" si="2"/>
        <v>0</v>
      </c>
      <c r="D87" s="1">
        <f t="shared" si="3"/>
        <v>2.9726516052318672E-2</v>
      </c>
    </row>
    <row r="88" spans="1:6" x14ac:dyDescent="0.25">
      <c r="A88" s="1">
        <v>1</v>
      </c>
      <c r="B88" s="1">
        <v>2</v>
      </c>
      <c r="C88" s="2">
        <f t="shared" si="2"/>
        <v>1</v>
      </c>
      <c r="D88" s="1">
        <f t="shared" si="3"/>
        <v>1.3745541022592156</v>
      </c>
    </row>
    <row r="93" spans="1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CA0F-3C40-4B0D-9627-3FB813BDEA9F}">
  <dimension ref="A1:G93"/>
  <sheetViews>
    <sheetView zoomScale="70" zoomScaleNormal="70" workbookViewId="0">
      <selection activeCell="B2" sqref="B2:B88"/>
    </sheetView>
  </sheetViews>
  <sheetFormatPr baseColWidth="10" defaultColWidth="9.140625" defaultRowHeight="15" x14ac:dyDescent="0.25"/>
  <cols>
    <col min="1" max="2" width="33.4257812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05" customHeight="1" x14ac:dyDescent="0.25">
      <c r="A1" s="3" t="s">
        <v>54</v>
      </c>
      <c r="B1" s="4" t="s">
        <v>55</v>
      </c>
      <c r="C1" s="5" t="s">
        <v>1</v>
      </c>
      <c r="D1" s="5"/>
    </row>
    <row r="2" spans="1:7" x14ac:dyDescent="0.25">
      <c r="A2" s="1">
        <v>2</v>
      </c>
      <c r="B2" s="1">
        <v>2</v>
      </c>
      <c r="C2" s="2">
        <f>B2-A2</f>
        <v>0</v>
      </c>
      <c r="D2" s="1">
        <f>(C2-$G$6)^2</f>
        <v>1.1890606420927466E-3</v>
      </c>
    </row>
    <row r="3" spans="1:7" x14ac:dyDescent="0.25">
      <c r="A3" s="1">
        <v>2</v>
      </c>
      <c r="B3" s="1">
        <v>2</v>
      </c>
      <c r="C3" s="2">
        <f t="shared" ref="C3:C66" si="0">B3-A3</f>
        <v>0</v>
      </c>
      <c r="D3" s="1">
        <f>(C3-$G$6)^2</f>
        <v>1.1890606420927466E-3</v>
      </c>
      <c r="F3" s="6" t="s">
        <v>17</v>
      </c>
      <c r="G3" s="6"/>
    </row>
    <row r="4" spans="1:7" x14ac:dyDescent="0.25">
      <c r="A4" s="1">
        <v>2</v>
      </c>
      <c r="B4" s="1">
        <v>1</v>
      </c>
      <c r="C4" s="2">
        <f t="shared" si="0"/>
        <v>-1</v>
      </c>
      <c r="D4" s="1">
        <f>(C4-$G$6)^2</f>
        <v>0.93222354340071356</v>
      </c>
      <c r="F4" t="s">
        <v>5</v>
      </c>
      <c r="G4">
        <v>87</v>
      </c>
    </row>
    <row r="5" spans="1:7" x14ac:dyDescent="0.25">
      <c r="A5" s="1">
        <v>2</v>
      </c>
      <c r="B5" s="1">
        <v>1</v>
      </c>
      <c r="C5" s="2">
        <f t="shared" si="0"/>
        <v>-1</v>
      </c>
      <c r="D5" s="1">
        <f t="shared" ref="D5:D68" si="1">(C5-$G$6)^2</f>
        <v>0.93222354340071356</v>
      </c>
      <c r="F5" t="s">
        <v>3</v>
      </c>
      <c r="G5">
        <f>SUM(C:C)</f>
        <v>-3</v>
      </c>
    </row>
    <row r="6" spans="1:7" x14ac:dyDescent="0.25">
      <c r="A6" s="1">
        <v>2</v>
      </c>
      <c r="B6" s="1">
        <v>5</v>
      </c>
      <c r="C6" s="2">
        <f t="shared" si="0"/>
        <v>3</v>
      </c>
      <c r="D6" s="1">
        <f t="shared" si="1"/>
        <v>9.2080856123662294</v>
      </c>
      <c r="F6" t="s">
        <v>2</v>
      </c>
      <c r="G6">
        <f>G5/G4</f>
        <v>-3.4482758620689655E-2</v>
      </c>
    </row>
    <row r="7" spans="1:7" x14ac:dyDescent="0.25">
      <c r="A7" s="1">
        <v>3</v>
      </c>
      <c r="B7" s="1">
        <v>3</v>
      </c>
      <c r="C7" s="2">
        <f t="shared" si="0"/>
        <v>0</v>
      </c>
      <c r="D7" s="1">
        <f t="shared" si="1"/>
        <v>1.1890606420927466E-3</v>
      </c>
      <c r="F7" t="s">
        <v>4</v>
      </c>
      <c r="G7">
        <f>SUM(D:D)</f>
        <v>96.896551724137865</v>
      </c>
    </row>
    <row r="8" spans="1:7" x14ac:dyDescent="0.25">
      <c r="A8" s="1">
        <v>2</v>
      </c>
      <c r="B8" s="1">
        <v>1</v>
      </c>
      <c r="C8" s="2">
        <f t="shared" si="0"/>
        <v>-1</v>
      </c>
      <c r="D8" s="1">
        <f t="shared" si="1"/>
        <v>0.93222354340071356</v>
      </c>
      <c r="F8" t="s">
        <v>6</v>
      </c>
      <c r="G8">
        <f>SQRT(G7/(G4-1))</f>
        <v>1.0614631834479971</v>
      </c>
    </row>
    <row r="9" spans="1:7" x14ac:dyDescent="0.25">
      <c r="A9" s="1">
        <v>2</v>
      </c>
      <c r="B9" s="1">
        <v>1</v>
      </c>
      <c r="C9" s="2">
        <f t="shared" si="0"/>
        <v>-1</v>
      </c>
      <c r="D9" s="1">
        <f t="shared" si="1"/>
        <v>0.93222354340071356</v>
      </c>
    </row>
    <row r="10" spans="1:7" x14ac:dyDescent="0.25">
      <c r="A10" s="1">
        <v>3</v>
      </c>
      <c r="B10" s="1">
        <v>1</v>
      </c>
      <c r="C10" s="2">
        <f t="shared" si="0"/>
        <v>-2</v>
      </c>
      <c r="D10" s="1">
        <f t="shared" si="1"/>
        <v>3.8632580261593339</v>
      </c>
    </row>
    <row r="11" spans="1:7" x14ac:dyDescent="0.25">
      <c r="A11" s="1">
        <v>2</v>
      </c>
      <c r="B11" s="1">
        <v>1</v>
      </c>
      <c r="C11" s="2">
        <f t="shared" si="0"/>
        <v>-1</v>
      </c>
      <c r="D11" s="1">
        <f t="shared" si="1"/>
        <v>0.93222354340071356</v>
      </c>
    </row>
    <row r="12" spans="1:7" x14ac:dyDescent="0.25">
      <c r="A12" s="1">
        <v>2</v>
      </c>
      <c r="B12" s="1">
        <v>2</v>
      </c>
      <c r="C12" s="2">
        <f t="shared" si="0"/>
        <v>0</v>
      </c>
      <c r="D12" s="1">
        <f t="shared" si="1"/>
        <v>1.1890606420927466E-3</v>
      </c>
      <c r="F12" t="s">
        <v>12</v>
      </c>
      <c r="G12">
        <f>G6/(G8/SQRT(G4))</f>
        <v>-0.30300981274410438</v>
      </c>
    </row>
    <row r="13" spans="1:7" x14ac:dyDescent="0.25">
      <c r="A13" s="1">
        <v>1</v>
      </c>
      <c r="B13" s="1">
        <v>2</v>
      </c>
      <c r="C13" s="2">
        <f t="shared" si="0"/>
        <v>1</v>
      </c>
      <c r="D13" s="1">
        <f t="shared" si="1"/>
        <v>1.0701545778834722</v>
      </c>
    </row>
    <row r="14" spans="1:7" x14ac:dyDescent="0.25">
      <c r="A14" s="1">
        <v>1</v>
      </c>
      <c r="B14" s="1">
        <v>1</v>
      </c>
      <c r="C14" s="2">
        <f t="shared" si="0"/>
        <v>0</v>
      </c>
      <c r="D14" s="1">
        <f t="shared" si="1"/>
        <v>1.1890606420927466E-3</v>
      </c>
    </row>
    <row r="15" spans="1:7" x14ac:dyDescent="0.25">
      <c r="A15" s="1">
        <v>2</v>
      </c>
      <c r="B15" s="1">
        <v>2</v>
      </c>
      <c r="C15" s="2">
        <f t="shared" si="0"/>
        <v>0</v>
      </c>
      <c r="D15" s="1">
        <f t="shared" si="1"/>
        <v>1.1890606420927466E-3</v>
      </c>
    </row>
    <row r="16" spans="1:7" x14ac:dyDescent="0.25">
      <c r="A16" s="1">
        <v>1</v>
      </c>
      <c r="B16" s="1">
        <v>1</v>
      </c>
      <c r="C16" s="2">
        <f t="shared" si="0"/>
        <v>0</v>
      </c>
      <c r="D16" s="1">
        <f t="shared" si="1"/>
        <v>1.1890606420927466E-3</v>
      </c>
    </row>
    <row r="17" spans="1:7" x14ac:dyDescent="0.25">
      <c r="A17" s="1">
        <v>2</v>
      </c>
      <c r="B17" s="1">
        <v>1</v>
      </c>
      <c r="C17" s="2">
        <f t="shared" si="0"/>
        <v>-1</v>
      </c>
      <c r="D17" s="1">
        <f t="shared" si="1"/>
        <v>0.93222354340071356</v>
      </c>
      <c r="F17" t="s">
        <v>7</v>
      </c>
      <c r="G17">
        <v>0.05</v>
      </c>
    </row>
    <row r="18" spans="1:7" x14ac:dyDescent="0.25">
      <c r="A18" s="1">
        <v>1</v>
      </c>
      <c r="B18" s="1">
        <v>2</v>
      </c>
      <c r="C18" s="2">
        <f t="shared" si="0"/>
        <v>1</v>
      </c>
      <c r="D18" s="1">
        <f t="shared" si="1"/>
        <v>1.0701545778834722</v>
      </c>
      <c r="F18" t="s">
        <v>8</v>
      </c>
      <c r="G18">
        <f>G4-1</f>
        <v>86</v>
      </c>
    </row>
    <row r="19" spans="1:7" x14ac:dyDescent="0.25">
      <c r="A19" s="1">
        <v>1</v>
      </c>
      <c r="B19" s="1">
        <v>2</v>
      </c>
      <c r="C19" s="2">
        <f t="shared" si="0"/>
        <v>1</v>
      </c>
      <c r="D19" s="1">
        <f t="shared" si="1"/>
        <v>1.0701545778834722</v>
      </c>
    </row>
    <row r="20" spans="1:7" x14ac:dyDescent="0.25">
      <c r="A20" s="1">
        <v>4</v>
      </c>
      <c r="B20" s="1">
        <v>2</v>
      </c>
      <c r="C20" s="2">
        <f t="shared" si="0"/>
        <v>-2</v>
      </c>
      <c r="D20" s="1">
        <f t="shared" si="1"/>
        <v>3.8632580261593339</v>
      </c>
    </row>
    <row r="21" spans="1:7" x14ac:dyDescent="0.25">
      <c r="A21" s="1">
        <v>3</v>
      </c>
      <c r="B21" s="1">
        <v>1</v>
      </c>
      <c r="C21" s="2">
        <f t="shared" si="0"/>
        <v>-2</v>
      </c>
      <c r="D21" s="1">
        <f t="shared" si="1"/>
        <v>3.8632580261593339</v>
      </c>
    </row>
    <row r="22" spans="1:7" x14ac:dyDescent="0.25">
      <c r="A22" s="1">
        <v>1</v>
      </c>
      <c r="B22" s="1">
        <v>2</v>
      </c>
      <c r="C22" s="2">
        <f t="shared" si="0"/>
        <v>1</v>
      </c>
      <c r="D22" s="1">
        <f t="shared" si="1"/>
        <v>1.0701545778834722</v>
      </c>
      <c r="F22" s="6" t="s">
        <v>9</v>
      </c>
      <c r="G22" s="6"/>
    </row>
    <row r="23" spans="1:7" x14ac:dyDescent="0.25">
      <c r="A23" s="1">
        <v>2</v>
      </c>
      <c r="B23" s="1">
        <v>1</v>
      </c>
      <c r="C23" s="2">
        <f t="shared" si="0"/>
        <v>-1</v>
      </c>
      <c r="D23" s="1">
        <f t="shared" si="1"/>
        <v>0.93222354340071356</v>
      </c>
      <c r="F23" t="s">
        <v>26</v>
      </c>
      <c r="G23">
        <f>_xlfn.T.INV.2T(G17,G18)</f>
        <v>1.987934206239018</v>
      </c>
    </row>
    <row r="24" spans="1:7" x14ac:dyDescent="0.25">
      <c r="A24" s="1">
        <v>2</v>
      </c>
      <c r="B24" s="1">
        <v>1</v>
      </c>
      <c r="C24" s="2">
        <f t="shared" si="0"/>
        <v>-1</v>
      </c>
      <c r="D24" s="1">
        <f t="shared" si="1"/>
        <v>0.93222354340071356</v>
      </c>
      <c r="F24" t="s">
        <v>27</v>
      </c>
      <c r="G24">
        <f>_xlfn.T.INV(G17,G18)</f>
        <v>-1.662765449409072</v>
      </c>
    </row>
    <row r="25" spans="1:7" x14ac:dyDescent="0.25">
      <c r="A25" s="1">
        <v>2</v>
      </c>
      <c r="B25" s="1">
        <v>1</v>
      </c>
      <c r="C25" s="2">
        <f t="shared" si="0"/>
        <v>-1</v>
      </c>
      <c r="D25" s="1">
        <f t="shared" si="1"/>
        <v>0.93222354340071356</v>
      </c>
    </row>
    <row r="26" spans="1:7" x14ac:dyDescent="0.25">
      <c r="A26" s="1">
        <v>1</v>
      </c>
      <c r="B26" s="1">
        <v>1</v>
      </c>
      <c r="C26" s="2">
        <f t="shared" si="0"/>
        <v>0</v>
      </c>
      <c r="D26" s="1">
        <f t="shared" si="1"/>
        <v>1.1890606420927466E-3</v>
      </c>
    </row>
    <row r="27" spans="1:7" x14ac:dyDescent="0.25">
      <c r="A27" s="1">
        <v>2</v>
      </c>
      <c r="B27" s="1">
        <v>2</v>
      </c>
      <c r="C27" s="2">
        <f t="shared" si="0"/>
        <v>0</v>
      </c>
      <c r="D27" s="1">
        <f t="shared" si="1"/>
        <v>1.1890606420927466E-3</v>
      </c>
    </row>
    <row r="28" spans="1:7" x14ac:dyDescent="0.25">
      <c r="A28" s="1">
        <v>1</v>
      </c>
      <c r="B28" s="1">
        <v>1</v>
      </c>
      <c r="C28" s="2">
        <f t="shared" si="0"/>
        <v>0</v>
      </c>
      <c r="D28" s="1">
        <f t="shared" si="1"/>
        <v>1.1890606420927466E-3</v>
      </c>
    </row>
    <row r="29" spans="1:7" x14ac:dyDescent="0.25">
      <c r="A29" s="1">
        <v>1</v>
      </c>
      <c r="B29" s="1">
        <v>2</v>
      </c>
      <c r="C29" s="2">
        <f t="shared" si="0"/>
        <v>1</v>
      </c>
      <c r="D29" s="1">
        <f t="shared" si="1"/>
        <v>1.0701545778834722</v>
      </c>
    </row>
    <row r="30" spans="1:7" x14ac:dyDescent="0.25">
      <c r="A30" s="1">
        <v>3</v>
      </c>
      <c r="B30" s="1">
        <v>2</v>
      </c>
      <c r="C30" s="2">
        <f t="shared" si="0"/>
        <v>-1</v>
      </c>
      <c r="D30" s="1">
        <f t="shared" si="1"/>
        <v>0.93222354340071356</v>
      </c>
    </row>
    <row r="31" spans="1:7" x14ac:dyDescent="0.25">
      <c r="A31" s="1">
        <v>1</v>
      </c>
      <c r="B31" s="1">
        <v>1</v>
      </c>
      <c r="C31" s="2">
        <f t="shared" si="0"/>
        <v>0</v>
      </c>
      <c r="D31" s="1">
        <f t="shared" si="1"/>
        <v>1.1890606420927466E-3</v>
      </c>
    </row>
    <row r="32" spans="1:7" x14ac:dyDescent="0.25">
      <c r="A32" s="1">
        <v>1</v>
      </c>
      <c r="B32" s="1">
        <v>2</v>
      </c>
      <c r="C32" s="2">
        <f t="shared" si="0"/>
        <v>1</v>
      </c>
      <c r="D32" s="1">
        <f t="shared" si="1"/>
        <v>1.0701545778834722</v>
      </c>
    </row>
    <row r="33" spans="1:7" x14ac:dyDescent="0.25">
      <c r="A33" s="1">
        <v>2</v>
      </c>
      <c r="B33" s="1">
        <v>1</v>
      </c>
      <c r="C33" s="2">
        <f t="shared" si="0"/>
        <v>-1</v>
      </c>
      <c r="D33" s="1">
        <f t="shared" si="1"/>
        <v>0.93222354340071356</v>
      </c>
    </row>
    <row r="34" spans="1:7" x14ac:dyDescent="0.25">
      <c r="A34" s="1">
        <v>2</v>
      </c>
      <c r="B34" s="1">
        <v>1</v>
      </c>
      <c r="C34" s="2">
        <f t="shared" si="0"/>
        <v>-1</v>
      </c>
      <c r="D34" s="1">
        <f t="shared" si="1"/>
        <v>0.93222354340071356</v>
      </c>
      <c r="F34" t="s">
        <v>10</v>
      </c>
    </row>
    <row r="35" spans="1:7" x14ac:dyDescent="0.25">
      <c r="A35" s="1">
        <v>2</v>
      </c>
      <c r="B35" s="1">
        <v>1</v>
      </c>
      <c r="C35" s="2">
        <f t="shared" si="0"/>
        <v>-1</v>
      </c>
      <c r="D35" s="1">
        <f t="shared" si="1"/>
        <v>0.93222354340071356</v>
      </c>
      <c r="F35" t="s">
        <v>11</v>
      </c>
    </row>
    <row r="36" spans="1:7" x14ac:dyDescent="0.25">
      <c r="A36" s="1">
        <v>2</v>
      </c>
      <c r="B36" s="1">
        <v>2</v>
      </c>
      <c r="C36" s="2">
        <f t="shared" si="0"/>
        <v>0</v>
      </c>
      <c r="D36" s="1">
        <f t="shared" si="1"/>
        <v>1.1890606420927466E-3</v>
      </c>
    </row>
    <row r="37" spans="1:7" x14ac:dyDescent="0.25">
      <c r="A37" s="1">
        <v>1</v>
      </c>
      <c r="B37" s="1">
        <v>3</v>
      </c>
      <c r="C37" s="2">
        <f t="shared" si="0"/>
        <v>2</v>
      </c>
      <c r="D37" s="1">
        <f t="shared" si="1"/>
        <v>4.1391200951248504</v>
      </c>
    </row>
    <row r="38" spans="1:7" x14ac:dyDescent="0.25">
      <c r="A38" s="1">
        <v>4</v>
      </c>
      <c r="B38" s="1">
        <v>2</v>
      </c>
      <c r="C38" s="2">
        <f t="shared" si="0"/>
        <v>-2</v>
      </c>
      <c r="D38" s="1">
        <f t="shared" si="1"/>
        <v>3.8632580261593339</v>
      </c>
    </row>
    <row r="39" spans="1:7" x14ac:dyDescent="0.25">
      <c r="A39" s="1">
        <v>1</v>
      </c>
      <c r="B39" s="1">
        <v>2</v>
      </c>
      <c r="C39" s="2">
        <f t="shared" si="0"/>
        <v>1</v>
      </c>
      <c r="D39" s="1">
        <f t="shared" si="1"/>
        <v>1.0701545778834722</v>
      </c>
      <c r="F39" s="6" t="s">
        <v>13</v>
      </c>
      <c r="G39" s="6"/>
    </row>
    <row r="40" spans="1:7" x14ac:dyDescent="0.25">
      <c r="A40" s="1">
        <v>3</v>
      </c>
      <c r="B40" s="1">
        <v>2</v>
      </c>
      <c r="C40" s="2">
        <f t="shared" si="0"/>
        <v>-1</v>
      </c>
      <c r="D40" s="1">
        <f t="shared" si="1"/>
        <v>0.93222354340071356</v>
      </c>
      <c r="F40" t="s">
        <v>13</v>
      </c>
    </row>
    <row r="41" spans="1:7" x14ac:dyDescent="0.25">
      <c r="A41" s="1">
        <v>2</v>
      </c>
      <c r="B41" s="1">
        <v>5</v>
      </c>
      <c r="C41" s="2">
        <f t="shared" si="0"/>
        <v>3</v>
      </c>
      <c r="D41" s="1">
        <f t="shared" si="1"/>
        <v>9.2080856123662294</v>
      </c>
      <c r="F41" t="s">
        <v>25</v>
      </c>
      <c r="G41">
        <f>TTEST(A:A,B:B,2,1)</f>
        <v>0.7626141345676265</v>
      </c>
    </row>
    <row r="42" spans="1:7" x14ac:dyDescent="0.25">
      <c r="A42" s="1">
        <v>1</v>
      </c>
      <c r="B42" s="1">
        <v>1</v>
      </c>
      <c r="C42" s="2">
        <f t="shared" si="0"/>
        <v>0</v>
      </c>
      <c r="D42" s="1">
        <f t="shared" si="1"/>
        <v>1.1890606420927466E-3</v>
      </c>
      <c r="F42" t="s">
        <v>29</v>
      </c>
      <c r="G42">
        <f>TTEST(A:A,B:B,1,1)</f>
        <v>0.38130706728381325</v>
      </c>
    </row>
    <row r="43" spans="1:7" x14ac:dyDescent="0.25">
      <c r="A43" s="1">
        <v>3</v>
      </c>
      <c r="B43" s="1">
        <v>2</v>
      </c>
      <c r="C43" s="2">
        <f t="shared" si="0"/>
        <v>-1</v>
      </c>
      <c r="D43" s="1">
        <f t="shared" si="1"/>
        <v>0.93222354340071356</v>
      </c>
    </row>
    <row r="44" spans="1:7" x14ac:dyDescent="0.25">
      <c r="A44" s="1">
        <v>1</v>
      </c>
      <c r="B44" s="1">
        <v>1</v>
      </c>
      <c r="C44" s="2">
        <f t="shared" si="0"/>
        <v>0</v>
      </c>
      <c r="D44" s="1">
        <f t="shared" si="1"/>
        <v>1.1890606420927466E-3</v>
      </c>
    </row>
    <row r="45" spans="1:7" x14ac:dyDescent="0.25">
      <c r="A45" s="1">
        <v>2</v>
      </c>
      <c r="B45" s="1">
        <v>2</v>
      </c>
      <c r="C45" s="2">
        <f t="shared" si="0"/>
        <v>0</v>
      </c>
      <c r="D45" s="1">
        <f t="shared" si="1"/>
        <v>1.1890606420927466E-3</v>
      </c>
      <c r="F45" s="6" t="s">
        <v>16</v>
      </c>
      <c r="G45" s="6"/>
    </row>
    <row r="46" spans="1:7" x14ac:dyDescent="0.25">
      <c r="A46" s="1">
        <v>3</v>
      </c>
      <c r="B46" s="1">
        <v>2</v>
      </c>
      <c r="C46" s="2">
        <f t="shared" si="0"/>
        <v>-1</v>
      </c>
      <c r="D46" s="1">
        <f t="shared" si="1"/>
        <v>0.93222354340071356</v>
      </c>
    </row>
    <row r="47" spans="1:7" x14ac:dyDescent="0.25">
      <c r="A47" s="1">
        <v>1</v>
      </c>
      <c r="B47" s="1">
        <v>2</v>
      </c>
      <c r="C47" s="2">
        <f t="shared" si="0"/>
        <v>1</v>
      </c>
      <c r="D47" s="1">
        <f t="shared" si="1"/>
        <v>1.0701545778834722</v>
      </c>
      <c r="F47" t="s">
        <v>14</v>
      </c>
    </row>
    <row r="48" spans="1:7" x14ac:dyDescent="0.25">
      <c r="A48" s="1">
        <v>2</v>
      </c>
      <c r="B48" s="1">
        <v>2</v>
      </c>
      <c r="C48" s="2">
        <f t="shared" si="0"/>
        <v>0</v>
      </c>
      <c r="D48" s="1">
        <f t="shared" si="1"/>
        <v>1.1890606420927466E-3</v>
      </c>
      <c r="F48" t="s">
        <v>15</v>
      </c>
    </row>
    <row r="49" spans="1:6" x14ac:dyDescent="0.25">
      <c r="A49" s="1">
        <v>2</v>
      </c>
      <c r="B49" s="1">
        <v>2</v>
      </c>
      <c r="C49" s="2">
        <f t="shared" si="0"/>
        <v>0</v>
      </c>
      <c r="D49" s="1">
        <f t="shared" si="1"/>
        <v>1.1890606420927466E-3</v>
      </c>
    </row>
    <row r="50" spans="1:6" x14ac:dyDescent="0.25">
      <c r="A50" s="1">
        <v>1</v>
      </c>
      <c r="B50" s="1">
        <v>1</v>
      </c>
      <c r="C50" s="2">
        <f t="shared" si="0"/>
        <v>0</v>
      </c>
      <c r="D50" s="1">
        <f t="shared" si="1"/>
        <v>1.1890606420927466E-3</v>
      </c>
      <c r="F50" t="s">
        <v>18</v>
      </c>
    </row>
    <row r="51" spans="1:6" x14ac:dyDescent="0.25">
      <c r="A51" s="1">
        <v>2</v>
      </c>
      <c r="B51" s="1">
        <v>1</v>
      </c>
      <c r="C51" s="2">
        <f t="shared" si="0"/>
        <v>-1</v>
      </c>
      <c r="D51" s="1">
        <f t="shared" si="1"/>
        <v>0.93222354340071356</v>
      </c>
      <c r="F51" t="s">
        <v>19</v>
      </c>
    </row>
    <row r="52" spans="1:6" x14ac:dyDescent="0.25">
      <c r="A52" s="1">
        <v>2</v>
      </c>
      <c r="B52" s="1">
        <v>3</v>
      </c>
      <c r="C52" s="2">
        <f t="shared" si="0"/>
        <v>1</v>
      </c>
      <c r="D52" s="1">
        <f t="shared" si="1"/>
        <v>1.0701545778834722</v>
      </c>
    </row>
    <row r="53" spans="1:6" x14ac:dyDescent="0.25">
      <c r="A53" s="1">
        <v>2</v>
      </c>
      <c r="B53" s="1">
        <v>2</v>
      </c>
      <c r="C53" s="2">
        <f t="shared" si="0"/>
        <v>0</v>
      </c>
      <c r="D53" s="1">
        <f t="shared" si="1"/>
        <v>1.1890606420927466E-3</v>
      </c>
    </row>
    <row r="54" spans="1:6" x14ac:dyDescent="0.25">
      <c r="A54" s="1">
        <v>2</v>
      </c>
      <c r="B54" s="1">
        <v>2</v>
      </c>
      <c r="C54" s="2">
        <f t="shared" si="0"/>
        <v>0</v>
      </c>
      <c r="D54" s="1">
        <f t="shared" si="1"/>
        <v>1.1890606420927466E-3</v>
      </c>
    </row>
    <row r="55" spans="1:6" x14ac:dyDescent="0.25">
      <c r="A55" s="1">
        <v>2</v>
      </c>
      <c r="B55" s="1">
        <v>3</v>
      </c>
      <c r="C55" s="2">
        <f t="shared" si="0"/>
        <v>1</v>
      </c>
      <c r="D55" s="1">
        <f t="shared" si="1"/>
        <v>1.0701545778834722</v>
      </c>
    </row>
    <row r="56" spans="1:6" x14ac:dyDescent="0.25">
      <c r="A56" s="1">
        <v>2</v>
      </c>
      <c r="B56" s="1">
        <v>1</v>
      </c>
      <c r="C56" s="2">
        <f t="shared" si="0"/>
        <v>-1</v>
      </c>
      <c r="D56" s="1">
        <f t="shared" si="1"/>
        <v>0.93222354340071356</v>
      </c>
      <c r="F56" s="6" t="s">
        <v>23</v>
      </c>
    </row>
    <row r="57" spans="1:6" x14ac:dyDescent="0.25">
      <c r="A57" s="1">
        <v>1</v>
      </c>
      <c r="B57" s="1">
        <v>2</v>
      </c>
      <c r="C57" s="2">
        <f t="shared" si="0"/>
        <v>1</v>
      </c>
      <c r="D57" s="1">
        <f t="shared" si="1"/>
        <v>1.0701545778834722</v>
      </c>
    </row>
    <row r="58" spans="1:6" x14ac:dyDescent="0.25">
      <c r="A58" s="1">
        <v>2</v>
      </c>
      <c r="B58" s="1">
        <v>2</v>
      </c>
      <c r="C58" s="2">
        <f t="shared" si="0"/>
        <v>0</v>
      </c>
      <c r="D58" s="1">
        <f t="shared" si="1"/>
        <v>1.1890606420927466E-3</v>
      </c>
      <c r="F58" t="s">
        <v>21</v>
      </c>
    </row>
    <row r="59" spans="1:6" x14ac:dyDescent="0.25">
      <c r="A59" s="1">
        <v>2</v>
      </c>
      <c r="B59" s="1">
        <v>1</v>
      </c>
      <c r="C59" s="2">
        <f t="shared" si="0"/>
        <v>-1</v>
      </c>
      <c r="D59" s="1">
        <f t="shared" si="1"/>
        <v>0.93222354340071356</v>
      </c>
      <c r="F59" t="s">
        <v>20</v>
      </c>
    </row>
    <row r="60" spans="1:6" x14ac:dyDescent="0.25">
      <c r="A60" s="1">
        <v>3</v>
      </c>
      <c r="B60" s="1">
        <v>1</v>
      </c>
      <c r="C60" s="2">
        <f t="shared" si="0"/>
        <v>-2</v>
      </c>
      <c r="D60" s="1">
        <f t="shared" si="1"/>
        <v>3.8632580261593339</v>
      </c>
      <c r="F60" t="s">
        <v>22</v>
      </c>
    </row>
    <row r="61" spans="1:6" x14ac:dyDescent="0.25">
      <c r="A61" s="1">
        <v>1</v>
      </c>
      <c r="B61" s="1">
        <v>2</v>
      </c>
      <c r="C61" s="2">
        <f t="shared" si="0"/>
        <v>1</v>
      </c>
      <c r="D61" s="1">
        <f t="shared" si="1"/>
        <v>1.0701545778834722</v>
      </c>
    </row>
    <row r="62" spans="1:6" x14ac:dyDescent="0.25">
      <c r="A62" s="1">
        <v>2</v>
      </c>
      <c r="B62" s="1">
        <v>2</v>
      </c>
      <c r="C62" s="2">
        <f t="shared" si="0"/>
        <v>0</v>
      </c>
      <c r="D62" s="1">
        <f t="shared" si="1"/>
        <v>1.1890606420927466E-3</v>
      </c>
    </row>
    <row r="63" spans="1:6" x14ac:dyDescent="0.25">
      <c r="A63" s="1">
        <v>1</v>
      </c>
      <c r="B63" s="1">
        <v>1</v>
      </c>
      <c r="C63" s="2">
        <f t="shared" si="0"/>
        <v>0</v>
      </c>
      <c r="D63" s="1">
        <f t="shared" si="1"/>
        <v>1.1890606420927466E-3</v>
      </c>
    </row>
    <row r="64" spans="1:6" x14ac:dyDescent="0.25">
      <c r="A64" s="1">
        <v>1</v>
      </c>
      <c r="B64" s="1">
        <v>2</v>
      </c>
      <c r="C64" s="2">
        <f t="shared" si="0"/>
        <v>1</v>
      </c>
      <c r="D64" s="1">
        <f t="shared" si="1"/>
        <v>1.0701545778834722</v>
      </c>
    </row>
    <row r="65" spans="1:6" x14ac:dyDescent="0.25">
      <c r="A65" s="1">
        <v>2</v>
      </c>
      <c r="B65" s="1">
        <v>3</v>
      </c>
      <c r="C65" s="2">
        <f t="shared" si="0"/>
        <v>1</v>
      </c>
      <c r="D65" s="1">
        <f t="shared" si="1"/>
        <v>1.0701545778834722</v>
      </c>
      <c r="F65" s="6" t="s">
        <v>23</v>
      </c>
    </row>
    <row r="66" spans="1:6" x14ac:dyDescent="0.25">
      <c r="A66" s="1">
        <v>2</v>
      </c>
      <c r="B66" s="1">
        <v>2</v>
      </c>
      <c r="C66" s="2">
        <f t="shared" si="0"/>
        <v>0</v>
      </c>
      <c r="D66" s="1">
        <f t="shared" si="1"/>
        <v>1.1890606420927466E-3</v>
      </c>
    </row>
    <row r="67" spans="1:6" x14ac:dyDescent="0.25">
      <c r="A67" s="1">
        <v>2</v>
      </c>
      <c r="B67" s="1">
        <v>3</v>
      </c>
      <c r="C67" s="2">
        <f t="shared" ref="C67:C88" si="2">B67-A67</f>
        <v>1</v>
      </c>
      <c r="D67" s="1">
        <f t="shared" si="1"/>
        <v>1.0701545778834722</v>
      </c>
    </row>
    <row r="68" spans="1:6" x14ac:dyDescent="0.25">
      <c r="A68" s="1">
        <v>3</v>
      </c>
      <c r="B68" s="1">
        <v>2</v>
      </c>
      <c r="C68" s="2">
        <f t="shared" si="2"/>
        <v>-1</v>
      </c>
      <c r="D68" s="1">
        <f t="shared" si="1"/>
        <v>0.93222354340071356</v>
      </c>
    </row>
    <row r="69" spans="1:6" x14ac:dyDescent="0.25">
      <c r="A69" s="1">
        <v>1</v>
      </c>
      <c r="B69" s="1">
        <v>3</v>
      </c>
      <c r="C69" s="2">
        <f t="shared" si="2"/>
        <v>2</v>
      </c>
      <c r="D69" s="1">
        <f t="shared" ref="D69:D88" si="3">(C69-$G$6)^2</f>
        <v>4.1391200951248504</v>
      </c>
    </row>
    <row r="70" spans="1:6" x14ac:dyDescent="0.25">
      <c r="A70" s="1">
        <v>3</v>
      </c>
      <c r="B70" s="1">
        <v>2</v>
      </c>
      <c r="C70" s="2">
        <f t="shared" si="2"/>
        <v>-1</v>
      </c>
      <c r="D70" s="1">
        <f t="shared" si="3"/>
        <v>0.93222354340071356</v>
      </c>
    </row>
    <row r="71" spans="1:6" x14ac:dyDescent="0.25">
      <c r="A71" s="1">
        <v>2</v>
      </c>
      <c r="B71" s="1">
        <v>1</v>
      </c>
      <c r="C71" s="2">
        <f t="shared" si="2"/>
        <v>-1</v>
      </c>
      <c r="D71" s="1">
        <f t="shared" si="3"/>
        <v>0.93222354340071356</v>
      </c>
    </row>
    <row r="72" spans="1:6" x14ac:dyDescent="0.25">
      <c r="A72" s="1">
        <v>1</v>
      </c>
      <c r="B72" s="1">
        <v>2</v>
      </c>
      <c r="C72" s="2">
        <f t="shared" si="2"/>
        <v>1</v>
      </c>
      <c r="D72" s="1">
        <f t="shared" si="3"/>
        <v>1.0701545778834722</v>
      </c>
      <c r="F72" t="s">
        <v>24</v>
      </c>
    </row>
    <row r="73" spans="1:6" x14ac:dyDescent="0.25">
      <c r="A73" s="1">
        <v>3</v>
      </c>
      <c r="B73" s="1">
        <v>3</v>
      </c>
      <c r="C73" s="2">
        <f t="shared" si="2"/>
        <v>0</v>
      </c>
      <c r="D73" s="1">
        <f t="shared" si="3"/>
        <v>1.1890606420927466E-3</v>
      </c>
      <c r="F73" t="s">
        <v>22</v>
      </c>
    </row>
    <row r="74" spans="1:6" x14ac:dyDescent="0.25">
      <c r="A74" s="1">
        <v>1</v>
      </c>
      <c r="B74" s="1">
        <v>2</v>
      </c>
      <c r="C74" s="2">
        <f t="shared" si="2"/>
        <v>1</v>
      </c>
      <c r="D74" s="1">
        <f t="shared" si="3"/>
        <v>1.0701545778834722</v>
      </c>
      <c r="F74" t="s">
        <v>24</v>
      </c>
    </row>
    <row r="75" spans="1:6" x14ac:dyDescent="0.25">
      <c r="A75" s="1">
        <v>1</v>
      </c>
      <c r="B75" s="1">
        <v>1</v>
      </c>
      <c r="C75" s="2">
        <f t="shared" si="2"/>
        <v>0</v>
      </c>
      <c r="D75" s="1">
        <f t="shared" si="3"/>
        <v>1.1890606420927466E-3</v>
      </c>
      <c r="F75" t="s">
        <v>22</v>
      </c>
    </row>
    <row r="76" spans="1:6" x14ac:dyDescent="0.25">
      <c r="A76" s="1">
        <v>1</v>
      </c>
      <c r="B76" s="1">
        <v>2</v>
      </c>
      <c r="C76" s="2">
        <f t="shared" si="2"/>
        <v>1</v>
      </c>
      <c r="D76" s="1">
        <f t="shared" si="3"/>
        <v>1.0701545778834722</v>
      </c>
    </row>
    <row r="77" spans="1:6" x14ac:dyDescent="0.25">
      <c r="A77" s="1">
        <v>1</v>
      </c>
      <c r="B77" s="1">
        <v>2</v>
      </c>
      <c r="C77" s="2">
        <f t="shared" si="2"/>
        <v>1</v>
      </c>
      <c r="D77" s="1">
        <f t="shared" si="3"/>
        <v>1.0701545778834722</v>
      </c>
    </row>
    <row r="78" spans="1:6" x14ac:dyDescent="0.25">
      <c r="A78" s="1">
        <v>2</v>
      </c>
      <c r="B78" s="1">
        <v>2</v>
      </c>
      <c r="C78" s="2">
        <f t="shared" si="2"/>
        <v>0</v>
      </c>
      <c r="D78" s="1">
        <f t="shared" si="3"/>
        <v>1.1890606420927466E-3</v>
      </c>
    </row>
    <row r="79" spans="1:6" x14ac:dyDescent="0.25">
      <c r="A79" s="1">
        <v>1</v>
      </c>
      <c r="B79" s="1">
        <v>1</v>
      </c>
      <c r="C79" s="2">
        <f t="shared" si="2"/>
        <v>0</v>
      </c>
      <c r="D79" s="1">
        <f t="shared" si="3"/>
        <v>1.1890606420927466E-3</v>
      </c>
    </row>
    <row r="80" spans="1:6" x14ac:dyDescent="0.25">
      <c r="A80" s="1">
        <v>2</v>
      </c>
      <c r="B80" s="1">
        <v>1</v>
      </c>
      <c r="C80" s="2">
        <f t="shared" si="2"/>
        <v>-1</v>
      </c>
      <c r="D80" s="1">
        <f t="shared" si="3"/>
        <v>0.93222354340071356</v>
      </c>
    </row>
    <row r="81" spans="1:6" x14ac:dyDescent="0.25">
      <c r="A81" s="1">
        <v>1</v>
      </c>
      <c r="B81" s="1">
        <v>2</v>
      </c>
      <c r="C81" s="2">
        <f t="shared" si="2"/>
        <v>1</v>
      </c>
      <c r="D81" s="1">
        <f t="shared" si="3"/>
        <v>1.0701545778834722</v>
      </c>
    </row>
    <row r="82" spans="1:6" x14ac:dyDescent="0.25">
      <c r="A82" s="1">
        <v>3</v>
      </c>
      <c r="B82" s="1">
        <v>1</v>
      </c>
      <c r="C82" s="2">
        <f t="shared" si="2"/>
        <v>-2</v>
      </c>
      <c r="D82" s="1">
        <f t="shared" si="3"/>
        <v>3.8632580261593339</v>
      </c>
    </row>
    <row r="83" spans="1:6" x14ac:dyDescent="0.25">
      <c r="A83" s="1">
        <v>2</v>
      </c>
      <c r="B83" s="1">
        <v>2</v>
      </c>
      <c r="C83" s="2">
        <f t="shared" si="2"/>
        <v>0</v>
      </c>
      <c r="D83" s="1">
        <f t="shared" si="3"/>
        <v>1.1890606420927466E-3</v>
      </c>
    </row>
    <row r="84" spans="1:6" x14ac:dyDescent="0.25">
      <c r="A84" s="1">
        <v>2</v>
      </c>
      <c r="B84" s="1">
        <v>2</v>
      </c>
      <c r="C84" s="2">
        <f t="shared" si="2"/>
        <v>0</v>
      </c>
      <c r="D84" s="1">
        <f t="shared" si="3"/>
        <v>1.1890606420927466E-3</v>
      </c>
    </row>
    <row r="85" spans="1:6" x14ac:dyDescent="0.25">
      <c r="A85" s="1">
        <v>2</v>
      </c>
      <c r="B85" s="1">
        <v>1</v>
      </c>
      <c r="C85" s="2">
        <f t="shared" si="2"/>
        <v>-1</v>
      </c>
      <c r="D85" s="1">
        <f t="shared" si="3"/>
        <v>0.93222354340071356</v>
      </c>
    </row>
    <row r="86" spans="1:6" x14ac:dyDescent="0.25">
      <c r="A86" s="1">
        <v>1</v>
      </c>
      <c r="B86" s="1">
        <v>2</v>
      </c>
      <c r="C86" s="2">
        <f t="shared" si="2"/>
        <v>1</v>
      </c>
      <c r="D86" s="1">
        <f t="shared" si="3"/>
        <v>1.0701545778834722</v>
      </c>
    </row>
    <row r="87" spans="1:6" x14ac:dyDescent="0.25">
      <c r="A87" s="1">
        <v>2</v>
      </c>
      <c r="B87" s="1">
        <v>3</v>
      </c>
      <c r="C87" s="2">
        <f t="shared" si="2"/>
        <v>1</v>
      </c>
      <c r="D87" s="1">
        <f t="shared" si="3"/>
        <v>1.0701545778834722</v>
      </c>
    </row>
    <row r="88" spans="1:6" x14ac:dyDescent="0.25">
      <c r="A88" s="1">
        <v>1</v>
      </c>
      <c r="B88" s="1">
        <v>2</v>
      </c>
      <c r="C88" s="2">
        <f t="shared" si="2"/>
        <v>1</v>
      </c>
      <c r="D88" s="1">
        <f t="shared" si="3"/>
        <v>1.0701545778834722</v>
      </c>
    </row>
    <row r="93" spans="1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C97D-854E-48AD-AA62-C7B1045E01F8}">
  <dimension ref="A1:G93"/>
  <sheetViews>
    <sheetView zoomScale="70" zoomScaleNormal="70" workbookViewId="0">
      <selection activeCell="B2" sqref="B2:B88"/>
    </sheetView>
  </sheetViews>
  <sheetFormatPr baseColWidth="10" defaultColWidth="9.140625" defaultRowHeight="15" x14ac:dyDescent="0.25"/>
  <cols>
    <col min="1" max="2" width="33.4257812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05" customHeight="1" x14ac:dyDescent="0.25">
      <c r="A1" s="3" t="s">
        <v>52</v>
      </c>
      <c r="B1" s="4" t="s">
        <v>53</v>
      </c>
      <c r="C1" s="5" t="s">
        <v>1</v>
      </c>
      <c r="D1" s="5"/>
    </row>
    <row r="2" spans="1:7" x14ac:dyDescent="0.25">
      <c r="A2" s="1">
        <v>2</v>
      </c>
      <c r="B2" s="1">
        <v>2</v>
      </c>
      <c r="C2" s="2">
        <f>B2-A2</f>
        <v>0</v>
      </c>
      <c r="D2" s="1">
        <f>(C2-$G$6)^2</f>
        <v>6.4737746069493986E-3</v>
      </c>
    </row>
    <row r="3" spans="1:7" x14ac:dyDescent="0.25">
      <c r="A3" s="1">
        <v>2</v>
      </c>
      <c r="B3" s="1">
        <v>2</v>
      </c>
      <c r="C3" s="2">
        <f t="shared" ref="C3:C66" si="0">B3-A3</f>
        <v>0</v>
      </c>
      <c r="D3" s="1">
        <f>(C3-$G$6)^2</f>
        <v>6.4737746069493986E-3</v>
      </c>
      <c r="F3" s="6" t="s">
        <v>17</v>
      </c>
      <c r="G3" s="6"/>
    </row>
    <row r="4" spans="1:7" x14ac:dyDescent="0.25">
      <c r="A4" s="1">
        <v>2</v>
      </c>
      <c r="B4" s="1">
        <v>1</v>
      </c>
      <c r="C4" s="2">
        <f t="shared" si="0"/>
        <v>-1</v>
      </c>
      <c r="D4" s="1">
        <f>(C4-$G$6)^2</f>
        <v>0.84555423437706434</v>
      </c>
      <c r="F4" t="s">
        <v>5</v>
      </c>
      <c r="G4">
        <v>87</v>
      </c>
    </row>
    <row r="5" spans="1:7" x14ac:dyDescent="0.25">
      <c r="A5" s="1">
        <v>2</v>
      </c>
      <c r="B5" s="1">
        <v>3</v>
      </c>
      <c r="C5" s="2">
        <f t="shared" si="0"/>
        <v>1</v>
      </c>
      <c r="D5" s="1">
        <f t="shared" ref="D5:D68" si="1">(C5-$G$6)^2</f>
        <v>1.1673933148368345</v>
      </c>
      <c r="F5" t="s">
        <v>3</v>
      </c>
      <c r="G5">
        <f>SUM(C:C)</f>
        <v>-7</v>
      </c>
    </row>
    <row r="6" spans="1:7" x14ac:dyDescent="0.25">
      <c r="A6" s="1">
        <v>2</v>
      </c>
      <c r="B6" s="1">
        <v>3</v>
      </c>
      <c r="C6" s="2">
        <f t="shared" si="0"/>
        <v>1</v>
      </c>
      <c r="D6" s="1">
        <f t="shared" si="1"/>
        <v>1.1673933148368345</v>
      </c>
      <c r="F6" t="s">
        <v>2</v>
      </c>
      <c r="G6">
        <f>G5/G4</f>
        <v>-8.0459770114942528E-2</v>
      </c>
    </row>
    <row r="7" spans="1:7" x14ac:dyDescent="0.25">
      <c r="A7" s="1">
        <v>1</v>
      </c>
      <c r="B7" s="1">
        <v>1</v>
      </c>
      <c r="C7" s="2">
        <f t="shared" si="0"/>
        <v>0</v>
      </c>
      <c r="D7" s="1">
        <f t="shared" si="1"/>
        <v>6.4737746069493986E-3</v>
      </c>
      <c r="F7" t="s">
        <v>4</v>
      </c>
      <c r="G7">
        <f>SUM(D:D)</f>
        <v>72.436781609195421</v>
      </c>
    </row>
    <row r="8" spans="1:7" x14ac:dyDescent="0.25">
      <c r="A8" s="1">
        <v>2</v>
      </c>
      <c r="B8" s="1">
        <v>1</v>
      </c>
      <c r="C8" s="2">
        <f t="shared" si="0"/>
        <v>-1</v>
      </c>
      <c r="D8" s="1">
        <f t="shared" si="1"/>
        <v>0.84555423437706434</v>
      </c>
      <c r="F8" t="s">
        <v>6</v>
      </c>
      <c r="G8">
        <f>SQRT(G7/(G4-1))</f>
        <v>0.91776258272303646</v>
      </c>
    </row>
    <row r="9" spans="1:7" x14ac:dyDescent="0.25">
      <c r="A9" s="1">
        <v>2</v>
      </c>
      <c r="B9" s="1">
        <v>1</v>
      </c>
      <c r="C9" s="2">
        <f t="shared" si="0"/>
        <v>-1</v>
      </c>
      <c r="D9" s="1">
        <f t="shared" si="1"/>
        <v>0.84555423437706434</v>
      </c>
    </row>
    <row r="10" spans="1:7" x14ac:dyDescent="0.25">
      <c r="A10" s="1">
        <v>5</v>
      </c>
      <c r="B10" s="1">
        <v>2</v>
      </c>
      <c r="C10" s="2">
        <f t="shared" si="0"/>
        <v>-3</v>
      </c>
      <c r="D10" s="1">
        <f t="shared" si="1"/>
        <v>8.523715153917296</v>
      </c>
    </row>
    <row r="11" spans="1:7" x14ac:dyDescent="0.25">
      <c r="A11" s="1">
        <v>2</v>
      </c>
      <c r="B11" s="1">
        <v>3</v>
      </c>
      <c r="C11" s="2">
        <f t="shared" si="0"/>
        <v>1</v>
      </c>
      <c r="D11" s="1">
        <f t="shared" si="1"/>
        <v>1.1673933148368345</v>
      </c>
    </row>
    <row r="12" spans="1:7" x14ac:dyDescent="0.25">
      <c r="A12" s="1">
        <v>2</v>
      </c>
      <c r="B12" s="1">
        <v>2</v>
      </c>
      <c r="C12" s="2">
        <f t="shared" si="0"/>
        <v>0</v>
      </c>
      <c r="D12" s="1">
        <f t="shared" si="1"/>
        <v>6.4737746069493986E-3</v>
      </c>
      <c r="F12" t="s">
        <v>12</v>
      </c>
      <c r="G12">
        <f>G6/(G8/SQRT(G4))</f>
        <v>-0.81772648887009258</v>
      </c>
    </row>
    <row r="13" spans="1:7" x14ac:dyDescent="0.25">
      <c r="A13" s="1">
        <v>1</v>
      </c>
      <c r="B13" s="1">
        <v>1</v>
      </c>
      <c r="C13" s="2">
        <f t="shared" si="0"/>
        <v>0</v>
      </c>
      <c r="D13" s="1">
        <f t="shared" si="1"/>
        <v>6.4737746069493986E-3</v>
      </c>
    </row>
    <row r="14" spans="1:7" x14ac:dyDescent="0.25">
      <c r="A14" s="1">
        <v>1</v>
      </c>
      <c r="B14" s="1">
        <v>1</v>
      </c>
      <c r="C14" s="2">
        <f t="shared" si="0"/>
        <v>0</v>
      </c>
      <c r="D14" s="1">
        <f t="shared" si="1"/>
        <v>6.4737746069493986E-3</v>
      </c>
    </row>
    <row r="15" spans="1:7" x14ac:dyDescent="0.25">
      <c r="A15" s="1">
        <v>2</v>
      </c>
      <c r="B15" s="1">
        <v>2</v>
      </c>
      <c r="C15" s="2">
        <f t="shared" si="0"/>
        <v>0</v>
      </c>
      <c r="D15" s="1">
        <f t="shared" si="1"/>
        <v>6.4737746069493986E-3</v>
      </c>
    </row>
    <row r="16" spans="1:7" x14ac:dyDescent="0.25">
      <c r="A16" s="1">
        <v>1</v>
      </c>
      <c r="B16" s="1">
        <v>1</v>
      </c>
      <c r="C16" s="2">
        <f t="shared" si="0"/>
        <v>0</v>
      </c>
      <c r="D16" s="1">
        <f t="shared" si="1"/>
        <v>6.4737746069493986E-3</v>
      </c>
    </row>
    <row r="17" spans="1:7" x14ac:dyDescent="0.25">
      <c r="A17" s="1">
        <v>2</v>
      </c>
      <c r="B17" s="1">
        <v>3</v>
      </c>
      <c r="C17" s="2">
        <f t="shared" si="0"/>
        <v>1</v>
      </c>
      <c r="D17" s="1">
        <f t="shared" si="1"/>
        <v>1.1673933148368345</v>
      </c>
      <c r="F17" t="s">
        <v>7</v>
      </c>
      <c r="G17">
        <v>0.05</v>
      </c>
    </row>
    <row r="18" spans="1:7" x14ac:dyDescent="0.25">
      <c r="A18" s="1">
        <v>1</v>
      </c>
      <c r="B18" s="1">
        <v>2</v>
      </c>
      <c r="C18" s="2">
        <f t="shared" si="0"/>
        <v>1</v>
      </c>
      <c r="D18" s="1">
        <f t="shared" si="1"/>
        <v>1.1673933148368345</v>
      </c>
      <c r="F18" t="s">
        <v>8</v>
      </c>
      <c r="G18">
        <f>G4-1</f>
        <v>86</v>
      </c>
    </row>
    <row r="19" spans="1:7" x14ac:dyDescent="0.25">
      <c r="A19" s="1">
        <v>1</v>
      </c>
      <c r="B19" s="1">
        <v>2</v>
      </c>
      <c r="C19" s="2">
        <f t="shared" si="0"/>
        <v>1</v>
      </c>
      <c r="D19" s="1">
        <f t="shared" si="1"/>
        <v>1.1673933148368345</v>
      </c>
    </row>
    <row r="20" spans="1:7" x14ac:dyDescent="0.25">
      <c r="A20" s="1">
        <v>3</v>
      </c>
      <c r="B20" s="1">
        <v>1</v>
      </c>
      <c r="C20" s="2">
        <f t="shared" si="0"/>
        <v>-2</v>
      </c>
      <c r="D20" s="1">
        <f t="shared" si="1"/>
        <v>3.6846346941471793</v>
      </c>
    </row>
    <row r="21" spans="1:7" x14ac:dyDescent="0.25">
      <c r="A21" s="1">
        <v>1</v>
      </c>
      <c r="B21" s="1">
        <v>1</v>
      </c>
      <c r="C21" s="2">
        <f t="shared" si="0"/>
        <v>0</v>
      </c>
      <c r="D21" s="1">
        <f t="shared" si="1"/>
        <v>6.4737746069493986E-3</v>
      </c>
    </row>
    <row r="22" spans="1:7" x14ac:dyDescent="0.25">
      <c r="A22" s="1">
        <v>3</v>
      </c>
      <c r="B22" s="1">
        <v>2</v>
      </c>
      <c r="C22" s="2">
        <f t="shared" si="0"/>
        <v>-1</v>
      </c>
      <c r="D22" s="1">
        <f t="shared" si="1"/>
        <v>0.84555423437706434</v>
      </c>
      <c r="F22" s="6" t="s">
        <v>9</v>
      </c>
      <c r="G22" s="6"/>
    </row>
    <row r="23" spans="1:7" x14ac:dyDescent="0.25">
      <c r="A23" s="1">
        <v>2</v>
      </c>
      <c r="B23" s="1">
        <v>3</v>
      </c>
      <c r="C23" s="2">
        <f t="shared" si="0"/>
        <v>1</v>
      </c>
      <c r="D23" s="1">
        <f t="shared" si="1"/>
        <v>1.1673933148368345</v>
      </c>
      <c r="F23" t="s">
        <v>26</v>
      </c>
      <c r="G23">
        <f>_xlfn.T.INV.2T(G17,G18)</f>
        <v>1.987934206239018</v>
      </c>
    </row>
    <row r="24" spans="1:7" x14ac:dyDescent="0.25">
      <c r="A24" s="1">
        <v>2</v>
      </c>
      <c r="B24" s="1">
        <v>1</v>
      </c>
      <c r="C24" s="2">
        <f t="shared" si="0"/>
        <v>-1</v>
      </c>
      <c r="D24" s="1">
        <f t="shared" si="1"/>
        <v>0.84555423437706434</v>
      </c>
      <c r="F24" t="s">
        <v>27</v>
      </c>
      <c r="G24">
        <f>_xlfn.T.INV(G17,G18)</f>
        <v>-1.662765449409072</v>
      </c>
    </row>
    <row r="25" spans="1:7" x14ac:dyDescent="0.25">
      <c r="A25" s="1">
        <v>2</v>
      </c>
      <c r="B25" s="1">
        <v>3</v>
      </c>
      <c r="C25" s="2">
        <f t="shared" si="0"/>
        <v>1</v>
      </c>
      <c r="D25" s="1">
        <f t="shared" si="1"/>
        <v>1.1673933148368345</v>
      </c>
    </row>
    <row r="26" spans="1:7" x14ac:dyDescent="0.25">
      <c r="A26" s="1">
        <v>3</v>
      </c>
      <c r="B26" s="1">
        <v>1</v>
      </c>
      <c r="C26" s="2">
        <f t="shared" si="0"/>
        <v>-2</v>
      </c>
      <c r="D26" s="1">
        <f t="shared" si="1"/>
        <v>3.6846346941471793</v>
      </c>
    </row>
    <row r="27" spans="1:7" x14ac:dyDescent="0.25">
      <c r="A27" s="1">
        <v>2</v>
      </c>
      <c r="B27" s="1">
        <v>2</v>
      </c>
      <c r="C27" s="2">
        <f t="shared" si="0"/>
        <v>0</v>
      </c>
      <c r="D27" s="1">
        <f t="shared" si="1"/>
        <v>6.4737746069493986E-3</v>
      </c>
    </row>
    <row r="28" spans="1:7" x14ac:dyDescent="0.25">
      <c r="A28" s="1">
        <v>1</v>
      </c>
      <c r="B28" s="1">
        <v>1</v>
      </c>
      <c r="C28" s="2">
        <f t="shared" si="0"/>
        <v>0</v>
      </c>
      <c r="D28" s="1">
        <f t="shared" si="1"/>
        <v>6.4737746069493986E-3</v>
      </c>
    </row>
    <row r="29" spans="1:7" x14ac:dyDescent="0.25">
      <c r="A29" s="1">
        <v>3</v>
      </c>
      <c r="B29" s="1">
        <v>2</v>
      </c>
      <c r="C29" s="2">
        <f t="shared" si="0"/>
        <v>-1</v>
      </c>
      <c r="D29" s="1">
        <f t="shared" si="1"/>
        <v>0.84555423437706434</v>
      </c>
    </row>
    <row r="30" spans="1:7" x14ac:dyDescent="0.25">
      <c r="A30" s="1">
        <v>3</v>
      </c>
      <c r="B30" s="1">
        <v>2</v>
      </c>
      <c r="C30" s="2">
        <f t="shared" si="0"/>
        <v>-1</v>
      </c>
      <c r="D30" s="1">
        <f t="shared" si="1"/>
        <v>0.84555423437706434</v>
      </c>
    </row>
    <row r="31" spans="1:7" x14ac:dyDescent="0.25">
      <c r="A31" s="1">
        <v>1</v>
      </c>
      <c r="B31" s="1">
        <v>1</v>
      </c>
      <c r="C31" s="2">
        <f t="shared" si="0"/>
        <v>0</v>
      </c>
      <c r="D31" s="1">
        <f t="shared" si="1"/>
        <v>6.4737746069493986E-3</v>
      </c>
    </row>
    <row r="32" spans="1:7" x14ac:dyDescent="0.25">
      <c r="A32" s="1">
        <v>1</v>
      </c>
      <c r="B32" s="1">
        <v>2</v>
      </c>
      <c r="C32" s="2">
        <f t="shared" si="0"/>
        <v>1</v>
      </c>
      <c r="D32" s="1">
        <f t="shared" si="1"/>
        <v>1.1673933148368345</v>
      </c>
    </row>
    <row r="33" spans="1:7" x14ac:dyDescent="0.25">
      <c r="A33" s="1">
        <v>2</v>
      </c>
      <c r="B33" s="1">
        <v>1</v>
      </c>
      <c r="C33" s="2">
        <f t="shared" si="0"/>
        <v>-1</v>
      </c>
      <c r="D33" s="1">
        <f t="shared" si="1"/>
        <v>0.84555423437706434</v>
      </c>
    </row>
    <row r="34" spans="1:7" x14ac:dyDescent="0.25">
      <c r="A34" s="1">
        <v>2</v>
      </c>
      <c r="B34" s="1">
        <v>1</v>
      </c>
      <c r="C34" s="2">
        <f t="shared" si="0"/>
        <v>-1</v>
      </c>
      <c r="D34" s="1">
        <f t="shared" si="1"/>
        <v>0.84555423437706434</v>
      </c>
      <c r="F34" t="s">
        <v>10</v>
      </c>
    </row>
    <row r="35" spans="1:7" x14ac:dyDescent="0.25">
      <c r="A35" s="1">
        <v>1</v>
      </c>
      <c r="B35" s="1">
        <v>1</v>
      </c>
      <c r="C35" s="2">
        <f t="shared" si="0"/>
        <v>0</v>
      </c>
      <c r="D35" s="1">
        <f t="shared" si="1"/>
        <v>6.4737746069493986E-3</v>
      </c>
      <c r="F35" t="s">
        <v>11</v>
      </c>
    </row>
    <row r="36" spans="1:7" x14ac:dyDescent="0.25">
      <c r="A36" s="1">
        <v>2</v>
      </c>
      <c r="B36" s="1">
        <v>2</v>
      </c>
      <c r="C36" s="2">
        <f t="shared" si="0"/>
        <v>0</v>
      </c>
      <c r="D36" s="1">
        <f t="shared" si="1"/>
        <v>6.4737746069493986E-3</v>
      </c>
    </row>
    <row r="37" spans="1:7" x14ac:dyDescent="0.25">
      <c r="A37" s="1">
        <v>1</v>
      </c>
      <c r="B37" s="1">
        <v>1</v>
      </c>
      <c r="C37" s="2">
        <f t="shared" si="0"/>
        <v>0</v>
      </c>
      <c r="D37" s="1">
        <f t="shared" si="1"/>
        <v>6.4737746069493986E-3</v>
      </c>
    </row>
    <row r="38" spans="1:7" x14ac:dyDescent="0.25">
      <c r="A38" s="1">
        <v>3</v>
      </c>
      <c r="B38" s="1">
        <v>2</v>
      </c>
      <c r="C38" s="2">
        <f t="shared" si="0"/>
        <v>-1</v>
      </c>
      <c r="D38" s="1">
        <f t="shared" si="1"/>
        <v>0.84555423437706434</v>
      </c>
    </row>
    <row r="39" spans="1:7" x14ac:dyDescent="0.25">
      <c r="A39" s="1">
        <v>1</v>
      </c>
      <c r="B39" s="1">
        <v>2</v>
      </c>
      <c r="C39" s="2">
        <f t="shared" si="0"/>
        <v>1</v>
      </c>
      <c r="D39" s="1">
        <f t="shared" si="1"/>
        <v>1.1673933148368345</v>
      </c>
      <c r="F39" s="6" t="s">
        <v>13</v>
      </c>
      <c r="G39" s="6"/>
    </row>
    <row r="40" spans="1:7" x14ac:dyDescent="0.25">
      <c r="A40" s="1">
        <v>1</v>
      </c>
      <c r="B40" s="1">
        <v>2</v>
      </c>
      <c r="C40" s="2">
        <f t="shared" si="0"/>
        <v>1</v>
      </c>
      <c r="D40" s="1">
        <f t="shared" si="1"/>
        <v>1.1673933148368345</v>
      </c>
      <c r="F40" t="s">
        <v>13</v>
      </c>
    </row>
    <row r="41" spans="1:7" x14ac:dyDescent="0.25">
      <c r="A41" s="1">
        <v>2</v>
      </c>
      <c r="B41" s="1">
        <v>3</v>
      </c>
      <c r="C41" s="2">
        <f t="shared" si="0"/>
        <v>1</v>
      </c>
      <c r="D41" s="1">
        <f t="shared" si="1"/>
        <v>1.1673933148368345</v>
      </c>
      <c r="F41" t="s">
        <v>25</v>
      </c>
      <c r="G41">
        <f>TTEST(A:A,B:B,2,1)</f>
        <v>0.41577319886726594</v>
      </c>
    </row>
    <row r="42" spans="1:7" x14ac:dyDescent="0.25">
      <c r="A42" s="1">
        <v>3</v>
      </c>
      <c r="B42" s="1">
        <v>1</v>
      </c>
      <c r="C42" s="2">
        <f t="shared" si="0"/>
        <v>-2</v>
      </c>
      <c r="D42" s="1">
        <f t="shared" si="1"/>
        <v>3.6846346941471793</v>
      </c>
      <c r="F42" t="s">
        <v>29</v>
      </c>
      <c r="G42">
        <f>TTEST(A:A,B:B,1,1)</f>
        <v>0.20788659943363297</v>
      </c>
    </row>
    <row r="43" spans="1:7" x14ac:dyDescent="0.25">
      <c r="A43" s="1">
        <v>1</v>
      </c>
      <c r="B43" s="1">
        <v>2</v>
      </c>
      <c r="C43" s="2">
        <f t="shared" si="0"/>
        <v>1</v>
      </c>
      <c r="D43" s="1">
        <f t="shared" si="1"/>
        <v>1.1673933148368345</v>
      </c>
    </row>
    <row r="44" spans="1:7" x14ac:dyDescent="0.25">
      <c r="A44" s="1">
        <v>1</v>
      </c>
      <c r="B44" s="1">
        <v>1</v>
      </c>
      <c r="C44" s="2">
        <f t="shared" si="0"/>
        <v>0</v>
      </c>
      <c r="D44" s="1">
        <f t="shared" si="1"/>
        <v>6.4737746069493986E-3</v>
      </c>
    </row>
    <row r="45" spans="1:7" x14ac:dyDescent="0.25">
      <c r="A45" s="1">
        <v>2</v>
      </c>
      <c r="B45" s="1">
        <v>2</v>
      </c>
      <c r="C45" s="2">
        <f t="shared" si="0"/>
        <v>0</v>
      </c>
      <c r="D45" s="1">
        <f t="shared" si="1"/>
        <v>6.4737746069493986E-3</v>
      </c>
      <c r="F45" s="6" t="s">
        <v>16</v>
      </c>
      <c r="G45" s="6"/>
    </row>
    <row r="46" spans="1:7" x14ac:dyDescent="0.25">
      <c r="A46" s="1">
        <v>3</v>
      </c>
      <c r="B46" s="1">
        <v>2</v>
      </c>
      <c r="C46" s="2">
        <f t="shared" si="0"/>
        <v>-1</v>
      </c>
      <c r="D46" s="1">
        <f t="shared" si="1"/>
        <v>0.84555423437706434</v>
      </c>
    </row>
    <row r="47" spans="1:7" x14ac:dyDescent="0.25">
      <c r="A47" s="1">
        <v>1</v>
      </c>
      <c r="B47" s="1">
        <v>2</v>
      </c>
      <c r="C47" s="2">
        <f t="shared" si="0"/>
        <v>1</v>
      </c>
      <c r="D47" s="1">
        <f t="shared" si="1"/>
        <v>1.1673933148368345</v>
      </c>
      <c r="F47" t="s">
        <v>14</v>
      </c>
    </row>
    <row r="48" spans="1:7" x14ac:dyDescent="0.25">
      <c r="A48" s="1">
        <v>2</v>
      </c>
      <c r="B48" s="1">
        <v>2</v>
      </c>
      <c r="C48" s="2">
        <f t="shared" si="0"/>
        <v>0</v>
      </c>
      <c r="D48" s="1">
        <f t="shared" si="1"/>
        <v>6.4737746069493986E-3</v>
      </c>
      <c r="F48" t="s">
        <v>15</v>
      </c>
    </row>
    <row r="49" spans="1:6" x14ac:dyDescent="0.25">
      <c r="A49" s="1">
        <v>2</v>
      </c>
      <c r="B49" s="1">
        <v>2</v>
      </c>
      <c r="C49" s="2">
        <f t="shared" si="0"/>
        <v>0</v>
      </c>
      <c r="D49" s="1">
        <f t="shared" si="1"/>
        <v>6.4737746069493986E-3</v>
      </c>
    </row>
    <row r="50" spans="1:6" x14ac:dyDescent="0.25">
      <c r="A50" s="1">
        <v>1</v>
      </c>
      <c r="B50" s="1">
        <v>1</v>
      </c>
      <c r="C50" s="2">
        <f t="shared" si="0"/>
        <v>0</v>
      </c>
      <c r="D50" s="1">
        <f t="shared" si="1"/>
        <v>6.4737746069493986E-3</v>
      </c>
      <c r="F50" t="s">
        <v>18</v>
      </c>
    </row>
    <row r="51" spans="1:6" x14ac:dyDescent="0.25">
      <c r="A51" s="1">
        <v>2</v>
      </c>
      <c r="B51" s="1">
        <v>1</v>
      </c>
      <c r="C51" s="2">
        <f t="shared" si="0"/>
        <v>-1</v>
      </c>
      <c r="D51" s="1">
        <f t="shared" si="1"/>
        <v>0.84555423437706434</v>
      </c>
      <c r="F51" t="s">
        <v>19</v>
      </c>
    </row>
    <row r="52" spans="1:6" x14ac:dyDescent="0.25">
      <c r="A52" s="1">
        <v>2</v>
      </c>
      <c r="B52" s="1">
        <v>1</v>
      </c>
      <c r="C52" s="2">
        <f t="shared" si="0"/>
        <v>-1</v>
      </c>
      <c r="D52" s="1">
        <f t="shared" si="1"/>
        <v>0.84555423437706434</v>
      </c>
    </row>
    <row r="53" spans="1:6" x14ac:dyDescent="0.25">
      <c r="A53" s="1">
        <v>2</v>
      </c>
      <c r="B53" s="1">
        <v>2</v>
      </c>
      <c r="C53" s="2">
        <f t="shared" si="0"/>
        <v>0</v>
      </c>
      <c r="D53" s="1">
        <f t="shared" si="1"/>
        <v>6.4737746069493986E-3</v>
      </c>
    </row>
    <row r="54" spans="1:6" x14ac:dyDescent="0.25">
      <c r="A54" s="1">
        <v>2</v>
      </c>
      <c r="B54" s="1">
        <v>2</v>
      </c>
      <c r="C54" s="2">
        <f t="shared" si="0"/>
        <v>0</v>
      </c>
      <c r="D54" s="1">
        <f t="shared" si="1"/>
        <v>6.4737746069493986E-3</v>
      </c>
    </row>
    <row r="55" spans="1:6" x14ac:dyDescent="0.25">
      <c r="A55" s="1">
        <v>2</v>
      </c>
      <c r="B55" s="1">
        <v>1</v>
      </c>
      <c r="C55" s="2">
        <f t="shared" si="0"/>
        <v>-1</v>
      </c>
      <c r="D55" s="1">
        <f t="shared" si="1"/>
        <v>0.84555423437706434</v>
      </c>
    </row>
    <row r="56" spans="1:6" x14ac:dyDescent="0.25">
      <c r="A56" s="1">
        <v>2</v>
      </c>
      <c r="B56" s="1">
        <v>1</v>
      </c>
      <c r="C56" s="2">
        <f t="shared" si="0"/>
        <v>-1</v>
      </c>
      <c r="D56" s="1">
        <f t="shared" si="1"/>
        <v>0.84555423437706434</v>
      </c>
      <c r="F56" s="6" t="s">
        <v>23</v>
      </c>
    </row>
    <row r="57" spans="1:6" x14ac:dyDescent="0.25">
      <c r="A57" s="1">
        <v>1</v>
      </c>
      <c r="B57" s="1">
        <v>2</v>
      </c>
      <c r="C57" s="2">
        <f t="shared" si="0"/>
        <v>1</v>
      </c>
      <c r="D57" s="1">
        <f t="shared" si="1"/>
        <v>1.1673933148368345</v>
      </c>
    </row>
    <row r="58" spans="1:6" x14ac:dyDescent="0.25">
      <c r="A58" s="1">
        <v>2</v>
      </c>
      <c r="B58" s="1">
        <v>2</v>
      </c>
      <c r="C58" s="2">
        <f t="shared" si="0"/>
        <v>0</v>
      </c>
      <c r="D58" s="1">
        <f t="shared" si="1"/>
        <v>6.4737746069493986E-3</v>
      </c>
      <c r="F58" t="s">
        <v>21</v>
      </c>
    </row>
    <row r="59" spans="1:6" x14ac:dyDescent="0.25">
      <c r="A59" s="1">
        <v>2</v>
      </c>
      <c r="B59" s="1">
        <v>1</v>
      </c>
      <c r="C59" s="2">
        <f t="shared" si="0"/>
        <v>-1</v>
      </c>
      <c r="D59" s="1">
        <f t="shared" si="1"/>
        <v>0.84555423437706434</v>
      </c>
      <c r="F59" t="s">
        <v>20</v>
      </c>
    </row>
    <row r="60" spans="1:6" x14ac:dyDescent="0.25">
      <c r="A60" s="1">
        <v>1</v>
      </c>
      <c r="B60" s="1">
        <v>1</v>
      </c>
      <c r="C60" s="2">
        <f t="shared" si="0"/>
        <v>0</v>
      </c>
      <c r="D60" s="1">
        <f t="shared" si="1"/>
        <v>6.4737746069493986E-3</v>
      </c>
      <c r="F60" t="s">
        <v>22</v>
      </c>
    </row>
    <row r="61" spans="1:6" x14ac:dyDescent="0.25">
      <c r="A61" s="1">
        <v>1</v>
      </c>
      <c r="B61" s="1">
        <v>2</v>
      </c>
      <c r="C61" s="2">
        <f t="shared" si="0"/>
        <v>1</v>
      </c>
      <c r="D61" s="1">
        <f t="shared" si="1"/>
        <v>1.1673933148368345</v>
      </c>
    </row>
    <row r="62" spans="1:6" x14ac:dyDescent="0.25">
      <c r="A62" s="1">
        <v>2</v>
      </c>
      <c r="B62" s="1">
        <v>2</v>
      </c>
      <c r="C62" s="2">
        <f t="shared" si="0"/>
        <v>0</v>
      </c>
      <c r="D62" s="1">
        <f t="shared" si="1"/>
        <v>6.4737746069493986E-3</v>
      </c>
    </row>
    <row r="63" spans="1:6" x14ac:dyDescent="0.25">
      <c r="A63" s="1">
        <v>3</v>
      </c>
      <c r="B63" s="1">
        <v>3</v>
      </c>
      <c r="C63" s="2">
        <f t="shared" si="0"/>
        <v>0</v>
      </c>
      <c r="D63" s="1">
        <f t="shared" si="1"/>
        <v>6.4737746069493986E-3</v>
      </c>
    </row>
    <row r="64" spans="1:6" x14ac:dyDescent="0.25">
      <c r="A64" s="1">
        <v>1</v>
      </c>
      <c r="B64" s="1">
        <v>2</v>
      </c>
      <c r="C64" s="2">
        <f t="shared" si="0"/>
        <v>1</v>
      </c>
      <c r="D64" s="1">
        <f t="shared" si="1"/>
        <v>1.1673933148368345</v>
      </c>
    </row>
    <row r="65" spans="1:6" x14ac:dyDescent="0.25">
      <c r="A65" s="1">
        <v>2</v>
      </c>
      <c r="B65" s="1">
        <v>1</v>
      </c>
      <c r="C65" s="2">
        <f t="shared" si="0"/>
        <v>-1</v>
      </c>
      <c r="D65" s="1">
        <f t="shared" si="1"/>
        <v>0.84555423437706434</v>
      </c>
      <c r="F65" s="6" t="s">
        <v>23</v>
      </c>
    </row>
    <row r="66" spans="1:6" x14ac:dyDescent="0.25">
      <c r="A66" s="1">
        <v>1</v>
      </c>
      <c r="B66" s="1">
        <v>2</v>
      </c>
      <c r="C66" s="2">
        <f t="shared" si="0"/>
        <v>1</v>
      </c>
      <c r="D66" s="1">
        <f t="shared" si="1"/>
        <v>1.1673933148368345</v>
      </c>
    </row>
    <row r="67" spans="1:6" x14ac:dyDescent="0.25">
      <c r="A67" s="1">
        <v>2</v>
      </c>
      <c r="B67" s="1">
        <v>3</v>
      </c>
      <c r="C67" s="2">
        <f t="shared" ref="C67:C88" si="2">B67-A67</f>
        <v>1</v>
      </c>
      <c r="D67" s="1">
        <f t="shared" si="1"/>
        <v>1.1673933148368345</v>
      </c>
    </row>
    <row r="68" spans="1:6" x14ac:dyDescent="0.25">
      <c r="A68" s="1">
        <v>1</v>
      </c>
      <c r="B68" s="1">
        <v>2</v>
      </c>
      <c r="C68" s="2">
        <f t="shared" si="2"/>
        <v>1</v>
      </c>
      <c r="D68" s="1">
        <f t="shared" si="1"/>
        <v>1.1673933148368345</v>
      </c>
    </row>
    <row r="69" spans="1:6" x14ac:dyDescent="0.25">
      <c r="A69" s="1">
        <v>1</v>
      </c>
      <c r="B69" s="1">
        <v>1</v>
      </c>
      <c r="C69" s="2">
        <f t="shared" si="2"/>
        <v>0</v>
      </c>
      <c r="D69" s="1">
        <f t="shared" ref="D69:D88" si="3">(C69-$G$6)^2</f>
        <v>6.4737746069493986E-3</v>
      </c>
    </row>
    <row r="70" spans="1:6" x14ac:dyDescent="0.25">
      <c r="A70" s="1">
        <v>2</v>
      </c>
      <c r="B70" s="1">
        <v>2</v>
      </c>
      <c r="C70" s="2">
        <f t="shared" si="2"/>
        <v>0</v>
      </c>
      <c r="D70" s="1">
        <f t="shared" si="3"/>
        <v>6.4737746069493986E-3</v>
      </c>
    </row>
    <row r="71" spans="1:6" x14ac:dyDescent="0.25">
      <c r="A71" s="1">
        <v>2</v>
      </c>
      <c r="B71" s="1">
        <v>1</v>
      </c>
      <c r="C71" s="2">
        <f t="shared" si="2"/>
        <v>-1</v>
      </c>
      <c r="D71" s="1">
        <f t="shared" si="3"/>
        <v>0.84555423437706434</v>
      </c>
    </row>
    <row r="72" spans="1:6" x14ac:dyDescent="0.25">
      <c r="A72" s="1">
        <v>1</v>
      </c>
      <c r="B72" s="1">
        <v>2</v>
      </c>
      <c r="C72" s="2">
        <f t="shared" si="2"/>
        <v>1</v>
      </c>
      <c r="D72" s="1">
        <f t="shared" si="3"/>
        <v>1.1673933148368345</v>
      </c>
      <c r="F72" t="s">
        <v>24</v>
      </c>
    </row>
    <row r="73" spans="1:6" x14ac:dyDescent="0.25">
      <c r="A73" s="1">
        <v>4</v>
      </c>
      <c r="B73" s="1">
        <v>3</v>
      </c>
      <c r="C73" s="2">
        <f t="shared" si="2"/>
        <v>-1</v>
      </c>
      <c r="D73" s="1">
        <f t="shared" si="3"/>
        <v>0.84555423437706434</v>
      </c>
      <c r="F73" t="s">
        <v>22</v>
      </c>
    </row>
    <row r="74" spans="1:6" x14ac:dyDescent="0.25">
      <c r="A74" s="1">
        <v>1</v>
      </c>
      <c r="B74" s="1">
        <v>2</v>
      </c>
      <c r="C74" s="2">
        <f t="shared" si="2"/>
        <v>1</v>
      </c>
      <c r="D74" s="1">
        <f t="shared" si="3"/>
        <v>1.1673933148368345</v>
      </c>
      <c r="F74" t="s">
        <v>24</v>
      </c>
    </row>
    <row r="75" spans="1:6" x14ac:dyDescent="0.25">
      <c r="A75" s="1">
        <v>1</v>
      </c>
      <c r="B75" s="1">
        <v>1</v>
      </c>
      <c r="C75" s="2">
        <f t="shared" si="2"/>
        <v>0</v>
      </c>
      <c r="D75" s="1">
        <f t="shared" si="3"/>
        <v>6.4737746069493986E-3</v>
      </c>
      <c r="F75" t="s">
        <v>22</v>
      </c>
    </row>
    <row r="76" spans="1:6" x14ac:dyDescent="0.25">
      <c r="A76" s="1">
        <v>1</v>
      </c>
      <c r="B76" s="1">
        <v>2</v>
      </c>
      <c r="C76" s="2">
        <f t="shared" si="2"/>
        <v>1</v>
      </c>
      <c r="D76" s="1">
        <f t="shared" si="3"/>
        <v>1.1673933148368345</v>
      </c>
    </row>
    <row r="77" spans="1:6" x14ac:dyDescent="0.25">
      <c r="A77" s="1">
        <v>1</v>
      </c>
      <c r="B77" s="1">
        <v>2</v>
      </c>
      <c r="C77" s="2">
        <f t="shared" si="2"/>
        <v>1</v>
      </c>
      <c r="D77" s="1">
        <f t="shared" si="3"/>
        <v>1.1673933148368345</v>
      </c>
    </row>
    <row r="78" spans="1:6" x14ac:dyDescent="0.25">
      <c r="A78" s="1">
        <v>2</v>
      </c>
      <c r="B78" s="1">
        <v>2</v>
      </c>
      <c r="C78" s="2">
        <f t="shared" si="2"/>
        <v>0</v>
      </c>
      <c r="D78" s="1">
        <f t="shared" si="3"/>
        <v>6.4737746069493986E-3</v>
      </c>
    </row>
    <row r="79" spans="1:6" x14ac:dyDescent="0.25">
      <c r="A79" s="1">
        <v>1</v>
      </c>
      <c r="B79" s="1">
        <v>1</v>
      </c>
      <c r="C79" s="2">
        <f t="shared" si="2"/>
        <v>0</v>
      </c>
      <c r="D79" s="1">
        <f t="shared" si="3"/>
        <v>6.4737746069493986E-3</v>
      </c>
    </row>
    <row r="80" spans="1:6" x14ac:dyDescent="0.25">
      <c r="A80" s="1">
        <v>2</v>
      </c>
      <c r="B80" s="1">
        <v>1</v>
      </c>
      <c r="C80" s="2">
        <f t="shared" si="2"/>
        <v>-1</v>
      </c>
      <c r="D80" s="1">
        <f t="shared" si="3"/>
        <v>0.84555423437706434</v>
      </c>
    </row>
    <row r="81" spans="1:6" x14ac:dyDescent="0.25">
      <c r="A81" s="1">
        <v>1</v>
      </c>
      <c r="B81" s="1">
        <v>2</v>
      </c>
      <c r="C81" s="2">
        <f t="shared" si="2"/>
        <v>1</v>
      </c>
      <c r="D81" s="1">
        <f t="shared" si="3"/>
        <v>1.1673933148368345</v>
      </c>
    </row>
    <row r="82" spans="1:6" x14ac:dyDescent="0.25">
      <c r="A82" s="1">
        <v>3</v>
      </c>
      <c r="B82" s="1">
        <v>1</v>
      </c>
      <c r="C82" s="2">
        <f t="shared" si="2"/>
        <v>-2</v>
      </c>
      <c r="D82" s="1">
        <f t="shared" si="3"/>
        <v>3.6846346941471793</v>
      </c>
    </row>
    <row r="83" spans="1:6" x14ac:dyDescent="0.25">
      <c r="A83" s="1">
        <v>2</v>
      </c>
      <c r="B83" s="1">
        <v>2</v>
      </c>
      <c r="C83" s="2">
        <f t="shared" si="2"/>
        <v>0</v>
      </c>
      <c r="D83" s="1">
        <f t="shared" si="3"/>
        <v>6.4737746069493986E-3</v>
      </c>
    </row>
    <row r="84" spans="1:6" x14ac:dyDescent="0.25">
      <c r="A84" s="1">
        <v>2</v>
      </c>
      <c r="B84" s="1">
        <v>2</v>
      </c>
      <c r="C84" s="2">
        <f t="shared" si="2"/>
        <v>0</v>
      </c>
      <c r="D84" s="1">
        <f t="shared" si="3"/>
        <v>6.4737746069493986E-3</v>
      </c>
    </row>
    <row r="85" spans="1:6" x14ac:dyDescent="0.25">
      <c r="A85" s="1">
        <v>2</v>
      </c>
      <c r="B85" s="1">
        <v>1</v>
      </c>
      <c r="C85" s="2">
        <f t="shared" si="2"/>
        <v>-1</v>
      </c>
      <c r="D85" s="1">
        <f t="shared" si="3"/>
        <v>0.84555423437706434</v>
      </c>
    </row>
    <row r="86" spans="1:6" x14ac:dyDescent="0.25">
      <c r="A86" s="1">
        <v>3</v>
      </c>
      <c r="B86" s="1">
        <v>2</v>
      </c>
      <c r="C86" s="2">
        <f t="shared" si="2"/>
        <v>-1</v>
      </c>
      <c r="D86" s="1">
        <f t="shared" si="3"/>
        <v>0.84555423437706434</v>
      </c>
    </row>
    <row r="87" spans="1:6" x14ac:dyDescent="0.25">
      <c r="A87" s="1">
        <v>2</v>
      </c>
      <c r="B87" s="1">
        <v>2</v>
      </c>
      <c r="C87" s="2">
        <f t="shared" si="2"/>
        <v>0</v>
      </c>
      <c r="D87" s="1">
        <f t="shared" si="3"/>
        <v>6.4737746069493986E-3</v>
      </c>
    </row>
    <row r="88" spans="1:6" x14ac:dyDescent="0.25">
      <c r="A88" s="1">
        <v>1</v>
      </c>
      <c r="B88" s="1">
        <v>2</v>
      </c>
      <c r="C88" s="2">
        <f t="shared" si="2"/>
        <v>1</v>
      </c>
      <c r="D88" s="1">
        <f t="shared" si="3"/>
        <v>1.1673933148368345</v>
      </c>
    </row>
    <row r="93" spans="1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1F5D-2654-41C9-AC75-8A2D1F9D14CE}">
  <dimension ref="A1:G93"/>
  <sheetViews>
    <sheetView zoomScale="70" zoomScaleNormal="70" workbookViewId="0">
      <selection activeCell="B9" sqref="B9"/>
    </sheetView>
  </sheetViews>
  <sheetFormatPr baseColWidth="10" defaultColWidth="9.140625" defaultRowHeight="15" x14ac:dyDescent="0.25"/>
  <cols>
    <col min="1" max="2" width="33.4257812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05" customHeight="1" x14ac:dyDescent="0.25">
      <c r="A1" s="3" t="s">
        <v>50</v>
      </c>
      <c r="B1" s="4" t="s">
        <v>51</v>
      </c>
      <c r="C1" s="5" t="s">
        <v>1</v>
      </c>
      <c r="D1" s="5"/>
    </row>
    <row r="2" spans="1:7" x14ac:dyDescent="0.25">
      <c r="A2" s="1">
        <v>2</v>
      </c>
      <c r="B2" s="1">
        <v>2</v>
      </c>
      <c r="C2" s="2">
        <f>B2-A2</f>
        <v>0</v>
      </c>
      <c r="D2" s="1">
        <f>(C2-$G$6)^2</f>
        <v>1.321178491214163E-2</v>
      </c>
    </row>
    <row r="3" spans="1:7" x14ac:dyDescent="0.25">
      <c r="A3" s="1">
        <v>1</v>
      </c>
      <c r="B3" s="1">
        <v>2</v>
      </c>
      <c r="C3" s="2">
        <f t="shared" ref="C3:C66" si="0">B3-A3</f>
        <v>1</v>
      </c>
      <c r="D3" s="1">
        <f>(C3-$G$6)^2</f>
        <v>1.2430968423834061</v>
      </c>
      <c r="F3" s="6" t="s">
        <v>17</v>
      </c>
      <c r="G3" s="6"/>
    </row>
    <row r="4" spans="1:7" x14ac:dyDescent="0.25">
      <c r="A4" s="1">
        <v>2</v>
      </c>
      <c r="B4" s="1">
        <v>1</v>
      </c>
      <c r="C4" s="2">
        <f t="shared" si="0"/>
        <v>-1</v>
      </c>
      <c r="D4" s="1">
        <f>(C4-$G$6)^2</f>
        <v>0.78332672744087728</v>
      </c>
      <c r="F4" t="s">
        <v>5</v>
      </c>
      <c r="G4">
        <v>87</v>
      </c>
    </row>
    <row r="5" spans="1:7" x14ac:dyDescent="0.25">
      <c r="A5" s="1">
        <v>2</v>
      </c>
      <c r="B5" s="1">
        <v>1</v>
      </c>
      <c r="C5" s="2">
        <f t="shared" si="0"/>
        <v>-1</v>
      </c>
      <c r="D5" s="1">
        <f t="shared" ref="D5:D68" si="1">(C5-$G$6)^2</f>
        <v>0.78332672744087728</v>
      </c>
      <c r="F5" t="s">
        <v>3</v>
      </c>
      <c r="G5">
        <f>SUM(C:C)</f>
        <v>-10</v>
      </c>
    </row>
    <row r="6" spans="1:7" x14ac:dyDescent="0.25">
      <c r="A6" s="1">
        <v>2</v>
      </c>
      <c r="B6" s="1">
        <v>4</v>
      </c>
      <c r="C6" s="2">
        <f t="shared" si="0"/>
        <v>2</v>
      </c>
      <c r="D6" s="1">
        <f t="shared" si="1"/>
        <v>4.4729818998546707</v>
      </c>
      <c r="F6" t="s">
        <v>2</v>
      </c>
      <c r="G6">
        <f>G5/G4</f>
        <v>-0.11494252873563218</v>
      </c>
    </row>
    <row r="7" spans="1:7" x14ac:dyDescent="0.25">
      <c r="A7" s="1">
        <v>1</v>
      </c>
      <c r="B7" s="1">
        <v>1</v>
      </c>
      <c r="C7" s="2">
        <f t="shared" si="0"/>
        <v>0</v>
      </c>
      <c r="D7" s="1">
        <f t="shared" si="1"/>
        <v>1.321178491214163E-2</v>
      </c>
      <c r="F7" t="s">
        <v>4</v>
      </c>
      <c r="G7">
        <f>SUM(D:D)</f>
        <v>146.85057471264375</v>
      </c>
    </row>
    <row r="8" spans="1:7" x14ac:dyDescent="0.25">
      <c r="A8" s="1">
        <v>2</v>
      </c>
      <c r="B8" s="1">
        <v>1</v>
      </c>
      <c r="C8" s="2">
        <f t="shared" si="0"/>
        <v>-1</v>
      </c>
      <c r="D8" s="1">
        <f t="shared" si="1"/>
        <v>0.78332672744087728</v>
      </c>
      <c r="F8" t="s">
        <v>6</v>
      </c>
      <c r="G8">
        <f>SQRT(G7/(G4-1))</f>
        <v>1.3067382378426231</v>
      </c>
    </row>
    <row r="9" spans="1:7" x14ac:dyDescent="0.25">
      <c r="A9" s="1">
        <v>2</v>
      </c>
      <c r="B9" s="1">
        <v>1</v>
      </c>
      <c r="C9" s="2">
        <f t="shared" si="0"/>
        <v>-1</v>
      </c>
      <c r="D9" s="1">
        <f t="shared" si="1"/>
        <v>0.78332672744087728</v>
      </c>
    </row>
    <row r="10" spans="1:7" x14ac:dyDescent="0.25">
      <c r="A10" s="1">
        <v>5</v>
      </c>
      <c r="B10" s="1">
        <v>1</v>
      </c>
      <c r="C10" s="2">
        <f t="shared" si="0"/>
        <v>-4</v>
      </c>
      <c r="D10" s="1">
        <f t="shared" si="1"/>
        <v>15.093671555027084</v>
      </c>
    </row>
    <row r="11" spans="1:7" x14ac:dyDescent="0.25">
      <c r="A11" s="1">
        <v>2</v>
      </c>
      <c r="B11" s="1">
        <v>1</v>
      </c>
      <c r="C11" s="2">
        <f t="shared" si="0"/>
        <v>-1</v>
      </c>
      <c r="D11" s="1">
        <f t="shared" si="1"/>
        <v>0.78332672744087728</v>
      </c>
    </row>
    <row r="12" spans="1:7" x14ac:dyDescent="0.25">
      <c r="A12" s="1">
        <v>2</v>
      </c>
      <c r="B12" s="1">
        <v>2</v>
      </c>
      <c r="C12" s="2">
        <f t="shared" si="0"/>
        <v>0</v>
      </c>
      <c r="D12" s="1">
        <f t="shared" si="1"/>
        <v>1.321178491214163E-2</v>
      </c>
      <c r="F12" t="s">
        <v>12</v>
      </c>
      <c r="G12">
        <f>G6/(G8/SQRT(G4))</f>
        <v>-0.82044934768864908</v>
      </c>
    </row>
    <row r="13" spans="1:7" x14ac:dyDescent="0.25">
      <c r="A13" s="1">
        <v>1</v>
      </c>
      <c r="B13" s="1">
        <v>2</v>
      </c>
      <c r="C13" s="2">
        <f t="shared" si="0"/>
        <v>1</v>
      </c>
      <c r="D13" s="1">
        <f t="shared" si="1"/>
        <v>1.2430968423834061</v>
      </c>
    </row>
    <row r="14" spans="1:7" x14ac:dyDescent="0.25">
      <c r="A14" s="1">
        <v>4</v>
      </c>
      <c r="B14" s="1">
        <v>1</v>
      </c>
      <c r="C14" s="2">
        <f t="shared" si="0"/>
        <v>-3</v>
      </c>
      <c r="D14" s="1">
        <f t="shared" si="1"/>
        <v>8.3235566124983489</v>
      </c>
    </row>
    <row r="15" spans="1:7" x14ac:dyDescent="0.25">
      <c r="A15" s="1">
        <v>2</v>
      </c>
      <c r="B15" s="1">
        <v>2</v>
      </c>
      <c r="C15" s="2">
        <f t="shared" si="0"/>
        <v>0</v>
      </c>
      <c r="D15" s="1">
        <f t="shared" si="1"/>
        <v>1.321178491214163E-2</v>
      </c>
    </row>
    <row r="16" spans="1:7" x14ac:dyDescent="0.25">
      <c r="A16" s="1">
        <v>1</v>
      </c>
      <c r="B16" s="1">
        <v>1</v>
      </c>
      <c r="C16" s="2">
        <f t="shared" si="0"/>
        <v>0</v>
      </c>
      <c r="D16" s="1">
        <f t="shared" si="1"/>
        <v>1.321178491214163E-2</v>
      </c>
    </row>
    <row r="17" spans="1:7" x14ac:dyDescent="0.25">
      <c r="A17" s="1">
        <v>2</v>
      </c>
      <c r="B17" s="1">
        <v>1</v>
      </c>
      <c r="C17" s="2">
        <f t="shared" si="0"/>
        <v>-1</v>
      </c>
      <c r="D17" s="1">
        <f t="shared" si="1"/>
        <v>0.78332672744087728</v>
      </c>
      <c r="F17" t="s">
        <v>7</v>
      </c>
      <c r="G17">
        <v>0.05</v>
      </c>
    </row>
    <row r="18" spans="1:7" x14ac:dyDescent="0.25">
      <c r="A18" s="1">
        <v>1</v>
      </c>
      <c r="B18" s="1">
        <v>2</v>
      </c>
      <c r="C18" s="2">
        <f t="shared" si="0"/>
        <v>1</v>
      </c>
      <c r="D18" s="1">
        <f t="shared" si="1"/>
        <v>1.2430968423834061</v>
      </c>
      <c r="F18" t="s">
        <v>8</v>
      </c>
      <c r="G18">
        <f>G4-1</f>
        <v>86</v>
      </c>
    </row>
    <row r="19" spans="1:7" x14ac:dyDescent="0.25">
      <c r="A19" s="1">
        <v>1</v>
      </c>
      <c r="B19" s="1">
        <v>2</v>
      </c>
      <c r="C19" s="2">
        <f t="shared" si="0"/>
        <v>1</v>
      </c>
      <c r="D19" s="1">
        <f t="shared" si="1"/>
        <v>1.2430968423834061</v>
      </c>
    </row>
    <row r="20" spans="1:7" x14ac:dyDescent="0.25">
      <c r="A20" s="1">
        <v>4</v>
      </c>
      <c r="B20" s="1">
        <v>2</v>
      </c>
      <c r="C20" s="2">
        <f t="shared" si="0"/>
        <v>-2</v>
      </c>
      <c r="D20" s="1">
        <f t="shared" si="1"/>
        <v>3.5534416699696125</v>
      </c>
    </row>
    <row r="21" spans="1:7" x14ac:dyDescent="0.25">
      <c r="A21" s="1">
        <v>1</v>
      </c>
      <c r="B21" s="1">
        <v>1</v>
      </c>
      <c r="C21" s="2">
        <f t="shared" si="0"/>
        <v>0</v>
      </c>
      <c r="D21" s="1">
        <f t="shared" si="1"/>
        <v>1.321178491214163E-2</v>
      </c>
    </row>
    <row r="22" spans="1:7" x14ac:dyDescent="0.25">
      <c r="A22" s="1">
        <v>1</v>
      </c>
      <c r="B22" s="1">
        <v>2</v>
      </c>
      <c r="C22" s="2">
        <f t="shared" si="0"/>
        <v>1</v>
      </c>
      <c r="D22" s="1">
        <f t="shared" si="1"/>
        <v>1.2430968423834061</v>
      </c>
      <c r="F22" s="6" t="s">
        <v>9</v>
      </c>
      <c r="G22" s="6"/>
    </row>
    <row r="23" spans="1:7" x14ac:dyDescent="0.25">
      <c r="A23" s="1">
        <v>2</v>
      </c>
      <c r="B23" s="1">
        <v>1</v>
      </c>
      <c r="C23" s="2">
        <f t="shared" si="0"/>
        <v>-1</v>
      </c>
      <c r="D23" s="1">
        <f t="shared" si="1"/>
        <v>0.78332672744087728</v>
      </c>
      <c r="F23" t="s">
        <v>26</v>
      </c>
      <c r="G23">
        <f>_xlfn.T.INV.2T(G17,G18)</f>
        <v>1.987934206239018</v>
      </c>
    </row>
    <row r="24" spans="1:7" x14ac:dyDescent="0.25">
      <c r="A24" s="1">
        <v>2</v>
      </c>
      <c r="B24" s="1">
        <v>1</v>
      </c>
      <c r="C24" s="2">
        <f t="shared" si="0"/>
        <v>-1</v>
      </c>
      <c r="D24" s="1">
        <f t="shared" si="1"/>
        <v>0.78332672744087728</v>
      </c>
      <c r="F24" t="s">
        <v>27</v>
      </c>
      <c r="G24">
        <f>_xlfn.T.INV(G17,G18)</f>
        <v>-1.662765449409072</v>
      </c>
    </row>
    <row r="25" spans="1:7" x14ac:dyDescent="0.25">
      <c r="A25" s="1">
        <v>2</v>
      </c>
      <c r="B25" s="1">
        <v>1</v>
      </c>
      <c r="C25" s="2">
        <f t="shared" si="0"/>
        <v>-1</v>
      </c>
      <c r="D25" s="1">
        <f t="shared" si="1"/>
        <v>0.78332672744087728</v>
      </c>
    </row>
    <row r="26" spans="1:7" x14ac:dyDescent="0.25">
      <c r="A26" s="1">
        <v>1</v>
      </c>
      <c r="B26" s="1">
        <v>4</v>
      </c>
      <c r="C26" s="2">
        <f t="shared" si="0"/>
        <v>3</v>
      </c>
      <c r="D26" s="1">
        <f t="shared" si="1"/>
        <v>9.7028669573259361</v>
      </c>
    </row>
    <row r="27" spans="1:7" x14ac:dyDescent="0.25">
      <c r="A27" s="1">
        <v>2</v>
      </c>
      <c r="B27" s="1">
        <v>2</v>
      </c>
      <c r="C27" s="2">
        <f t="shared" si="0"/>
        <v>0</v>
      </c>
      <c r="D27" s="1">
        <f t="shared" si="1"/>
        <v>1.321178491214163E-2</v>
      </c>
    </row>
    <row r="28" spans="1:7" x14ac:dyDescent="0.25">
      <c r="A28" s="1">
        <v>4</v>
      </c>
      <c r="B28" s="1">
        <v>1</v>
      </c>
      <c r="C28" s="2">
        <f t="shared" si="0"/>
        <v>-3</v>
      </c>
      <c r="D28" s="1">
        <f t="shared" si="1"/>
        <v>8.3235566124983489</v>
      </c>
    </row>
    <row r="29" spans="1:7" x14ac:dyDescent="0.25">
      <c r="A29" s="1">
        <v>1</v>
      </c>
      <c r="B29" s="1">
        <v>2</v>
      </c>
      <c r="C29" s="2">
        <f t="shared" si="0"/>
        <v>1</v>
      </c>
      <c r="D29" s="1">
        <f t="shared" si="1"/>
        <v>1.2430968423834061</v>
      </c>
    </row>
    <row r="30" spans="1:7" x14ac:dyDescent="0.25">
      <c r="A30" s="1">
        <v>3</v>
      </c>
      <c r="B30" s="1">
        <v>2</v>
      </c>
      <c r="C30" s="2">
        <f t="shared" si="0"/>
        <v>-1</v>
      </c>
      <c r="D30" s="1">
        <f t="shared" si="1"/>
        <v>0.78332672744087728</v>
      </c>
    </row>
    <row r="31" spans="1:7" x14ac:dyDescent="0.25">
      <c r="A31" s="1">
        <v>1</v>
      </c>
      <c r="B31" s="1">
        <v>1</v>
      </c>
      <c r="C31" s="2">
        <f t="shared" si="0"/>
        <v>0</v>
      </c>
      <c r="D31" s="1">
        <f t="shared" si="1"/>
        <v>1.321178491214163E-2</v>
      </c>
    </row>
    <row r="32" spans="1:7" x14ac:dyDescent="0.25">
      <c r="A32" s="1">
        <v>1</v>
      </c>
      <c r="B32" s="1">
        <v>2</v>
      </c>
      <c r="C32" s="2">
        <f t="shared" si="0"/>
        <v>1</v>
      </c>
      <c r="D32" s="1">
        <f t="shared" si="1"/>
        <v>1.2430968423834061</v>
      </c>
    </row>
    <row r="33" spans="1:7" x14ac:dyDescent="0.25">
      <c r="A33" s="1">
        <v>2</v>
      </c>
      <c r="B33" s="1">
        <v>2</v>
      </c>
      <c r="C33" s="2">
        <f t="shared" si="0"/>
        <v>0</v>
      </c>
      <c r="D33" s="1">
        <f t="shared" si="1"/>
        <v>1.321178491214163E-2</v>
      </c>
    </row>
    <row r="34" spans="1:7" x14ac:dyDescent="0.25">
      <c r="A34" s="1">
        <v>2</v>
      </c>
      <c r="B34" s="1">
        <v>1</v>
      </c>
      <c r="C34" s="2">
        <f t="shared" si="0"/>
        <v>-1</v>
      </c>
      <c r="D34" s="1">
        <f t="shared" si="1"/>
        <v>0.78332672744087728</v>
      </c>
      <c r="F34" t="s">
        <v>10</v>
      </c>
    </row>
    <row r="35" spans="1:7" x14ac:dyDescent="0.25">
      <c r="A35" s="1">
        <v>2</v>
      </c>
      <c r="B35" s="1">
        <v>1</v>
      </c>
      <c r="C35" s="2">
        <f t="shared" si="0"/>
        <v>-1</v>
      </c>
      <c r="D35" s="1">
        <f t="shared" si="1"/>
        <v>0.78332672744087728</v>
      </c>
      <c r="F35" t="s">
        <v>11</v>
      </c>
    </row>
    <row r="36" spans="1:7" x14ac:dyDescent="0.25">
      <c r="A36" s="1">
        <v>2</v>
      </c>
      <c r="B36" s="1">
        <v>2</v>
      </c>
      <c r="C36" s="2">
        <f t="shared" si="0"/>
        <v>0</v>
      </c>
      <c r="D36" s="1">
        <f t="shared" si="1"/>
        <v>1.321178491214163E-2</v>
      </c>
    </row>
    <row r="37" spans="1:7" x14ac:dyDescent="0.25">
      <c r="A37" s="1">
        <v>1</v>
      </c>
      <c r="B37" s="1">
        <v>1</v>
      </c>
      <c r="C37" s="2">
        <f t="shared" si="0"/>
        <v>0</v>
      </c>
      <c r="D37" s="1">
        <f t="shared" si="1"/>
        <v>1.321178491214163E-2</v>
      </c>
    </row>
    <row r="38" spans="1:7" x14ac:dyDescent="0.25">
      <c r="A38" s="1">
        <v>4</v>
      </c>
      <c r="B38" s="1">
        <v>2</v>
      </c>
      <c r="C38" s="2">
        <f t="shared" si="0"/>
        <v>-2</v>
      </c>
      <c r="D38" s="1">
        <f t="shared" si="1"/>
        <v>3.5534416699696125</v>
      </c>
    </row>
    <row r="39" spans="1:7" x14ac:dyDescent="0.25">
      <c r="A39" s="1">
        <v>1</v>
      </c>
      <c r="B39" s="1">
        <v>2</v>
      </c>
      <c r="C39" s="2">
        <f t="shared" si="0"/>
        <v>1</v>
      </c>
      <c r="D39" s="1">
        <f t="shared" si="1"/>
        <v>1.2430968423834061</v>
      </c>
      <c r="F39" s="6" t="s">
        <v>13</v>
      </c>
      <c r="G39" s="6"/>
    </row>
    <row r="40" spans="1:7" x14ac:dyDescent="0.25">
      <c r="A40" s="1">
        <v>1</v>
      </c>
      <c r="B40" s="1">
        <v>2</v>
      </c>
      <c r="C40" s="2">
        <f t="shared" si="0"/>
        <v>1</v>
      </c>
      <c r="D40" s="1">
        <f t="shared" si="1"/>
        <v>1.2430968423834061</v>
      </c>
      <c r="F40" t="s">
        <v>13</v>
      </c>
    </row>
    <row r="41" spans="1:7" x14ac:dyDescent="0.25">
      <c r="A41" s="1">
        <v>2</v>
      </c>
      <c r="B41" s="1">
        <v>4</v>
      </c>
      <c r="C41" s="2">
        <f t="shared" si="0"/>
        <v>2</v>
      </c>
      <c r="D41" s="1">
        <f t="shared" si="1"/>
        <v>4.4729818998546707</v>
      </c>
      <c r="F41" t="s">
        <v>25</v>
      </c>
      <c r="G41">
        <f>TTEST(A:A,B:B,2,1)</f>
        <v>0.41422831656930981</v>
      </c>
    </row>
    <row r="42" spans="1:7" x14ac:dyDescent="0.25">
      <c r="A42" s="1">
        <v>1</v>
      </c>
      <c r="B42" s="1">
        <v>1</v>
      </c>
      <c r="C42" s="2">
        <f t="shared" si="0"/>
        <v>0</v>
      </c>
      <c r="D42" s="1">
        <f t="shared" si="1"/>
        <v>1.321178491214163E-2</v>
      </c>
      <c r="F42" t="s">
        <v>29</v>
      </c>
      <c r="G42">
        <f>TTEST(A:A,B:B,1,1)</f>
        <v>0.2071141582846549</v>
      </c>
    </row>
    <row r="43" spans="1:7" x14ac:dyDescent="0.25">
      <c r="A43" s="1">
        <v>1</v>
      </c>
      <c r="B43" s="1">
        <v>2</v>
      </c>
      <c r="C43" s="2">
        <f t="shared" si="0"/>
        <v>1</v>
      </c>
      <c r="D43" s="1">
        <f t="shared" si="1"/>
        <v>1.2430968423834061</v>
      </c>
    </row>
    <row r="44" spans="1:7" x14ac:dyDescent="0.25">
      <c r="A44" s="1">
        <v>1</v>
      </c>
      <c r="B44" s="1">
        <v>1</v>
      </c>
      <c r="C44" s="2">
        <f t="shared" si="0"/>
        <v>0</v>
      </c>
      <c r="D44" s="1">
        <f t="shared" si="1"/>
        <v>1.321178491214163E-2</v>
      </c>
    </row>
    <row r="45" spans="1:7" x14ac:dyDescent="0.25">
      <c r="A45" s="1">
        <v>2</v>
      </c>
      <c r="B45" s="1">
        <v>2</v>
      </c>
      <c r="C45" s="2">
        <f t="shared" si="0"/>
        <v>0</v>
      </c>
      <c r="D45" s="1">
        <f t="shared" si="1"/>
        <v>1.321178491214163E-2</v>
      </c>
      <c r="F45" s="6" t="s">
        <v>16</v>
      </c>
      <c r="G45" s="6"/>
    </row>
    <row r="46" spans="1:7" x14ac:dyDescent="0.25">
      <c r="A46" s="1">
        <v>1</v>
      </c>
      <c r="B46" s="1">
        <v>1</v>
      </c>
      <c r="C46" s="2">
        <f t="shared" si="0"/>
        <v>0</v>
      </c>
      <c r="D46" s="1">
        <f t="shared" si="1"/>
        <v>1.321178491214163E-2</v>
      </c>
    </row>
    <row r="47" spans="1:7" x14ac:dyDescent="0.25">
      <c r="A47" s="1">
        <v>1</v>
      </c>
      <c r="B47" s="1">
        <v>2</v>
      </c>
      <c r="C47" s="2">
        <f t="shared" si="0"/>
        <v>1</v>
      </c>
      <c r="D47" s="1">
        <f t="shared" si="1"/>
        <v>1.2430968423834061</v>
      </c>
      <c r="F47" t="s">
        <v>14</v>
      </c>
    </row>
    <row r="48" spans="1:7" x14ac:dyDescent="0.25">
      <c r="A48" s="1">
        <v>4</v>
      </c>
      <c r="B48" s="1">
        <v>2</v>
      </c>
      <c r="C48" s="2">
        <f t="shared" si="0"/>
        <v>-2</v>
      </c>
      <c r="D48" s="1">
        <f t="shared" si="1"/>
        <v>3.5534416699696125</v>
      </c>
      <c r="F48" t="s">
        <v>15</v>
      </c>
    </row>
    <row r="49" spans="1:6" x14ac:dyDescent="0.25">
      <c r="A49" s="1">
        <v>2</v>
      </c>
      <c r="B49" s="1">
        <v>2</v>
      </c>
      <c r="C49" s="2">
        <f t="shared" si="0"/>
        <v>0</v>
      </c>
      <c r="D49" s="1">
        <f t="shared" si="1"/>
        <v>1.321178491214163E-2</v>
      </c>
    </row>
    <row r="50" spans="1:6" x14ac:dyDescent="0.25">
      <c r="A50" s="1">
        <v>1</v>
      </c>
      <c r="B50" s="1">
        <v>1</v>
      </c>
      <c r="C50" s="2">
        <f t="shared" si="0"/>
        <v>0</v>
      </c>
      <c r="D50" s="1">
        <f t="shared" si="1"/>
        <v>1.321178491214163E-2</v>
      </c>
      <c r="F50" t="s">
        <v>18</v>
      </c>
    </row>
    <row r="51" spans="1:6" x14ac:dyDescent="0.25">
      <c r="A51" s="1">
        <v>2</v>
      </c>
      <c r="B51" s="1">
        <v>1</v>
      </c>
      <c r="C51" s="2">
        <f t="shared" si="0"/>
        <v>-1</v>
      </c>
      <c r="D51" s="1">
        <f t="shared" si="1"/>
        <v>0.78332672744087728</v>
      </c>
      <c r="F51" t="s">
        <v>19</v>
      </c>
    </row>
    <row r="52" spans="1:6" x14ac:dyDescent="0.25">
      <c r="A52" s="1">
        <v>2</v>
      </c>
      <c r="B52" s="1">
        <v>1</v>
      </c>
      <c r="C52" s="2">
        <f t="shared" si="0"/>
        <v>-1</v>
      </c>
      <c r="D52" s="1">
        <f t="shared" si="1"/>
        <v>0.78332672744087728</v>
      </c>
    </row>
    <row r="53" spans="1:6" x14ac:dyDescent="0.25">
      <c r="A53" s="1">
        <v>2</v>
      </c>
      <c r="B53" s="1">
        <v>4</v>
      </c>
      <c r="C53" s="2">
        <f t="shared" si="0"/>
        <v>2</v>
      </c>
      <c r="D53" s="1">
        <f t="shared" si="1"/>
        <v>4.4729818998546707</v>
      </c>
    </row>
    <row r="54" spans="1:6" x14ac:dyDescent="0.25">
      <c r="A54" s="1">
        <v>2</v>
      </c>
      <c r="B54" s="1">
        <v>2</v>
      </c>
      <c r="C54" s="2">
        <f t="shared" si="0"/>
        <v>0</v>
      </c>
      <c r="D54" s="1">
        <f t="shared" si="1"/>
        <v>1.321178491214163E-2</v>
      </c>
    </row>
    <row r="55" spans="1:6" x14ac:dyDescent="0.25">
      <c r="A55" s="1">
        <v>2</v>
      </c>
      <c r="B55" s="1">
        <v>1</v>
      </c>
      <c r="C55" s="2">
        <f t="shared" si="0"/>
        <v>-1</v>
      </c>
      <c r="D55" s="1">
        <f t="shared" si="1"/>
        <v>0.78332672744087728</v>
      </c>
    </row>
    <row r="56" spans="1:6" x14ac:dyDescent="0.25">
      <c r="A56" s="1">
        <v>2</v>
      </c>
      <c r="B56" s="1">
        <v>1</v>
      </c>
      <c r="C56" s="2">
        <f t="shared" si="0"/>
        <v>-1</v>
      </c>
      <c r="D56" s="1">
        <f t="shared" si="1"/>
        <v>0.78332672744087728</v>
      </c>
      <c r="F56" s="6" t="s">
        <v>23</v>
      </c>
    </row>
    <row r="57" spans="1:6" x14ac:dyDescent="0.25">
      <c r="A57" s="1">
        <v>1</v>
      </c>
      <c r="B57" s="1">
        <v>2</v>
      </c>
      <c r="C57" s="2">
        <f t="shared" si="0"/>
        <v>1</v>
      </c>
      <c r="D57" s="1">
        <f t="shared" si="1"/>
        <v>1.2430968423834061</v>
      </c>
    </row>
    <row r="58" spans="1:6" x14ac:dyDescent="0.25">
      <c r="A58" s="1">
        <v>2</v>
      </c>
      <c r="B58" s="1">
        <v>2</v>
      </c>
      <c r="C58" s="2">
        <f t="shared" si="0"/>
        <v>0</v>
      </c>
      <c r="D58" s="1">
        <f t="shared" si="1"/>
        <v>1.321178491214163E-2</v>
      </c>
      <c r="F58" t="s">
        <v>21</v>
      </c>
    </row>
    <row r="59" spans="1:6" x14ac:dyDescent="0.25">
      <c r="A59" s="1">
        <v>4</v>
      </c>
      <c r="B59" s="1">
        <v>1</v>
      </c>
      <c r="C59" s="2">
        <f t="shared" si="0"/>
        <v>-3</v>
      </c>
      <c r="D59" s="1">
        <f t="shared" si="1"/>
        <v>8.3235566124983489</v>
      </c>
      <c r="F59" t="s">
        <v>20</v>
      </c>
    </row>
    <row r="60" spans="1:6" x14ac:dyDescent="0.25">
      <c r="A60" s="1">
        <v>1</v>
      </c>
      <c r="B60" s="1">
        <v>4</v>
      </c>
      <c r="C60" s="2">
        <f t="shared" si="0"/>
        <v>3</v>
      </c>
      <c r="D60" s="1">
        <f t="shared" si="1"/>
        <v>9.7028669573259361</v>
      </c>
      <c r="F60" t="s">
        <v>22</v>
      </c>
    </row>
    <row r="61" spans="1:6" x14ac:dyDescent="0.25">
      <c r="A61" s="1">
        <v>1</v>
      </c>
      <c r="B61" s="1">
        <v>2</v>
      </c>
      <c r="C61" s="2">
        <f t="shared" si="0"/>
        <v>1</v>
      </c>
      <c r="D61" s="1">
        <f t="shared" si="1"/>
        <v>1.2430968423834061</v>
      </c>
    </row>
    <row r="62" spans="1:6" x14ac:dyDescent="0.25">
      <c r="A62" s="1">
        <v>2</v>
      </c>
      <c r="B62" s="1">
        <v>2</v>
      </c>
      <c r="C62" s="2">
        <f t="shared" si="0"/>
        <v>0</v>
      </c>
      <c r="D62" s="1">
        <f t="shared" si="1"/>
        <v>1.321178491214163E-2</v>
      </c>
    </row>
    <row r="63" spans="1:6" x14ac:dyDescent="0.25">
      <c r="A63" s="1">
        <v>1</v>
      </c>
      <c r="B63" s="1">
        <v>1</v>
      </c>
      <c r="C63" s="2">
        <f t="shared" si="0"/>
        <v>0</v>
      </c>
      <c r="D63" s="1">
        <f t="shared" si="1"/>
        <v>1.321178491214163E-2</v>
      </c>
    </row>
    <row r="64" spans="1:6" x14ac:dyDescent="0.25">
      <c r="A64" s="1">
        <v>1</v>
      </c>
      <c r="B64" s="1">
        <v>2</v>
      </c>
      <c r="C64" s="2">
        <f t="shared" si="0"/>
        <v>1</v>
      </c>
      <c r="D64" s="1">
        <f t="shared" si="1"/>
        <v>1.2430968423834061</v>
      </c>
    </row>
    <row r="65" spans="1:6" x14ac:dyDescent="0.25">
      <c r="A65" s="1">
        <v>2</v>
      </c>
      <c r="B65" s="1">
        <v>1</v>
      </c>
      <c r="C65" s="2">
        <f t="shared" si="0"/>
        <v>-1</v>
      </c>
      <c r="D65" s="1">
        <f t="shared" si="1"/>
        <v>0.78332672744087728</v>
      </c>
      <c r="F65" s="6" t="s">
        <v>23</v>
      </c>
    </row>
    <row r="66" spans="1:6" x14ac:dyDescent="0.25">
      <c r="A66" s="1">
        <v>2</v>
      </c>
      <c r="B66" s="1">
        <v>2</v>
      </c>
      <c r="C66" s="2">
        <f t="shared" si="0"/>
        <v>0</v>
      </c>
      <c r="D66" s="1">
        <f t="shared" si="1"/>
        <v>1.321178491214163E-2</v>
      </c>
    </row>
    <row r="67" spans="1:6" x14ac:dyDescent="0.25">
      <c r="A67" s="1">
        <v>2</v>
      </c>
      <c r="B67" s="1">
        <v>3</v>
      </c>
      <c r="C67" s="2">
        <f t="shared" ref="C67:C88" si="2">B67-A67</f>
        <v>1</v>
      </c>
      <c r="D67" s="1">
        <f t="shared" si="1"/>
        <v>1.2430968423834061</v>
      </c>
    </row>
    <row r="68" spans="1:6" x14ac:dyDescent="0.25">
      <c r="A68" s="1">
        <v>1</v>
      </c>
      <c r="B68" s="1">
        <v>2</v>
      </c>
      <c r="C68" s="2">
        <f t="shared" si="2"/>
        <v>1</v>
      </c>
      <c r="D68" s="1">
        <f t="shared" si="1"/>
        <v>1.2430968423834061</v>
      </c>
    </row>
    <row r="69" spans="1:6" x14ac:dyDescent="0.25">
      <c r="A69" s="1">
        <v>1</v>
      </c>
      <c r="B69" s="1">
        <v>1</v>
      </c>
      <c r="C69" s="2">
        <f t="shared" si="2"/>
        <v>0</v>
      </c>
      <c r="D69" s="1">
        <f t="shared" ref="D69:D88" si="3">(C69-$G$6)^2</f>
        <v>1.321178491214163E-2</v>
      </c>
    </row>
    <row r="70" spans="1:6" x14ac:dyDescent="0.25">
      <c r="A70" s="1">
        <v>2</v>
      </c>
      <c r="B70" s="1">
        <v>2</v>
      </c>
      <c r="C70" s="2">
        <f t="shared" si="2"/>
        <v>0</v>
      </c>
      <c r="D70" s="1">
        <f t="shared" si="3"/>
        <v>1.321178491214163E-2</v>
      </c>
    </row>
    <row r="71" spans="1:6" x14ac:dyDescent="0.25">
      <c r="A71" s="1">
        <v>2</v>
      </c>
      <c r="B71" s="1">
        <v>1</v>
      </c>
      <c r="C71" s="2">
        <f t="shared" si="2"/>
        <v>-1</v>
      </c>
      <c r="D71" s="1">
        <f t="shared" si="3"/>
        <v>0.78332672744087728</v>
      </c>
    </row>
    <row r="72" spans="1:6" x14ac:dyDescent="0.25">
      <c r="A72" s="1">
        <v>1</v>
      </c>
      <c r="B72" s="1">
        <v>2</v>
      </c>
      <c r="C72" s="2">
        <f t="shared" si="2"/>
        <v>1</v>
      </c>
      <c r="D72" s="1">
        <f t="shared" si="3"/>
        <v>1.2430968423834061</v>
      </c>
      <c r="F72" t="s">
        <v>24</v>
      </c>
    </row>
    <row r="73" spans="1:6" x14ac:dyDescent="0.25">
      <c r="A73" s="1">
        <v>3</v>
      </c>
      <c r="B73" s="1">
        <v>1</v>
      </c>
      <c r="C73" s="2">
        <f t="shared" si="2"/>
        <v>-2</v>
      </c>
      <c r="D73" s="1">
        <f t="shared" si="3"/>
        <v>3.5534416699696125</v>
      </c>
      <c r="F73" t="s">
        <v>22</v>
      </c>
    </row>
    <row r="74" spans="1:6" x14ac:dyDescent="0.25">
      <c r="A74" s="1">
        <v>1</v>
      </c>
      <c r="B74" s="1">
        <v>2</v>
      </c>
      <c r="C74" s="2">
        <f t="shared" si="2"/>
        <v>1</v>
      </c>
      <c r="D74" s="1">
        <f t="shared" si="3"/>
        <v>1.2430968423834061</v>
      </c>
      <c r="F74" t="s">
        <v>24</v>
      </c>
    </row>
    <row r="75" spans="1:6" x14ac:dyDescent="0.25">
      <c r="A75" s="1">
        <v>4</v>
      </c>
      <c r="B75" s="1">
        <v>1</v>
      </c>
      <c r="C75" s="2">
        <f t="shared" si="2"/>
        <v>-3</v>
      </c>
      <c r="D75" s="1">
        <f t="shared" si="3"/>
        <v>8.3235566124983489</v>
      </c>
      <c r="F75" t="s">
        <v>22</v>
      </c>
    </row>
    <row r="76" spans="1:6" x14ac:dyDescent="0.25">
      <c r="A76" s="1">
        <v>1</v>
      </c>
      <c r="B76" s="1">
        <v>2</v>
      </c>
      <c r="C76" s="2">
        <f t="shared" si="2"/>
        <v>1</v>
      </c>
      <c r="D76" s="1">
        <f t="shared" si="3"/>
        <v>1.2430968423834061</v>
      </c>
    </row>
    <row r="77" spans="1:6" x14ac:dyDescent="0.25">
      <c r="A77" s="1">
        <v>2</v>
      </c>
      <c r="B77" s="1">
        <v>2</v>
      </c>
      <c r="C77" s="2">
        <f t="shared" si="2"/>
        <v>0</v>
      </c>
      <c r="D77" s="1">
        <f t="shared" si="3"/>
        <v>1.321178491214163E-2</v>
      </c>
    </row>
    <row r="78" spans="1:6" x14ac:dyDescent="0.25">
      <c r="A78" s="1">
        <v>2</v>
      </c>
      <c r="B78" s="1">
        <v>2</v>
      </c>
      <c r="C78" s="2">
        <f t="shared" si="2"/>
        <v>0</v>
      </c>
      <c r="D78" s="1">
        <f t="shared" si="3"/>
        <v>1.321178491214163E-2</v>
      </c>
    </row>
    <row r="79" spans="1:6" x14ac:dyDescent="0.25">
      <c r="A79" s="1">
        <v>1</v>
      </c>
      <c r="B79" s="1">
        <v>1</v>
      </c>
      <c r="C79" s="2">
        <f t="shared" si="2"/>
        <v>0</v>
      </c>
      <c r="D79" s="1">
        <f t="shared" si="3"/>
        <v>1.321178491214163E-2</v>
      </c>
    </row>
    <row r="80" spans="1:6" x14ac:dyDescent="0.25">
      <c r="A80" s="1">
        <v>2</v>
      </c>
      <c r="B80" s="1">
        <v>1</v>
      </c>
      <c r="C80" s="2">
        <f t="shared" si="2"/>
        <v>-1</v>
      </c>
      <c r="D80" s="1">
        <f t="shared" si="3"/>
        <v>0.78332672744087728</v>
      </c>
    </row>
    <row r="81" spans="1:6" x14ac:dyDescent="0.25">
      <c r="A81" s="1">
        <v>1</v>
      </c>
      <c r="B81" s="1">
        <v>2</v>
      </c>
      <c r="C81" s="2">
        <f t="shared" si="2"/>
        <v>1</v>
      </c>
      <c r="D81" s="1">
        <f t="shared" si="3"/>
        <v>1.2430968423834061</v>
      </c>
    </row>
    <row r="82" spans="1:6" x14ac:dyDescent="0.25">
      <c r="A82" s="1">
        <v>3</v>
      </c>
      <c r="B82" s="1">
        <v>1</v>
      </c>
      <c r="C82" s="2">
        <f t="shared" si="2"/>
        <v>-2</v>
      </c>
      <c r="D82" s="1">
        <f t="shared" si="3"/>
        <v>3.5534416699696125</v>
      </c>
    </row>
    <row r="83" spans="1:6" x14ac:dyDescent="0.25">
      <c r="A83" s="1">
        <v>2</v>
      </c>
      <c r="B83" s="1">
        <v>4</v>
      </c>
      <c r="C83" s="2">
        <f t="shared" si="2"/>
        <v>2</v>
      </c>
      <c r="D83" s="1">
        <f t="shared" si="3"/>
        <v>4.4729818998546707</v>
      </c>
    </row>
    <row r="84" spans="1:6" x14ac:dyDescent="0.25">
      <c r="A84" s="1">
        <v>2</v>
      </c>
      <c r="B84" s="1">
        <v>2</v>
      </c>
      <c r="C84" s="2">
        <f t="shared" si="2"/>
        <v>0</v>
      </c>
      <c r="D84" s="1">
        <f t="shared" si="3"/>
        <v>1.321178491214163E-2</v>
      </c>
    </row>
    <row r="85" spans="1:6" x14ac:dyDescent="0.25">
      <c r="A85" s="1">
        <v>2</v>
      </c>
      <c r="B85" s="1">
        <v>1</v>
      </c>
      <c r="C85" s="2">
        <f t="shared" si="2"/>
        <v>-1</v>
      </c>
      <c r="D85" s="1">
        <f t="shared" si="3"/>
        <v>0.78332672744087728</v>
      </c>
    </row>
    <row r="86" spans="1:6" x14ac:dyDescent="0.25">
      <c r="A86" s="1">
        <v>1</v>
      </c>
      <c r="B86" s="1">
        <v>2</v>
      </c>
      <c r="C86" s="2">
        <f t="shared" si="2"/>
        <v>1</v>
      </c>
      <c r="D86" s="1">
        <f t="shared" si="3"/>
        <v>1.2430968423834061</v>
      </c>
    </row>
    <row r="87" spans="1:6" x14ac:dyDescent="0.25">
      <c r="A87" s="1">
        <v>2</v>
      </c>
      <c r="B87" s="1">
        <v>2</v>
      </c>
      <c r="C87" s="2">
        <f t="shared" si="2"/>
        <v>0</v>
      </c>
      <c r="D87" s="1">
        <f t="shared" si="3"/>
        <v>1.321178491214163E-2</v>
      </c>
    </row>
    <row r="88" spans="1:6" x14ac:dyDescent="0.25">
      <c r="A88" s="1">
        <v>1</v>
      </c>
      <c r="B88" s="1">
        <v>2</v>
      </c>
      <c r="C88" s="2">
        <f t="shared" si="2"/>
        <v>1</v>
      </c>
      <c r="D88" s="1">
        <f t="shared" si="3"/>
        <v>1.2430968423834061</v>
      </c>
    </row>
    <row r="93" spans="1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7DC8-3C01-408A-B0E7-674A3148FC16}">
  <dimension ref="A1:G93"/>
  <sheetViews>
    <sheetView zoomScale="70" zoomScaleNormal="70" workbookViewId="0">
      <selection activeCell="B5" sqref="B5"/>
    </sheetView>
  </sheetViews>
  <sheetFormatPr baseColWidth="10" defaultColWidth="9.140625" defaultRowHeight="15" x14ac:dyDescent="0.25"/>
  <cols>
    <col min="1" max="1" width="33.42578125" style="1" bestFit="1" customWidth="1"/>
    <col min="2" max="2" width="33.4257812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05" customHeight="1" x14ac:dyDescent="0.25">
      <c r="A1" s="3" t="s">
        <v>48</v>
      </c>
      <c r="B1" s="4" t="s">
        <v>49</v>
      </c>
      <c r="C1" s="5" t="s">
        <v>1</v>
      </c>
      <c r="D1" s="5"/>
    </row>
    <row r="2" spans="1:7" x14ac:dyDescent="0.25">
      <c r="A2" s="1">
        <v>2</v>
      </c>
      <c r="B2" s="1">
        <v>2</v>
      </c>
      <c r="C2" s="2">
        <f>B2-A2</f>
        <v>0</v>
      </c>
      <c r="D2" s="1">
        <f>(C2-$G$6)^2</f>
        <v>1.9024970273483946E-2</v>
      </c>
    </row>
    <row r="3" spans="1:7" x14ac:dyDescent="0.25">
      <c r="A3" s="1">
        <v>1</v>
      </c>
      <c r="B3" s="1">
        <v>2</v>
      </c>
      <c r="C3" s="2">
        <f t="shared" ref="C3:C66" si="0">B3-A3</f>
        <v>1</v>
      </c>
      <c r="D3" s="1">
        <f>(C3-$G$6)^2</f>
        <v>1.2948870392390013</v>
      </c>
      <c r="F3" s="6" t="s">
        <v>17</v>
      </c>
      <c r="G3" s="6"/>
    </row>
    <row r="4" spans="1:7" x14ac:dyDescent="0.25">
      <c r="A4" s="1">
        <v>2</v>
      </c>
      <c r="B4" s="1">
        <v>1</v>
      </c>
      <c r="C4" s="2">
        <f t="shared" si="0"/>
        <v>-1</v>
      </c>
      <c r="D4" s="1">
        <f>(C4-$G$6)^2</f>
        <v>0.74316290130796658</v>
      </c>
      <c r="F4" t="s">
        <v>5</v>
      </c>
      <c r="G4">
        <v>87</v>
      </c>
    </row>
    <row r="5" spans="1:7" x14ac:dyDescent="0.25">
      <c r="A5" s="1">
        <v>2</v>
      </c>
      <c r="B5" s="1">
        <v>1</v>
      </c>
      <c r="C5" s="2">
        <f t="shared" si="0"/>
        <v>-1</v>
      </c>
      <c r="D5" s="1">
        <f t="shared" ref="D5:D68" si="1">(C5-$G$6)^2</f>
        <v>0.74316290130796658</v>
      </c>
      <c r="F5" t="s">
        <v>3</v>
      </c>
      <c r="G5">
        <f>SUM(C:C)</f>
        <v>-12</v>
      </c>
    </row>
    <row r="6" spans="1:7" x14ac:dyDescent="0.25">
      <c r="A6" s="1">
        <v>2</v>
      </c>
      <c r="B6" s="1">
        <v>3</v>
      </c>
      <c r="C6" s="2">
        <f t="shared" si="0"/>
        <v>1</v>
      </c>
      <c r="D6" s="1">
        <f t="shared" si="1"/>
        <v>1.2948870392390013</v>
      </c>
      <c r="F6" t="s">
        <v>2</v>
      </c>
      <c r="G6">
        <f>G5/G4</f>
        <v>-0.13793103448275862</v>
      </c>
    </row>
    <row r="7" spans="1:7" x14ac:dyDescent="0.25">
      <c r="A7" s="1">
        <v>1</v>
      </c>
      <c r="B7" s="1">
        <v>1</v>
      </c>
      <c r="C7" s="2">
        <f t="shared" si="0"/>
        <v>0</v>
      </c>
      <c r="D7" s="1">
        <f t="shared" si="1"/>
        <v>1.9024970273483946E-2</v>
      </c>
      <c r="F7" t="s">
        <v>4</v>
      </c>
      <c r="G7">
        <f>SUM(D:D)</f>
        <v>98.344827586206819</v>
      </c>
    </row>
    <row r="8" spans="1:7" x14ac:dyDescent="0.25">
      <c r="A8" s="1">
        <v>2</v>
      </c>
      <c r="B8" s="1">
        <v>1</v>
      </c>
      <c r="C8" s="2">
        <f t="shared" si="0"/>
        <v>-1</v>
      </c>
      <c r="D8" s="1">
        <f t="shared" si="1"/>
        <v>0.74316290130796658</v>
      </c>
      <c r="F8" t="s">
        <v>6</v>
      </c>
      <c r="G8">
        <f>SQRT(G7/(G4-1))</f>
        <v>1.0693664043798825</v>
      </c>
    </row>
    <row r="9" spans="1:7" x14ac:dyDescent="0.25">
      <c r="A9" s="1">
        <v>2</v>
      </c>
      <c r="B9" s="1">
        <v>1</v>
      </c>
      <c r="C9" s="2">
        <f t="shared" si="0"/>
        <v>-1</v>
      </c>
      <c r="D9" s="1">
        <f t="shared" si="1"/>
        <v>0.74316290130796658</v>
      </c>
    </row>
    <row r="10" spans="1:7" x14ac:dyDescent="0.25">
      <c r="A10" s="1">
        <v>5</v>
      </c>
      <c r="B10" s="1">
        <v>1</v>
      </c>
      <c r="C10" s="2">
        <f t="shared" si="0"/>
        <v>-4</v>
      </c>
      <c r="D10" s="1">
        <f t="shared" si="1"/>
        <v>14.915576694411417</v>
      </c>
    </row>
    <row r="11" spans="1:7" x14ac:dyDescent="0.25">
      <c r="A11" s="1">
        <v>2</v>
      </c>
      <c r="B11" s="1">
        <v>1</v>
      </c>
      <c r="C11" s="2">
        <f t="shared" si="0"/>
        <v>-1</v>
      </c>
      <c r="D11" s="1">
        <f t="shared" si="1"/>
        <v>0.74316290130796658</v>
      </c>
    </row>
    <row r="12" spans="1:7" x14ac:dyDescent="0.25">
      <c r="A12" s="1">
        <v>2</v>
      </c>
      <c r="B12" s="1">
        <v>2</v>
      </c>
      <c r="C12" s="2">
        <f t="shared" si="0"/>
        <v>0</v>
      </c>
      <c r="D12" s="1">
        <f t="shared" si="1"/>
        <v>1.9024970273483946E-2</v>
      </c>
      <c r="F12" t="s">
        <v>12</v>
      </c>
      <c r="G12">
        <f>G6/(G8/SQRT(G4))</f>
        <v>-1.2030815972299089</v>
      </c>
    </row>
    <row r="13" spans="1:7" x14ac:dyDescent="0.25">
      <c r="A13" s="1">
        <v>1</v>
      </c>
      <c r="B13" s="1">
        <v>2</v>
      </c>
      <c r="C13" s="2">
        <f t="shared" si="0"/>
        <v>1</v>
      </c>
      <c r="D13" s="1">
        <f t="shared" si="1"/>
        <v>1.2948870392390013</v>
      </c>
    </row>
    <row r="14" spans="1:7" x14ac:dyDescent="0.25">
      <c r="A14" s="1">
        <v>1</v>
      </c>
      <c r="B14" s="1">
        <v>1</v>
      </c>
      <c r="C14" s="2">
        <f t="shared" si="0"/>
        <v>0</v>
      </c>
      <c r="D14" s="1">
        <f t="shared" si="1"/>
        <v>1.9024970273483946E-2</v>
      </c>
    </row>
    <row r="15" spans="1:7" x14ac:dyDescent="0.25">
      <c r="A15" s="1">
        <v>2</v>
      </c>
      <c r="B15" s="1">
        <v>2</v>
      </c>
      <c r="C15" s="2">
        <f t="shared" si="0"/>
        <v>0</v>
      </c>
      <c r="D15" s="1">
        <f t="shared" si="1"/>
        <v>1.9024970273483946E-2</v>
      </c>
    </row>
    <row r="16" spans="1:7" x14ac:dyDescent="0.25">
      <c r="A16" s="1">
        <v>1</v>
      </c>
      <c r="B16" s="1">
        <v>1</v>
      </c>
      <c r="C16" s="2">
        <f t="shared" si="0"/>
        <v>0</v>
      </c>
      <c r="D16" s="1">
        <f t="shared" si="1"/>
        <v>1.9024970273483946E-2</v>
      </c>
    </row>
    <row r="17" spans="1:7" x14ac:dyDescent="0.25">
      <c r="A17" s="1">
        <v>2</v>
      </c>
      <c r="B17" s="1">
        <v>3</v>
      </c>
      <c r="C17" s="2">
        <f t="shared" si="0"/>
        <v>1</v>
      </c>
      <c r="D17" s="1">
        <f t="shared" si="1"/>
        <v>1.2948870392390013</v>
      </c>
      <c r="F17" t="s">
        <v>7</v>
      </c>
      <c r="G17">
        <v>0.05</v>
      </c>
    </row>
    <row r="18" spans="1:7" x14ac:dyDescent="0.25">
      <c r="A18" s="1">
        <v>1</v>
      </c>
      <c r="B18" s="1">
        <v>2</v>
      </c>
      <c r="C18" s="2">
        <f t="shared" si="0"/>
        <v>1</v>
      </c>
      <c r="D18" s="1">
        <f t="shared" si="1"/>
        <v>1.2948870392390013</v>
      </c>
      <c r="F18" t="s">
        <v>8</v>
      </c>
      <c r="G18">
        <f>G4-1</f>
        <v>86</v>
      </c>
    </row>
    <row r="19" spans="1:7" x14ac:dyDescent="0.25">
      <c r="A19" s="1">
        <v>1</v>
      </c>
      <c r="B19" s="1">
        <v>2</v>
      </c>
      <c r="C19" s="2">
        <f t="shared" si="0"/>
        <v>1</v>
      </c>
      <c r="D19" s="1">
        <f t="shared" si="1"/>
        <v>1.2948870392390013</v>
      </c>
    </row>
    <row r="20" spans="1:7" x14ac:dyDescent="0.25">
      <c r="A20" s="1">
        <v>5</v>
      </c>
      <c r="B20" s="1">
        <v>2</v>
      </c>
      <c r="C20" s="2">
        <f t="shared" si="0"/>
        <v>-3</v>
      </c>
      <c r="D20" s="1">
        <f t="shared" si="1"/>
        <v>8.191438763376933</v>
      </c>
    </row>
    <row r="21" spans="1:7" x14ac:dyDescent="0.25">
      <c r="A21" s="1">
        <v>1</v>
      </c>
      <c r="B21" s="1">
        <v>1</v>
      </c>
      <c r="C21" s="2">
        <f t="shared" si="0"/>
        <v>0</v>
      </c>
      <c r="D21" s="1">
        <f t="shared" si="1"/>
        <v>1.9024970273483946E-2</v>
      </c>
    </row>
    <row r="22" spans="1:7" x14ac:dyDescent="0.25">
      <c r="A22" s="1">
        <v>1</v>
      </c>
      <c r="B22" s="1">
        <v>2</v>
      </c>
      <c r="C22" s="2">
        <f t="shared" si="0"/>
        <v>1</v>
      </c>
      <c r="D22" s="1">
        <f t="shared" si="1"/>
        <v>1.2948870392390013</v>
      </c>
      <c r="F22" s="6" t="s">
        <v>9</v>
      </c>
      <c r="G22" s="6"/>
    </row>
    <row r="23" spans="1:7" x14ac:dyDescent="0.25">
      <c r="A23" s="1">
        <v>2</v>
      </c>
      <c r="B23" s="1">
        <v>1</v>
      </c>
      <c r="C23" s="2">
        <f t="shared" si="0"/>
        <v>-1</v>
      </c>
      <c r="D23" s="1">
        <f t="shared" si="1"/>
        <v>0.74316290130796658</v>
      </c>
      <c r="F23" t="s">
        <v>26</v>
      </c>
      <c r="G23">
        <f>_xlfn.T.INV.2T(G17,G18)</f>
        <v>1.987934206239018</v>
      </c>
    </row>
    <row r="24" spans="1:7" x14ac:dyDescent="0.25">
      <c r="A24" s="1">
        <v>2</v>
      </c>
      <c r="B24" s="1">
        <v>1</v>
      </c>
      <c r="C24" s="2">
        <f t="shared" si="0"/>
        <v>-1</v>
      </c>
      <c r="D24" s="1">
        <f t="shared" si="1"/>
        <v>0.74316290130796658</v>
      </c>
      <c r="F24" t="s">
        <v>27</v>
      </c>
      <c r="G24">
        <f>_xlfn.T.INV(G17,G18)</f>
        <v>-1.662765449409072</v>
      </c>
    </row>
    <row r="25" spans="1:7" x14ac:dyDescent="0.25">
      <c r="A25" s="1">
        <v>2</v>
      </c>
      <c r="B25" s="1">
        <v>1</v>
      </c>
      <c r="C25" s="2">
        <f t="shared" si="0"/>
        <v>-1</v>
      </c>
      <c r="D25" s="1">
        <f t="shared" si="1"/>
        <v>0.74316290130796658</v>
      </c>
    </row>
    <row r="26" spans="1:7" x14ac:dyDescent="0.25">
      <c r="A26" s="1">
        <v>2</v>
      </c>
      <c r="B26" s="1">
        <v>1</v>
      </c>
      <c r="C26" s="2">
        <f t="shared" si="0"/>
        <v>-1</v>
      </c>
      <c r="D26" s="1">
        <f t="shared" si="1"/>
        <v>0.74316290130796658</v>
      </c>
    </row>
    <row r="27" spans="1:7" x14ac:dyDescent="0.25">
      <c r="A27" s="1">
        <v>2</v>
      </c>
      <c r="B27" s="1">
        <v>2</v>
      </c>
      <c r="C27" s="2">
        <f t="shared" si="0"/>
        <v>0</v>
      </c>
      <c r="D27" s="1">
        <f t="shared" si="1"/>
        <v>1.9024970273483946E-2</v>
      </c>
    </row>
    <row r="28" spans="1:7" x14ac:dyDescent="0.25">
      <c r="A28" s="1">
        <v>1</v>
      </c>
      <c r="B28" s="1">
        <v>1</v>
      </c>
      <c r="C28" s="2">
        <f t="shared" si="0"/>
        <v>0</v>
      </c>
      <c r="D28" s="1">
        <f t="shared" si="1"/>
        <v>1.9024970273483946E-2</v>
      </c>
    </row>
    <row r="29" spans="1:7" x14ac:dyDescent="0.25">
      <c r="A29" s="1">
        <v>1</v>
      </c>
      <c r="B29" s="1">
        <v>2</v>
      </c>
      <c r="C29" s="2">
        <f t="shared" si="0"/>
        <v>1</v>
      </c>
      <c r="D29" s="1">
        <f t="shared" si="1"/>
        <v>1.2948870392390013</v>
      </c>
    </row>
    <row r="30" spans="1:7" x14ac:dyDescent="0.25">
      <c r="A30" s="1">
        <v>3</v>
      </c>
      <c r="B30" s="1">
        <v>2</v>
      </c>
      <c r="C30" s="2">
        <f t="shared" si="0"/>
        <v>-1</v>
      </c>
      <c r="D30" s="1">
        <f t="shared" si="1"/>
        <v>0.74316290130796658</v>
      </c>
    </row>
    <row r="31" spans="1:7" x14ac:dyDescent="0.25">
      <c r="A31" s="1">
        <v>1</v>
      </c>
      <c r="B31" s="1">
        <v>3</v>
      </c>
      <c r="C31" s="2">
        <f t="shared" si="0"/>
        <v>2</v>
      </c>
      <c r="D31" s="1">
        <f t="shared" si="1"/>
        <v>4.5707491082045175</v>
      </c>
    </row>
    <row r="32" spans="1:7" x14ac:dyDescent="0.25">
      <c r="A32" s="1">
        <v>1</v>
      </c>
      <c r="B32" s="1">
        <v>2</v>
      </c>
      <c r="C32" s="2">
        <f t="shared" si="0"/>
        <v>1</v>
      </c>
      <c r="D32" s="1">
        <f t="shared" si="1"/>
        <v>1.2948870392390013</v>
      </c>
    </row>
    <row r="33" spans="1:7" x14ac:dyDescent="0.25">
      <c r="A33" s="1">
        <v>2</v>
      </c>
      <c r="B33" s="1">
        <v>2</v>
      </c>
      <c r="C33" s="2">
        <f t="shared" si="0"/>
        <v>0</v>
      </c>
      <c r="D33" s="1">
        <f t="shared" si="1"/>
        <v>1.9024970273483946E-2</v>
      </c>
    </row>
    <row r="34" spans="1:7" x14ac:dyDescent="0.25">
      <c r="A34" s="1">
        <v>2</v>
      </c>
      <c r="B34" s="1">
        <v>1</v>
      </c>
      <c r="C34" s="2">
        <f t="shared" si="0"/>
        <v>-1</v>
      </c>
      <c r="D34" s="1">
        <f t="shared" si="1"/>
        <v>0.74316290130796658</v>
      </c>
      <c r="F34" t="s">
        <v>10</v>
      </c>
    </row>
    <row r="35" spans="1:7" x14ac:dyDescent="0.25">
      <c r="A35" s="1">
        <v>2</v>
      </c>
      <c r="B35" s="1">
        <v>1</v>
      </c>
      <c r="C35" s="2">
        <f t="shared" si="0"/>
        <v>-1</v>
      </c>
      <c r="D35" s="1">
        <f t="shared" si="1"/>
        <v>0.74316290130796658</v>
      </c>
      <c r="F35" t="s">
        <v>11</v>
      </c>
    </row>
    <row r="36" spans="1:7" x14ac:dyDescent="0.25">
      <c r="A36" s="1">
        <v>3</v>
      </c>
      <c r="B36" s="1">
        <v>2</v>
      </c>
      <c r="C36" s="2">
        <f t="shared" si="0"/>
        <v>-1</v>
      </c>
      <c r="D36" s="1">
        <f t="shared" si="1"/>
        <v>0.74316290130796658</v>
      </c>
    </row>
    <row r="37" spans="1:7" x14ac:dyDescent="0.25">
      <c r="A37" s="1">
        <v>1</v>
      </c>
      <c r="B37" s="1">
        <v>1</v>
      </c>
      <c r="C37" s="2">
        <f t="shared" si="0"/>
        <v>0</v>
      </c>
      <c r="D37" s="1">
        <f t="shared" si="1"/>
        <v>1.9024970273483946E-2</v>
      </c>
    </row>
    <row r="38" spans="1:7" x14ac:dyDescent="0.25">
      <c r="A38" s="1">
        <v>5</v>
      </c>
      <c r="B38" s="1">
        <v>2</v>
      </c>
      <c r="C38" s="2">
        <f t="shared" si="0"/>
        <v>-3</v>
      </c>
      <c r="D38" s="1">
        <f t="shared" si="1"/>
        <v>8.191438763376933</v>
      </c>
    </row>
    <row r="39" spans="1:7" x14ac:dyDescent="0.25">
      <c r="A39" s="1">
        <v>1</v>
      </c>
      <c r="B39" s="1">
        <v>2</v>
      </c>
      <c r="C39" s="2">
        <f t="shared" si="0"/>
        <v>1</v>
      </c>
      <c r="D39" s="1">
        <f t="shared" si="1"/>
        <v>1.2948870392390013</v>
      </c>
      <c r="F39" s="6" t="s">
        <v>13</v>
      </c>
      <c r="G39" s="6"/>
    </row>
    <row r="40" spans="1:7" x14ac:dyDescent="0.25">
      <c r="A40" s="1">
        <v>1</v>
      </c>
      <c r="B40" s="1">
        <v>2</v>
      </c>
      <c r="C40" s="2">
        <f t="shared" si="0"/>
        <v>1</v>
      </c>
      <c r="D40" s="1">
        <f t="shared" si="1"/>
        <v>1.2948870392390013</v>
      </c>
      <c r="F40" t="s">
        <v>13</v>
      </c>
    </row>
    <row r="41" spans="1:7" x14ac:dyDescent="0.25">
      <c r="A41" s="1">
        <v>2</v>
      </c>
      <c r="B41" s="1">
        <v>3</v>
      </c>
      <c r="C41" s="2">
        <f t="shared" si="0"/>
        <v>1</v>
      </c>
      <c r="D41" s="1">
        <f t="shared" si="1"/>
        <v>1.2948870392390013</v>
      </c>
      <c r="F41" t="s">
        <v>25</v>
      </c>
      <c r="G41">
        <f>TTEST(A:A,B:B,2,1)</f>
        <v>0.23224631226305414</v>
      </c>
    </row>
    <row r="42" spans="1:7" x14ac:dyDescent="0.25">
      <c r="A42" s="1">
        <v>1</v>
      </c>
      <c r="B42" s="1">
        <v>1</v>
      </c>
      <c r="C42" s="2">
        <f t="shared" si="0"/>
        <v>0</v>
      </c>
      <c r="D42" s="1">
        <f t="shared" si="1"/>
        <v>1.9024970273483946E-2</v>
      </c>
      <c r="F42" t="s">
        <v>29</v>
      </c>
      <c r="G42">
        <f>TTEST(A:A,B:B,1,1)</f>
        <v>0.11612315613152707</v>
      </c>
    </row>
    <row r="43" spans="1:7" x14ac:dyDescent="0.25">
      <c r="A43" s="1">
        <v>1</v>
      </c>
      <c r="B43" s="1">
        <v>2</v>
      </c>
      <c r="C43" s="2">
        <f t="shared" si="0"/>
        <v>1</v>
      </c>
      <c r="D43" s="1">
        <f t="shared" si="1"/>
        <v>1.2948870392390013</v>
      </c>
    </row>
    <row r="44" spans="1:7" x14ac:dyDescent="0.25">
      <c r="A44" s="1">
        <v>1</v>
      </c>
      <c r="B44" s="1">
        <v>1</v>
      </c>
      <c r="C44" s="2">
        <f t="shared" si="0"/>
        <v>0</v>
      </c>
      <c r="D44" s="1">
        <f t="shared" si="1"/>
        <v>1.9024970273483946E-2</v>
      </c>
    </row>
    <row r="45" spans="1:7" x14ac:dyDescent="0.25">
      <c r="A45" s="1">
        <v>2</v>
      </c>
      <c r="B45" s="1">
        <v>2</v>
      </c>
      <c r="C45" s="2">
        <f t="shared" si="0"/>
        <v>0</v>
      </c>
      <c r="D45" s="1">
        <f t="shared" si="1"/>
        <v>1.9024970273483946E-2</v>
      </c>
      <c r="F45" s="6" t="s">
        <v>16</v>
      </c>
      <c r="G45" s="6"/>
    </row>
    <row r="46" spans="1:7" x14ac:dyDescent="0.25">
      <c r="A46" s="1">
        <v>3</v>
      </c>
      <c r="B46" s="1">
        <v>1</v>
      </c>
      <c r="C46" s="2">
        <f t="shared" si="0"/>
        <v>-2</v>
      </c>
      <c r="D46" s="1">
        <f t="shared" si="1"/>
        <v>3.4673008323424495</v>
      </c>
    </row>
    <row r="47" spans="1:7" x14ac:dyDescent="0.25">
      <c r="A47" s="1">
        <v>1</v>
      </c>
      <c r="B47" s="1">
        <v>2</v>
      </c>
      <c r="C47" s="2">
        <f t="shared" si="0"/>
        <v>1</v>
      </c>
      <c r="D47" s="1">
        <f t="shared" si="1"/>
        <v>1.2948870392390013</v>
      </c>
      <c r="F47" t="s">
        <v>14</v>
      </c>
    </row>
    <row r="48" spans="1:7" x14ac:dyDescent="0.25">
      <c r="A48" s="1">
        <v>2</v>
      </c>
      <c r="B48" s="1">
        <v>2</v>
      </c>
      <c r="C48" s="2">
        <f t="shared" si="0"/>
        <v>0</v>
      </c>
      <c r="D48" s="1">
        <f t="shared" si="1"/>
        <v>1.9024970273483946E-2</v>
      </c>
      <c r="F48" t="s">
        <v>15</v>
      </c>
    </row>
    <row r="49" spans="1:6" x14ac:dyDescent="0.25">
      <c r="A49" s="1">
        <v>2</v>
      </c>
      <c r="B49" s="1">
        <v>2</v>
      </c>
      <c r="C49" s="2">
        <f t="shared" si="0"/>
        <v>0</v>
      </c>
      <c r="D49" s="1">
        <f t="shared" si="1"/>
        <v>1.9024970273483946E-2</v>
      </c>
    </row>
    <row r="50" spans="1:6" x14ac:dyDescent="0.25">
      <c r="A50" s="1">
        <v>1</v>
      </c>
      <c r="B50" s="1">
        <v>1</v>
      </c>
      <c r="C50" s="2">
        <f t="shared" si="0"/>
        <v>0</v>
      </c>
      <c r="D50" s="1">
        <f t="shared" si="1"/>
        <v>1.9024970273483946E-2</v>
      </c>
      <c r="F50" t="s">
        <v>18</v>
      </c>
    </row>
    <row r="51" spans="1:6" x14ac:dyDescent="0.25">
      <c r="A51" s="1">
        <v>2</v>
      </c>
      <c r="B51" s="1">
        <v>1</v>
      </c>
      <c r="C51" s="2">
        <f t="shared" si="0"/>
        <v>-1</v>
      </c>
      <c r="D51" s="1">
        <f t="shared" si="1"/>
        <v>0.74316290130796658</v>
      </c>
      <c r="F51" t="s">
        <v>19</v>
      </c>
    </row>
    <row r="52" spans="1:6" x14ac:dyDescent="0.25">
      <c r="A52" s="1">
        <v>2</v>
      </c>
      <c r="B52" s="1">
        <v>1</v>
      </c>
      <c r="C52" s="2">
        <f t="shared" si="0"/>
        <v>-1</v>
      </c>
      <c r="D52" s="1">
        <f t="shared" si="1"/>
        <v>0.74316290130796658</v>
      </c>
    </row>
    <row r="53" spans="1:6" x14ac:dyDescent="0.25">
      <c r="A53" s="1">
        <v>2</v>
      </c>
      <c r="B53" s="1">
        <v>2</v>
      </c>
      <c r="C53" s="2">
        <f t="shared" si="0"/>
        <v>0</v>
      </c>
      <c r="D53" s="1">
        <f t="shared" si="1"/>
        <v>1.9024970273483946E-2</v>
      </c>
    </row>
    <row r="54" spans="1:6" x14ac:dyDescent="0.25">
      <c r="A54" s="1">
        <v>2</v>
      </c>
      <c r="B54" s="1">
        <v>2</v>
      </c>
      <c r="C54" s="2">
        <f t="shared" si="0"/>
        <v>0</v>
      </c>
      <c r="D54" s="1">
        <f t="shared" si="1"/>
        <v>1.9024970273483946E-2</v>
      </c>
    </row>
    <row r="55" spans="1:6" x14ac:dyDescent="0.25">
      <c r="A55" s="1">
        <v>2</v>
      </c>
      <c r="B55" s="1">
        <v>1</v>
      </c>
      <c r="C55" s="2">
        <f t="shared" si="0"/>
        <v>-1</v>
      </c>
      <c r="D55" s="1">
        <f t="shared" si="1"/>
        <v>0.74316290130796658</v>
      </c>
    </row>
    <row r="56" spans="1:6" x14ac:dyDescent="0.25">
      <c r="A56" s="1">
        <v>2</v>
      </c>
      <c r="B56" s="1">
        <v>1</v>
      </c>
      <c r="C56" s="2">
        <f t="shared" si="0"/>
        <v>-1</v>
      </c>
      <c r="D56" s="1">
        <f t="shared" si="1"/>
        <v>0.74316290130796658</v>
      </c>
      <c r="F56" s="6" t="s">
        <v>23</v>
      </c>
    </row>
    <row r="57" spans="1:6" x14ac:dyDescent="0.25">
      <c r="A57" s="1">
        <v>1</v>
      </c>
      <c r="B57" s="1">
        <v>2</v>
      </c>
      <c r="C57" s="2">
        <f t="shared" si="0"/>
        <v>1</v>
      </c>
      <c r="D57" s="1">
        <f t="shared" si="1"/>
        <v>1.2948870392390013</v>
      </c>
    </row>
    <row r="58" spans="1:6" x14ac:dyDescent="0.25">
      <c r="A58" s="1">
        <v>2</v>
      </c>
      <c r="B58" s="1">
        <v>3</v>
      </c>
      <c r="C58" s="2">
        <f t="shared" si="0"/>
        <v>1</v>
      </c>
      <c r="D58" s="1">
        <f t="shared" si="1"/>
        <v>1.2948870392390013</v>
      </c>
      <c r="F58" t="s">
        <v>21</v>
      </c>
    </row>
    <row r="59" spans="1:6" x14ac:dyDescent="0.25">
      <c r="A59" s="1">
        <v>2</v>
      </c>
      <c r="B59" s="1">
        <v>1</v>
      </c>
      <c r="C59" s="2">
        <f t="shared" si="0"/>
        <v>-1</v>
      </c>
      <c r="D59" s="1">
        <f t="shared" si="1"/>
        <v>0.74316290130796658</v>
      </c>
      <c r="F59" t="s">
        <v>20</v>
      </c>
    </row>
    <row r="60" spans="1:6" x14ac:dyDescent="0.25">
      <c r="A60" s="1">
        <v>1</v>
      </c>
      <c r="B60" s="1">
        <v>1</v>
      </c>
      <c r="C60" s="2">
        <f t="shared" si="0"/>
        <v>0</v>
      </c>
      <c r="D60" s="1">
        <f t="shared" si="1"/>
        <v>1.9024970273483946E-2</v>
      </c>
      <c r="F60" t="s">
        <v>22</v>
      </c>
    </row>
    <row r="61" spans="1:6" x14ac:dyDescent="0.25">
      <c r="A61" s="1">
        <v>1</v>
      </c>
      <c r="B61" s="1">
        <v>2</v>
      </c>
      <c r="C61" s="2">
        <f t="shared" si="0"/>
        <v>1</v>
      </c>
      <c r="D61" s="1">
        <f t="shared" si="1"/>
        <v>1.2948870392390013</v>
      </c>
    </row>
    <row r="62" spans="1:6" x14ac:dyDescent="0.25">
      <c r="A62" s="1">
        <v>2</v>
      </c>
      <c r="B62" s="1">
        <v>2</v>
      </c>
      <c r="C62" s="2">
        <f t="shared" si="0"/>
        <v>0</v>
      </c>
      <c r="D62" s="1">
        <f t="shared" si="1"/>
        <v>1.9024970273483946E-2</v>
      </c>
    </row>
    <row r="63" spans="1:6" x14ac:dyDescent="0.25">
      <c r="A63" s="1">
        <v>3</v>
      </c>
      <c r="B63" s="1">
        <v>2</v>
      </c>
      <c r="C63" s="2">
        <f t="shared" si="0"/>
        <v>-1</v>
      </c>
      <c r="D63" s="1">
        <f t="shared" si="1"/>
        <v>0.74316290130796658</v>
      </c>
    </row>
    <row r="64" spans="1:6" x14ac:dyDescent="0.25">
      <c r="A64" s="1">
        <v>3</v>
      </c>
      <c r="B64" s="1">
        <v>2</v>
      </c>
      <c r="C64" s="2">
        <f t="shared" si="0"/>
        <v>-1</v>
      </c>
      <c r="D64" s="1">
        <f t="shared" si="1"/>
        <v>0.74316290130796658</v>
      </c>
    </row>
    <row r="65" spans="1:6" x14ac:dyDescent="0.25">
      <c r="A65" s="1">
        <v>2</v>
      </c>
      <c r="B65" s="1">
        <v>1</v>
      </c>
      <c r="C65" s="2">
        <f t="shared" si="0"/>
        <v>-1</v>
      </c>
      <c r="D65" s="1">
        <f t="shared" si="1"/>
        <v>0.74316290130796658</v>
      </c>
      <c r="F65" s="6" t="s">
        <v>23</v>
      </c>
    </row>
    <row r="66" spans="1:6" x14ac:dyDescent="0.25">
      <c r="A66" s="1">
        <v>2</v>
      </c>
      <c r="B66" s="1">
        <v>2</v>
      </c>
      <c r="C66" s="2">
        <f t="shared" si="0"/>
        <v>0</v>
      </c>
      <c r="D66" s="1">
        <f t="shared" si="1"/>
        <v>1.9024970273483946E-2</v>
      </c>
    </row>
    <row r="67" spans="1:6" x14ac:dyDescent="0.25">
      <c r="A67" s="1">
        <v>2</v>
      </c>
      <c r="B67" s="1">
        <v>3</v>
      </c>
      <c r="C67" s="2">
        <f t="shared" ref="C67:C88" si="2">B67-A67</f>
        <v>1</v>
      </c>
      <c r="D67" s="1">
        <f t="shared" si="1"/>
        <v>1.2948870392390013</v>
      </c>
    </row>
    <row r="68" spans="1:6" x14ac:dyDescent="0.25">
      <c r="A68" s="1">
        <v>1</v>
      </c>
      <c r="B68" s="1">
        <v>2</v>
      </c>
      <c r="C68" s="2">
        <f t="shared" si="2"/>
        <v>1</v>
      </c>
      <c r="D68" s="1">
        <f t="shared" si="1"/>
        <v>1.2948870392390013</v>
      </c>
    </row>
    <row r="69" spans="1:6" x14ac:dyDescent="0.25">
      <c r="A69" s="1">
        <v>1</v>
      </c>
      <c r="B69" s="1">
        <v>1</v>
      </c>
      <c r="C69" s="2">
        <f t="shared" si="2"/>
        <v>0</v>
      </c>
      <c r="D69" s="1">
        <f t="shared" ref="D69:D88" si="3">(C69-$G$6)^2</f>
        <v>1.9024970273483946E-2</v>
      </c>
    </row>
    <row r="70" spans="1:6" x14ac:dyDescent="0.25">
      <c r="A70" s="1">
        <v>2</v>
      </c>
      <c r="B70" s="1">
        <v>2</v>
      </c>
      <c r="C70" s="2">
        <f t="shared" si="2"/>
        <v>0</v>
      </c>
      <c r="D70" s="1">
        <f t="shared" si="3"/>
        <v>1.9024970273483946E-2</v>
      </c>
    </row>
    <row r="71" spans="1:6" x14ac:dyDescent="0.25">
      <c r="A71" s="1">
        <v>2</v>
      </c>
      <c r="B71" s="1">
        <v>1</v>
      </c>
      <c r="C71" s="2">
        <f t="shared" si="2"/>
        <v>-1</v>
      </c>
      <c r="D71" s="1">
        <f t="shared" si="3"/>
        <v>0.74316290130796658</v>
      </c>
    </row>
    <row r="72" spans="1:6" x14ac:dyDescent="0.25">
      <c r="A72" s="1">
        <v>1</v>
      </c>
      <c r="B72" s="1">
        <v>2</v>
      </c>
      <c r="C72" s="2">
        <f t="shared" si="2"/>
        <v>1</v>
      </c>
      <c r="D72" s="1">
        <f t="shared" si="3"/>
        <v>1.2948870392390013</v>
      </c>
      <c r="F72" t="s">
        <v>24</v>
      </c>
    </row>
    <row r="73" spans="1:6" x14ac:dyDescent="0.25">
      <c r="A73" s="1">
        <v>3</v>
      </c>
      <c r="B73" s="1">
        <v>3</v>
      </c>
      <c r="C73" s="2">
        <f t="shared" si="2"/>
        <v>0</v>
      </c>
      <c r="D73" s="1">
        <f t="shared" si="3"/>
        <v>1.9024970273483946E-2</v>
      </c>
      <c r="F73" t="s">
        <v>22</v>
      </c>
    </row>
    <row r="74" spans="1:6" x14ac:dyDescent="0.25">
      <c r="A74" s="1">
        <v>1</v>
      </c>
      <c r="B74" s="1">
        <v>2</v>
      </c>
      <c r="C74" s="2">
        <f t="shared" si="2"/>
        <v>1</v>
      </c>
      <c r="D74" s="1">
        <f t="shared" si="3"/>
        <v>1.2948870392390013</v>
      </c>
      <c r="F74" t="s">
        <v>24</v>
      </c>
    </row>
    <row r="75" spans="1:6" x14ac:dyDescent="0.25">
      <c r="A75" s="1">
        <v>1</v>
      </c>
      <c r="B75" s="1">
        <v>1</v>
      </c>
      <c r="C75" s="2">
        <f t="shared" si="2"/>
        <v>0</v>
      </c>
      <c r="D75" s="1">
        <f t="shared" si="3"/>
        <v>1.9024970273483946E-2</v>
      </c>
      <c r="F75" t="s">
        <v>22</v>
      </c>
    </row>
    <row r="76" spans="1:6" x14ac:dyDescent="0.25">
      <c r="A76" s="1">
        <v>1</v>
      </c>
      <c r="B76" s="1">
        <v>2</v>
      </c>
      <c r="C76" s="2">
        <f t="shared" si="2"/>
        <v>1</v>
      </c>
      <c r="D76" s="1">
        <f t="shared" si="3"/>
        <v>1.2948870392390013</v>
      </c>
    </row>
    <row r="77" spans="1:6" x14ac:dyDescent="0.25">
      <c r="A77" s="1">
        <v>2</v>
      </c>
      <c r="B77" s="1">
        <v>2</v>
      </c>
      <c r="C77" s="2">
        <f t="shared" si="2"/>
        <v>0</v>
      </c>
      <c r="D77" s="1">
        <f t="shared" si="3"/>
        <v>1.9024970273483946E-2</v>
      </c>
    </row>
    <row r="78" spans="1:6" x14ac:dyDescent="0.25">
      <c r="A78" s="1">
        <v>2</v>
      </c>
      <c r="B78" s="1">
        <v>2</v>
      </c>
      <c r="C78" s="2">
        <f t="shared" si="2"/>
        <v>0</v>
      </c>
      <c r="D78" s="1">
        <f t="shared" si="3"/>
        <v>1.9024970273483946E-2</v>
      </c>
    </row>
    <row r="79" spans="1:6" x14ac:dyDescent="0.25">
      <c r="A79" s="1">
        <v>1</v>
      </c>
      <c r="B79" s="1">
        <v>1</v>
      </c>
      <c r="C79" s="2">
        <f t="shared" si="2"/>
        <v>0</v>
      </c>
      <c r="D79" s="1">
        <f t="shared" si="3"/>
        <v>1.9024970273483946E-2</v>
      </c>
    </row>
    <row r="80" spans="1:6" x14ac:dyDescent="0.25">
      <c r="A80" s="1">
        <v>2</v>
      </c>
      <c r="B80" s="1">
        <v>1</v>
      </c>
      <c r="C80" s="2">
        <f t="shared" si="2"/>
        <v>-1</v>
      </c>
      <c r="D80" s="1">
        <f t="shared" si="3"/>
        <v>0.74316290130796658</v>
      </c>
    </row>
    <row r="81" spans="1:6" x14ac:dyDescent="0.25">
      <c r="A81" s="1">
        <v>1</v>
      </c>
      <c r="B81" s="1">
        <v>2</v>
      </c>
      <c r="C81" s="2">
        <f t="shared" si="2"/>
        <v>1</v>
      </c>
      <c r="D81" s="1">
        <f t="shared" si="3"/>
        <v>1.2948870392390013</v>
      </c>
    </row>
    <row r="82" spans="1:6" x14ac:dyDescent="0.25">
      <c r="A82" s="1">
        <v>4</v>
      </c>
      <c r="B82" s="1">
        <v>1</v>
      </c>
      <c r="C82" s="2">
        <f t="shared" si="2"/>
        <v>-3</v>
      </c>
      <c r="D82" s="1">
        <f t="shared" si="3"/>
        <v>8.191438763376933</v>
      </c>
    </row>
    <row r="83" spans="1:6" x14ac:dyDescent="0.25">
      <c r="A83" s="1">
        <v>2</v>
      </c>
      <c r="B83" s="1">
        <v>2</v>
      </c>
      <c r="C83" s="2">
        <f t="shared" si="2"/>
        <v>0</v>
      </c>
      <c r="D83" s="1">
        <f t="shared" si="3"/>
        <v>1.9024970273483946E-2</v>
      </c>
    </row>
    <row r="84" spans="1:6" x14ac:dyDescent="0.25">
      <c r="A84" s="1">
        <v>2</v>
      </c>
      <c r="B84" s="1">
        <v>2</v>
      </c>
      <c r="C84" s="2">
        <f t="shared" si="2"/>
        <v>0</v>
      </c>
      <c r="D84" s="1">
        <f t="shared" si="3"/>
        <v>1.9024970273483946E-2</v>
      </c>
    </row>
    <row r="85" spans="1:6" x14ac:dyDescent="0.25">
      <c r="A85" s="1">
        <v>2</v>
      </c>
      <c r="B85" s="1">
        <v>1</v>
      </c>
      <c r="C85" s="2">
        <f t="shared" si="2"/>
        <v>-1</v>
      </c>
      <c r="D85" s="1">
        <f t="shared" si="3"/>
        <v>0.74316290130796658</v>
      </c>
    </row>
    <row r="86" spans="1:6" x14ac:dyDescent="0.25">
      <c r="A86" s="1">
        <v>1</v>
      </c>
      <c r="B86" s="1">
        <v>2</v>
      </c>
      <c r="C86" s="2">
        <f t="shared" si="2"/>
        <v>1</v>
      </c>
      <c r="D86" s="1">
        <f t="shared" si="3"/>
        <v>1.2948870392390013</v>
      </c>
    </row>
    <row r="87" spans="1:6" x14ac:dyDescent="0.25">
      <c r="A87" s="1">
        <v>2</v>
      </c>
      <c r="B87" s="1">
        <v>2</v>
      </c>
      <c r="C87" s="2">
        <f t="shared" si="2"/>
        <v>0</v>
      </c>
      <c r="D87" s="1">
        <f t="shared" si="3"/>
        <v>1.9024970273483946E-2</v>
      </c>
    </row>
    <row r="88" spans="1:6" x14ac:dyDescent="0.25">
      <c r="A88" s="1">
        <v>1</v>
      </c>
      <c r="B88" s="1">
        <v>2</v>
      </c>
      <c r="C88" s="2">
        <f t="shared" si="2"/>
        <v>1</v>
      </c>
      <c r="D88" s="1">
        <f t="shared" si="3"/>
        <v>1.2948870392390013</v>
      </c>
    </row>
    <row r="93" spans="1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CFD0C-ADFA-465A-A8A1-83B76CFF63A8}">
  <dimension ref="A1:G93"/>
  <sheetViews>
    <sheetView zoomScale="70" zoomScaleNormal="70" workbookViewId="0">
      <selection activeCell="C2" sqref="C2"/>
    </sheetView>
  </sheetViews>
  <sheetFormatPr baseColWidth="10" defaultColWidth="9.140625" defaultRowHeight="15" x14ac:dyDescent="0.25"/>
  <cols>
    <col min="1" max="2" width="33.4257812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05" customHeight="1" x14ac:dyDescent="0.25">
      <c r="A1" s="3" t="s">
        <v>46</v>
      </c>
      <c r="B1" s="4" t="s">
        <v>47</v>
      </c>
      <c r="C1" s="5" t="s">
        <v>1</v>
      </c>
      <c r="D1" s="5"/>
    </row>
    <row r="2" spans="1:7" x14ac:dyDescent="0.25">
      <c r="A2" s="1">
        <v>2</v>
      </c>
      <c r="B2" s="1">
        <v>2</v>
      </c>
      <c r="C2" s="2">
        <f>B2-A2</f>
        <v>0</v>
      </c>
      <c r="D2" s="1">
        <f>(C2-$G$6)^2</f>
        <v>1.070154577883472E-2</v>
      </c>
    </row>
    <row r="3" spans="1:7" x14ac:dyDescent="0.25">
      <c r="A3" s="1">
        <v>1</v>
      </c>
      <c r="B3" s="1">
        <v>2</v>
      </c>
      <c r="C3" s="2">
        <f t="shared" ref="C3:C66" si="0">B3-A3</f>
        <v>1</v>
      </c>
      <c r="D3" s="1">
        <f>(C3-$G$6)^2</f>
        <v>1.2175980975029725</v>
      </c>
      <c r="F3" s="6" t="s">
        <v>17</v>
      </c>
      <c r="G3" s="6"/>
    </row>
    <row r="4" spans="1:7" x14ac:dyDescent="0.25">
      <c r="A4" s="1">
        <v>2</v>
      </c>
      <c r="B4" s="1">
        <v>1</v>
      </c>
      <c r="C4" s="2">
        <f t="shared" si="0"/>
        <v>-1</v>
      </c>
      <c r="D4" s="1">
        <f>(C4-$G$6)^2</f>
        <v>0.80380499405469685</v>
      </c>
      <c r="F4" t="s">
        <v>5</v>
      </c>
      <c r="G4">
        <v>87</v>
      </c>
    </row>
    <row r="5" spans="1:7" x14ac:dyDescent="0.25">
      <c r="A5" s="1">
        <v>2</v>
      </c>
      <c r="B5" s="1">
        <v>1</v>
      </c>
      <c r="C5" s="2">
        <f t="shared" si="0"/>
        <v>-1</v>
      </c>
      <c r="D5" s="1">
        <f t="shared" ref="D5:D68" si="1">(C5-$G$6)^2</f>
        <v>0.80380499405469685</v>
      </c>
      <c r="F5" t="s">
        <v>3</v>
      </c>
      <c r="G5">
        <f>SUM(C:C)</f>
        <v>-9</v>
      </c>
    </row>
    <row r="6" spans="1:7" x14ac:dyDescent="0.25">
      <c r="A6" s="1">
        <v>2</v>
      </c>
      <c r="B6" s="1">
        <v>3</v>
      </c>
      <c r="C6" s="2">
        <f t="shared" si="0"/>
        <v>1</v>
      </c>
      <c r="D6" s="1">
        <f t="shared" si="1"/>
        <v>1.2175980975029725</v>
      </c>
      <c r="F6" t="s">
        <v>2</v>
      </c>
      <c r="G6">
        <f>G5/G4</f>
        <v>-0.10344827586206896</v>
      </c>
    </row>
    <row r="7" spans="1:7" x14ac:dyDescent="0.25">
      <c r="A7" s="1">
        <v>1</v>
      </c>
      <c r="B7" s="1">
        <v>1</v>
      </c>
      <c r="C7" s="2">
        <f t="shared" si="0"/>
        <v>0</v>
      </c>
      <c r="D7" s="1">
        <f t="shared" si="1"/>
        <v>1.070154577883472E-2</v>
      </c>
      <c r="F7" t="s">
        <v>4</v>
      </c>
      <c r="G7">
        <f>SUM(D:D)</f>
        <v>156.06896551724131</v>
      </c>
    </row>
    <row r="8" spans="1:7" x14ac:dyDescent="0.25">
      <c r="A8" s="1">
        <v>2</v>
      </c>
      <c r="B8" s="1">
        <v>3</v>
      </c>
      <c r="C8" s="2">
        <f t="shared" si="0"/>
        <v>1</v>
      </c>
      <c r="D8" s="1">
        <f t="shared" si="1"/>
        <v>1.2175980975029725</v>
      </c>
      <c r="F8" t="s">
        <v>6</v>
      </c>
      <c r="G8">
        <f>SQRT(G7/(G4-1))</f>
        <v>1.347128580719442</v>
      </c>
    </row>
    <row r="9" spans="1:7" x14ac:dyDescent="0.25">
      <c r="A9" s="1">
        <v>2</v>
      </c>
      <c r="B9" s="1">
        <v>1</v>
      </c>
      <c r="C9" s="2">
        <f t="shared" si="0"/>
        <v>-1</v>
      </c>
      <c r="D9" s="1">
        <f t="shared" si="1"/>
        <v>0.80380499405469685</v>
      </c>
    </row>
    <row r="10" spans="1:7" x14ac:dyDescent="0.25">
      <c r="A10" s="1">
        <v>3</v>
      </c>
      <c r="B10" s="1">
        <v>1</v>
      </c>
      <c r="C10" s="2">
        <f t="shared" si="0"/>
        <v>-2</v>
      </c>
      <c r="D10" s="1">
        <f t="shared" si="1"/>
        <v>3.5969084423305588</v>
      </c>
    </row>
    <row r="11" spans="1:7" x14ac:dyDescent="0.25">
      <c r="A11" s="1">
        <v>2</v>
      </c>
      <c r="B11" s="1">
        <v>1</v>
      </c>
      <c r="C11" s="2">
        <f t="shared" si="0"/>
        <v>-1</v>
      </c>
      <c r="D11" s="1">
        <f t="shared" si="1"/>
        <v>0.80380499405469685</v>
      </c>
    </row>
    <row r="12" spans="1:7" x14ac:dyDescent="0.25">
      <c r="A12" s="1">
        <v>2</v>
      </c>
      <c r="B12" s="1">
        <v>2</v>
      </c>
      <c r="C12" s="2">
        <f t="shared" si="0"/>
        <v>0</v>
      </c>
      <c r="D12" s="1">
        <f t="shared" si="1"/>
        <v>1.070154577883472E-2</v>
      </c>
      <c r="F12" t="s">
        <v>12</v>
      </c>
      <c r="G12">
        <f>G6/(G8/SQRT(G4))</f>
        <v>-0.71626516960890563</v>
      </c>
    </row>
    <row r="13" spans="1:7" x14ac:dyDescent="0.25">
      <c r="A13" s="1">
        <v>3</v>
      </c>
      <c r="B13" s="1">
        <v>2</v>
      </c>
      <c r="C13" s="2">
        <f t="shared" si="0"/>
        <v>-1</v>
      </c>
      <c r="D13" s="1">
        <f t="shared" si="1"/>
        <v>0.80380499405469685</v>
      </c>
    </row>
    <row r="14" spans="1:7" x14ac:dyDescent="0.25">
      <c r="A14" s="1">
        <v>1</v>
      </c>
      <c r="B14" s="1">
        <v>3</v>
      </c>
      <c r="C14" s="2">
        <f t="shared" si="0"/>
        <v>2</v>
      </c>
      <c r="D14" s="1">
        <f t="shared" si="1"/>
        <v>4.4244946492271104</v>
      </c>
    </row>
    <row r="15" spans="1:7" x14ac:dyDescent="0.25">
      <c r="A15" s="1">
        <v>2</v>
      </c>
      <c r="B15" s="1">
        <v>2</v>
      </c>
      <c r="C15" s="2">
        <f t="shared" si="0"/>
        <v>0</v>
      </c>
      <c r="D15" s="1">
        <f t="shared" si="1"/>
        <v>1.070154577883472E-2</v>
      </c>
    </row>
    <row r="16" spans="1:7" x14ac:dyDescent="0.25">
      <c r="A16" s="1">
        <v>1</v>
      </c>
      <c r="B16" s="1">
        <v>1</v>
      </c>
      <c r="C16" s="2">
        <f t="shared" si="0"/>
        <v>0</v>
      </c>
      <c r="D16" s="1">
        <f t="shared" si="1"/>
        <v>1.070154577883472E-2</v>
      </c>
    </row>
    <row r="17" spans="1:7" x14ac:dyDescent="0.25">
      <c r="A17" s="1">
        <v>2</v>
      </c>
      <c r="B17" s="1">
        <v>1</v>
      </c>
      <c r="C17" s="2">
        <f t="shared" si="0"/>
        <v>-1</v>
      </c>
      <c r="D17" s="1">
        <f t="shared" si="1"/>
        <v>0.80380499405469685</v>
      </c>
      <c r="F17" t="s">
        <v>7</v>
      </c>
      <c r="G17">
        <v>0.05</v>
      </c>
    </row>
    <row r="18" spans="1:7" x14ac:dyDescent="0.25">
      <c r="A18" s="1">
        <v>1</v>
      </c>
      <c r="B18" s="1">
        <v>2</v>
      </c>
      <c r="C18" s="2">
        <f t="shared" si="0"/>
        <v>1</v>
      </c>
      <c r="D18" s="1">
        <f t="shared" si="1"/>
        <v>1.2175980975029725</v>
      </c>
      <c r="F18" t="s">
        <v>8</v>
      </c>
      <c r="G18">
        <f>G4-1</f>
        <v>86</v>
      </c>
    </row>
    <row r="19" spans="1:7" x14ac:dyDescent="0.25">
      <c r="A19" s="1">
        <v>1</v>
      </c>
      <c r="B19" s="1">
        <v>2</v>
      </c>
      <c r="C19" s="2">
        <f t="shared" si="0"/>
        <v>1</v>
      </c>
      <c r="D19" s="1">
        <f t="shared" si="1"/>
        <v>1.2175980975029725</v>
      </c>
    </row>
    <row r="20" spans="1:7" x14ac:dyDescent="0.25">
      <c r="A20" s="1">
        <v>5</v>
      </c>
      <c r="B20" s="1">
        <v>2</v>
      </c>
      <c r="C20" s="2">
        <f t="shared" si="0"/>
        <v>-3</v>
      </c>
      <c r="D20" s="1">
        <f t="shared" si="1"/>
        <v>8.3900118906064218</v>
      </c>
    </row>
    <row r="21" spans="1:7" x14ac:dyDescent="0.25">
      <c r="A21" s="1">
        <v>1</v>
      </c>
      <c r="B21" s="1">
        <v>1</v>
      </c>
      <c r="C21" s="2">
        <f t="shared" si="0"/>
        <v>0</v>
      </c>
      <c r="D21" s="1">
        <f t="shared" si="1"/>
        <v>1.070154577883472E-2</v>
      </c>
    </row>
    <row r="22" spans="1:7" x14ac:dyDescent="0.25">
      <c r="A22" s="1">
        <v>1</v>
      </c>
      <c r="B22" s="1">
        <v>3</v>
      </c>
      <c r="C22" s="2">
        <f t="shared" si="0"/>
        <v>2</v>
      </c>
      <c r="D22" s="1">
        <f t="shared" si="1"/>
        <v>4.4244946492271104</v>
      </c>
      <c r="F22" s="6" t="s">
        <v>9</v>
      </c>
      <c r="G22" s="6"/>
    </row>
    <row r="23" spans="1:7" x14ac:dyDescent="0.25">
      <c r="A23" s="1">
        <v>2</v>
      </c>
      <c r="B23" s="1">
        <v>1</v>
      </c>
      <c r="C23" s="2">
        <f t="shared" si="0"/>
        <v>-1</v>
      </c>
      <c r="D23" s="1">
        <f t="shared" si="1"/>
        <v>0.80380499405469685</v>
      </c>
      <c r="F23" t="s">
        <v>26</v>
      </c>
      <c r="G23">
        <f>_xlfn.T.INV.2T(G17,G18)</f>
        <v>1.987934206239018</v>
      </c>
    </row>
    <row r="24" spans="1:7" x14ac:dyDescent="0.25">
      <c r="A24" s="1">
        <v>3</v>
      </c>
      <c r="B24" s="1">
        <v>1</v>
      </c>
      <c r="C24" s="2">
        <f t="shared" si="0"/>
        <v>-2</v>
      </c>
      <c r="D24" s="1">
        <f t="shared" si="1"/>
        <v>3.5969084423305588</v>
      </c>
      <c r="F24" t="s">
        <v>27</v>
      </c>
      <c r="G24">
        <f>_xlfn.T.INV(G17,G18)</f>
        <v>-1.662765449409072</v>
      </c>
    </row>
    <row r="25" spans="1:7" x14ac:dyDescent="0.25">
      <c r="A25" s="1">
        <v>2</v>
      </c>
      <c r="B25" s="1">
        <v>4</v>
      </c>
      <c r="C25" s="2">
        <f t="shared" si="0"/>
        <v>2</v>
      </c>
      <c r="D25" s="1">
        <f t="shared" si="1"/>
        <v>4.4244946492271104</v>
      </c>
    </row>
    <row r="26" spans="1:7" x14ac:dyDescent="0.25">
      <c r="A26" s="1">
        <v>1</v>
      </c>
      <c r="B26" s="1">
        <v>1</v>
      </c>
      <c r="C26" s="2">
        <f t="shared" si="0"/>
        <v>0</v>
      </c>
      <c r="D26" s="1">
        <f t="shared" si="1"/>
        <v>1.070154577883472E-2</v>
      </c>
    </row>
    <row r="27" spans="1:7" x14ac:dyDescent="0.25">
      <c r="A27" s="1">
        <v>2</v>
      </c>
      <c r="B27" s="1">
        <v>2</v>
      </c>
      <c r="C27" s="2">
        <f t="shared" si="0"/>
        <v>0</v>
      </c>
      <c r="D27" s="1">
        <f t="shared" si="1"/>
        <v>1.070154577883472E-2</v>
      </c>
    </row>
    <row r="28" spans="1:7" x14ac:dyDescent="0.25">
      <c r="A28" s="1">
        <v>1</v>
      </c>
      <c r="B28" s="1">
        <v>1</v>
      </c>
      <c r="C28" s="2">
        <f t="shared" si="0"/>
        <v>0</v>
      </c>
      <c r="D28" s="1">
        <f t="shared" si="1"/>
        <v>1.070154577883472E-2</v>
      </c>
    </row>
    <row r="29" spans="1:7" x14ac:dyDescent="0.25">
      <c r="A29" s="1">
        <v>1</v>
      </c>
      <c r="B29" s="1">
        <v>2</v>
      </c>
      <c r="C29" s="2">
        <f t="shared" si="0"/>
        <v>1</v>
      </c>
      <c r="D29" s="1">
        <f t="shared" si="1"/>
        <v>1.2175980975029725</v>
      </c>
    </row>
    <row r="30" spans="1:7" x14ac:dyDescent="0.25">
      <c r="A30" s="1">
        <v>5</v>
      </c>
      <c r="B30" s="1">
        <v>2</v>
      </c>
      <c r="C30" s="2">
        <f t="shared" si="0"/>
        <v>-3</v>
      </c>
      <c r="D30" s="1">
        <f t="shared" si="1"/>
        <v>8.3900118906064218</v>
      </c>
    </row>
    <row r="31" spans="1:7" x14ac:dyDescent="0.25">
      <c r="A31" s="1">
        <v>1</v>
      </c>
      <c r="B31" s="1">
        <v>1</v>
      </c>
      <c r="C31" s="2">
        <f t="shared" si="0"/>
        <v>0</v>
      </c>
      <c r="D31" s="1">
        <f t="shared" si="1"/>
        <v>1.070154577883472E-2</v>
      </c>
    </row>
    <row r="32" spans="1:7" x14ac:dyDescent="0.25">
      <c r="A32" s="1">
        <v>1</v>
      </c>
      <c r="B32" s="1">
        <v>2</v>
      </c>
      <c r="C32" s="2">
        <f t="shared" si="0"/>
        <v>1</v>
      </c>
      <c r="D32" s="1">
        <f t="shared" si="1"/>
        <v>1.2175980975029725</v>
      </c>
    </row>
    <row r="33" spans="1:7" x14ac:dyDescent="0.25">
      <c r="A33" s="1">
        <v>2</v>
      </c>
      <c r="B33" s="1">
        <v>2</v>
      </c>
      <c r="C33" s="2">
        <f t="shared" si="0"/>
        <v>0</v>
      </c>
      <c r="D33" s="1">
        <f t="shared" si="1"/>
        <v>1.070154577883472E-2</v>
      </c>
    </row>
    <row r="34" spans="1:7" x14ac:dyDescent="0.25">
      <c r="A34" s="1">
        <v>2</v>
      </c>
      <c r="B34" s="1">
        <v>1</v>
      </c>
      <c r="C34" s="2">
        <f t="shared" si="0"/>
        <v>-1</v>
      </c>
      <c r="D34" s="1">
        <f t="shared" si="1"/>
        <v>0.80380499405469685</v>
      </c>
      <c r="F34" t="s">
        <v>10</v>
      </c>
    </row>
    <row r="35" spans="1:7" x14ac:dyDescent="0.25">
      <c r="A35" s="1">
        <v>2</v>
      </c>
      <c r="B35" s="1">
        <v>1</v>
      </c>
      <c r="C35" s="2">
        <f t="shared" si="0"/>
        <v>-1</v>
      </c>
      <c r="D35" s="1">
        <f t="shared" si="1"/>
        <v>0.80380499405469685</v>
      </c>
      <c r="F35" t="s">
        <v>11</v>
      </c>
    </row>
    <row r="36" spans="1:7" x14ac:dyDescent="0.25">
      <c r="A36" s="1">
        <v>3</v>
      </c>
      <c r="B36" s="1">
        <v>2</v>
      </c>
      <c r="C36" s="2">
        <f t="shared" si="0"/>
        <v>-1</v>
      </c>
      <c r="D36" s="1">
        <f t="shared" si="1"/>
        <v>0.80380499405469685</v>
      </c>
    </row>
    <row r="37" spans="1:7" x14ac:dyDescent="0.25">
      <c r="A37" s="1">
        <v>3</v>
      </c>
      <c r="B37" s="1">
        <v>1</v>
      </c>
      <c r="C37" s="2">
        <f t="shared" si="0"/>
        <v>-2</v>
      </c>
      <c r="D37" s="1">
        <f t="shared" si="1"/>
        <v>3.5969084423305588</v>
      </c>
    </row>
    <row r="38" spans="1:7" x14ac:dyDescent="0.25">
      <c r="A38" s="1">
        <v>5</v>
      </c>
      <c r="B38" s="1">
        <v>2</v>
      </c>
      <c r="C38" s="2">
        <f t="shared" si="0"/>
        <v>-3</v>
      </c>
      <c r="D38" s="1">
        <f t="shared" si="1"/>
        <v>8.3900118906064218</v>
      </c>
    </row>
    <row r="39" spans="1:7" x14ac:dyDescent="0.25">
      <c r="A39" s="1">
        <v>1</v>
      </c>
      <c r="B39" s="1">
        <v>2</v>
      </c>
      <c r="C39" s="2">
        <f t="shared" si="0"/>
        <v>1</v>
      </c>
      <c r="D39" s="1">
        <f t="shared" si="1"/>
        <v>1.2175980975029725</v>
      </c>
      <c r="F39" s="6" t="s">
        <v>13</v>
      </c>
      <c r="G39" s="6"/>
    </row>
    <row r="40" spans="1:7" x14ac:dyDescent="0.25">
      <c r="A40" s="1">
        <v>1</v>
      </c>
      <c r="B40" s="1">
        <v>2</v>
      </c>
      <c r="C40" s="2">
        <f t="shared" si="0"/>
        <v>1</v>
      </c>
      <c r="D40" s="1">
        <f t="shared" si="1"/>
        <v>1.2175980975029725</v>
      </c>
      <c r="F40" t="s">
        <v>13</v>
      </c>
    </row>
    <row r="41" spans="1:7" x14ac:dyDescent="0.25">
      <c r="A41" s="1">
        <v>2</v>
      </c>
      <c r="B41" s="1">
        <v>3</v>
      </c>
      <c r="C41" s="2">
        <f t="shared" si="0"/>
        <v>1</v>
      </c>
      <c r="D41" s="1">
        <f t="shared" si="1"/>
        <v>1.2175980975029725</v>
      </c>
      <c r="F41" t="s">
        <v>25</v>
      </c>
      <c r="G41">
        <f>TTEST(A:A,B:B,2,1)</f>
        <v>0.47576815707419617</v>
      </c>
    </row>
    <row r="42" spans="1:7" x14ac:dyDescent="0.25">
      <c r="A42" s="1">
        <v>1</v>
      </c>
      <c r="B42" s="1">
        <v>1</v>
      </c>
      <c r="C42" s="2">
        <f t="shared" si="0"/>
        <v>0</v>
      </c>
      <c r="D42" s="1">
        <f t="shared" si="1"/>
        <v>1.070154577883472E-2</v>
      </c>
      <c r="F42" t="s">
        <v>29</v>
      </c>
      <c r="G42">
        <f>TTEST(A:A,B:B,1,1)</f>
        <v>0.23788407853709809</v>
      </c>
    </row>
    <row r="43" spans="1:7" x14ac:dyDescent="0.25">
      <c r="A43" s="1">
        <v>1</v>
      </c>
      <c r="B43" s="1">
        <v>2</v>
      </c>
      <c r="C43" s="2">
        <f t="shared" si="0"/>
        <v>1</v>
      </c>
      <c r="D43" s="1">
        <f t="shared" si="1"/>
        <v>1.2175980975029725</v>
      </c>
    </row>
    <row r="44" spans="1:7" x14ac:dyDescent="0.25">
      <c r="A44" s="1">
        <v>1</v>
      </c>
      <c r="B44" s="1">
        <v>1</v>
      </c>
      <c r="C44" s="2">
        <f t="shared" si="0"/>
        <v>0</v>
      </c>
      <c r="D44" s="1">
        <f t="shared" si="1"/>
        <v>1.070154577883472E-2</v>
      </c>
    </row>
    <row r="45" spans="1:7" x14ac:dyDescent="0.25">
      <c r="A45" s="1">
        <v>2</v>
      </c>
      <c r="B45" s="1">
        <v>2</v>
      </c>
      <c r="C45" s="2">
        <f t="shared" si="0"/>
        <v>0</v>
      </c>
      <c r="D45" s="1">
        <f t="shared" si="1"/>
        <v>1.070154577883472E-2</v>
      </c>
      <c r="F45" s="6" t="s">
        <v>16</v>
      </c>
      <c r="G45" s="6"/>
    </row>
    <row r="46" spans="1:7" x14ac:dyDescent="0.25">
      <c r="A46" s="1">
        <v>1</v>
      </c>
      <c r="B46" s="1">
        <v>1</v>
      </c>
      <c r="C46" s="2">
        <f t="shared" si="0"/>
        <v>0</v>
      </c>
      <c r="D46" s="1">
        <f t="shared" si="1"/>
        <v>1.070154577883472E-2</v>
      </c>
    </row>
    <row r="47" spans="1:7" x14ac:dyDescent="0.25">
      <c r="A47" s="1">
        <v>1</v>
      </c>
      <c r="B47" s="1">
        <v>4</v>
      </c>
      <c r="C47" s="2">
        <f t="shared" si="0"/>
        <v>3</v>
      </c>
      <c r="D47" s="1">
        <f t="shared" si="1"/>
        <v>9.6313912009512492</v>
      </c>
      <c r="F47" t="s">
        <v>14</v>
      </c>
    </row>
    <row r="48" spans="1:7" x14ac:dyDescent="0.25">
      <c r="A48" s="1">
        <v>3</v>
      </c>
      <c r="B48" s="1">
        <v>2</v>
      </c>
      <c r="C48" s="2">
        <f t="shared" si="0"/>
        <v>-1</v>
      </c>
      <c r="D48" s="1">
        <f t="shared" si="1"/>
        <v>0.80380499405469685</v>
      </c>
      <c r="F48" t="s">
        <v>15</v>
      </c>
    </row>
    <row r="49" spans="1:6" x14ac:dyDescent="0.25">
      <c r="A49" s="1">
        <v>3</v>
      </c>
      <c r="B49" s="1">
        <v>2</v>
      </c>
      <c r="C49" s="2">
        <f t="shared" si="0"/>
        <v>-1</v>
      </c>
      <c r="D49" s="1">
        <f t="shared" si="1"/>
        <v>0.80380499405469685</v>
      </c>
    </row>
    <row r="50" spans="1:6" x14ac:dyDescent="0.25">
      <c r="A50" s="1">
        <v>1</v>
      </c>
      <c r="B50" s="1">
        <v>3</v>
      </c>
      <c r="C50" s="2">
        <f t="shared" si="0"/>
        <v>2</v>
      </c>
      <c r="D50" s="1">
        <f t="shared" si="1"/>
        <v>4.4244946492271104</v>
      </c>
      <c r="F50" t="s">
        <v>18</v>
      </c>
    </row>
    <row r="51" spans="1:6" x14ac:dyDescent="0.25">
      <c r="A51" s="1">
        <v>2</v>
      </c>
      <c r="B51" s="1">
        <v>1</v>
      </c>
      <c r="C51" s="2">
        <f t="shared" si="0"/>
        <v>-1</v>
      </c>
      <c r="D51" s="1">
        <f t="shared" si="1"/>
        <v>0.80380499405469685</v>
      </c>
      <c r="F51" t="s">
        <v>19</v>
      </c>
    </row>
    <row r="52" spans="1:6" x14ac:dyDescent="0.25">
      <c r="A52" s="1">
        <v>2</v>
      </c>
      <c r="B52" s="1">
        <v>1</v>
      </c>
      <c r="C52" s="2">
        <f t="shared" si="0"/>
        <v>-1</v>
      </c>
      <c r="D52" s="1">
        <f t="shared" si="1"/>
        <v>0.80380499405469685</v>
      </c>
    </row>
    <row r="53" spans="1:6" x14ac:dyDescent="0.25">
      <c r="A53" s="1">
        <v>2</v>
      </c>
      <c r="B53" s="1">
        <v>3</v>
      </c>
      <c r="C53" s="2">
        <f t="shared" si="0"/>
        <v>1</v>
      </c>
      <c r="D53" s="1">
        <f t="shared" si="1"/>
        <v>1.2175980975029725</v>
      </c>
    </row>
    <row r="54" spans="1:6" x14ac:dyDescent="0.25">
      <c r="A54" s="1">
        <v>2</v>
      </c>
      <c r="B54" s="1">
        <v>2</v>
      </c>
      <c r="C54" s="2">
        <f t="shared" si="0"/>
        <v>0</v>
      </c>
      <c r="D54" s="1">
        <f t="shared" si="1"/>
        <v>1.070154577883472E-2</v>
      </c>
    </row>
    <row r="55" spans="1:6" x14ac:dyDescent="0.25">
      <c r="A55" s="1">
        <v>2</v>
      </c>
      <c r="B55" s="1">
        <v>1</v>
      </c>
      <c r="C55" s="2">
        <f t="shared" si="0"/>
        <v>-1</v>
      </c>
      <c r="D55" s="1">
        <f t="shared" si="1"/>
        <v>0.80380499405469685</v>
      </c>
    </row>
    <row r="56" spans="1:6" x14ac:dyDescent="0.25">
      <c r="A56" s="1">
        <v>2</v>
      </c>
      <c r="B56" s="1">
        <v>1</v>
      </c>
      <c r="C56" s="2">
        <f t="shared" si="0"/>
        <v>-1</v>
      </c>
      <c r="D56" s="1">
        <f t="shared" si="1"/>
        <v>0.80380499405469685</v>
      </c>
      <c r="F56" s="6" t="s">
        <v>23</v>
      </c>
    </row>
    <row r="57" spans="1:6" x14ac:dyDescent="0.25">
      <c r="A57" s="1">
        <v>1</v>
      </c>
      <c r="B57" s="1">
        <v>2</v>
      </c>
      <c r="C57" s="2">
        <f t="shared" si="0"/>
        <v>1</v>
      </c>
      <c r="D57" s="1">
        <f t="shared" si="1"/>
        <v>1.2175980975029725</v>
      </c>
    </row>
    <row r="58" spans="1:6" x14ac:dyDescent="0.25">
      <c r="A58" s="1">
        <v>2</v>
      </c>
      <c r="B58" s="1">
        <v>3</v>
      </c>
      <c r="C58" s="2">
        <f t="shared" si="0"/>
        <v>1</v>
      </c>
      <c r="D58" s="1">
        <f t="shared" si="1"/>
        <v>1.2175980975029725</v>
      </c>
      <c r="F58" t="s">
        <v>21</v>
      </c>
    </row>
    <row r="59" spans="1:6" x14ac:dyDescent="0.25">
      <c r="A59" s="1">
        <v>2</v>
      </c>
      <c r="B59" s="1">
        <v>2</v>
      </c>
      <c r="C59" s="2">
        <f t="shared" si="0"/>
        <v>0</v>
      </c>
      <c r="D59" s="1">
        <f t="shared" si="1"/>
        <v>1.070154577883472E-2</v>
      </c>
      <c r="F59" t="s">
        <v>20</v>
      </c>
    </row>
    <row r="60" spans="1:6" x14ac:dyDescent="0.25">
      <c r="A60" s="1">
        <v>1</v>
      </c>
      <c r="B60" s="1">
        <v>3</v>
      </c>
      <c r="C60" s="2">
        <f t="shared" si="0"/>
        <v>2</v>
      </c>
      <c r="D60" s="1">
        <f t="shared" si="1"/>
        <v>4.4244946492271104</v>
      </c>
      <c r="F60" t="s">
        <v>22</v>
      </c>
    </row>
    <row r="61" spans="1:6" x14ac:dyDescent="0.25">
      <c r="A61" s="1">
        <v>1</v>
      </c>
      <c r="B61" s="1">
        <v>2</v>
      </c>
      <c r="C61" s="2">
        <f t="shared" si="0"/>
        <v>1</v>
      </c>
      <c r="D61" s="1">
        <f t="shared" si="1"/>
        <v>1.2175980975029725</v>
      </c>
    </row>
    <row r="62" spans="1:6" x14ac:dyDescent="0.25">
      <c r="A62" s="1">
        <v>2</v>
      </c>
      <c r="B62" s="1">
        <v>2</v>
      </c>
      <c r="C62" s="2">
        <f t="shared" si="0"/>
        <v>0</v>
      </c>
      <c r="D62" s="1">
        <f t="shared" si="1"/>
        <v>1.070154577883472E-2</v>
      </c>
    </row>
    <row r="63" spans="1:6" x14ac:dyDescent="0.25">
      <c r="A63" s="1">
        <v>1</v>
      </c>
      <c r="B63" s="1">
        <v>1</v>
      </c>
      <c r="C63" s="2">
        <f t="shared" si="0"/>
        <v>0</v>
      </c>
      <c r="D63" s="1">
        <f t="shared" si="1"/>
        <v>1.070154577883472E-2</v>
      </c>
    </row>
    <row r="64" spans="1:6" x14ac:dyDescent="0.25">
      <c r="A64" s="1">
        <v>1</v>
      </c>
      <c r="B64" s="1">
        <v>2</v>
      </c>
      <c r="C64" s="2">
        <f t="shared" si="0"/>
        <v>1</v>
      </c>
      <c r="D64" s="1">
        <f t="shared" si="1"/>
        <v>1.2175980975029725</v>
      </c>
    </row>
    <row r="65" spans="1:6" x14ac:dyDescent="0.25">
      <c r="A65" s="1">
        <v>2</v>
      </c>
      <c r="B65" s="1">
        <v>1</v>
      </c>
      <c r="C65" s="2">
        <f t="shared" si="0"/>
        <v>-1</v>
      </c>
      <c r="D65" s="1">
        <f t="shared" si="1"/>
        <v>0.80380499405469685</v>
      </c>
      <c r="F65" s="6" t="s">
        <v>23</v>
      </c>
    </row>
    <row r="66" spans="1:6" x14ac:dyDescent="0.25">
      <c r="A66" s="1">
        <v>2</v>
      </c>
      <c r="B66" s="1">
        <v>2</v>
      </c>
      <c r="C66" s="2">
        <f t="shared" si="0"/>
        <v>0</v>
      </c>
      <c r="D66" s="1">
        <f t="shared" si="1"/>
        <v>1.070154577883472E-2</v>
      </c>
    </row>
    <row r="67" spans="1:6" x14ac:dyDescent="0.25">
      <c r="A67" s="1">
        <v>2</v>
      </c>
      <c r="B67" s="1">
        <v>5</v>
      </c>
      <c r="C67" s="2">
        <f t="shared" ref="C67:C88" si="2">B67-A67</f>
        <v>3</v>
      </c>
      <c r="D67" s="1">
        <f t="shared" si="1"/>
        <v>9.6313912009512492</v>
      </c>
    </row>
    <row r="68" spans="1:6" x14ac:dyDescent="0.25">
      <c r="A68" s="1">
        <v>1</v>
      </c>
      <c r="B68" s="1">
        <v>2</v>
      </c>
      <c r="C68" s="2">
        <f t="shared" si="2"/>
        <v>1</v>
      </c>
      <c r="D68" s="1">
        <f t="shared" si="1"/>
        <v>1.2175980975029725</v>
      </c>
    </row>
    <row r="69" spans="1:6" x14ac:dyDescent="0.25">
      <c r="A69" s="1">
        <v>1</v>
      </c>
      <c r="B69" s="1">
        <v>1</v>
      </c>
      <c r="C69" s="2">
        <f t="shared" si="2"/>
        <v>0</v>
      </c>
      <c r="D69" s="1">
        <f t="shared" ref="D69:D88" si="3">(C69-$G$6)^2</f>
        <v>1.070154577883472E-2</v>
      </c>
    </row>
    <row r="70" spans="1:6" x14ac:dyDescent="0.25">
      <c r="A70" s="1">
        <v>2</v>
      </c>
      <c r="B70" s="1">
        <v>2</v>
      </c>
      <c r="C70" s="2">
        <f t="shared" si="2"/>
        <v>0</v>
      </c>
      <c r="D70" s="1">
        <f t="shared" si="3"/>
        <v>1.070154577883472E-2</v>
      </c>
    </row>
    <row r="71" spans="1:6" x14ac:dyDescent="0.25">
      <c r="A71" s="1">
        <v>2</v>
      </c>
      <c r="B71" s="1">
        <v>1</v>
      </c>
      <c r="C71" s="2">
        <f t="shared" si="2"/>
        <v>-1</v>
      </c>
      <c r="D71" s="1">
        <f t="shared" si="3"/>
        <v>0.80380499405469685</v>
      </c>
    </row>
    <row r="72" spans="1:6" x14ac:dyDescent="0.25">
      <c r="A72" s="1">
        <v>2</v>
      </c>
      <c r="B72" s="1">
        <v>2</v>
      </c>
      <c r="C72" s="2">
        <f t="shared" si="2"/>
        <v>0</v>
      </c>
      <c r="D72" s="1">
        <f t="shared" si="3"/>
        <v>1.070154577883472E-2</v>
      </c>
      <c r="F72" t="s">
        <v>24</v>
      </c>
    </row>
    <row r="73" spans="1:6" x14ac:dyDescent="0.25">
      <c r="A73" s="1">
        <v>3</v>
      </c>
      <c r="B73" s="1">
        <v>1</v>
      </c>
      <c r="C73" s="2">
        <f t="shared" si="2"/>
        <v>-2</v>
      </c>
      <c r="D73" s="1">
        <f t="shared" si="3"/>
        <v>3.5969084423305588</v>
      </c>
      <c r="F73" t="s">
        <v>22</v>
      </c>
    </row>
    <row r="74" spans="1:6" x14ac:dyDescent="0.25">
      <c r="A74" s="1">
        <v>1</v>
      </c>
      <c r="B74" s="1">
        <v>2</v>
      </c>
      <c r="C74" s="2">
        <f t="shared" si="2"/>
        <v>1</v>
      </c>
      <c r="D74" s="1">
        <f t="shared" si="3"/>
        <v>1.2175980975029725</v>
      </c>
      <c r="F74" t="s">
        <v>24</v>
      </c>
    </row>
    <row r="75" spans="1:6" x14ac:dyDescent="0.25">
      <c r="A75" s="1">
        <v>3</v>
      </c>
      <c r="B75" s="1">
        <v>1</v>
      </c>
      <c r="C75" s="2">
        <f t="shared" si="2"/>
        <v>-2</v>
      </c>
      <c r="D75" s="1">
        <f t="shared" si="3"/>
        <v>3.5969084423305588</v>
      </c>
      <c r="F75" t="s">
        <v>22</v>
      </c>
    </row>
    <row r="76" spans="1:6" x14ac:dyDescent="0.25">
      <c r="A76" s="1">
        <v>1</v>
      </c>
      <c r="B76" s="1">
        <v>2</v>
      </c>
      <c r="C76" s="2">
        <f t="shared" si="2"/>
        <v>1</v>
      </c>
      <c r="D76" s="1">
        <f t="shared" si="3"/>
        <v>1.2175980975029725</v>
      </c>
    </row>
    <row r="77" spans="1:6" x14ac:dyDescent="0.25">
      <c r="A77" s="1">
        <v>2</v>
      </c>
      <c r="B77" s="1">
        <v>2</v>
      </c>
      <c r="C77" s="2">
        <f t="shared" si="2"/>
        <v>0</v>
      </c>
      <c r="D77" s="1">
        <f t="shared" si="3"/>
        <v>1.070154577883472E-2</v>
      </c>
    </row>
    <row r="78" spans="1:6" x14ac:dyDescent="0.25">
      <c r="A78" s="1">
        <v>2</v>
      </c>
      <c r="B78" s="1">
        <v>2</v>
      </c>
      <c r="C78" s="2">
        <f t="shared" si="2"/>
        <v>0</v>
      </c>
      <c r="D78" s="1">
        <f t="shared" si="3"/>
        <v>1.070154577883472E-2</v>
      </c>
    </row>
    <row r="79" spans="1:6" x14ac:dyDescent="0.25">
      <c r="A79" s="1">
        <v>1</v>
      </c>
      <c r="B79" s="1">
        <v>1</v>
      </c>
      <c r="C79" s="2">
        <f t="shared" si="2"/>
        <v>0</v>
      </c>
      <c r="D79" s="1">
        <f t="shared" si="3"/>
        <v>1.070154577883472E-2</v>
      </c>
    </row>
    <row r="80" spans="1:6" x14ac:dyDescent="0.25">
      <c r="A80" s="1">
        <v>2</v>
      </c>
      <c r="B80" s="1">
        <v>1</v>
      </c>
      <c r="C80" s="2">
        <f t="shared" si="2"/>
        <v>-1</v>
      </c>
      <c r="D80" s="1">
        <f t="shared" si="3"/>
        <v>0.80380499405469685</v>
      </c>
    </row>
    <row r="81" spans="1:6" x14ac:dyDescent="0.25">
      <c r="A81" s="1">
        <v>1</v>
      </c>
      <c r="B81" s="1">
        <v>2</v>
      </c>
      <c r="C81" s="2">
        <f t="shared" si="2"/>
        <v>1</v>
      </c>
      <c r="D81" s="1">
        <f t="shared" si="3"/>
        <v>1.2175980975029725</v>
      </c>
    </row>
    <row r="82" spans="1:6" x14ac:dyDescent="0.25">
      <c r="A82" s="1">
        <v>5</v>
      </c>
      <c r="B82" s="1">
        <v>1</v>
      </c>
      <c r="C82" s="2">
        <f t="shared" si="2"/>
        <v>-4</v>
      </c>
      <c r="D82" s="1">
        <f t="shared" si="3"/>
        <v>15.183115338882283</v>
      </c>
    </row>
    <row r="83" spans="1:6" x14ac:dyDescent="0.25">
      <c r="A83" s="1">
        <v>2</v>
      </c>
      <c r="B83" s="1">
        <v>2</v>
      </c>
      <c r="C83" s="2">
        <f t="shared" si="2"/>
        <v>0</v>
      </c>
      <c r="D83" s="1">
        <f t="shared" si="3"/>
        <v>1.070154577883472E-2</v>
      </c>
    </row>
    <row r="84" spans="1:6" x14ac:dyDescent="0.25">
      <c r="A84" s="1">
        <v>2</v>
      </c>
      <c r="B84" s="1">
        <v>2</v>
      </c>
      <c r="C84" s="2">
        <f t="shared" si="2"/>
        <v>0</v>
      </c>
      <c r="D84" s="1">
        <f t="shared" si="3"/>
        <v>1.070154577883472E-2</v>
      </c>
    </row>
    <row r="85" spans="1:6" x14ac:dyDescent="0.25">
      <c r="A85" s="1">
        <v>4</v>
      </c>
      <c r="B85" s="1">
        <v>1</v>
      </c>
      <c r="C85" s="2">
        <f t="shared" si="2"/>
        <v>-3</v>
      </c>
      <c r="D85" s="1">
        <f t="shared" si="3"/>
        <v>8.3900118906064218</v>
      </c>
    </row>
    <row r="86" spans="1:6" x14ac:dyDescent="0.25">
      <c r="A86" s="1">
        <v>4</v>
      </c>
      <c r="B86" s="1">
        <v>2</v>
      </c>
      <c r="C86" s="2">
        <f t="shared" si="2"/>
        <v>-2</v>
      </c>
      <c r="D86" s="1">
        <f t="shared" si="3"/>
        <v>3.5969084423305588</v>
      </c>
    </row>
    <row r="87" spans="1:6" x14ac:dyDescent="0.25">
      <c r="A87" s="1">
        <v>2</v>
      </c>
      <c r="B87" s="1">
        <v>2</v>
      </c>
      <c r="C87" s="2">
        <f t="shared" si="2"/>
        <v>0</v>
      </c>
      <c r="D87" s="1">
        <f t="shared" si="3"/>
        <v>1.070154577883472E-2</v>
      </c>
    </row>
    <row r="88" spans="1:6" x14ac:dyDescent="0.25">
      <c r="A88" s="1">
        <v>1</v>
      </c>
      <c r="B88" s="1">
        <v>3</v>
      </c>
      <c r="C88" s="2">
        <f t="shared" si="2"/>
        <v>2</v>
      </c>
      <c r="D88" s="1">
        <f t="shared" si="3"/>
        <v>4.4244946492271104</v>
      </c>
    </row>
    <row r="93" spans="1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3E01-0C47-4484-A696-329FD0A451FE}">
  <dimension ref="A1:G93"/>
  <sheetViews>
    <sheetView zoomScale="70" zoomScaleNormal="70" workbookViewId="0">
      <selection activeCell="B2" sqref="B2:B88"/>
    </sheetView>
  </sheetViews>
  <sheetFormatPr baseColWidth="10" defaultColWidth="9.140625" defaultRowHeight="15" x14ac:dyDescent="0.25"/>
  <cols>
    <col min="1" max="2" width="33.4257812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05" customHeight="1" x14ac:dyDescent="0.25">
      <c r="A1" s="3" t="s">
        <v>44</v>
      </c>
      <c r="B1" s="4" t="s">
        <v>45</v>
      </c>
      <c r="C1" s="5" t="s">
        <v>1</v>
      </c>
      <c r="D1" s="5"/>
    </row>
    <row r="2" spans="1:7" x14ac:dyDescent="0.25">
      <c r="A2" s="1">
        <v>2</v>
      </c>
      <c r="B2" s="1">
        <v>2</v>
      </c>
      <c r="C2" s="2">
        <f>B2-A2</f>
        <v>0</v>
      </c>
      <c r="D2" s="1">
        <f>(C2-$G$6)^2</f>
        <v>1.5986259743691375E-2</v>
      </c>
    </row>
    <row r="3" spans="1:7" x14ac:dyDescent="0.25">
      <c r="A3" s="1">
        <v>1</v>
      </c>
      <c r="B3" s="1">
        <v>2</v>
      </c>
      <c r="C3" s="2">
        <f t="shared" ref="C3:C66" si="0">B3-A3</f>
        <v>1</v>
      </c>
      <c r="D3" s="1">
        <f>(C3-$G$6)^2</f>
        <v>1.268859822962082</v>
      </c>
      <c r="F3" s="6" t="s">
        <v>17</v>
      </c>
      <c r="G3" s="6"/>
    </row>
    <row r="4" spans="1:7" x14ac:dyDescent="0.25">
      <c r="A4" s="1">
        <v>2</v>
      </c>
      <c r="B4" s="1">
        <v>2</v>
      </c>
      <c r="C4" s="2">
        <f t="shared" si="0"/>
        <v>0</v>
      </c>
      <c r="D4" s="1">
        <f>(C4-$G$6)^2</f>
        <v>1.5986259743691375E-2</v>
      </c>
      <c r="F4" t="s">
        <v>5</v>
      </c>
      <c r="G4">
        <v>87</v>
      </c>
    </row>
    <row r="5" spans="1:7" x14ac:dyDescent="0.25">
      <c r="A5" s="1">
        <v>2</v>
      </c>
      <c r="B5" s="1">
        <v>1</v>
      </c>
      <c r="C5" s="2">
        <f t="shared" si="0"/>
        <v>-1</v>
      </c>
      <c r="D5" s="1">
        <f t="shared" ref="D5:D68" si="1">(C5-$G$6)^2</f>
        <v>0.76311269652530067</v>
      </c>
      <c r="F5" t="s">
        <v>3</v>
      </c>
      <c r="G5">
        <f>SUM(C:C)</f>
        <v>-11</v>
      </c>
    </row>
    <row r="6" spans="1:7" x14ac:dyDescent="0.25">
      <c r="A6" s="1">
        <v>2</v>
      </c>
      <c r="B6" s="1">
        <v>3</v>
      </c>
      <c r="C6" s="2">
        <f t="shared" si="0"/>
        <v>1</v>
      </c>
      <c r="D6" s="1">
        <f t="shared" si="1"/>
        <v>1.268859822962082</v>
      </c>
      <c r="F6" t="s">
        <v>2</v>
      </c>
      <c r="G6">
        <f>G5/G4</f>
        <v>-0.12643678160919541</v>
      </c>
    </row>
    <row r="7" spans="1:7" x14ac:dyDescent="0.25">
      <c r="A7" s="1">
        <v>1</v>
      </c>
      <c r="B7" s="1">
        <v>1</v>
      </c>
      <c r="C7" s="2">
        <f t="shared" si="0"/>
        <v>0</v>
      </c>
      <c r="D7" s="1">
        <f t="shared" si="1"/>
        <v>1.5986259743691375E-2</v>
      </c>
      <c r="F7" t="s">
        <v>4</v>
      </c>
      <c r="G7">
        <f>SUM(D:D)</f>
        <v>117.60919540229899</v>
      </c>
    </row>
    <row r="8" spans="1:7" x14ac:dyDescent="0.25">
      <c r="A8" s="1">
        <v>2</v>
      </c>
      <c r="B8" s="1">
        <v>1</v>
      </c>
      <c r="C8" s="2">
        <f t="shared" si="0"/>
        <v>-1</v>
      </c>
      <c r="D8" s="1">
        <f t="shared" si="1"/>
        <v>0.76311269652530067</v>
      </c>
      <c r="F8" t="s">
        <v>6</v>
      </c>
      <c r="G8">
        <f>SQRT(G7/(G4-1))</f>
        <v>1.1694224145909222</v>
      </c>
    </row>
    <row r="9" spans="1:7" x14ac:dyDescent="0.25">
      <c r="A9" s="1">
        <v>2</v>
      </c>
      <c r="B9" s="1">
        <v>1</v>
      </c>
      <c r="C9" s="2">
        <f t="shared" si="0"/>
        <v>-1</v>
      </c>
      <c r="D9" s="1">
        <f t="shared" si="1"/>
        <v>0.76311269652530067</v>
      </c>
    </row>
    <row r="10" spans="1:7" x14ac:dyDescent="0.25">
      <c r="A10" s="1">
        <v>5</v>
      </c>
      <c r="B10" s="1">
        <v>1</v>
      </c>
      <c r="C10" s="2">
        <f t="shared" si="0"/>
        <v>-4</v>
      </c>
      <c r="D10" s="1">
        <f t="shared" si="1"/>
        <v>15.004492006870127</v>
      </c>
    </row>
    <row r="11" spans="1:7" x14ac:dyDescent="0.25">
      <c r="A11" s="1">
        <v>2</v>
      </c>
      <c r="B11" s="1">
        <v>1</v>
      </c>
      <c r="C11" s="2">
        <f t="shared" si="0"/>
        <v>-1</v>
      </c>
      <c r="D11" s="1">
        <f t="shared" si="1"/>
        <v>0.76311269652530067</v>
      </c>
    </row>
    <row r="12" spans="1:7" x14ac:dyDescent="0.25">
      <c r="A12" s="1">
        <v>1</v>
      </c>
      <c r="B12" s="1">
        <v>2</v>
      </c>
      <c r="C12" s="2">
        <f t="shared" si="0"/>
        <v>1</v>
      </c>
      <c r="D12" s="1">
        <f t="shared" si="1"/>
        <v>1.268859822962082</v>
      </c>
      <c r="F12" t="s">
        <v>12</v>
      </c>
      <c r="G12">
        <f>G6/(G8/SQRT(G4))</f>
        <v>-1.0084668923796163</v>
      </c>
    </row>
    <row r="13" spans="1:7" x14ac:dyDescent="0.25">
      <c r="A13" s="1">
        <v>1</v>
      </c>
      <c r="B13" s="1">
        <v>2</v>
      </c>
      <c r="C13" s="2">
        <f t="shared" si="0"/>
        <v>1</v>
      </c>
      <c r="D13" s="1">
        <f t="shared" si="1"/>
        <v>1.268859822962082</v>
      </c>
    </row>
    <row r="14" spans="1:7" x14ac:dyDescent="0.25">
      <c r="A14" s="1">
        <v>1</v>
      </c>
      <c r="B14" s="1">
        <v>1</v>
      </c>
      <c r="C14" s="2">
        <f t="shared" si="0"/>
        <v>0</v>
      </c>
      <c r="D14" s="1">
        <f t="shared" si="1"/>
        <v>1.5986259743691375E-2</v>
      </c>
    </row>
    <row r="15" spans="1:7" x14ac:dyDescent="0.25">
      <c r="A15" s="1">
        <v>2</v>
      </c>
      <c r="B15" s="1">
        <v>2</v>
      </c>
      <c r="C15" s="2">
        <f t="shared" si="0"/>
        <v>0</v>
      </c>
      <c r="D15" s="1">
        <f t="shared" si="1"/>
        <v>1.5986259743691375E-2</v>
      </c>
    </row>
    <row r="16" spans="1:7" x14ac:dyDescent="0.25">
      <c r="A16" s="1">
        <v>1</v>
      </c>
      <c r="B16" s="1">
        <v>1</v>
      </c>
      <c r="C16" s="2">
        <f t="shared" si="0"/>
        <v>0</v>
      </c>
      <c r="D16" s="1">
        <f t="shared" si="1"/>
        <v>1.5986259743691375E-2</v>
      </c>
    </row>
    <row r="17" spans="1:7" x14ac:dyDescent="0.25">
      <c r="A17" s="1">
        <v>2</v>
      </c>
      <c r="B17" s="1">
        <v>1</v>
      </c>
      <c r="C17" s="2">
        <f t="shared" si="0"/>
        <v>-1</v>
      </c>
      <c r="D17" s="1">
        <f t="shared" si="1"/>
        <v>0.76311269652530067</v>
      </c>
      <c r="F17" t="s">
        <v>7</v>
      </c>
      <c r="G17">
        <v>0.05</v>
      </c>
    </row>
    <row r="18" spans="1:7" x14ac:dyDescent="0.25">
      <c r="A18" s="1">
        <v>1</v>
      </c>
      <c r="B18" s="1">
        <v>2</v>
      </c>
      <c r="C18" s="2">
        <f t="shared" si="0"/>
        <v>1</v>
      </c>
      <c r="D18" s="1">
        <f t="shared" si="1"/>
        <v>1.268859822962082</v>
      </c>
      <c r="F18" t="s">
        <v>8</v>
      </c>
      <c r="G18">
        <f>G4-1</f>
        <v>86</v>
      </c>
    </row>
    <row r="19" spans="1:7" x14ac:dyDescent="0.25">
      <c r="A19" s="1">
        <v>2</v>
      </c>
      <c r="B19" s="1">
        <v>2</v>
      </c>
      <c r="C19" s="2">
        <f t="shared" si="0"/>
        <v>0</v>
      </c>
      <c r="D19" s="1">
        <f t="shared" si="1"/>
        <v>1.5986259743691375E-2</v>
      </c>
    </row>
    <row r="20" spans="1:7" x14ac:dyDescent="0.25">
      <c r="A20" s="1">
        <v>4</v>
      </c>
      <c r="B20" s="1">
        <v>2</v>
      </c>
      <c r="C20" s="2">
        <f t="shared" si="0"/>
        <v>-2</v>
      </c>
      <c r="D20" s="1">
        <f t="shared" si="1"/>
        <v>3.5102391333069098</v>
      </c>
    </row>
    <row r="21" spans="1:7" x14ac:dyDescent="0.25">
      <c r="A21" s="1">
        <v>1</v>
      </c>
      <c r="B21" s="1">
        <v>1</v>
      </c>
      <c r="C21" s="2">
        <f t="shared" si="0"/>
        <v>0</v>
      </c>
      <c r="D21" s="1">
        <f t="shared" si="1"/>
        <v>1.5986259743691375E-2</v>
      </c>
    </row>
    <row r="22" spans="1:7" x14ac:dyDescent="0.25">
      <c r="A22" s="1">
        <v>1</v>
      </c>
      <c r="B22" s="1">
        <v>2</v>
      </c>
      <c r="C22" s="2">
        <f t="shared" si="0"/>
        <v>1</v>
      </c>
      <c r="D22" s="1">
        <f t="shared" si="1"/>
        <v>1.268859822962082</v>
      </c>
      <c r="F22" s="6" t="s">
        <v>9</v>
      </c>
      <c r="G22" s="6"/>
    </row>
    <row r="23" spans="1:7" x14ac:dyDescent="0.25">
      <c r="A23" s="1">
        <v>2</v>
      </c>
      <c r="B23" s="1">
        <v>1</v>
      </c>
      <c r="C23" s="2">
        <f t="shared" si="0"/>
        <v>-1</v>
      </c>
      <c r="D23" s="1">
        <f t="shared" si="1"/>
        <v>0.76311269652530067</v>
      </c>
      <c r="F23" t="s">
        <v>26</v>
      </c>
      <c r="G23">
        <f>_xlfn.T.INV.2T(G17,G18)</f>
        <v>1.987934206239018</v>
      </c>
    </row>
    <row r="24" spans="1:7" x14ac:dyDescent="0.25">
      <c r="A24" s="1">
        <v>2</v>
      </c>
      <c r="B24" s="1">
        <v>1</v>
      </c>
      <c r="C24" s="2">
        <f t="shared" si="0"/>
        <v>-1</v>
      </c>
      <c r="D24" s="1">
        <f t="shared" si="1"/>
        <v>0.76311269652530067</v>
      </c>
      <c r="F24" t="s">
        <v>27</v>
      </c>
      <c r="G24">
        <f>_xlfn.T.INV(G17,G18)</f>
        <v>-1.662765449409072</v>
      </c>
    </row>
    <row r="25" spans="1:7" x14ac:dyDescent="0.25">
      <c r="A25" s="1">
        <v>2</v>
      </c>
      <c r="B25" s="1">
        <v>1</v>
      </c>
      <c r="C25" s="2">
        <f t="shared" si="0"/>
        <v>-1</v>
      </c>
      <c r="D25" s="1">
        <f t="shared" si="1"/>
        <v>0.76311269652530067</v>
      </c>
    </row>
    <row r="26" spans="1:7" x14ac:dyDescent="0.25">
      <c r="A26" s="1">
        <v>1</v>
      </c>
      <c r="B26" s="1">
        <v>1</v>
      </c>
      <c r="C26" s="2">
        <f t="shared" si="0"/>
        <v>0</v>
      </c>
      <c r="D26" s="1">
        <f t="shared" si="1"/>
        <v>1.5986259743691375E-2</v>
      </c>
    </row>
    <row r="27" spans="1:7" x14ac:dyDescent="0.25">
      <c r="A27" s="1">
        <v>2</v>
      </c>
      <c r="B27" s="1">
        <v>1</v>
      </c>
      <c r="C27" s="2">
        <f t="shared" si="0"/>
        <v>-1</v>
      </c>
      <c r="D27" s="1">
        <f t="shared" si="1"/>
        <v>0.76311269652530067</v>
      </c>
    </row>
    <row r="28" spans="1:7" x14ac:dyDescent="0.25">
      <c r="A28" s="1">
        <v>1</v>
      </c>
      <c r="B28" s="1">
        <v>1</v>
      </c>
      <c r="C28" s="2">
        <f t="shared" si="0"/>
        <v>0</v>
      </c>
      <c r="D28" s="1">
        <f t="shared" si="1"/>
        <v>1.5986259743691375E-2</v>
      </c>
    </row>
    <row r="29" spans="1:7" x14ac:dyDescent="0.25">
      <c r="A29" s="1">
        <v>1</v>
      </c>
      <c r="B29" s="1">
        <v>2</v>
      </c>
      <c r="C29" s="2">
        <f t="shared" si="0"/>
        <v>1</v>
      </c>
      <c r="D29" s="1">
        <f t="shared" si="1"/>
        <v>1.268859822962082</v>
      </c>
    </row>
    <row r="30" spans="1:7" x14ac:dyDescent="0.25">
      <c r="A30" s="1">
        <v>3</v>
      </c>
      <c r="B30" s="1">
        <v>2</v>
      </c>
      <c r="C30" s="2">
        <f t="shared" si="0"/>
        <v>-1</v>
      </c>
      <c r="D30" s="1">
        <f t="shared" si="1"/>
        <v>0.76311269652530067</v>
      </c>
    </row>
    <row r="31" spans="1:7" x14ac:dyDescent="0.25">
      <c r="A31" s="1">
        <v>1</v>
      </c>
      <c r="B31" s="1">
        <v>1</v>
      </c>
      <c r="C31" s="2">
        <f t="shared" si="0"/>
        <v>0</v>
      </c>
      <c r="D31" s="1">
        <f t="shared" si="1"/>
        <v>1.5986259743691375E-2</v>
      </c>
    </row>
    <row r="32" spans="1:7" x14ac:dyDescent="0.25">
      <c r="A32" s="1">
        <v>1</v>
      </c>
      <c r="B32" s="1">
        <v>4</v>
      </c>
      <c r="C32" s="2">
        <f t="shared" si="0"/>
        <v>3</v>
      </c>
      <c r="D32" s="1">
        <f t="shared" si="1"/>
        <v>9.7746069493988657</v>
      </c>
    </row>
    <row r="33" spans="1:7" x14ac:dyDescent="0.25">
      <c r="A33" s="1">
        <v>3</v>
      </c>
      <c r="B33" s="1">
        <v>2</v>
      </c>
      <c r="C33" s="2">
        <f t="shared" si="0"/>
        <v>-1</v>
      </c>
      <c r="D33" s="1">
        <f t="shared" si="1"/>
        <v>0.76311269652530067</v>
      </c>
    </row>
    <row r="34" spans="1:7" x14ac:dyDescent="0.25">
      <c r="A34" s="1">
        <v>4</v>
      </c>
      <c r="B34" s="1">
        <v>1</v>
      </c>
      <c r="C34" s="2">
        <f t="shared" si="0"/>
        <v>-3</v>
      </c>
      <c r="D34" s="1">
        <f t="shared" si="1"/>
        <v>8.2573655700885187</v>
      </c>
      <c r="F34" t="s">
        <v>10</v>
      </c>
    </row>
    <row r="35" spans="1:7" x14ac:dyDescent="0.25">
      <c r="A35" s="1">
        <v>2</v>
      </c>
      <c r="B35" s="1">
        <v>1</v>
      </c>
      <c r="C35" s="2">
        <f t="shared" si="0"/>
        <v>-1</v>
      </c>
      <c r="D35" s="1">
        <f t="shared" si="1"/>
        <v>0.76311269652530067</v>
      </c>
      <c r="F35" t="s">
        <v>11</v>
      </c>
    </row>
    <row r="36" spans="1:7" x14ac:dyDescent="0.25">
      <c r="A36" s="1">
        <v>2</v>
      </c>
      <c r="B36" s="1">
        <v>2</v>
      </c>
      <c r="C36" s="2">
        <f t="shared" si="0"/>
        <v>0</v>
      </c>
      <c r="D36" s="1">
        <f t="shared" si="1"/>
        <v>1.5986259743691375E-2</v>
      </c>
    </row>
    <row r="37" spans="1:7" x14ac:dyDescent="0.25">
      <c r="A37" s="1">
        <v>1</v>
      </c>
      <c r="B37" s="1">
        <v>1</v>
      </c>
      <c r="C37" s="2">
        <f t="shared" si="0"/>
        <v>0</v>
      </c>
      <c r="D37" s="1">
        <f t="shared" si="1"/>
        <v>1.5986259743691375E-2</v>
      </c>
    </row>
    <row r="38" spans="1:7" x14ac:dyDescent="0.25">
      <c r="A38" s="1">
        <v>4</v>
      </c>
      <c r="B38" s="1">
        <v>1</v>
      </c>
      <c r="C38" s="2">
        <f t="shared" si="0"/>
        <v>-3</v>
      </c>
      <c r="D38" s="1">
        <f t="shared" si="1"/>
        <v>8.2573655700885187</v>
      </c>
    </row>
    <row r="39" spans="1:7" x14ac:dyDescent="0.25">
      <c r="A39" s="1">
        <v>1</v>
      </c>
      <c r="B39" s="1">
        <v>2</v>
      </c>
      <c r="C39" s="2">
        <f t="shared" si="0"/>
        <v>1</v>
      </c>
      <c r="D39" s="1">
        <f t="shared" si="1"/>
        <v>1.268859822962082</v>
      </c>
      <c r="F39" s="6" t="s">
        <v>13</v>
      </c>
      <c r="G39" s="6"/>
    </row>
    <row r="40" spans="1:7" x14ac:dyDescent="0.25">
      <c r="A40" s="1">
        <v>1</v>
      </c>
      <c r="B40" s="1">
        <v>2</v>
      </c>
      <c r="C40" s="2">
        <f t="shared" si="0"/>
        <v>1</v>
      </c>
      <c r="D40" s="1">
        <f t="shared" si="1"/>
        <v>1.268859822962082</v>
      </c>
      <c r="F40" t="s">
        <v>13</v>
      </c>
    </row>
    <row r="41" spans="1:7" x14ac:dyDescent="0.25">
      <c r="A41" s="1">
        <v>2</v>
      </c>
      <c r="B41" s="1">
        <v>3</v>
      </c>
      <c r="C41" s="2">
        <f t="shared" si="0"/>
        <v>1</v>
      </c>
      <c r="D41" s="1">
        <f t="shared" si="1"/>
        <v>1.268859822962082</v>
      </c>
      <c r="F41" t="s">
        <v>25</v>
      </c>
      <c r="G41">
        <f>TTEST(A:A,B:B,2,1)</f>
        <v>0.31605939817398043</v>
      </c>
    </row>
    <row r="42" spans="1:7" x14ac:dyDescent="0.25">
      <c r="A42" s="1">
        <v>1</v>
      </c>
      <c r="B42" s="1">
        <v>1</v>
      </c>
      <c r="C42" s="2">
        <f t="shared" si="0"/>
        <v>0</v>
      </c>
      <c r="D42" s="1">
        <f t="shared" si="1"/>
        <v>1.5986259743691375E-2</v>
      </c>
      <c r="F42" t="s">
        <v>29</v>
      </c>
      <c r="G42">
        <f>TTEST(A:A,B:B,1,1)</f>
        <v>0.15802969908699022</v>
      </c>
    </row>
    <row r="43" spans="1:7" x14ac:dyDescent="0.25">
      <c r="A43" s="1">
        <v>1</v>
      </c>
      <c r="B43" s="1">
        <v>3</v>
      </c>
      <c r="C43" s="2">
        <f t="shared" si="0"/>
        <v>2</v>
      </c>
      <c r="D43" s="1">
        <f t="shared" si="1"/>
        <v>4.5217333861804736</v>
      </c>
    </row>
    <row r="44" spans="1:7" x14ac:dyDescent="0.25">
      <c r="A44" s="1">
        <v>1</v>
      </c>
      <c r="B44" s="1">
        <v>1</v>
      </c>
      <c r="C44" s="2">
        <f t="shared" si="0"/>
        <v>0</v>
      </c>
      <c r="D44" s="1">
        <f t="shared" si="1"/>
        <v>1.5986259743691375E-2</v>
      </c>
    </row>
    <row r="45" spans="1:7" x14ac:dyDescent="0.25">
      <c r="A45" s="1">
        <v>2</v>
      </c>
      <c r="B45" s="1">
        <v>2</v>
      </c>
      <c r="C45" s="2">
        <f t="shared" si="0"/>
        <v>0</v>
      </c>
      <c r="D45" s="1">
        <f t="shared" si="1"/>
        <v>1.5986259743691375E-2</v>
      </c>
      <c r="F45" s="6" t="s">
        <v>16</v>
      </c>
      <c r="G45" s="6"/>
    </row>
    <row r="46" spans="1:7" x14ac:dyDescent="0.25">
      <c r="A46" s="1">
        <v>1</v>
      </c>
      <c r="B46" s="1">
        <v>1</v>
      </c>
      <c r="C46" s="2">
        <f t="shared" si="0"/>
        <v>0</v>
      </c>
      <c r="D46" s="1">
        <f t="shared" si="1"/>
        <v>1.5986259743691375E-2</v>
      </c>
    </row>
    <row r="47" spans="1:7" x14ac:dyDescent="0.25">
      <c r="A47" s="1">
        <v>1</v>
      </c>
      <c r="B47" s="1">
        <v>2</v>
      </c>
      <c r="C47" s="2">
        <f t="shared" si="0"/>
        <v>1</v>
      </c>
      <c r="D47" s="1">
        <f t="shared" si="1"/>
        <v>1.268859822962082</v>
      </c>
      <c r="F47" t="s">
        <v>14</v>
      </c>
    </row>
    <row r="48" spans="1:7" x14ac:dyDescent="0.25">
      <c r="A48" s="1">
        <v>3</v>
      </c>
      <c r="B48" s="1">
        <v>2</v>
      </c>
      <c r="C48" s="2">
        <f t="shared" si="0"/>
        <v>-1</v>
      </c>
      <c r="D48" s="1">
        <f t="shared" si="1"/>
        <v>0.76311269652530067</v>
      </c>
      <c r="F48" t="s">
        <v>15</v>
      </c>
    </row>
    <row r="49" spans="1:6" x14ac:dyDescent="0.25">
      <c r="A49" s="1">
        <v>3</v>
      </c>
      <c r="B49" s="1">
        <v>2</v>
      </c>
      <c r="C49" s="2">
        <f t="shared" si="0"/>
        <v>-1</v>
      </c>
      <c r="D49" s="1">
        <f t="shared" si="1"/>
        <v>0.76311269652530067</v>
      </c>
    </row>
    <row r="50" spans="1:6" x14ac:dyDescent="0.25">
      <c r="A50" s="1">
        <v>1</v>
      </c>
      <c r="B50" s="1">
        <v>1</v>
      </c>
      <c r="C50" s="2">
        <f t="shared" si="0"/>
        <v>0</v>
      </c>
      <c r="D50" s="1">
        <f t="shared" si="1"/>
        <v>1.5986259743691375E-2</v>
      </c>
      <c r="F50" t="s">
        <v>18</v>
      </c>
    </row>
    <row r="51" spans="1:6" x14ac:dyDescent="0.25">
      <c r="A51" s="1">
        <v>2</v>
      </c>
      <c r="B51" s="1">
        <v>1</v>
      </c>
      <c r="C51" s="2">
        <f t="shared" si="0"/>
        <v>-1</v>
      </c>
      <c r="D51" s="1">
        <f t="shared" si="1"/>
        <v>0.76311269652530067</v>
      </c>
      <c r="F51" t="s">
        <v>19</v>
      </c>
    </row>
    <row r="52" spans="1:6" x14ac:dyDescent="0.25">
      <c r="A52" s="1">
        <v>2</v>
      </c>
      <c r="B52" s="1">
        <v>1</v>
      </c>
      <c r="C52" s="2">
        <f t="shared" si="0"/>
        <v>-1</v>
      </c>
      <c r="D52" s="1">
        <f t="shared" si="1"/>
        <v>0.76311269652530067</v>
      </c>
    </row>
    <row r="53" spans="1:6" x14ac:dyDescent="0.25">
      <c r="A53" s="1">
        <v>2</v>
      </c>
      <c r="B53" s="1">
        <v>3</v>
      </c>
      <c r="C53" s="2">
        <f t="shared" si="0"/>
        <v>1</v>
      </c>
      <c r="D53" s="1">
        <f t="shared" si="1"/>
        <v>1.268859822962082</v>
      </c>
    </row>
    <row r="54" spans="1:6" x14ac:dyDescent="0.25">
      <c r="A54" s="1">
        <v>2</v>
      </c>
      <c r="B54" s="1">
        <v>2</v>
      </c>
      <c r="C54" s="2">
        <f t="shared" si="0"/>
        <v>0</v>
      </c>
      <c r="D54" s="1">
        <f t="shared" si="1"/>
        <v>1.5986259743691375E-2</v>
      </c>
    </row>
    <row r="55" spans="1:6" x14ac:dyDescent="0.25">
      <c r="A55" s="1">
        <v>1</v>
      </c>
      <c r="B55" s="1">
        <v>1</v>
      </c>
      <c r="C55" s="2">
        <f t="shared" si="0"/>
        <v>0</v>
      </c>
      <c r="D55" s="1">
        <f t="shared" si="1"/>
        <v>1.5986259743691375E-2</v>
      </c>
    </row>
    <row r="56" spans="1:6" x14ac:dyDescent="0.25">
      <c r="A56" s="1">
        <v>2</v>
      </c>
      <c r="B56" s="1">
        <v>1</v>
      </c>
      <c r="C56" s="2">
        <f t="shared" si="0"/>
        <v>-1</v>
      </c>
      <c r="D56" s="1">
        <f t="shared" si="1"/>
        <v>0.76311269652530067</v>
      </c>
      <c r="F56" s="6" t="s">
        <v>23</v>
      </c>
    </row>
    <row r="57" spans="1:6" x14ac:dyDescent="0.25">
      <c r="A57" s="1">
        <v>1</v>
      </c>
      <c r="B57" s="1">
        <v>2</v>
      </c>
      <c r="C57" s="2">
        <f t="shared" si="0"/>
        <v>1</v>
      </c>
      <c r="D57" s="1">
        <f t="shared" si="1"/>
        <v>1.268859822962082</v>
      </c>
    </row>
    <row r="58" spans="1:6" x14ac:dyDescent="0.25">
      <c r="A58" s="1">
        <v>2</v>
      </c>
      <c r="B58" s="1">
        <v>2</v>
      </c>
      <c r="C58" s="2">
        <f t="shared" si="0"/>
        <v>0</v>
      </c>
      <c r="D58" s="1">
        <f t="shared" si="1"/>
        <v>1.5986259743691375E-2</v>
      </c>
      <c r="F58" t="s">
        <v>21</v>
      </c>
    </row>
    <row r="59" spans="1:6" x14ac:dyDescent="0.25">
      <c r="A59" s="1">
        <v>2</v>
      </c>
      <c r="B59" s="1">
        <v>1</v>
      </c>
      <c r="C59" s="2">
        <f t="shared" si="0"/>
        <v>-1</v>
      </c>
      <c r="D59" s="1">
        <f t="shared" si="1"/>
        <v>0.76311269652530067</v>
      </c>
      <c r="F59" t="s">
        <v>20</v>
      </c>
    </row>
    <row r="60" spans="1:6" x14ac:dyDescent="0.25">
      <c r="A60" s="1">
        <v>1</v>
      </c>
      <c r="B60" s="1">
        <v>1</v>
      </c>
      <c r="C60" s="2">
        <f t="shared" si="0"/>
        <v>0</v>
      </c>
      <c r="D60" s="1">
        <f t="shared" si="1"/>
        <v>1.5986259743691375E-2</v>
      </c>
      <c r="F60" t="s">
        <v>22</v>
      </c>
    </row>
    <row r="61" spans="1:6" x14ac:dyDescent="0.25">
      <c r="A61" s="1">
        <v>1</v>
      </c>
      <c r="B61" s="1">
        <v>1</v>
      </c>
      <c r="C61" s="2">
        <f t="shared" si="0"/>
        <v>0</v>
      </c>
      <c r="D61" s="1">
        <f t="shared" si="1"/>
        <v>1.5986259743691375E-2</v>
      </c>
    </row>
    <row r="62" spans="1:6" x14ac:dyDescent="0.25">
      <c r="A62" s="1">
        <v>2</v>
      </c>
      <c r="B62" s="1">
        <v>2</v>
      </c>
      <c r="C62" s="2">
        <f t="shared" si="0"/>
        <v>0</v>
      </c>
      <c r="D62" s="1">
        <f t="shared" si="1"/>
        <v>1.5986259743691375E-2</v>
      </c>
    </row>
    <row r="63" spans="1:6" x14ac:dyDescent="0.25">
      <c r="A63" s="1">
        <v>1</v>
      </c>
      <c r="B63" s="1">
        <v>1</v>
      </c>
      <c r="C63" s="2">
        <f t="shared" si="0"/>
        <v>0</v>
      </c>
      <c r="D63" s="1">
        <f t="shared" si="1"/>
        <v>1.5986259743691375E-2</v>
      </c>
    </row>
    <row r="64" spans="1:6" x14ac:dyDescent="0.25">
      <c r="A64" s="1">
        <v>1</v>
      </c>
      <c r="B64" s="1">
        <v>2</v>
      </c>
      <c r="C64" s="2">
        <f t="shared" si="0"/>
        <v>1</v>
      </c>
      <c r="D64" s="1">
        <f t="shared" si="1"/>
        <v>1.268859822962082</v>
      </c>
    </row>
    <row r="65" spans="1:6" x14ac:dyDescent="0.25">
      <c r="A65" s="1">
        <v>2</v>
      </c>
      <c r="B65" s="1">
        <v>1</v>
      </c>
      <c r="C65" s="2">
        <f t="shared" si="0"/>
        <v>-1</v>
      </c>
      <c r="D65" s="1">
        <f t="shared" si="1"/>
        <v>0.76311269652530067</v>
      </c>
      <c r="F65" s="6" t="s">
        <v>23</v>
      </c>
    </row>
    <row r="66" spans="1:6" x14ac:dyDescent="0.25">
      <c r="A66" s="1">
        <v>2</v>
      </c>
      <c r="B66" s="1">
        <v>2</v>
      </c>
      <c r="C66" s="2">
        <f t="shared" si="0"/>
        <v>0</v>
      </c>
      <c r="D66" s="1">
        <f t="shared" si="1"/>
        <v>1.5986259743691375E-2</v>
      </c>
    </row>
    <row r="67" spans="1:6" x14ac:dyDescent="0.25">
      <c r="A67" s="1">
        <v>1</v>
      </c>
      <c r="B67" s="1">
        <v>3</v>
      </c>
      <c r="C67" s="2">
        <f t="shared" ref="C67:C88" si="2">B67-A67</f>
        <v>2</v>
      </c>
      <c r="D67" s="1">
        <f t="shared" si="1"/>
        <v>4.5217333861804736</v>
      </c>
    </row>
    <row r="68" spans="1:6" x14ac:dyDescent="0.25">
      <c r="A68" s="1">
        <v>1</v>
      </c>
      <c r="B68" s="1">
        <v>2</v>
      </c>
      <c r="C68" s="2">
        <f t="shared" si="2"/>
        <v>1</v>
      </c>
      <c r="D68" s="1">
        <f t="shared" si="1"/>
        <v>1.268859822962082</v>
      </c>
    </row>
    <row r="69" spans="1:6" x14ac:dyDescent="0.25">
      <c r="A69" s="1">
        <v>2</v>
      </c>
      <c r="B69" s="1">
        <v>1</v>
      </c>
      <c r="C69" s="2">
        <f t="shared" si="2"/>
        <v>-1</v>
      </c>
      <c r="D69" s="1">
        <f t="shared" ref="D69:D88" si="3">(C69-$G$6)^2</f>
        <v>0.76311269652530067</v>
      </c>
    </row>
    <row r="70" spans="1:6" x14ac:dyDescent="0.25">
      <c r="A70" s="1">
        <v>2</v>
      </c>
      <c r="B70" s="1">
        <v>2</v>
      </c>
      <c r="C70" s="2">
        <f t="shared" si="2"/>
        <v>0</v>
      </c>
      <c r="D70" s="1">
        <f t="shared" si="3"/>
        <v>1.5986259743691375E-2</v>
      </c>
    </row>
    <row r="71" spans="1:6" x14ac:dyDescent="0.25">
      <c r="A71" s="1">
        <v>2</v>
      </c>
      <c r="B71" s="1">
        <v>1</v>
      </c>
      <c r="C71" s="2">
        <f t="shared" si="2"/>
        <v>-1</v>
      </c>
      <c r="D71" s="1">
        <f t="shared" si="3"/>
        <v>0.76311269652530067</v>
      </c>
    </row>
    <row r="72" spans="1:6" x14ac:dyDescent="0.25">
      <c r="A72" s="1">
        <v>1</v>
      </c>
      <c r="B72" s="1">
        <v>2</v>
      </c>
      <c r="C72" s="2">
        <f t="shared" si="2"/>
        <v>1</v>
      </c>
      <c r="D72" s="1">
        <f t="shared" si="3"/>
        <v>1.268859822962082</v>
      </c>
      <c r="F72" t="s">
        <v>24</v>
      </c>
    </row>
    <row r="73" spans="1:6" x14ac:dyDescent="0.25">
      <c r="A73" s="1">
        <v>4</v>
      </c>
      <c r="B73" s="1">
        <v>1</v>
      </c>
      <c r="C73" s="2">
        <f t="shared" si="2"/>
        <v>-3</v>
      </c>
      <c r="D73" s="1">
        <f t="shared" si="3"/>
        <v>8.2573655700885187</v>
      </c>
      <c r="F73" t="s">
        <v>22</v>
      </c>
    </row>
    <row r="74" spans="1:6" x14ac:dyDescent="0.25">
      <c r="A74" s="1">
        <v>1</v>
      </c>
      <c r="B74" s="1">
        <v>2</v>
      </c>
      <c r="C74" s="2">
        <f t="shared" si="2"/>
        <v>1</v>
      </c>
      <c r="D74" s="1">
        <f t="shared" si="3"/>
        <v>1.268859822962082</v>
      </c>
      <c r="F74" t="s">
        <v>24</v>
      </c>
    </row>
    <row r="75" spans="1:6" x14ac:dyDescent="0.25">
      <c r="A75" s="1">
        <v>1</v>
      </c>
      <c r="B75" s="1">
        <v>1</v>
      </c>
      <c r="C75" s="2">
        <f t="shared" si="2"/>
        <v>0</v>
      </c>
      <c r="D75" s="1">
        <f t="shared" si="3"/>
        <v>1.5986259743691375E-2</v>
      </c>
      <c r="F75" t="s">
        <v>22</v>
      </c>
    </row>
    <row r="76" spans="1:6" x14ac:dyDescent="0.25">
      <c r="A76" s="1">
        <v>1</v>
      </c>
      <c r="B76" s="1">
        <v>2</v>
      </c>
      <c r="C76" s="2">
        <f t="shared" si="2"/>
        <v>1</v>
      </c>
      <c r="D76" s="1">
        <f t="shared" si="3"/>
        <v>1.268859822962082</v>
      </c>
    </row>
    <row r="77" spans="1:6" x14ac:dyDescent="0.25">
      <c r="A77" s="1">
        <v>2</v>
      </c>
      <c r="B77" s="1">
        <v>2</v>
      </c>
      <c r="C77" s="2">
        <f t="shared" si="2"/>
        <v>0</v>
      </c>
      <c r="D77" s="1">
        <f t="shared" si="3"/>
        <v>1.5986259743691375E-2</v>
      </c>
    </row>
    <row r="78" spans="1:6" x14ac:dyDescent="0.25">
      <c r="A78" s="1">
        <v>2</v>
      </c>
      <c r="B78" s="1">
        <v>2</v>
      </c>
      <c r="C78" s="2">
        <f t="shared" si="2"/>
        <v>0</v>
      </c>
      <c r="D78" s="1">
        <f t="shared" si="3"/>
        <v>1.5986259743691375E-2</v>
      </c>
    </row>
    <row r="79" spans="1:6" x14ac:dyDescent="0.25">
      <c r="A79" s="1">
        <v>1</v>
      </c>
      <c r="B79" s="1">
        <v>1</v>
      </c>
      <c r="C79" s="2">
        <f t="shared" si="2"/>
        <v>0</v>
      </c>
      <c r="D79" s="1">
        <f t="shared" si="3"/>
        <v>1.5986259743691375E-2</v>
      </c>
    </row>
    <row r="80" spans="1:6" x14ac:dyDescent="0.25">
      <c r="A80" s="1">
        <v>2</v>
      </c>
      <c r="B80" s="1">
        <v>1</v>
      </c>
      <c r="C80" s="2">
        <f t="shared" si="2"/>
        <v>-1</v>
      </c>
      <c r="D80" s="1">
        <f t="shared" si="3"/>
        <v>0.76311269652530067</v>
      </c>
    </row>
    <row r="81" spans="1:6" x14ac:dyDescent="0.25">
      <c r="A81" s="1">
        <v>1</v>
      </c>
      <c r="B81" s="1">
        <v>2</v>
      </c>
      <c r="C81" s="2">
        <f t="shared" si="2"/>
        <v>1</v>
      </c>
      <c r="D81" s="1">
        <f t="shared" si="3"/>
        <v>1.268859822962082</v>
      </c>
    </row>
    <row r="82" spans="1:6" x14ac:dyDescent="0.25">
      <c r="A82" s="1">
        <v>4</v>
      </c>
      <c r="B82" s="1">
        <v>1</v>
      </c>
      <c r="C82" s="2">
        <f t="shared" si="2"/>
        <v>-3</v>
      </c>
      <c r="D82" s="1">
        <f t="shared" si="3"/>
        <v>8.2573655700885187</v>
      </c>
    </row>
    <row r="83" spans="1:6" x14ac:dyDescent="0.25">
      <c r="A83" s="1">
        <v>2</v>
      </c>
      <c r="B83" s="1">
        <v>2</v>
      </c>
      <c r="C83" s="2">
        <f t="shared" si="2"/>
        <v>0</v>
      </c>
      <c r="D83" s="1">
        <f t="shared" si="3"/>
        <v>1.5986259743691375E-2</v>
      </c>
    </row>
    <row r="84" spans="1:6" x14ac:dyDescent="0.25">
      <c r="A84" s="1">
        <v>2</v>
      </c>
      <c r="B84" s="1">
        <v>2</v>
      </c>
      <c r="C84" s="2">
        <f t="shared" si="2"/>
        <v>0</v>
      </c>
      <c r="D84" s="1">
        <f t="shared" si="3"/>
        <v>1.5986259743691375E-2</v>
      </c>
    </row>
    <row r="85" spans="1:6" x14ac:dyDescent="0.25">
      <c r="A85" s="1">
        <v>2</v>
      </c>
      <c r="B85" s="1">
        <v>2</v>
      </c>
      <c r="C85" s="2">
        <f t="shared" si="2"/>
        <v>0</v>
      </c>
      <c r="D85" s="1">
        <f t="shared" si="3"/>
        <v>1.5986259743691375E-2</v>
      </c>
    </row>
    <row r="86" spans="1:6" x14ac:dyDescent="0.25">
      <c r="A86" s="1">
        <v>1</v>
      </c>
      <c r="B86" s="1">
        <v>2</v>
      </c>
      <c r="C86" s="2">
        <f t="shared" si="2"/>
        <v>1</v>
      </c>
      <c r="D86" s="1">
        <f t="shared" si="3"/>
        <v>1.268859822962082</v>
      </c>
    </row>
    <row r="87" spans="1:6" x14ac:dyDescent="0.25">
      <c r="A87" s="1">
        <v>2</v>
      </c>
      <c r="B87" s="1">
        <v>2</v>
      </c>
      <c r="C87" s="2">
        <f t="shared" si="2"/>
        <v>0</v>
      </c>
      <c r="D87" s="1">
        <f t="shared" si="3"/>
        <v>1.5986259743691375E-2</v>
      </c>
    </row>
    <row r="88" spans="1:6" x14ac:dyDescent="0.25">
      <c r="A88" s="1">
        <v>1</v>
      </c>
      <c r="B88" s="1">
        <v>3</v>
      </c>
      <c r="C88" s="2">
        <f t="shared" si="2"/>
        <v>2</v>
      </c>
      <c r="D88" s="1">
        <f t="shared" si="3"/>
        <v>4.5217333861804736</v>
      </c>
    </row>
    <row r="93" spans="1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B7D5-33CD-4A51-A0F2-871161E8B20B}">
  <dimension ref="A1:G93"/>
  <sheetViews>
    <sheetView zoomScale="70" zoomScaleNormal="70" workbookViewId="0">
      <selection activeCell="C3" sqref="C3"/>
    </sheetView>
  </sheetViews>
  <sheetFormatPr baseColWidth="10" defaultColWidth="9.140625" defaultRowHeight="15" x14ac:dyDescent="0.25"/>
  <cols>
    <col min="1" max="2" width="33.4257812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05" customHeight="1" x14ac:dyDescent="0.25">
      <c r="A1" s="3" t="s">
        <v>42</v>
      </c>
      <c r="B1" s="4" t="s">
        <v>43</v>
      </c>
      <c r="C1" s="5" t="s">
        <v>1</v>
      </c>
      <c r="D1" s="5"/>
    </row>
    <row r="2" spans="1:7" x14ac:dyDescent="0.25">
      <c r="A2" s="1">
        <v>5</v>
      </c>
      <c r="B2" s="1">
        <v>2</v>
      </c>
      <c r="C2" s="2">
        <f>B2-A2</f>
        <v>-3</v>
      </c>
      <c r="D2" s="1">
        <f>(C2-$G$6)^2</f>
        <v>8.523715153917296</v>
      </c>
    </row>
    <row r="3" spans="1:7" x14ac:dyDescent="0.25">
      <c r="A3" s="1">
        <v>2</v>
      </c>
      <c r="B3" s="1">
        <v>2</v>
      </c>
      <c r="C3" s="2">
        <f t="shared" ref="C3:C66" si="0">B3-A3</f>
        <v>0</v>
      </c>
      <c r="D3" s="1">
        <f>(C3-$G$6)^2</f>
        <v>6.4737746069493986E-3</v>
      </c>
      <c r="F3" s="6" t="s">
        <v>17</v>
      </c>
      <c r="G3" s="6"/>
    </row>
    <row r="4" spans="1:7" x14ac:dyDescent="0.25">
      <c r="A4" s="1">
        <v>2</v>
      </c>
      <c r="B4" s="1">
        <v>1</v>
      </c>
      <c r="C4" s="2">
        <f t="shared" si="0"/>
        <v>-1</v>
      </c>
      <c r="D4" s="1">
        <f>(C4-$G$6)^2</f>
        <v>0.84555423437706434</v>
      </c>
      <c r="F4" t="s">
        <v>5</v>
      </c>
      <c r="G4">
        <v>87</v>
      </c>
    </row>
    <row r="5" spans="1:7" x14ac:dyDescent="0.25">
      <c r="A5" s="1">
        <v>2</v>
      </c>
      <c r="B5" s="1">
        <v>1</v>
      </c>
      <c r="C5" s="2">
        <f t="shared" si="0"/>
        <v>-1</v>
      </c>
      <c r="D5" s="1">
        <f t="shared" ref="D5:D68" si="1">(C5-$G$6)^2</f>
        <v>0.84555423437706434</v>
      </c>
      <c r="F5" t="s">
        <v>3</v>
      </c>
      <c r="G5">
        <f>SUM(C:C)</f>
        <v>-7</v>
      </c>
    </row>
    <row r="6" spans="1:7" x14ac:dyDescent="0.25">
      <c r="A6" s="1">
        <v>2</v>
      </c>
      <c r="B6" s="1">
        <v>3</v>
      </c>
      <c r="C6" s="2">
        <f t="shared" si="0"/>
        <v>1</v>
      </c>
      <c r="D6" s="1">
        <f t="shared" si="1"/>
        <v>1.1673933148368345</v>
      </c>
      <c r="F6" t="s">
        <v>2</v>
      </c>
      <c r="G6">
        <f>G5/G4</f>
        <v>-8.0459770114942528E-2</v>
      </c>
    </row>
    <row r="7" spans="1:7" x14ac:dyDescent="0.25">
      <c r="A7" s="1">
        <v>1</v>
      </c>
      <c r="B7" s="1">
        <v>1</v>
      </c>
      <c r="C7" s="2">
        <f t="shared" si="0"/>
        <v>0</v>
      </c>
      <c r="D7" s="1">
        <f t="shared" si="1"/>
        <v>6.4737746069493986E-3</v>
      </c>
      <c r="F7" t="s">
        <v>4</v>
      </c>
      <c r="G7">
        <f>SUM(D:D)</f>
        <v>168.43678160919524</v>
      </c>
    </row>
    <row r="8" spans="1:7" x14ac:dyDescent="0.25">
      <c r="A8" s="1">
        <v>2</v>
      </c>
      <c r="B8" s="1">
        <v>1</v>
      </c>
      <c r="C8" s="2">
        <f t="shared" si="0"/>
        <v>-1</v>
      </c>
      <c r="D8" s="1">
        <f t="shared" si="1"/>
        <v>0.84555423437706434</v>
      </c>
      <c r="F8" t="s">
        <v>6</v>
      </c>
      <c r="G8">
        <f>SQRT(G7/(G4-1))</f>
        <v>1.3994882021703141</v>
      </c>
    </row>
    <row r="9" spans="1:7" x14ac:dyDescent="0.25">
      <c r="A9" s="1">
        <v>2</v>
      </c>
      <c r="B9" s="1">
        <v>1</v>
      </c>
      <c r="C9" s="2">
        <f t="shared" si="0"/>
        <v>-1</v>
      </c>
      <c r="D9" s="1">
        <f t="shared" si="1"/>
        <v>0.84555423437706434</v>
      </c>
    </row>
    <row r="10" spans="1:7" x14ac:dyDescent="0.25">
      <c r="A10" s="1">
        <v>4</v>
      </c>
      <c r="B10" s="1">
        <v>1</v>
      </c>
      <c r="C10" s="2">
        <f t="shared" si="0"/>
        <v>-3</v>
      </c>
      <c r="D10" s="1">
        <f t="shared" si="1"/>
        <v>8.523715153917296</v>
      </c>
    </row>
    <row r="11" spans="1:7" x14ac:dyDescent="0.25">
      <c r="A11" s="1">
        <v>2</v>
      </c>
      <c r="B11" s="1">
        <v>1</v>
      </c>
      <c r="C11" s="2">
        <f t="shared" si="0"/>
        <v>-1</v>
      </c>
      <c r="D11" s="1">
        <f t="shared" si="1"/>
        <v>0.84555423437706434</v>
      </c>
    </row>
    <row r="12" spans="1:7" x14ac:dyDescent="0.25">
      <c r="A12" s="1">
        <v>2</v>
      </c>
      <c r="B12" s="1">
        <v>2</v>
      </c>
      <c r="C12" s="2">
        <f t="shared" si="0"/>
        <v>0</v>
      </c>
      <c r="D12" s="1">
        <f t="shared" si="1"/>
        <v>6.4737746069493986E-3</v>
      </c>
      <c r="F12" t="s">
        <v>12</v>
      </c>
      <c r="G12">
        <f>G6/(G8/SQRT(G4))</f>
        <v>-0.53625230510883948</v>
      </c>
    </row>
    <row r="13" spans="1:7" x14ac:dyDescent="0.25">
      <c r="A13" s="1">
        <v>1</v>
      </c>
      <c r="B13" s="1">
        <v>2</v>
      </c>
      <c r="C13" s="2">
        <f t="shared" si="0"/>
        <v>1</v>
      </c>
      <c r="D13" s="1">
        <f t="shared" si="1"/>
        <v>1.1673933148368345</v>
      </c>
    </row>
    <row r="14" spans="1:7" x14ac:dyDescent="0.25">
      <c r="A14" s="1">
        <v>1</v>
      </c>
      <c r="B14" s="1">
        <v>1</v>
      </c>
      <c r="C14" s="2">
        <f t="shared" si="0"/>
        <v>0</v>
      </c>
      <c r="D14" s="1">
        <f t="shared" si="1"/>
        <v>6.4737746069493986E-3</v>
      </c>
    </row>
    <row r="15" spans="1:7" x14ac:dyDescent="0.25">
      <c r="A15" s="1">
        <v>2</v>
      </c>
      <c r="B15" s="1">
        <v>2</v>
      </c>
      <c r="C15" s="2">
        <f t="shared" si="0"/>
        <v>0</v>
      </c>
      <c r="D15" s="1">
        <f t="shared" si="1"/>
        <v>6.4737746069493986E-3</v>
      </c>
    </row>
    <row r="16" spans="1:7" x14ac:dyDescent="0.25">
      <c r="A16" s="1">
        <v>1</v>
      </c>
      <c r="B16" s="1">
        <v>1</v>
      </c>
      <c r="C16" s="2">
        <f t="shared" si="0"/>
        <v>0</v>
      </c>
      <c r="D16" s="1">
        <f t="shared" si="1"/>
        <v>6.4737746069493986E-3</v>
      </c>
    </row>
    <row r="17" spans="1:7" x14ac:dyDescent="0.25">
      <c r="A17" s="1">
        <v>2</v>
      </c>
      <c r="B17" s="1">
        <v>1</v>
      </c>
      <c r="C17" s="2">
        <f t="shared" si="0"/>
        <v>-1</v>
      </c>
      <c r="D17" s="1">
        <f t="shared" si="1"/>
        <v>0.84555423437706434</v>
      </c>
      <c r="F17" t="s">
        <v>7</v>
      </c>
      <c r="G17">
        <v>0.05</v>
      </c>
    </row>
    <row r="18" spans="1:7" x14ac:dyDescent="0.25">
      <c r="A18" s="1">
        <v>1</v>
      </c>
      <c r="B18" s="1">
        <v>2</v>
      </c>
      <c r="C18" s="2">
        <f t="shared" si="0"/>
        <v>1</v>
      </c>
      <c r="D18" s="1">
        <f t="shared" si="1"/>
        <v>1.1673933148368345</v>
      </c>
      <c r="F18" t="s">
        <v>8</v>
      </c>
      <c r="G18">
        <f>G4-1</f>
        <v>86</v>
      </c>
    </row>
    <row r="19" spans="1:7" x14ac:dyDescent="0.25">
      <c r="A19" s="1">
        <v>1</v>
      </c>
      <c r="B19" s="1">
        <v>2</v>
      </c>
      <c r="C19" s="2">
        <f t="shared" si="0"/>
        <v>1</v>
      </c>
      <c r="D19" s="1">
        <f t="shared" si="1"/>
        <v>1.1673933148368345</v>
      </c>
    </row>
    <row r="20" spans="1:7" x14ac:dyDescent="0.25">
      <c r="A20" s="1">
        <v>3</v>
      </c>
      <c r="B20" s="1">
        <v>2</v>
      </c>
      <c r="C20" s="2">
        <f t="shared" si="0"/>
        <v>-1</v>
      </c>
      <c r="D20" s="1">
        <f t="shared" si="1"/>
        <v>0.84555423437706434</v>
      </c>
    </row>
    <row r="21" spans="1:7" x14ac:dyDescent="0.25">
      <c r="A21" s="1">
        <v>1</v>
      </c>
      <c r="B21" s="1">
        <v>4</v>
      </c>
      <c r="C21" s="2">
        <f t="shared" si="0"/>
        <v>3</v>
      </c>
      <c r="D21" s="1">
        <f t="shared" si="1"/>
        <v>9.4892323952966038</v>
      </c>
    </row>
    <row r="22" spans="1:7" x14ac:dyDescent="0.25">
      <c r="A22" s="1">
        <v>1</v>
      </c>
      <c r="B22" s="1">
        <v>2</v>
      </c>
      <c r="C22" s="2">
        <f t="shared" si="0"/>
        <v>1</v>
      </c>
      <c r="D22" s="1">
        <f t="shared" si="1"/>
        <v>1.1673933148368345</v>
      </c>
      <c r="F22" s="6" t="s">
        <v>9</v>
      </c>
      <c r="G22" s="6"/>
    </row>
    <row r="23" spans="1:7" x14ac:dyDescent="0.25">
      <c r="A23" s="1">
        <v>2</v>
      </c>
      <c r="B23" s="1">
        <v>1</v>
      </c>
      <c r="C23" s="2">
        <f t="shared" si="0"/>
        <v>-1</v>
      </c>
      <c r="D23" s="1">
        <f t="shared" si="1"/>
        <v>0.84555423437706434</v>
      </c>
      <c r="F23" t="s">
        <v>26</v>
      </c>
      <c r="G23">
        <f>_xlfn.T.INV.2T(G17,G18)</f>
        <v>1.987934206239018</v>
      </c>
    </row>
    <row r="24" spans="1:7" x14ac:dyDescent="0.25">
      <c r="A24" s="1">
        <v>2</v>
      </c>
      <c r="B24" s="1">
        <v>1</v>
      </c>
      <c r="C24" s="2">
        <f t="shared" si="0"/>
        <v>-1</v>
      </c>
      <c r="D24" s="1">
        <f t="shared" si="1"/>
        <v>0.84555423437706434</v>
      </c>
      <c r="F24" t="s">
        <v>27</v>
      </c>
      <c r="G24">
        <f>_xlfn.T.INV(G17,G18)</f>
        <v>-1.662765449409072</v>
      </c>
    </row>
    <row r="25" spans="1:7" x14ac:dyDescent="0.25">
      <c r="A25" s="1">
        <v>2</v>
      </c>
      <c r="B25" s="1">
        <v>1</v>
      </c>
      <c r="C25" s="2">
        <f t="shared" si="0"/>
        <v>-1</v>
      </c>
      <c r="D25" s="1">
        <f t="shared" si="1"/>
        <v>0.84555423437706434</v>
      </c>
    </row>
    <row r="26" spans="1:7" x14ac:dyDescent="0.25">
      <c r="A26" s="1">
        <v>1</v>
      </c>
      <c r="B26" s="1">
        <v>1</v>
      </c>
      <c r="C26" s="2">
        <f t="shared" si="0"/>
        <v>0</v>
      </c>
      <c r="D26" s="1">
        <f t="shared" si="1"/>
        <v>6.4737746069493986E-3</v>
      </c>
    </row>
    <row r="27" spans="1:7" x14ac:dyDescent="0.25">
      <c r="A27" s="1">
        <v>2</v>
      </c>
      <c r="B27" s="1">
        <v>2</v>
      </c>
      <c r="C27" s="2">
        <f t="shared" si="0"/>
        <v>0</v>
      </c>
      <c r="D27" s="1">
        <f t="shared" si="1"/>
        <v>6.4737746069493986E-3</v>
      </c>
    </row>
    <row r="28" spans="1:7" x14ac:dyDescent="0.25">
      <c r="A28" s="1">
        <v>1</v>
      </c>
      <c r="B28" s="1">
        <v>1</v>
      </c>
      <c r="C28" s="2">
        <f t="shared" si="0"/>
        <v>0</v>
      </c>
      <c r="D28" s="1">
        <f t="shared" si="1"/>
        <v>6.4737746069493986E-3</v>
      </c>
    </row>
    <row r="29" spans="1:7" x14ac:dyDescent="0.25">
      <c r="A29" s="1">
        <v>1</v>
      </c>
      <c r="B29" s="1">
        <v>2</v>
      </c>
      <c r="C29" s="2">
        <f t="shared" si="0"/>
        <v>1</v>
      </c>
      <c r="D29" s="1">
        <f t="shared" si="1"/>
        <v>1.1673933148368345</v>
      </c>
    </row>
    <row r="30" spans="1:7" x14ac:dyDescent="0.25">
      <c r="A30" s="1">
        <v>5</v>
      </c>
      <c r="B30" s="1">
        <v>2</v>
      </c>
      <c r="C30" s="2">
        <f t="shared" si="0"/>
        <v>-3</v>
      </c>
      <c r="D30" s="1">
        <f t="shared" si="1"/>
        <v>8.523715153917296</v>
      </c>
    </row>
    <row r="31" spans="1:7" x14ac:dyDescent="0.25">
      <c r="A31" s="1">
        <v>4</v>
      </c>
      <c r="B31" s="1">
        <v>5</v>
      </c>
      <c r="C31" s="2">
        <f t="shared" si="0"/>
        <v>1</v>
      </c>
      <c r="D31" s="1">
        <f t="shared" si="1"/>
        <v>1.1673933148368345</v>
      </c>
    </row>
    <row r="32" spans="1:7" x14ac:dyDescent="0.25">
      <c r="A32" s="1">
        <v>4</v>
      </c>
      <c r="B32" s="1">
        <v>2</v>
      </c>
      <c r="C32" s="2">
        <f t="shared" si="0"/>
        <v>-2</v>
      </c>
      <c r="D32" s="1">
        <f t="shared" si="1"/>
        <v>3.6846346941471793</v>
      </c>
    </row>
    <row r="33" spans="1:7" x14ac:dyDescent="0.25">
      <c r="A33" s="1">
        <v>2</v>
      </c>
      <c r="B33" s="1">
        <v>4</v>
      </c>
      <c r="C33" s="2">
        <f t="shared" si="0"/>
        <v>2</v>
      </c>
      <c r="D33" s="1">
        <f t="shared" si="1"/>
        <v>4.3283128550667183</v>
      </c>
    </row>
    <row r="34" spans="1:7" x14ac:dyDescent="0.25">
      <c r="A34" s="1">
        <v>2</v>
      </c>
      <c r="B34" s="1">
        <v>1</v>
      </c>
      <c r="C34" s="2">
        <f t="shared" si="0"/>
        <v>-1</v>
      </c>
      <c r="D34" s="1">
        <f t="shared" si="1"/>
        <v>0.84555423437706434</v>
      </c>
      <c r="F34" t="s">
        <v>10</v>
      </c>
    </row>
    <row r="35" spans="1:7" x14ac:dyDescent="0.25">
      <c r="A35" s="1">
        <v>2</v>
      </c>
      <c r="B35" s="1">
        <v>1</v>
      </c>
      <c r="C35" s="2">
        <f t="shared" si="0"/>
        <v>-1</v>
      </c>
      <c r="D35" s="1">
        <f t="shared" si="1"/>
        <v>0.84555423437706434</v>
      </c>
      <c r="F35" t="s">
        <v>11</v>
      </c>
    </row>
    <row r="36" spans="1:7" x14ac:dyDescent="0.25">
      <c r="A36" s="1">
        <v>2</v>
      </c>
      <c r="B36" s="1">
        <v>2</v>
      </c>
      <c r="C36" s="2">
        <f t="shared" si="0"/>
        <v>0</v>
      </c>
      <c r="D36" s="1">
        <f t="shared" si="1"/>
        <v>6.4737746069493986E-3</v>
      </c>
    </row>
    <row r="37" spans="1:7" x14ac:dyDescent="0.25">
      <c r="A37" s="1">
        <v>1</v>
      </c>
      <c r="B37" s="1">
        <v>1</v>
      </c>
      <c r="C37" s="2">
        <f t="shared" si="0"/>
        <v>0</v>
      </c>
      <c r="D37" s="1">
        <f t="shared" si="1"/>
        <v>6.4737746069493986E-3</v>
      </c>
    </row>
    <row r="38" spans="1:7" x14ac:dyDescent="0.25">
      <c r="A38" s="1">
        <v>3</v>
      </c>
      <c r="B38" s="1">
        <v>2</v>
      </c>
      <c r="C38" s="2">
        <f t="shared" si="0"/>
        <v>-1</v>
      </c>
      <c r="D38" s="1">
        <f t="shared" si="1"/>
        <v>0.84555423437706434</v>
      </c>
    </row>
    <row r="39" spans="1:7" x14ac:dyDescent="0.25">
      <c r="A39" s="1">
        <v>1</v>
      </c>
      <c r="B39" s="1">
        <v>2</v>
      </c>
      <c r="C39" s="2">
        <f t="shared" si="0"/>
        <v>1</v>
      </c>
      <c r="D39" s="1">
        <f t="shared" si="1"/>
        <v>1.1673933148368345</v>
      </c>
      <c r="F39" s="6" t="s">
        <v>13</v>
      </c>
      <c r="G39" s="6"/>
    </row>
    <row r="40" spans="1:7" x14ac:dyDescent="0.25">
      <c r="A40" s="1">
        <v>1</v>
      </c>
      <c r="B40" s="1">
        <v>4</v>
      </c>
      <c r="C40" s="2">
        <f t="shared" si="0"/>
        <v>3</v>
      </c>
      <c r="D40" s="1">
        <f t="shared" si="1"/>
        <v>9.4892323952966038</v>
      </c>
      <c r="F40" t="s">
        <v>13</v>
      </c>
    </row>
    <row r="41" spans="1:7" x14ac:dyDescent="0.25">
      <c r="A41" s="1">
        <v>2</v>
      </c>
      <c r="B41" s="1">
        <v>3</v>
      </c>
      <c r="C41" s="2">
        <f t="shared" si="0"/>
        <v>1</v>
      </c>
      <c r="D41" s="1">
        <f t="shared" si="1"/>
        <v>1.1673933148368345</v>
      </c>
      <c r="F41" t="s">
        <v>25</v>
      </c>
      <c r="G41">
        <f>TTEST(A:A,B:B,2,1)</f>
        <v>0.5931685839779588</v>
      </c>
    </row>
    <row r="42" spans="1:7" x14ac:dyDescent="0.25">
      <c r="A42" s="1">
        <v>1</v>
      </c>
      <c r="B42" s="1">
        <v>4</v>
      </c>
      <c r="C42" s="2">
        <f t="shared" si="0"/>
        <v>3</v>
      </c>
      <c r="D42" s="1">
        <f t="shared" si="1"/>
        <v>9.4892323952966038</v>
      </c>
      <c r="F42" t="s">
        <v>29</v>
      </c>
      <c r="G42">
        <f>TTEST(A:A,B:B,1,1)</f>
        <v>0.2965842919889794</v>
      </c>
    </row>
    <row r="43" spans="1:7" x14ac:dyDescent="0.25">
      <c r="A43" s="1">
        <v>1</v>
      </c>
      <c r="B43" s="1">
        <v>2</v>
      </c>
      <c r="C43" s="2">
        <f t="shared" si="0"/>
        <v>1</v>
      </c>
      <c r="D43" s="1">
        <f t="shared" si="1"/>
        <v>1.1673933148368345</v>
      </c>
    </row>
    <row r="44" spans="1:7" x14ac:dyDescent="0.25">
      <c r="A44" s="1">
        <v>1</v>
      </c>
      <c r="B44" s="1">
        <v>1</v>
      </c>
      <c r="C44" s="2">
        <f t="shared" si="0"/>
        <v>0</v>
      </c>
      <c r="D44" s="1">
        <f t="shared" si="1"/>
        <v>6.4737746069493986E-3</v>
      </c>
    </row>
    <row r="45" spans="1:7" x14ac:dyDescent="0.25">
      <c r="A45" s="1">
        <v>2</v>
      </c>
      <c r="B45" s="1">
        <v>2</v>
      </c>
      <c r="C45" s="2">
        <f t="shared" si="0"/>
        <v>0</v>
      </c>
      <c r="D45" s="1">
        <f t="shared" si="1"/>
        <v>6.4737746069493986E-3</v>
      </c>
      <c r="F45" s="6" t="s">
        <v>16</v>
      </c>
      <c r="G45" s="6"/>
    </row>
    <row r="46" spans="1:7" x14ac:dyDescent="0.25">
      <c r="A46" s="1">
        <v>1</v>
      </c>
      <c r="B46" s="1">
        <v>2</v>
      </c>
      <c r="C46" s="2">
        <f t="shared" si="0"/>
        <v>1</v>
      </c>
      <c r="D46" s="1">
        <f t="shared" si="1"/>
        <v>1.1673933148368345</v>
      </c>
    </row>
    <row r="47" spans="1:7" x14ac:dyDescent="0.25">
      <c r="A47" s="1">
        <v>1</v>
      </c>
      <c r="B47" s="1">
        <v>2</v>
      </c>
      <c r="C47" s="2">
        <f t="shared" si="0"/>
        <v>1</v>
      </c>
      <c r="D47" s="1">
        <f t="shared" si="1"/>
        <v>1.1673933148368345</v>
      </c>
      <c r="F47" t="s">
        <v>14</v>
      </c>
    </row>
    <row r="48" spans="1:7" x14ac:dyDescent="0.25">
      <c r="A48" s="1">
        <v>2</v>
      </c>
      <c r="B48" s="1">
        <v>2</v>
      </c>
      <c r="C48" s="2">
        <f t="shared" si="0"/>
        <v>0</v>
      </c>
      <c r="D48" s="1">
        <f t="shared" si="1"/>
        <v>6.4737746069493986E-3</v>
      </c>
      <c r="F48" t="s">
        <v>15</v>
      </c>
    </row>
    <row r="49" spans="1:6" x14ac:dyDescent="0.25">
      <c r="A49" s="1">
        <v>2</v>
      </c>
      <c r="B49" s="1">
        <v>2</v>
      </c>
      <c r="C49" s="2">
        <f t="shared" si="0"/>
        <v>0</v>
      </c>
      <c r="D49" s="1">
        <f t="shared" si="1"/>
        <v>6.4737746069493986E-3</v>
      </c>
    </row>
    <row r="50" spans="1:6" x14ac:dyDescent="0.25">
      <c r="A50" s="1">
        <v>1</v>
      </c>
      <c r="B50" s="1">
        <v>1</v>
      </c>
      <c r="C50" s="2">
        <f t="shared" si="0"/>
        <v>0</v>
      </c>
      <c r="D50" s="1">
        <f t="shared" si="1"/>
        <v>6.4737746069493986E-3</v>
      </c>
      <c r="F50" t="s">
        <v>18</v>
      </c>
    </row>
    <row r="51" spans="1:6" x14ac:dyDescent="0.25">
      <c r="A51" s="1">
        <v>2</v>
      </c>
      <c r="B51" s="1">
        <v>1</v>
      </c>
      <c r="C51" s="2">
        <f t="shared" si="0"/>
        <v>-1</v>
      </c>
      <c r="D51" s="1">
        <f t="shared" si="1"/>
        <v>0.84555423437706434</v>
      </c>
      <c r="F51" t="s">
        <v>19</v>
      </c>
    </row>
    <row r="52" spans="1:6" x14ac:dyDescent="0.25">
      <c r="A52" s="1">
        <v>2</v>
      </c>
      <c r="B52" s="1">
        <v>1</v>
      </c>
      <c r="C52" s="2">
        <f t="shared" si="0"/>
        <v>-1</v>
      </c>
      <c r="D52" s="1">
        <f t="shared" si="1"/>
        <v>0.84555423437706434</v>
      </c>
    </row>
    <row r="53" spans="1:6" x14ac:dyDescent="0.25">
      <c r="A53" s="1">
        <v>2</v>
      </c>
      <c r="B53" s="1">
        <v>2</v>
      </c>
      <c r="C53" s="2">
        <f t="shared" si="0"/>
        <v>0</v>
      </c>
      <c r="D53" s="1">
        <f t="shared" si="1"/>
        <v>6.4737746069493986E-3</v>
      </c>
    </row>
    <row r="54" spans="1:6" x14ac:dyDescent="0.25">
      <c r="A54" s="1">
        <v>2</v>
      </c>
      <c r="B54" s="1">
        <v>2</v>
      </c>
      <c r="C54" s="2">
        <f t="shared" si="0"/>
        <v>0</v>
      </c>
      <c r="D54" s="1">
        <f t="shared" si="1"/>
        <v>6.4737746069493986E-3</v>
      </c>
    </row>
    <row r="55" spans="1:6" x14ac:dyDescent="0.25">
      <c r="A55" s="1">
        <v>2</v>
      </c>
      <c r="B55" s="1">
        <v>1</v>
      </c>
      <c r="C55" s="2">
        <f t="shared" si="0"/>
        <v>-1</v>
      </c>
      <c r="D55" s="1">
        <f t="shared" si="1"/>
        <v>0.84555423437706434</v>
      </c>
    </row>
    <row r="56" spans="1:6" x14ac:dyDescent="0.25">
      <c r="A56" s="1">
        <v>2</v>
      </c>
      <c r="B56" s="1">
        <v>1</v>
      </c>
      <c r="C56" s="2">
        <f t="shared" si="0"/>
        <v>-1</v>
      </c>
      <c r="D56" s="1">
        <f t="shared" si="1"/>
        <v>0.84555423437706434</v>
      </c>
      <c r="F56" s="6" t="s">
        <v>23</v>
      </c>
    </row>
    <row r="57" spans="1:6" x14ac:dyDescent="0.25">
      <c r="A57" s="1">
        <v>4</v>
      </c>
      <c r="B57" s="1">
        <v>2</v>
      </c>
      <c r="C57" s="2">
        <f t="shared" si="0"/>
        <v>-2</v>
      </c>
      <c r="D57" s="1">
        <f t="shared" si="1"/>
        <v>3.6846346941471793</v>
      </c>
    </row>
    <row r="58" spans="1:6" x14ac:dyDescent="0.25">
      <c r="A58" s="1">
        <v>2</v>
      </c>
      <c r="B58" s="1">
        <v>2</v>
      </c>
      <c r="C58" s="2">
        <f t="shared" si="0"/>
        <v>0</v>
      </c>
      <c r="D58" s="1">
        <f t="shared" si="1"/>
        <v>6.4737746069493986E-3</v>
      </c>
      <c r="F58" t="s">
        <v>21</v>
      </c>
    </row>
    <row r="59" spans="1:6" x14ac:dyDescent="0.25">
      <c r="A59" s="1">
        <v>2</v>
      </c>
      <c r="B59" s="1">
        <v>1</v>
      </c>
      <c r="C59" s="2">
        <f t="shared" si="0"/>
        <v>-1</v>
      </c>
      <c r="D59" s="1">
        <f t="shared" si="1"/>
        <v>0.84555423437706434</v>
      </c>
      <c r="F59" t="s">
        <v>20</v>
      </c>
    </row>
    <row r="60" spans="1:6" x14ac:dyDescent="0.25">
      <c r="A60" s="1">
        <v>1</v>
      </c>
      <c r="B60" s="1">
        <v>1</v>
      </c>
      <c r="C60" s="2">
        <f t="shared" si="0"/>
        <v>0</v>
      </c>
      <c r="D60" s="1">
        <f t="shared" si="1"/>
        <v>6.4737746069493986E-3</v>
      </c>
      <c r="F60" t="s">
        <v>22</v>
      </c>
    </row>
    <row r="61" spans="1:6" x14ac:dyDescent="0.25">
      <c r="A61" s="1">
        <v>1</v>
      </c>
      <c r="B61" s="1">
        <v>2</v>
      </c>
      <c r="C61" s="2">
        <f t="shared" si="0"/>
        <v>1</v>
      </c>
      <c r="D61" s="1">
        <f t="shared" si="1"/>
        <v>1.1673933148368345</v>
      </c>
    </row>
    <row r="62" spans="1:6" x14ac:dyDescent="0.25">
      <c r="A62" s="1">
        <v>2</v>
      </c>
      <c r="B62" s="1">
        <v>2</v>
      </c>
      <c r="C62" s="2">
        <f t="shared" si="0"/>
        <v>0</v>
      </c>
      <c r="D62" s="1">
        <f t="shared" si="1"/>
        <v>6.4737746069493986E-3</v>
      </c>
    </row>
    <row r="63" spans="1:6" x14ac:dyDescent="0.25">
      <c r="A63" s="1">
        <v>1</v>
      </c>
      <c r="B63" s="1">
        <v>1</v>
      </c>
      <c r="C63" s="2">
        <f t="shared" si="0"/>
        <v>0</v>
      </c>
      <c r="D63" s="1">
        <f t="shared" si="1"/>
        <v>6.4737746069493986E-3</v>
      </c>
    </row>
    <row r="64" spans="1:6" x14ac:dyDescent="0.25">
      <c r="A64" s="1">
        <v>5</v>
      </c>
      <c r="B64" s="1">
        <v>2</v>
      </c>
      <c r="C64" s="2">
        <f t="shared" si="0"/>
        <v>-3</v>
      </c>
      <c r="D64" s="1">
        <f t="shared" si="1"/>
        <v>8.523715153917296</v>
      </c>
    </row>
    <row r="65" spans="1:6" x14ac:dyDescent="0.25">
      <c r="A65" s="1">
        <v>2</v>
      </c>
      <c r="B65" s="1">
        <v>1</v>
      </c>
      <c r="C65" s="2">
        <f t="shared" si="0"/>
        <v>-1</v>
      </c>
      <c r="D65" s="1">
        <f t="shared" si="1"/>
        <v>0.84555423437706434</v>
      </c>
      <c r="F65" s="6" t="s">
        <v>23</v>
      </c>
    </row>
    <row r="66" spans="1:6" x14ac:dyDescent="0.25">
      <c r="A66" s="1">
        <v>2</v>
      </c>
      <c r="B66" s="1">
        <v>2</v>
      </c>
      <c r="C66" s="2">
        <f t="shared" si="0"/>
        <v>0</v>
      </c>
      <c r="D66" s="1">
        <f t="shared" si="1"/>
        <v>6.4737746069493986E-3</v>
      </c>
    </row>
    <row r="67" spans="1:6" x14ac:dyDescent="0.25">
      <c r="A67" s="1">
        <v>2</v>
      </c>
      <c r="B67" s="1">
        <v>5</v>
      </c>
      <c r="C67" s="2">
        <f t="shared" ref="C67:C88" si="2">B67-A67</f>
        <v>3</v>
      </c>
      <c r="D67" s="1">
        <f t="shared" si="1"/>
        <v>9.4892323952966038</v>
      </c>
    </row>
    <row r="68" spans="1:6" x14ac:dyDescent="0.25">
      <c r="A68" s="1">
        <v>1</v>
      </c>
      <c r="B68" s="1">
        <v>2</v>
      </c>
      <c r="C68" s="2">
        <f t="shared" si="2"/>
        <v>1</v>
      </c>
      <c r="D68" s="1">
        <f t="shared" si="1"/>
        <v>1.1673933148368345</v>
      </c>
    </row>
    <row r="69" spans="1:6" x14ac:dyDescent="0.25">
      <c r="A69" s="1">
        <v>1</v>
      </c>
      <c r="B69" s="1">
        <v>1</v>
      </c>
      <c r="C69" s="2">
        <f t="shared" si="2"/>
        <v>0</v>
      </c>
      <c r="D69" s="1">
        <f t="shared" ref="D69:D88" si="3">(C69-$G$6)^2</f>
        <v>6.4737746069493986E-3</v>
      </c>
    </row>
    <row r="70" spans="1:6" x14ac:dyDescent="0.25">
      <c r="A70" s="1">
        <v>2</v>
      </c>
      <c r="B70" s="1">
        <v>2</v>
      </c>
      <c r="C70" s="2">
        <f t="shared" si="2"/>
        <v>0</v>
      </c>
      <c r="D70" s="1">
        <f t="shared" si="3"/>
        <v>6.4737746069493986E-3</v>
      </c>
    </row>
    <row r="71" spans="1:6" x14ac:dyDescent="0.25">
      <c r="A71" s="1">
        <v>2</v>
      </c>
      <c r="B71" s="1">
        <v>4</v>
      </c>
      <c r="C71" s="2">
        <f t="shared" si="2"/>
        <v>2</v>
      </c>
      <c r="D71" s="1">
        <f t="shared" si="3"/>
        <v>4.3283128550667183</v>
      </c>
    </row>
    <row r="72" spans="1:6" x14ac:dyDescent="0.25">
      <c r="A72" s="1">
        <v>1</v>
      </c>
      <c r="B72" s="1">
        <v>5</v>
      </c>
      <c r="C72" s="2">
        <f t="shared" si="2"/>
        <v>4</v>
      </c>
      <c r="D72" s="1">
        <f t="shared" si="3"/>
        <v>16.650151935526491</v>
      </c>
      <c r="F72" t="s">
        <v>24</v>
      </c>
    </row>
    <row r="73" spans="1:6" x14ac:dyDescent="0.25">
      <c r="A73" s="1">
        <v>3</v>
      </c>
      <c r="B73" s="1">
        <v>1</v>
      </c>
      <c r="C73" s="2">
        <f t="shared" si="2"/>
        <v>-2</v>
      </c>
      <c r="D73" s="1">
        <f t="shared" si="3"/>
        <v>3.6846346941471793</v>
      </c>
      <c r="F73" t="s">
        <v>22</v>
      </c>
    </row>
    <row r="74" spans="1:6" x14ac:dyDescent="0.25">
      <c r="A74" s="1">
        <v>1</v>
      </c>
      <c r="B74" s="1">
        <v>2</v>
      </c>
      <c r="C74" s="2">
        <f t="shared" si="2"/>
        <v>1</v>
      </c>
      <c r="D74" s="1">
        <f t="shared" si="3"/>
        <v>1.1673933148368345</v>
      </c>
      <c r="F74" t="s">
        <v>24</v>
      </c>
    </row>
    <row r="75" spans="1:6" x14ac:dyDescent="0.25">
      <c r="A75" s="1">
        <v>1</v>
      </c>
      <c r="B75" s="1">
        <v>1</v>
      </c>
      <c r="C75" s="2">
        <f t="shared" si="2"/>
        <v>0</v>
      </c>
      <c r="D75" s="1">
        <f t="shared" si="3"/>
        <v>6.4737746069493986E-3</v>
      </c>
      <c r="F75" t="s">
        <v>22</v>
      </c>
    </row>
    <row r="76" spans="1:6" x14ac:dyDescent="0.25">
      <c r="A76" s="1">
        <v>1</v>
      </c>
      <c r="B76" s="1">
        <v>2</v>
      </c>
      <c r="C76" s="2">
        <f t="shared" si="2"/>
        <v>1</v>
      </c>
      <c r="D76" s="1">
        <f t="shared" si="3"/>
        <v>1.1673933148368345</v>
      </c>
    </row>
    <row r="77" spans="1:6" x14ac:dyDescent="0.25">
      <c r="A77" s="1">
        <v>4</v>
      </c>
      <c r="B77" s="1">
        <v>2</v>
      </c>
      <c r="C77" s="2">
        <f t="shared" si="2"/>
        <v>-2</v>
      </c>
      <c r="D77" s="1">
        <f t="shared" si="3"/>
        <v>3.6846346941471793</v>
      </c>
    </row>
    <row r="78" spans="1:6" x14ac:dyDescent="0.25">
      <c r="A78" s="1">
        <v>2</v>
      </c>
      <c r="B78" s="1">
        <v>2</v>
      </c>
      <c r="C78" s="2">
        <f t="shared" si="2"/>
        <v>0</v>
      </c>
      <c r="D78" s="1">
        <f t="shared" si="3"/>
        <v>6.4737746069493986E-3</v>
      </c>
    </row>
    <row r="79" spans="1:6" x14ac:dyDescent="0.25">
      <c r="A79" s="1">
        <v>1</v>
      </c>
      <c r="B79" s="1">
        <v>1</v>
      </c>
      <c r="C79" s="2">
        <f t="shared" si="2"/>
        <v>0</v>
      </c>
      <c r="D79" s="1">
        <f t="shared" si="3"/>
        <v>6.4737746069493986E-3</v>
      </c>
    </row>
    <row r="80" spans="1:6" x14ac:dyDescent="0.25">
      <c r="A80" s="1">
        <v>4</v>
      </c>
      <c r="B80" s="1">
        <v>1</v>
      </c>
      <c r="C80" s="2">
        <f t="shared" si="2"/>
        <v>-3</v>
      </c>
      <c r="D80" s="1">
        <f t="shared" si="3"/>
        <v>8.523715153917296</v>
      </c>
    </row>
    <row r="81" spans="1:6" x14ac:dyDescent="0.25">
      <c r="A81" s="1">
        <v>1</v>
      </c>
      <c r="B81" s="1">
        <v>2</v>
      </c>
      <c r="C81" s="2">
        <f t="shared" si="2"/>
        <v>1</v>
      </c>
      <c r="D81" s="1">
        <f t="shared" si="3"/>
        <v>1.1673933148368345</v>
      </c>
    </row>
    <row r="82" spans="1:6" x14ac:dyDescent="0.25">
      <c r="A82" s="1">
        <v>4</v>
      </c>
      <c r="B82" s="1">
        <v>1</v>
      </c>
      <c r="C82" s="2">
        <f t="shared" si="2"/>
        <v>-3</v>
      </c>
      <c r="D82" s="1">
        <f t="shared" si="3"/>
        <v>8.523715153917296</v>
      </c>
    </row>
    <row r="83" spans="1:6" x14ac:dyDescent="0.25">
      <c r="A83" s="1">
        <v>2</v>
      </c>
      <c r="B83" s="1">
        <v>2</v>
      </c>
      <c r="C83" s="2">
        <f t="shared" si="2"/>
        <v>0</v>
      </c>
      <c r="D83" s="1">
        <f t="shared" si="3"/>
        <v>6.4737746069493986E-3</v>
      </c>
    </row>
    <row r="84" spans="1:6" x14ac:dyDescent="0.25">
      <c r="A84" s="1">
        <v>2</v>
      </c>
      <c r="B84" s="1">
        <v>2</v>
      </c>
      <c r="C84" s="2">
        <f t="shared" si="2"/>
        <v>0</v>
      </c>
      <c r="D84" s="1">
        <f t="shared" si="3"/>
        <v>6.4737746069493986E-3</v>
      </c>
    </row>
    <row r="85" spans="1:6" x14ac:dyDescent="0.25">
      <c r="A85" s="1">
        <v>2</v>
      </c>
      <c r="B85" s="1">
        <v>1</v>
      </c>
      <c r="C85" s="2">
        <f t="shared" si="2"/>
        <v>-1</v>
      </c>
      <c r="D85" s="1">
        <f t="shared" si="3"/>
        <v>0.84555423437706434</v>
      </c>
    </row>
    <row r="86" spans="1:6" x14ac:dyDescent="0.25">
      <c r="A86" s="1">
        <v>1</v>
      </c>
      <c r="B86" s="1">
        <v>2</v>
      </c>
      <c r="C86" s="2">
        <f t="shared" si="2"/>
        <v>1</v>
      </c>
      <c r="D86" s="1">
        <f t="shared" si="3"/>
        <v>1.1673933148368345</v>
      </c>
    </row>
    <row r="87" spans="1:6" x14ac:dyDescent="0.25">
      <c r="A87" s="1">
        <v>2</v>
      </c>
      <c r="B87" s="1">
        <v>2</v>
      </c>
      <c r="C87" s="2">
        <f t="shared" si="2"/>
        <v>0</v>
      </c>
      <c r="D87" s="1">
        <f t="shared" si="3"/>
        <v>6.4737746069493986E-3</v>
      </c>
    </row>
    <row r="88" spans="1:6" x14ac:dyDescent="0.25">
      <c r="A88" s="1">
        <v>1</v>
      </c>
      <c r="B88" s="1">
        <v>2</v>
      </c>
      <c r="C88" s="2">
        <f t="shared" si="2"/>
        <v>1</v>
      </c>
      <c r="D88" s="1">
        <f t="shared" si="3"/>
        <v>1.1673933148368345</v>
      </c>
    </row>
    <row r="93" spans="1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B190-2111-4F65-A219-3D1DA5E09365}">
  <dimension ref="A1:G93"/>
  <sheetViews>
    <sheetView zoomScale="70" zoomScaleNormal="70" workbookViewId="0">
      <selection activeCell="C2" sqref="C2"/>
    </sheetView>
  </sheetViews>
  <sheetFormatPr baseColWidth="10" defaultColWidth="9.140625" defaultRowHeight="15" x14ac:dyDescent="0.25"/>
  <cols>
    <col min="1" max="2" width="33.4257812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05" customHeight="1" x14ac:dyDescent="0.25">
      <c r="A1" s="3" t="s">
        <v>40</v>
      </c>
      <c r="B1" s="4" t="s">
        <v>41</v>
      </c>
      <c r="C1" s="5" t="s">
        <v>1</v>
      </c>
      <c r="D1" s="5"/>
    </row>
    <row r="2" spans="1:7" x14ac:dyDescent="0.25">
      <c r="A2" s="1">
        <v>2</v>
      </c>
      <c r="B2" s="1">
        <v>2</v>
      </c>
      <c r="C2" s="2">
        <f>B2-A2</f>
        <v>0</v>
      </c>
      <c r="D2" s="1">
        <f>(C2-$G$6)^2</f>
        <v>1.321178491214163E-2</v>
      </c>
    </row>
    <row r="3" spans="1:7" x14ac:dyDescent="0.25">
      <c r="A3" s="1">
        <v>2</v>
      </c>
      <c r="B3" s="1">
        <v>2</v>
      </c>
      <c r="C3" s="2">
        <f t="shared" ref="C3:C66" si="0">B3-A3</f>
        <v>0</v>
      </c>
      <c r="D3" s="1">
        <f>(C3-$G$6)^2</f>
        <v>1.321178491214163E-2</v>
      </c>
      <c r="F3" s="6" t="s">
        <v>17</v>
      </c>
      <c r="G3" s="6"/>
    </row>
    <row r="4" spans="1:7" x14ac:dyDescent="0.25">
      <c r="A4" s="1">
        <v>2</v>
      </c>
      <c r="B4" s="1">
        <v>3</v>
      </c>
      <c r="C4" s="2">
        <f t="shared" si="0"/>
        <v>1</v>
      </c>
      <c r="D4" s="1">
        <f>(C4-$G$6)^2</f>
        <v>1.2430968423834061</v>
      </c>
      <c r="F4" t="s">
        <v>5</v>
      </c>
      <c r="G4">
        <v>87</v>
      </c>
    </row>
    <row r="5" spans="1:7" x14ac:dyDescent="0.25">
      <c r="A5" s="1">
        <v>2</v>
      </c>
      <c r="B5" s="1">
        <v>1</v>
      </c>
      <c r="C5" s="2">
        <f t="shared" si="0"/>
        <v>-1</v>
      </c>
      <c r="D5" s="1">
        <f t="shared" ref="D5:D68" si="1">(C5-$G$6)^2</f>
        <v>0.78332672744087728</v>
      </c>
      <c r="F5" t="s">
        <v>3</v>
      </c>
      <c r="G5">
        <f>SUM(C:C)</f>
        <v>-10</v>
      </c>
    </row>
    <row r="6" spans="1:7" x14ac:dyDescent="0.25">
      <c r="A6" s="1">
        <v>2</v>
      </c>
      <c r="B6" s="1">
        <v>5</v>
      </c>
      <c r="C6" s="2">
        <f t="shared" si="0"/>
        <v>3</v>
      </c>
      <c r="D6" s="1">
        <f t="shared" si="1"/>
        <v>9.7028669573259361</v>
      </c>
      <c r="F6" t="s">
        <v>2</v>
      </c>
      <c r="G6">
        <f>G5/G4</f>
        <v>-0.11494252873563218</v>
      </c>
    </row>
    <row r="7" spans="1:7" x14ac:dyDescent="0.25">
      <c r="A7" s="1">
        <v>1</v>
      </c>
      <c r="B7" s="1">
        <v>1</v>
      </c>
      <c r="C7" s="2">
        <f t="shared" si="0"/>
        <v>0</v>
      </c>
      <c r="D7" s="1">
        <f t="shared" si="1"/>
        <v>1.321178491214163E-2</v>
      </c>
      <c r="F7" t="s">
        <v>4</v>
      </c>
      <c r="G7">
        <f>SUM(D:D)</f>
        <v>146.85057471264381</v>
      </c>
    </row>
    <row r="8" spans="1:7" x14ac:dyDescent="0.25">
      <c r="A8" s="1">
        <v>2</v>
      </c>
      <c r="B8" s="1">
        <v>1</v>
      </c>
      <c r="C8" s="2">
        <f t="shared" si="0"/>
        <v>-1</v>
      </c>
      <c r="D8" s="1">
        <f t="shared" si="1"/>
        <v>0.78332672744087728</v>
      </c>
      <c r="F8" t="s">
        <v>6</v>
      </c>
      <c r="G8">
        <f>SQRT(G7/(G4-1))</f>
        <v>1.3067382378426233</v>
      </c>
    </row>
    <row r="9" spans="1:7" x14ac:dyDescent="0.25">
      <c r="A9" s="1">
        <v>2</v>
      </c>
      <c r="B9" s="1">
        <v>1</v>
      </c>
      <c r="C9" s="2">
        <f t="shared" si="0"/>
        <v>-1</v>
      </c>
      <c r="D9" s="1">
        <f t="shared" si="1"/>
        <v>0.78332672744087728</v>
      </c>
    </row>
    <row r="10" spans="1:7" x14ac:dyDescent="0.25">
      <c r="A10" s="1">
        <v>4</v>
      </c>
      <c r="B10" s="1">
        <v>1</v>
      </c>
      <c r="C10" s="2">
        <f t="shared" si="0"/>
        <v>-3</v>
      </c>
      <c r="D10" s="1">
        <f t="shared" si="1"/>
        <v>8.3235566124983489</v>
      </c>
    </row>
    <row r="11" spans="1:7" x14ac:dyDescent="0.25">
      <c r="A11" s="1">
        <v>2</v>
      </c>
      <c r="B11" s="1">
        <v>1</v>
      </c>
      <c r="C11" s="2">
        <f t="shared" si="0"/>
        <v>-1</v>
      </c>
      <c r="D11" s="1">
        <f t="shared" si="1"/>
        <v>0.78332672744087728</v>
      </c>
    </row>
    <row r="12" spans="1:7" x14ac:dyDescent="0.25">
      <c r="A12" s="1">
        <v>2</v>
      </c>
      <c r="B12" s="1">
        <v>2</v>
      </c>
      <c r="C12" s="2">
        <f t="shared" si="0"/>
        <v>0</v>
      </c>
      <c r="D12" s="1">
        <f t="shared" si="1"/>
        <v>1.321178491214163E-2</v>
      </c>
      <c r="F12" t="s">
        <v>12</v>
      </c>
      <c r="G12">
        <f>G6/(G8/SQRT(G4))</f>
        <v>-0.82044934768864897</v>
      </c>
    </row>
    <row r="13" spans="1:7" x14ac:dyDescent="0.25">
      <c r="A13" s="1">
        <v>1</v>
      </c>
      <c r="B13" s="1">
        <v>3</v>
      </c>
      <c r="C13" s="2">
        <f t="shared" si="0"/>
        <v>2</v>
      </c>
      <c r="D13" s="1">
        <f t="shared" si="1"/>
        <v>4.4729818998546707</v>
      </c>
    </row>
    <row r="14" spans="1:7" x14ac:dyDescent="0.25">
      <c r="A14" s="1">
        <v>1</v>
      </c>
      <c r="B14" s="1">
        <v>1</v>
      </c>
      <c r="C14" s="2">
        <f t="shared" si="0"/>
        <v>0</v>
      </c>
      <c r="D14" s="1">
        <f t="shared" si="1"/>
        <v>1.321178491214163E-2</v>
      </c>
    </row>
    <row r="15" spans="1:7" x14ac:dyDescent="0.25">
      <c r="A15" s="1">
        <v>2</v>
      </c>
      <c r="B15" s="1">
        <v>2</v>
      </c>
      <c r="C15" s="2">
        <f t="shared" si="0"/>
        <v>0</v>
      </c>
      <c r="D15" s="1">
        <f t="shared" si="1"/>
        <v>1.321178491214163E-2</v>
      </c>
    </row>
    <row r="16" spans="1:7" x14ac:dyDescent="0.25">
      <c r="A16" s="1">
        <v>1</v>
      </c>
      <c r="B16" s="1">
        <v>1</v>
      </c>
      <c r="C16" s="2">
        <f t="shared" si="0"/>
        <v>0</v>
      </c>
      <c r="D16" s="1">
        <f t="shared" si="1"/>
        <v>1.321178491214163E-2</v>
      </c>
    </row>
    <row r="17" spans="1:7" x14ac:dyDescent="0.25">
      <c r="A17" s="1">
        <v>2</v>
      </c>
      <c r="B17" s="1">
        <v>1</v>
      </c>
      <c r="C17" s="2">
        <f t="shared" si="0"/>
        <v>-1</v>
      </c>
      <c r="D17" s="1">
        <f t="shared" si="1"/>
        <v>0.78332672744087728</v>
      </c>
      <c r="F17" t="s">
        <v>7</v>
      </c>
      <c r="G17">
        <v>0.05</v>
      </c>
    </row>
    <row r="18" spans="1:7" x14ac:dyDescent="0.25">
      <c r="A18" s="1">
        <v>1</v>
      </c>
      <c r="B18" s="1">
        <v>2</v>
      </c>
      <c r="C18" s="2">
        <f t="shared" si="0"/>
        <v>1</v>
      </c>
      <c r="D18" s="1">
        <f t="shared" si="1"/>
        <v>1.2430968423834061</v>
      </c>
      <c r="F18" t="s">
        <v>8</v>
      </c>
      <c r="G18">
        <f>G4-1</f>
        <v>86</v>
      </c>
    </row>
    <row r="19" spans="1:7" x14ac:dyDescent="0.25">
      <c r="A19" s="1">
        <v>3</v>
      </c>
      <c r="B19" s="1">
        <v>2</v>
      </c>
      <c r="C19" s="2">
        <f t="shared" si="0"/>
        <v>-1</v>
      </c>
      <c r="D19" s="1">
        <f t="shared" si="1"/>
        <v>0.78332672744087728</v>
      </c>
    </row>
    <row r="20" spans="1:7" x14ac:dyDescent="0.25">
      <c r="A20" s="1">
        <v>5</v>
      </c>
      <c r="B20" s="1">
        <v>2</v>
      </c>
      <c r="C20" s="2">
        <f t="shared" si="0"/>
        <v>-3</v>
      </c>
      <c r="D20" s="1">
        <f t="shared" si="1"/>
        <v>8.3235566124983489</v>
      </c>
    </row>
    <row r="21" spans="1:7" x14ac:dyDescent="0.25">
      <c r="A21" s="1">
        <v>1</v>
      </c>
      <c r="B21" s="1">
        <v>1</v>
      </c>
      <c r="C21" s="2">
        <f t="shared" si="0"/>
        <v>0</v>
      </c>
      <c r="D21" s="1">
        <f t="shared" si="1"/>
        <v>1.321178491214163E-2</v>
      </c>
    </row>
    <row r="22" spans="1:7" x14ac:dyDescent="0.25">
      <c r="A22" s="1">
        <v>1</v>
      </c>
      <c r="B22" s="1">
        <v>2</v>
      </c>
      <c r="C22" s="2">
        <f t="shared" si="0"/>
        <v>1</v>
      </c>
      <c r="D22" s="1">
        <f t="shared" si="1"/>
        <v>1.2430968423834061</v>
      </c>
      <c r="F22" s="6" t="s">
        <v>9</v>
      </c>
      <c r="G22" s="6"/>
    </row>
    <row r="23" spans="1:7" x14ac:dyDescent="0.25">
      <c r="A23" s="1">
        <v>2</v>
      </c>
      <c r="B23" s="1">
        <v>1</v>
      </c>
      <c r="C23" s="2">
        <f t="shared" si="0"/>
        <v>-1</v>
      </c>
      <c r="D23" s="1">
        <f t="shared" si="1"/>
        <v>0.78332672744087728</v>
      </c>
      <c r="F23" t="s">
        <v>26</v>
      </c>
      <c r="G23">
        <f>_xlfn.T.INV.2T(G17,G18)</f>
        <v>1.987934206239018</v>
      </c>
    </row>
    <row r="24" spans="1:7" x14ac:dyDescent="0.25">
      <c r="A24" s="1">
        <v>2</v>
      </c>
      <c r="B24" s="1">
        <v>1</v>
      </c>
      <c r="C24" s="2">
        <f t="shared" si="0"/>
        <v>-1</v>
      </c>
      <c r="D24" s="1">
        <f t="shared" si="1"/>
        <v>0.78332672744087728</v>
      </c>
      <c r="F24" t="s">
        <v>27</v>
      </c>
      <c r="G24">
        <f>_xlfn.T.INV(G17,G18)</f>
        <v>-1.662765449409072</v>
      </c>
    </row>
    <row r="25" spans="1:7" x14ac:dyDescent="0.25">
      <c r="A25" s="1">
        <v>2</v>
      </c>
      <c r="B25" s="1">
        <v>1</v>
      </c>
      <c r="C25" s="2">
        <f t="shared" si="0"/>
        <v>-1</v>
      </c>
      <c r="D25" s="1">
        <f t="shared" si="1"/>
        <v>0.78332672744087728</v>
      </c>
    </row>
    <row r="26" spans="1:7" x14ac:dyDescent="0.25">
      <c r="A26" s="1">
        <v>1</v>
      </c>
      <c r="B26" s="1">
        <v>1</v>
      </c>
      <c r="C26" s="2">
        <f t="shared" si="0"/>
        <v>0</v>
      </c>
      <c r="D26" s="1">
        <f t="shared" si="1"/>
        <v>1.321178491214163E-2</v>
      </c>
    </row>
    <row r="27" spans="1:7" x14ac:dyDescent="0.25">
      <c r="A27" s="1">
        <v>2</v>
      </c>
      <c r="B27" s="1">
        <v>2</v>
      </c>
      <c r="C27" s="2">
        <f t="shared" si="0"/>
        <v>0</v>
      </c>
      <c r="D27" s="1">
        <f t="shared" si="1"/>
        <v>1.321178491214163E-2</v>
      </c>
    </row>
    <row r="28" spans="1:7" x14ac:dyDescent="0.25">
      <c r="A28" s="1">
        <v>1</v>
      </c>
      <c r="B28" s="1">
        <v>1</v>
      </c>
      <c r="C28" s="2">
        <f t="shared" si="0"/>
        <v>0</v>
      </c>
      <c r="D28" s="1">
        <f t="shared" si="1"/>
        <v>1.321178491214163E-2</v>
      </c>
    </row>
    <row r="29" spans="1:7" x14ac:dyDescent="0.25">
      <c r="A29" s="1">
        <v>1</v>
      </c>
      <c r="B29" s="1">
        <v>2</v>
      </c>
      <c r="C29" s="2">
        <f t="shared" si="0"/>
        <v>1</v>
      </c>
      <c r="D29" s="1">
        <f t="shared" si="1"/>
        <v>1.2430968423834061</v>
      </c>
    </row>
    <row r="30" spans="1:7" x14ac:dyDescent="0.25">
      <c r="A30" s="1">
        <v>4</v>
      </c>
      <c r="B30" s="1">
        <v>2</v>
      </c>
      <c r="C30" s="2">
        <f t="shared" si="0"/>
        <v>-2</v>
      </c>
      <c r="D30" s="1">
        <f t="shared" si="1"/>
        <v>3.5534416699696125</v>
      </c>
    </row>
    <row r="31" spans="1:7" x14ac:dyDescent="0.25">
      <c r="A31" s="1">
        <v>1</v>
      </c>
      <c r="B31" s="1">
        <v>1</v>
      </c>
      <c r="C31" s="2">
        <f t="shared" si="0"/>
        <v>0</v>
      </c>
      <c r="D31" s="1">
        <f t="shared" si="1"/>
        <v>1.321178491214163E-2</v>
      </c>
    </row>
    <row r="32" spans="1:7" x14ac:dyDescent="0.25">
      <c r="A32" s="1">
        <v>1</v>
      </c>
      <c r="B32" s="1">
        <v>2</v>
      </c>
      <c r="C32" s="2">
        <f t="shared" si="0"/>
        <v>1</v>
      </c>
      <c r="D32" s="1">
        <f t="shared" si="1"/>
        <v>1.2430968423834061</v>
      </c>
    </row>
    <row r="33" spans="1:7" x14ac:dyDescent="0.25">
      <c r="A33" s="1">
        <v>2</v>
      </c>
      <c r="B33" s="1">
        <v>3</v>
      </c>
      <c r="C33" s="2">
        <f t="shared" si="0"/>
        <v>1</v>
      </c>
      <c r="D33" s="1">
        <f t="shared" si="1"/>
        <v>1.2430968423834061</v>
      </c>
    </row>
    <row r="34" spans="1:7" x14ac:dyDescent="0.25">
      <c r="A34" s="1">
        <v>2</v>
      </c>
      <c r="B34" s="1">
        <v>1</v>
      </c>
      <c r="C34" s="2">
        <f t="shared" si="0"/>
        <v>-1</v>
      </c>
      <c r="D34" s="1">
        <f t="shared" si="1"/>
        <v>0.78332672744087728</v>
      </c>
      <c r="F34" t="s">
        <v>10</v>
      </c>
    </row>
    <row r="35" spans="1:7" x14ac:dyDescent="0.25">
      <c r="A35" s="1">
        <v>3</v>
      </c>
      <c r="B35" s="1">
        <v>1</v>
      </c>
      <c r="C35" s="2">
        <f t="shared" si="0"/>
        <v>-2</v>
      </c>
      <c r="D35" s="1">
        <f t="shared" si="1"/>
        <v>3.5534416699696125</v>
      </c>
      <c r="F35" t="s">
        <v>11</v>
      </c>
    </row>
    <row r="36" spans="1:7" x14ac:dyDescent="0.25">
      <c r="A36" s="1">
        <v>2</v>
      </c>
      <c r="B36" s="1">
        <v>2</v>
      </c>
      <c r="C36" s="2">
        <f t="shared" si="0"/>
        <v>0</v>
      </c>
      <c r="D36" s="1">
        <f t="shared" si="1"/>
        <v>1.321178491214163E-2</v>
      </c>
    </row>
    <row r="37" spans="1:7" x14ac:dyDescent="0.25">
      <c r="A37" s="1">
        <v>1</v>
      </c>
      <c r="B37" s="1">
        <v>1</v>
      </c>
      <c r="C37" s="2">
        <f t="shared" si="0"/>
        <v>0</v>
      </c>
      <c r="D37" s="1">
        <f t="shared" si="1"/>
        <v>1.321178491214163E-2</v>
      </c>
    </row>
    <row r="38" spans="1:7" x14ac:dyDescent="0.25">
      <c r="A38" s="1">
        <v>5</v>
      </c>
      <c r="B38" s="1">
        <v>2</v>
      </c>
      <c r="C38" s="2">
        <f t="shared" si="0"/>
        <v>-3</v>
      </c>
      <c r="D38" s="1">
        <f t="shared" si="1"/>
        <v>8.3235566124983489</v>
      </c>
    </row>
    <row r="39" spans="1:7" x14ac:dyDescent="0.25">
      <c r="A39" s="1">
        <v>1</v>
      </c>
      <c r="B39" s="1">
        <v>2</v>
      </c>
      <c r="C39" s="2">
        <f t="shared" si="0"/>
        <v>1</v>
      </c>
      <c r="D39" s="1">
        <f t="shared" si="1"/>
        <v>1.2430968423834061</v>
      </c>
      <c r="F39" s="6" t="s">
        <v>13</v>
      </c>
      <c r="G39" s="6"/>
    </row>
    <row r="40" spans="1:7" x14ac:dyDescent="0.25">
      <c r="A40" s="1">
        <v>1</v>
      </c>
      <c r="B40" s="1">
        <v>3</v>
      </c>
      <c r="C40" s="2">
        <f t="shared" si="0"/>
        <v>2</v>
      </c>
      <c r="D40" s="1">
        <f t="shared" si="1"/>
        <v>4.4729818998546707</v>
      </c>
      <c r="F40" t="s">
        <v>13</v>
      </c>
    </row>
    <row r="41" spans="1:7" x14ac:dyDescent="0.25">
      <c r="A41" s="1">
        <v>2</v>
      </c>
      <c r="B41" s="1">
        <v>5</v>
      </c>
      <c r="C41" s="2">
        <f t="shared" si="0"/>
        <v>3</v>
      </c>
      <c r="D41" s="1">
        <f t="shared" si="1"/>
        <v>9.7028669573259361</v>
      </c>
      <c r="F41" t="s">
        <v>25</v>
      </c>
      <c r="G41">
        <f>TTEST(A:A,B:B,2,1)</f>
        <v>0.41422831656930981</v>
      </c>
    </row>
    <row r="42" spans="1:7" x14ac:dyDescent="0.25">
      <c r="A42" s="1">
        <v>1</v>
      </c>
      <c r="B42" s="1">
        <v>1</v>
      </c>
      <c r="C42" s="2">
        <f t="shared" si="0"/>
        <v>0</v>
      </c>
      <c r="D42" s="1">
        <f t="shared" si="1"/>
        <v>1.321178491214163E-2</v>
      </c>
      <c r="F42" t="s">
        <v>29</v>
      </c>
      <c r="G42">
        <f>TTEST(A:A,B:B,1,1)</f>
        <v>0.2071141582846549</v>
      </c>
    </row>
    <row r="43" spans="1:7" x14ac:dyDescent="0.25">
      <c r="A43" s="1">
        <v>1</v>
      </c>
      <c r="B43" s="1">
        <v>2</v>
      </c>
      <c r="C43" s="2">
        <f t="shared" si="0"/>
        <v>1</v>
      </c>
      <c r="D43" s="1">
        <f t="shared" si="1"/>
        <v>1.2430968423834061</v>
      </c>
    </row>
    <row r="44" spans="1:7" x14ac:dyDescent="0.25">
      <c r="A44" s="1">
        <v>1</v>
      </c>
      <c r="B44" s="1">
        <v>1</v>
      </c>
      <c r="C44" s="2">
        <f t="shared" si="0"/>
        <v>0</v>
      </c>
      <c r="D44" s="1">
        <f t="shared" si="1"/>
        <v>1.321178491214163E-2</v>
      </c>
    </row>
    <row r="45" spans="1:7" x14ac:dyDescent="0.25">
      <c r="A45" s="1">
        <v>2</v>
      </c>
      <c r="B45" s="1">
        <v>2</v>
      </c>
      <c r="C45" s="2">
        <f t="shared" si="0"/>
        <v>0</v>
      </c>
      <c r="D45" s="1">
        <f t="shared" si="1"/>
        <v>1.321178491214163E-2</v>
      </c>
      <c r="F45" s="6" t="s">
        <v>16</v>
      </c>
      <c r="G45" s="6"/>
    </row>
    <row r="46" spans="1:7" x14ac:dyDescent="0.25">
      <c r="A46" s="1">
        <v>1</v>
      </c>
      <c r="B46" s="1">
        <v>2</v>
      </c>
      <c r="C46" s="2">
        <f t="shared" si="0"/>
        <v>1</v>
      </c>
      <c r="D46" s="1">
        <f t="shared" si="1"/>
        <v>1.2430968423834061</v>
      </c>
    </row>
    <row r="47" spans="1:7" x14ac:dyDescent="0.25">
      <c r="A47" s="1">
        <v>1</v>
      </c>
      <c r="B47" s="1">
        <v>2</v>
      </c>
      <c r="C47" s="2">
        <f t="shared" si="0"/>
        <v>1</v>
      </c>
      <c r="D47" s="1">
        <f t="shared" si="1"/>
        <v>1.2430968423834061</v>
      </c>
      <c r="F47" t="s">
        <v>14</v>
      </c>
    </row>
    <row r="48" spans="1:7" x14ac:dyDescent="0.25">
      <c r="A48" s="1">
        <v>2</v>
      </c>
      <c r="B48" s="1">
        <v>2</v>
      </c>
      <c r="C48" s="2">
        <f t="shared" si="0"/>
        <v>0</v>
      </c>
      <c r="D48" s="1">
        <f t="shared" si="1"/>
        <v>1.321178491214163E-2</v>
      </c>
      <c r="F48" t="s">
        <v>15</v>
      </c>
    </row>
    <row r="49" spans="1:6" x14ac:dyDescent="0.25">
      <c r="A49" s="1">
        <v>2</v>
      </c>
      <c r="B49" s="1">
        <v>2</v>
      </c>
      <c r="C49" s="2">
        <f t="shared" si="0"/>
        <v>0</v>
      </c>
      <c r="D49" s="1">
        <f t="shared" si="1"/>
        <v>1.321178491214163E-2</v>
      </c>
    </row>
    <row r="50" spans="1:6" x14ac:dyDescent="0.25">
      <c r="A50" s="1">
        <v>1</v>
      </c>
      <c r="B50" s="1">
        <v>1</v>
      </c>
      <c r="C50" s="2">
        <f t="shared" si="0"/>
        <v>0</v>
      </c>
      <c r="D50" s="1">
        <f t="shared" si="1"/>
        <v>1.321178491214163E-2</v>
      </c>
      <c r="F50" t="s">
        <v>18</v>
      </c>
    </row>
    <row r="51" spans="1:6" x14ac:dyDescent="0.25">
      <c r="A51" s="1">
        <v>2</v>
      </c>
      <c r="B51" s="1">
        <v>1</v>
      </c>
      <c r="C51" s="2">
        <f t="shared" si="0"/>
        <v>-1</v>
      </c>
      <c r="D51" s="1">
        <f t="shared" si="1"/>
        <v>0.78332672744087728</v>
      </c>
      <c r="F51" t="s">
        <v>19</v>
      </c>
    </row>
    <row r="52" spans="1:6" x14ac:dyDescent="0.25">
      <c r="A52" s="1">
        <v>2</v>
      </c>
      <c r="B52" s="1">
        <v>1</v>
      </c>
      <c r="C52" s="2">
        <f t="shared" si="0"/>
        <v>-1</v>
      </c>
      <c r="D52" s="1">
        <f t="shared" si="1"/>
        <v>0.78332672744087728</v>
      </c>
    </row>
    <row r="53" spans="1:6" x14ac:dyDescent="0.25">
      <c r="A53" s="1">
        <v>2</v>
      </c>
      <c r="B53" s="1">
        <v>2</v>
      </c>
      <c r="C53" s="2">
        <f t="shared" si="0"/>
        <v>0</v>
      </c>
      <c r="D53" s="1">
        <f t="shared" si="1"/>
        <v>1.321178491214163E-2</v>
      </c>
    </row>
    <row r="54" spans="1:6" x14ac:dyDescent="0.25">
      <c r="A54" s="1">
        <v>2</v>
      </c>
      <c r="B54" s="1">
        <v>2</v>
      </c>
      <c r="C54" s="2">
        <f t="shared" si="0"/>
        <v>0</v>
      </c>
      <c r="D54" s="1">
        <f t="shared" si="1"/>
        <v>1.321178491214163E-2</v>
      </c>
    </row>
    <row r="55" spans="1:6" x14ac:dyDescent="0.25">
      <c r="A55" s="1">
        <v>2</v>
      </c>
      <c r="B55" s="1">
        <v>1</v>
      </c>
      <c r="C55" s="2">
        <f t="shared" si="0"/>
        <v>-1</v>
      </c>
      <c r="D55" s="1">
        <f t="shared" si="1"/>
        <v>0.78332672744087728</v>
      </c>
    </row>
    <row r="56" spans="1:6" x14ac:dyDescent="0.25">
      <c r="A56" s="1">
        <v>2</v>
      </c>
      <c r="B56" s="1">
        <v>1</v>
      </c>
      <c r="C56" s="2">
        <f t="shared" si="0"/>
        <v>-1</v>
      </c>
      <c r="D56" s="1">
        <f t="shared" si="1"/>
        <v>0.78332672744087728</v>
      </c>
      <c r="F56" s="6" t="s">
        <v>23</v>
      </c>
    </row>
    <row r="57" spans="1:6" x14ac:dyDescent="0.25">
      <c r="A57" s="1">
        <v>1</v>
      </c>
      <c r="B57" s="1">
        <v>2</v>
      </c>
      <c r="C57" s="2">
        <f t="shared" si="0"/>
        <v>1</v>
      </c>
      <c r="D57" s="1">
        <f t="shared" si="1"/>
        <v>1.2430968423834061</v>
      </c>
    </row>
    <row r="58" spans="1:6" x14ac:dyDescent="0.25">
      <c r="A58" s="1">
        <v>2</v>
      </c>
      <c r="B58" s="1">
        <v>2</v>
      </c>
      <c r="C58" s="2">
        <f t="shared" si="0"/>
        <v>0</v>
      </c>
      <c r="D58" s="1">
        <f t="shared" si="1"/>
        <v>1.321178491214163E-2</v>
      </c>
      <c r="F58" t="s">
        <v>21</v>
      </c>
    </row>
    <row r="59" spans="1:6" x14ac:dyDescent="0.25">
      <c r="A59" s="1">
        <v>3</v>
      </c>
      <c r="B59" s="1">
        <v>1</v>
      </c>
      <c r="C59" s="2">
        <f t="shared" si="0"/>
        <v>-2</v>
      </c>
      <c r="D59" s="1">
        <f t="shared" si="1"/>
        <v>3.5534416699696125</v>
      </c>
      <c r="F59" t="s">
        <v>20</v>
      </c>
    </row>
    <row r="60" spans="1:6" x14ac:dyDescent="0.25">
      <c r="A60" s="1">
        <v>1</v>
      </c>
      <c r="B60" s="1">
        <v>1</v>
      </c>
      <c r="C60" s="2">
        <f t="shared" si="0"/>
        <v>0</v>
      </c>
      <c r="D60" s="1">
        <f t="shared" si="1"/>
        <v>1.321178491214163E-2</v>
      </c>
      <c r="F60" t="s">
        <v>22</v>
      </c>
    </row>
    <row r="61" spans="1:6" x14ac:dyDescent="0.25">
      <c r="A61" s="1">
        <v>1</v>
      </c>
      <c r="B61" s="1">
        <v>2</v>
      </c>
      <c r="C61" s="2">
        <f t="shared" si="0"/>
        <v>1</v>
      </c>
      <c r="D61" s="1">
        <f t="shared" si="1"/>
        <v>1.2430968423834061</v>
      </c>
    </row>
    <row r="62" spans="1:6" x14ac:dyDescent="0.25">
      <c r="A62" s="1">
        <v>2</v>
      </c>
      <c r="B62" s="1">
        <v>3</v>
      </c>
      <c r="C62" s="2">
        <f t="shared" si="0"/>
        <v>1</v>
      </c>
      <c r="D62" s="1">
        <f t="shared" si="1"/>
        <v>1.2430968423834061</v>
      </c>
    </row>
    <row r="63" spans="1:6" x14ac:dyDescent="0.25">
      <c r="A63" s="1">
        <v>1</v>
      </c>
      <c r="B63" s="1">
        <v>1</v>
      </c>
      <c r="C63" s="2">
        <f t="shared" si="0"/>
        <v>0</v>
      </c>
      <c r="D63" s="1">
        <f t="shared" si="1"/>
        <v>1.321178491214163E-2</v>
      </c>
    </row>
    <row r="64" spans="1:6" x14ac:dyDescent="0.25">
      <c r="A64" s="1">
        <v>1</v>
      </c>
      <c r="B64" s="1">
        <v>2</v>
      </c>
      <c r="C64" s="2">
        <f t="shared" si="0"/>
        <v>1</v>
      </c>
      <c r="D64" s="1">
        <f t="shared" si="1"/>
        <v>1.2430968423834061</v>
      </c>
    </row>
    <row r="65" spans="1:6" x14ac:dyDescent="0.25">
      <c r="A65" s="1">
        <v>2</v>
      </c>
      <c r="B65" s="1">
        <v>1</v>
      </c>
      <c r="C65" s="2">
        <f t="shared" si="0"/>
        <v>-1</v>
      </c>
      <c r="D65" s="1">
        <f t="shared" si="1"/>
        <v>0.78332672744087728</v>
      </c>
      <c r="F65" s="6" t="s">
        <v>23</v>
      </c>
    </row>
    <row r="66" spans="1:6" x14ac:dyDescent="0.25">
      <c r="A66" s="1">
        <v>2</v>
      </c>
      <c r="B66" s="1">
        <v>2</v>
      </c>
      <c r="C66" s="2">
        <f t="shared" si="0"/>
        <v>0</v>
      </c>
      <c r="D66" s="1">
        <f t="shared" si="1"/>
        <v>1.321178491214163E-2</v>
      </c>
    </row>
    <row r="67" spans="1:6" x14ac:dyDescent="0.25">
      <c r="A67" s="1">
        <v>2</v>
      </c>
      <c r="B67" s="1">
        <v>4</v>
      </c>
      <c r="C67" s="2">
        <f t="shared" ref="C67:C88" si="2">B67-A67</f>
        <v>2</v>
      </c>
      <c r="D67" s="1">
        <f t="shared" si="1"/>
        <v>4.4729818998546707</v>
      </c>
    </row>
    <row r="68" spans="1:6" x14ac:dyDescent="0.25">
      <c r="A68" s="1">
        <v>1</v>
      </c>
      <c r="B68" s="1">
        <v>2</v>
      </c>
      <c r="C68" s="2">
        <f t="shared" si="2"/>
        <v>1</v>
      </c>
      <c r="D68" s="1">
        <f t="shared" si="1"/>
        <v>1.2430968423834061</v>
      </c>
    </row>
    <row r="69" spans="1:6" x14ac:dyDescent="0.25">
      <c r="A69" s="1">
        <v>1</v>
      </c>
      <c r="B69" s="1">
        <v>1</v>
      </c>
      <c r="C69" s="2">
        <f t="shared" si="2"/>
        <v>0</v>
      </c>
      <c r="D69" s="1">
        <f t="shared" ref="D69:D88" si="3">(C69-$G$6)^2</f>
        <v>1.321178491214163E-2</v>
      </c>
    </row>
    <row r="70" spans="1:6" x14ac:dyDescent="0.25">
      <c r="A70" s="1">
        <v>2</v>
      </c>
      <c r="B70" s="1">
        <v>2</v>
      </c>
      <c r="C70" s="2">
        <f t="shared" si="2"/>
        <v>0</v>
      </c>
      <c r="D70" s="1">
        <f t="shared" si="3"/>
        <v>1.321178491214163E-2</v>
      </c>
    </row>
    <row r="71" spans="1:6" x14ac:dyDescent="0.25">
      <c r="A71" s="1">
        <v>3</v>
      </c>
      <c r="B71" s="1">
        <v>1</v>
      </c>
      <c r="C71" s="2">
        <f t="shared" si="2"/>
        <v>-2</v>
      </c>
      <c r="D71" s="1">
        <f t="shared" si="3"/>
        <v>3.5534416699696125</v>
      </c>
    </row>
    <row r="72" spans="1:6" x14ac:dyDescent="0.25">
      <c r="A72" s="1">
        <v>1</v>
      </c>
      <c r="B72" s="1">
        <v>2</v>
      </c>
      <c r="C72" s="2">
        <f t="shared" si="2"/>
        <v>1</v>
      </c>
      <c r="D72" s="1">
        <f t="shared" si="3"/>
        <v>1.2430968423834061</v>
      </c>
      <c r="F72" t="s">
        <v>24</v>
      </c>
    </row>
    <row r="73" spans="1:6" x14ac:dyDescent="0.25">
      <c r="A73" s="1">
        <v>5</v>
      </c>
      <c r="B73" s="1">
        <v>1</v>
      </c>
      <c r="C73" s="2">
        <f t="shared" si="2"/>
        <v>-4</v>
      </c>
      <c r="D73" s="1">
        <f t="shared" si="3"/>
        <v>15.093671555027084</v>
      </c>
      <c r="F73" t="s">
        <v>22</v>
      </c>
    </row>
    <row r="74" spans="1:6" x14ac:dyDescent="0.25">
      <c r="A74" s="1">
        <v>1</v>
      </c>
      <c r="B74" s="1">
        <v>2</v>
      </c>
      <c r="C74" s="2">
        <f t="shared" si="2"/>
        <v>1</v>
      </c>
      <c r="D74" s="1">
        <f t="shared" si="3"/>
        <v>1.2430968423834061</v>
      </c>
      <c r="F74" t="s">
        <v>24</v>
      </c>
    </row>
    <row r="75" spans="1:6" x14ac:dyDescent="0.25">
      <c r="A75" s="1">
        <v>1</v>
      </c>
      <c r="B75" s="1">
        <v>1</v>
      </c>
      <c r="C75" s="2">
        <f t="shared" si="2"/>
        <v>0</v>
      </c>
      <c r="D75" s="1">
        <f t="shared" si="3"/>
        <v>1.321178491214163E-2</v>
      </c>
      <c r="F75" t="s">
        <v>22</v>
      </c>
    </row>
    <row r="76" spans="1:6" x14ac:dyDescent="0.25">
      <c r="A76" s="1">
        <v>1</v>
      </c>
      <c r="B76" s="1">
        <v>2</v>
      </c>
      <c r="C76" s="2">
        <f t="shared" si="2"/>
        <v>1</v>
      </c>
      <c r="D76" s="1">
        <f t="shared" si="3"/>
        <v>1.2430968423834061</v>
      </c>
    </row>
    <row r="77" spans="1:6" x14ac:dyDescent="0.25">
      <c r="A77" s="1">
        <v>3</v>
      </c>
      <c r="B77" s="1">
        <v>2</v>
      </c>
      <c r="C77" s="2">
        <f t="shared" si="2"/>
        <v>-1</v>
      </c>
      <c r="D77" s="1">
        <f t="shared" si="3"/>
        <v>0.78332672744087728</v>
      </c>
    </row>
    <row r="78" spans="1:6" x14ac:dyDescent="0.25">
      <c r="A78" s="1">
        <v>2</v>
      </c>
      <c r="B78" s="1">
        <v>2</v>
      </c>
      <c r="C78" s="2">
        <f t="shared" si="2"/>
        <v>0</v>
      </c>
      <c r="D78" s="1">
        <f t="shared" si="3"/>
        <v>1.321178491214163E-2</v>
      </c>
    </row>
    <row r="79" spans="1:6" x14ac:dyDescent="0.25">
      <c r="A79" s="1">
        <v>1</v>
      </c>
      <c r="B79" s="1">
        <v>1</v>
      </c>
      <c r="C79" s="2">
        <f t="shared" si="2"/>
        <v>0</v>
      </c>
      <c r="D79" s="1">
        <f t="shared" si="3"/>
        <v>1.321178491214163E-2</v>
      </c>
    </row>
    <row r="80" spans="1:6" x14ac:dyDescent="0.25">
      <c r="A80" s="1">
        <v>3</v>
      </c>
      <c r="B80" s="1">
        <v>1</v>
      </c>
      <c r="C80" s="2">
        <f t="shared" si="2"/>
        <v>-2</v>
      </c>
      <c r="D80" s="1">
        <f t="shared" si="3"/>
        <v>3.5534416699696125</v>
      </c>
    </row>
    <row r="81" spans="1:6" x14ac:dyDescent="0.25">
      <c r="A81" s="1">
        <v>1</v>
      </c>
      <c r="B81" s="1">
        <v>2</v>
      </c>
      <c r="C81" s="2">
        <f t="shared" si="2"/>
        <v>1</v>
      </c>
      <c r="D81" s="1">
        <f t="shared" si="3"/>
        <v>1.2430968423834061</v>
      </c>
    </row>
    <row r="82" spans="1:6" x14ac:dyDescent="0.25">
      <c r="A82" s="1">
        <v>5</v>
      </c>
      <c r="B82" s="1">
        <v>1</v>
      </c>
      <c r="C82" s="2">
        <f t="shared" si="2"/>
        <v>-4</v>
      </c>
      <c r="D82" s="1">
        <f t="shared" si="3"/>
        <v>15.093671555027084</v>
      </c>
    </row>
    <row r="83" spans="1:6" x14ac:dyDescent="0.25">
      <c r="A83" s="1">
        <v>2</v>
      </c>
      <c r="B83" s="1">
        <v>3</v>
      </c>
      <c r="C83" s="2">
        <f t="shared" si="2"/>
        <v>1</v>
      </c>
      <c r="D83" s="1">
        <f t="shared" si="3"/>
        <v>1.2430968423834061</v>
      </c>
    </row>
    <row r="84" spans="1:6" x14ac:dyDescent="0.25">
      <c r="A84" s="1">
        <v>2</v>
      </c>
      <c r="B84" s="1">
        <v>2</v>
      </c>
      <c r="C84" s="2">
        <f t="shared" si="2"/>
        <v>0</v>
      </c>
      <c r="D84" s="1">
        <f t="shared" si="3"/>
        <v>1.321178491214163E-2</v>
      </c>
    </row>
    <row r="85" spans="1:6" x14ac:dyDescent="0.25">
      <c r="A85" s="1">
        <v>2</v>
      </c>
      <c r="B85" s="1">
        <v>1</v>
      </c>
      <c r="C85" s="2">
        <f t="shared" si="2"/>
        <v>-1</v>
      </c>
      <c r="D85" s="1">
        <f t="shared" si="3"/>
        <v>0.78332672744087728</v>
      </c>
    </row>
    <row r="86" spans="1:6" x14ac:dyDescent="0.25">
      <c r="A86" s="1">
        <v>1</v>
      </c>
      <c r="B86" s="1">
        <v>2</v>
      </c>
      <c r="C86" s="2">
        <f t="shared" si="2"/>
        <v>1</v>
      </c>
      <c r="D86" s="1">
        <f t="shared" si="3"/>
        <v>1.2430968423834061</v>
      </c>
    </row>
    <row r="87" spans="1:6" x14ac:dyDescent="0.25">
      <c r="A87" s="1">
        <v>2</v>
      </c>
      <c r="B87" s="1">
        <v>2</v>
      </c>
      <c r="C87" s="2">
        <f t="shared" si="2"/>
        <v>0</v>
      </c>
      <c r="D87" s="1">
        <f t="shared" si="3"/>
        <v>1.321178491214163E-2</v>
      </c>
    </row>
    <row r="88" spans="1:6" x14ac:dyDescent="0.25">
      <c r="A88" s="1">
        <v>1</v>
      </c>
      <c r="B88" s="1">
        <v>2</v>
      </c>
      <c r="C88" s="2">
        <f t="shared" si="2"/>
        <v>1</v>
      </c>
      <c r="D88" s="1">
        <f t="shared" si="3"/>
        <v>1.2430968423834061</v>
      </c>
    </row>
    <row r="93" spans="1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ECBA-A077-425B-8CA4-6DBD305F96AC}">
  <dimension ref="A1:G93"/>
  <sheetViews>
    <sheetView zoomScale="70" zoomScaleNormal="70" workbookViewId="0">
      <selection activeCell="B2" sqref="B2"/>
    </sheetView>
  </sheetViews>
  <sheetFormatPr baseColWidth="10" defaultColWidth="9.140625" defaultRowHeight="15" x14ac:dyDescent="0.25"/>
  <cols>
    <col min="1" max="2" width="33.4257812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05" customHeight="1" x14ac:dyDescent="0.25">
      <c r="A1" s="3" t="s">
        <v>38</v>
      </c>
      <c r="B1" s="4" t="s">
        <v>39</v>
      </c>
      <c r="C1" s="5" t="s">
        <v>1</v>
      </c>
      <c r="D1" s="5"/>
    </row>
    <row r="2" spans="1:7" x14ac:dyDescent="0.25">
      <c r="A2" s="1">
        <v>2</v>
      </c>
      <c r="B2" s="1">
        <v>2</v>
      </c>
      <c r="C2" s="2">
        <f>B2-A2</f>
        <v>0</v>
      </c>
      <c r="D2" s="1">
        <f>(C2-$G$6)^2</f>
        <v>1.3211784912141631E-4</v>
      </c>
    </row>
    <row r="3" spans="1:7" x14ac:dyDescent="0.25">
      <c r="A3" s="1">
        <v>2</v>
      </c>
      <c r="B3" s="1">
        <v>2</v>
      </c>
      <c r="C3" s="2">
        <f t="shared" ref="C3:C66" si="0">B3-A3</f>
        <v>0</v>
      </c>
      <c r="D3" s="1">
        <f>(C3-$G$6)^2</f>
        <v>1.3211784912141631E-4</v>
      </c>
      <c r="F3" s="6" t="s">
        <v>17</v>
      </c>
      <c r="G3" s="6"/>
    </row>
    <row r="4" spans="1:7" x14ac:dyDescent="0.25">
      <c r="A4" s="1">
        <v>2</v>
      </c>
      <c r="B4" s="1">
        <v>1</v>
      </c>
      <c r="C4" s="2">
        <f t="shared" si="0"/>
        <v>-1</v>
      </c>
      <c r="D4" s="1">
        <f>(C4-$G$6)^2</f>
        <v>0.97714361210199496</v>
      </c>
      <c r="F4" t="s">
        <v>5</v>
      </c>
      <c r="G4">
        <v>87</v>
      </c>
    </row>
    <row r="5" spans="1:7" x14ac:dyDescent="0.25">
      <c r="A5" s="1">
        <v>2</v>
      </c>
      <c r="B5" s="1">
        <v>1</v>
      </c>
      <c r="C5" s="2">
        <f t="shared" si="0"/>
        <v>-1</v>
      </c>
      <c r="D5" s="1">
        <f t="shared" ref="D5:D68" si="1">(C5-$G$6)^2</f>
        <v>0.97714361210199496</v>
      </c>
      <c r="F5" t="s">
        <v>3</v>
      </c>
      <c r="G5">
        <f>SUM(C:C)</f>
        <v>-1</v>
      </c>
    </row>
    <row r="6" spans="1:7" x14ac:dyDescent="0.25">
      <c r="A6" s="1">
        <v>2</v>
      </c>
      <c r="B6" s="1">
        <v>4</v>
      </c>
      <c r="C6" s="2">
        <f t="shared" si="0"/>
        <v>2</v>
      </c>
      <c r="D6" s="1">
        <f t="shared" si="1"/>
        <v>4.0461091293433746</v>
      </c>
      <c r="F6" t="s">
        <v>2</v>
      </c>
      <c r="G6">
        <f>G5/G4</f>
        <v>-1.1494252873563218E-2</v>
      </c>
    </row>
    <row r="7" spans="1:7" x14ac:dyDescent="0.25">
      <c r="A7" s="1">
        <v>1</v>
      </c>
      <c r="B7" s="1">
        <v>1</v>
      </c>
      <c r="C7" s="2">
        <f t="shared" si="0"/>
        <v>0</v>
      </c>
      <c r="D7" s="1">
        <f t="shared" si="1"/>
        <v>1.3211784912141631E-4</v>
      </c>
      <c r="F7" t="s">
        <v>4</v>
      </c>
      <c r="G7">
        <f>SUM(D:D)</f>
        <v>162.98850574712631</v>
      </c>
    </row>
    <row r="8" spans="1:7" x14ac:dyDescent="0.25">
      <c r="A8" s="1">
        <v>2</v>
      </c>
      <c r="B8" s="1">
        <v>1</v>
      </c>
      <c r="C8" s="2">
        <f t="shared" si="0"/>
        <v>-1</v>
      </c>
      <c r="D8" s="1">
        <f t="shared" si="1"/>
        <v>0.97714361210199496</v>
      </c>
      <c r="F8" t="s">
        <v>6</v>
      </c>
      <c r="G8">
        <f>SQRT(G7/(G4-1))</f>
        <v>1.3766681455986842</v>
      </c>
    </row>
    <row r="9" spans="1:7" x14ac:dyDescent="0.25">
      <c r="A9" s="1">
        <v>2</v>
      </c>
      <c r="B9" s="1">
        <v>1</v>
      </c>
      <c r="C9" s="2">
        <f t="shared" si="0"/>
        <v>-1</v>
      </c>
      <c r="D9" s="1">
        <f t="shared" si="1"/>
        <v>0.97714361210199496</v>
      </c>
    </row>
    <row r="10" spans="1:7" x14ac:dyDescent="0.25">
      <c r="A10" s="1">
        <v>3</v>
      </c>
      <c r="B10" s="1">
        <v>1</v>
      </c>
      <c r="C10" s="2">
        <f t="shared" si="0"/>
        <v>-2</v>
      </c>
      <c r="D10" s="1">
        <f t="shared" si="1"/>
        <v>3.9541551063548681</v>
      </c>
    </row>
    <row r="11" spans="1:7" x14ac:dyDescent="0.25">
      <c r="A11" s="1">
        <v>2</v>
      </c>
      <c r="B11" s="1">
        <v>1</v>
      </c>
      <c r="C11" s="2">
        <f t="shared" si="0"/>
        <v>-1</v>
      </c>
      <c r="D11" s="1">
        <f t="shared" si="1"/>
        <v>0.97714361210199496</v>
      </c>
    </row>
    <row r="12" spans="1:7" x14ac:dyDescent="0.25">
      <c r="A12" s="1">
        <v>2</v>
      </c>
      <c r="B12" s="1">
        <v>2</v>
      </c>
      <c r="C12" s="2">
        <f t="shared" si="0"/>
        <v>0</v>
      </c>
      <c r="D12" s="1">
        <f t="shared" si="1"/>
        <v>1.3211784912141631E-4</v>
      </c>
      <c r="F12" t="s">
        <v>12</v>
      </c>
      <c r="G12">
        <f>G6/(G8/SQRT(G4))</f>
        <v>-7.7877340175656895E-2</v>
      </c>
    </row>
    <row r="13" spans="1:7" x14ac:dyDescent="0.25">
      <c r="A13" s="1">
        <v>1</v>
      </c>
      <c r="B13" s="1">
        <v>2</v>
      </c>
      <c r="C13" s="2">
        <f t="shared" si="0"/>
        <v>1</v>
      </c>
      <c r="D13" s="1">
        <f t="shared" si="1"/>
        <v>1.023120623596248</v>
      </c>
    </row>
    <row r="14" spans="1:7" x14ac:dyDescent="0.25">
      <c r="A14" s="1">
        <v>1</v>
      </c>
      <c r="B14" s="1">
        <v>1</v>
      </c>
      <c r="C14" s="2">
        <f t="shared" si="0"/>
        <v>0</v>
      </c>
      <c r="D14" s="1">
        <f t="shared" si="1"/>
        <v>1.3211784912141631E-4</v>
      </c>
    </row>
    <row r="15" spans="1:7" x14ac:dyDescent="0.25">
      <c r="A15" s="1">
        <v>2</v>
      </c>
      <c r="B15" s="1">
        <v>2</v>
      </c>
      <c r="C15" s="2">
        <f t="shared" si="0"/>
        <v>0</v>
      </c>
      <c r="D15" s="1">
        <f t="shared" si="1"/>
        <v>1.3211784912141631E-4</v>
      </c>
    </row>
    <row r="16" spans="1:7" x14ac:dyDescent="0.25">
      <c r="A16" s="1">
        <v>1</v>
      </c>
      <c r="B16" s="1">
        <v>1</v>
      </c>
      <c r="C16" s="2">
        <f t="shared" si="0"/>
        <v>0</v>
      </c>
      <c r="D16" s="1">
        <f t="shared" si="1"/>
        <v>1.3211784912141631E-4</v>
      </c>
    </row>
    <row r="17" spans="1:7" x14ac:dyDescent="0.25">
      <c r="A17" s="1">
        <v>2</v>
      </c>
      <c r="B17" s="1">
        <v>1</v>
      </c>
      <c r="C17" s="2">
        <f t="shared" si="0"/>
        <v>-1</v>
      </c>
      <c r="D17" s="1">
        <f t="shared" si="1"/>
        <v>0.97714361210199496</v>
      </c>
      <c r="F17" t="s">
        <v>7</v>
      </c>
      <c r="G17">
        <v>0.05</v>
      </c>
    </row>
    <row r="18" spans="1:7" x14ac:dyDescent="0.25">
      <c r="A18" s="1">
        <v>1</v>
      </c>
      <c r="B18" s="1">
        <v>2</v>
      </c>
      <c r="C18" s="2">
        <f t="shared" si="0"/>
        <v>1</v>
      </c>
      <c r="D18" s="1">
        <f t="shared" si="1"/>
        <v>1.023120623596248</v>
      </c>
      <c r="F18" t="s">
        <v>8</v>
      </c>
      <c r="G18">
        <f>G4-1</f>
        <v>86</v>
      </c>
    </row>
    <row r="19" spans="1:7" x14ac:dyDescent="0.25">
      <c r="A19" s="1">
        <v>1</v>
      </c>
      <c r="B19" s="1">
        <v>3</v>
      </c>
      <c r="C19" s="2">
        <f t="shared" si="0"/>
        <v>2</v>
      </c>
      <c r="D19" s="1">
        <f t="shared" si="1"/>
        <v>4.0461091293433746</v>
      </c>
    </row>
    <row r="20" spans="1:7" x14ac:dyDescent="0.25">
      <c r="A20" s="1">
        <v>3</v>
      </c>
      <c r="B20" s="1">
        <v>2</v>
      </c>
      <c r="C20" s="2">
        <f t="shared" si="0"/>
        <v>-1</v>
      </c>
      <c r="D20" s="1">
        <f t="shared" si="1"/>
        <v>0.97714361210199496</v>
      </c>
    </row>
    <row r="21" spans="1:7" x14ac:dyDescent="0.25">
      <c r="A21" s="1">
        <v>1</v>
      </c>
      <c r="B21" s="1">
        <v>3</v>
      </c>
      <c r="C21" s="2">
        <f t="shared" si="0"/>
        <v>2</v>
      </c>
      <c r="D21" s="1">
        <f t="shared" si="1"/>
        <v>4.0461091293433746</v>
      </c>
    </row>
    <row r="22" spans="1:7" x14ac:dyDescent="0.25">
      <c r="A22" s="1">
        <v>1</v>
      </c>
      <c r="B22" s="1">
        <v>2</v>
      </c>
      <c r="C22" s="2">
        <f t="shared" si="0"/>
        <v>1</v>
      </c>
      <c r="D22" s="1">
        <f t="shared" si="1"/>
        <v>1.023120623596248</v>
      </c>
      <c r="F22" s="6" t="s">
        <v>9</v>
      </c>
      <c r="G22" s="6"/>
    </row>
    <row r="23" spans="1:7" x14ac:dyDescent="0.25">
      <c r="A23" s="1">
        <v>2</v>
      </c>
      <c r="B23" s="1">
        <v>1</v>
      </c>
      <c r="C23" s="2">
        <f t="shared" si="0"/>
        <v>-1</v>
      </c>
      <c r="D23" s="1">
        <f t="shared" si="1"/>
        <v>0.97714361210199496</v>
      </c>
      <c r="F23" t="s">
        <v>26</v>
      </c>
      <c r="G23">
        <f>_xlfn.T.INV.2T(G17,G18)</f>
        <v>1.987934206239018</v>
      </c>
    </row>
    <row r="24" spans="1:7" x14ac:dyDescent="0.25">
      <c r="A24" s="1">
        <v>2</v>
      </c>
      <c r="B24" s="1">
        <v>1</v>
      </c>
      <c r="C24" s="2">
        <f t="shared" si="0"/>
        <v>-1</v>
      </c>
      <c r="D24" s="1">
        <f t="shared" si="1"/>
        <v>0.97714361210199496</v>
      </c>
      <c r="F24" t="s">
        <v>27</v>
      </c>
      <c r="G24">
        <f>_xlfn.T.INV(G17,G18)</f>
        <v>-1.662765449409072</v>
      </c>
    </row>
    <row r="25" spans="1:7" x14ac:dyDescent="0.25">
      <c r="A25" s="1">
        <v>2</v>
      </c>
      <c r="B25" s="1">
        <v>4</v>
      </c>
      <c r="C25" s="2">
        <f t="shared" si="0"/>
        <v>2</v>
      </c>
      <c r="D25" s="1">
        <f t="shared" si="1"/>
        <v>4.0461091293433746</v>
      </c>
    </row>
    <row r="26" spans="1:7" x14ac:dyDescent="0.25">
      <c r="A26" s="1">
        <v>3</v>
      </c>
      <c r="B26" s="1">
        <v>3</v>
      </c>
      <c r="C26" s="2">
        <f t="shared" si="0"/>
        <v>0</v>
      </c>
      <c r="D26" s="1">
        <f t="shared" si="1"/>
        <v>1.3211784912141631E-4</v>
      </c>
    </row>
    <row r="27" spans="1:7" x14ac:dyDescent="0.25">
      <c r="A27" s="1">
        <v>4</v>
      </c>
      <c r="B27" s="1">
        <v>2</v>
      </c>
      <c r="C27" s="2">
        <f t="shared" si="0"/>
        <v>-2</v>
      </c>
      <c r="D27" s="1">
        <f t="shared" si="1"/>
        <v>3.9541551063548681</v>
      </c>
    </row>
    <row r="28" spans="1:7" x14ac:dyDescent="0.25">
      <c r="A28" s="1">
        <v>3</v>
      </c>
      <c r="B28" s="1">
        <v>1</v>
      </c>
      <c r="C28" s="2">
        <f t="shared" si="0"/>
        <v>-2</v>
      </c>
      <c r="D28" s="1">
        <f t="shared" si="1"/>
        <v>3.9541551063548681</v>
      </c>
    </row>
    <row r="29" spans="1:7" x14ac:dyDescent="0.25">
      <c r="A29" s="1">
        <v>1</v>
      </c>
      <c r="B29" s="1">
        <v>2</v>
      </c>
      <c r="C29" s="2">
        <f t="shared" si="0"/>
        <v>1</v>
      </c>
      <c r="D29" s="1">
        <f t="shared" si="1"/>
        <v>1.023120623596248</v>
      </c>
    </row>
    <row r="30" spans="1:7" x14ac:dyDescent="0.25">
      <c r="A30" s="1">
        <v>3</v>
      </c>
      <c r="B30" s="1">
        <v>2</v>
      </c>
      <c r="C30" s="2">
        <f t="shared" si="0"/>
        <v>-1</v>
      </c>
      <c r="D30" s="1">
        <f t="shared" si="1"/>
        <v>0.97714361210199496</v>
      </c>
    </row>
    <row r="31" spans="1:7" x14ac:dyDescent="0.25">
      <c r="A31" s="1">
        <v>1</v>
      </c>
      <c r="B31" s="1">
        <v>3</v>
      </c>
      <c r="C31" s="2">
        <f t="shared" si="0"/>
        <v>2</v>
      </c>
      <c r="D31" s="1">
        <f t="shared" si="1"/>
        <v>4.0461091293433746</v>
      </c>
    </row>
    <row r="32" spans="1:7" x14ac:dyDescent="0.25">
      <c r="A32" s="1">
        <v>3</v>
      </c>
      <c r="B32" s="1">
        <v>2</v>
      </c>
      <c r="C32" s="2">
        <f t="shared" si="0"/>
        <v>-1</v>
      </c>
      <c r="D32" s="1">
        <f t="shared" si="1"/>
        <v>0.97714361210199496</v>
      </c>
    </row>
    <row r="33" spans="1:7" x14ac:dyDescent="0.25">
      <c r="A33" s="1">
        <v>2</v>
      </c>
      <c r="B33" s="1">
        <v>1</v>
      </c>
      <c r="C33" s="2">
        <f t="shared" si="0"/>
        <v>-1</v>
      </c>
      <c r="D33" s="1">
        <f t="shared" si="1"/>
        <v>0.97714361210199496</v>
      </c>
    </row>
    <row r="34" spans="1:7" x14ac:dyDescent="0.25">
      <c r="A34" s="1">
        <v>2</v>
      </c>
      <c r="B34" s="1">
        <v>1</v>
      </c>
      <c r="C34" s="2">
        <f t="shared" si="0"/>
        <v>-1</v>
      </c>
      <c r="D34" s="1">
        <f t="shared" si="1"/>
        <v>0.97714361210199496</v>
      </c>
      <c r="F34" t="s">
        <v>10</v>
      </c>
    </row>
    <row r="35" spans="1:7" x14ac:dyDescent="0.25">
      <c r="A35" s="1">
        <v>2</v>
      </c>
      <c r="B35" s="1">
        <v>1</v>
      </c>
      <c r="C35" s="2">
        <f t="shared" si="0"/>
        <v>-1</v>
      </c>
      <c r="D35" s="1">
        <f t="shared" si="1"/>
        <v>0.97714361210199496</v>
      </c>
      <c r="F35" t="s">
        <v>11</v>
      </c>
    </row>
    <row r="36" spans="1:7" x14ac:dyDescent="0.25">
      <c r="A36" s="1">
        <v>2</v>
      </c>
      <c r="B36" s="1">
        <v>2</v>
      </c>
      <c r="C36" s="2">
        <f t="shared" si="0"/>
        <v>0</v>
      </c>
      <c r="D36" s="1">
        <f t="shared" si="1"/>
        <v>1.3211784912141631E-4</v>
      </c>
    </row>
    <row r="37" spans="1:7" x14ac:dyDescent="0.25">
      <c r="A37" s="1">
        <v>1</v>
      </c>
      <c r="B37" s="1">
        <v>5</v>
      </c>
      <c r="C37" s="2">
        <f t="shared" si="0"/>
        <v>4</v>
      </c>
      <c r="D37" s="1">
        <f t="shared" si="1"/>
        <v>16.092086140837626</v>
      </c>
    </row>
    <row r="38" spans="1:7" x14ac:dyDescent="0.25">
      <c r="A38" s="1">
        <v>3</v>
      </c>
      <c r="B38" s="1">
        <v>2</v>
      </c>
      <c r="C38" s="2">
        <f t="shared" si="0"/>
        <v>-1</v>
      </c>
      <c r="D38" s="1">
        <f t="shared" si="1"/>
        <v>0.97714361210199496</v>
      </c>
    </row>
    <row r="39" spans="1:7" x14ac:dyDescent="0.25">
      <c r="A39" s="1">
        <v>1</v>
      </c>
      <c r="B39" s="1">
        <v>2</v>
      </c>
      <c r="C39" s="2">
        <f t="shared" si="0"/>
        <v>1</v>
      </c>
      <c r="D39" s="1">
        <f t="shared" si="1"/>
        <v>1.023120623596248</v>
      </c>
      <c r="F39" s="6" t="s">
        <v>13</v>
      </c>
      <c r="G39" s="6"/>
    </row>
    <row r="40" spans="1:7" x14ac:dyDescent="0.25">
      <c r="A40" s="1">
        <v>1</v>
      </c>
      <c r="B40" s="1">
        <v>2</v>
      </c>
      <c r="C40" s="2">
        <f t="shared" si="0"/>
        <v>1</v>
      </c>
      <c r="D40" s="1">
        <f t="shared" si="1"/>
        <v>1.023120623596248</v>
      </c>
      <c r="F40" t="s">
        <v>13</v>
      </c>
    </row>
    <row r="41" spans="1:7" x14ac:dyDescent="0.25">
      <c r="A41" s="1">
        <v>2</v>
      </c>
      <c r="B41" s="1">
        <v>4</v>
      </c>
      <c r="C41" s="2">
        <f t="shared" si="0"/>
        <v>2</v>
      </c>
      <c r="D41" s="1">
        <f t="shared" si="1"/>
        <v>4.0461091293433746</v>
      </c>
      <c r="F41" t="s">
        <v>25</v>
      </c>
      <c r="G41">
        <f>TTEST(A:A,B:B,2,1)</f>
        <v>0.93810653281206791</v>
      </c>
    </row>
    <row r="42" spans="1:7" x14ac:dyDescent="0.25">
      <c r="A42" s="1">
        <v>1</v>
      </c>
      <c r="B42" s="1">
        <v>1</v>
      </c>
      <c r="C42" s="2">
        <f t="shared" si="0"/>
        <v>0</v>
      </c>
      <c r="D42" s="1">
        <f t="shared" si="1"/>
        <v>1.3211784912141631E-4</v>
      </c>
      <c r="F42" t="s">
        <v>29</v>
      </c>
      <c r="G42">
        <f>TTEST(A:A,B:B,1,1)</f>
        <v>0.46905326640603395</v>
      </c>
    </row>
    <row r="43" spans="1:7" x14ac:dyDescent="0.25">
      <c r="A43" s="1">
        <v>1</v>
      </c>
      <c r="B43" s="1">
        <v>2</v>
      </c>
      <c r="C43" s="2">
        <f t="shared" si="0"/>
        <v>1</v>
      </c>
      <c r="D43" s="1">
        <f t="shared" si="1"/>
        <v>1.023120623596248</v>
      </c>
    </row>
    <row r="44" spans="1:7" x14ac:dyDescent="0.25">
      <c r="A44" s="1">
        <v>1</v>
      </c>
      <c r="B44" s="1">
        <v>1</v>
      </c>
      <c r="C44" s="2">
        <f t="shared" si="0"/>
        <v>0</v>
      </c>
      <c r="D44" s="1">
        <f t="shared" si="1"/>
        <v>1.3211784912141631E-4</v>
      </c>
    </row>
    <row r="45" spans="1:7" x14ac:dyDescent="0.25">
      <c r="A45" s="1">
        <v>2</v>
      </c>
      <c r="B45" s="1">
        <v>2</v>
      </c>
      <c r="C45" s="2">
        <f t="shared" si="0"/>
        <v>0</v>
      </c>
      <c r="D45" s="1">
        <f t="shared" si="1"/>
        <v>1.3211784912141631E-4</v>
      </c>
      <c r="F45" s="6" t="s">
        <v>16</v>
      </c>
      <c r="G45" s="6"/>
    </row>
    <row r="46" spans="1:7" x14ac:dyDescent="0.25">
      <c r="A46" s="1">
        <v>1</v>
      </c>
      <c r="B46" s="1">
        <v>2</v>
      </c>
      <c r="C46" s="2">
        <f t="shared" si="0"/>
        <v>1</v>
      </c>
      <c r="D46" s="1">
        <f t="shared" si="1"/>
        <v>1.023120623596248</v>
      </c>
    </row>
    <row r="47" spans="1:7" x14ac:dyDescent="0.25">
      <c r="A47" s="1">
        <v>1</v>
      </c>
      <c r="B47" s="1">
        <v>2</v>
      </c>
      <c r="C47" s="2">
        <f t="shared" si="0"/>
        <v>1</v>
      </c>
      <c r="D47" s="1">
        <f t="shared" si="1"/>
        <v>1.023120623596248</v>
      </c>
      <c r="F47" t="s">
        <v>14</v>
      </c>
    </row>
    <row r="48" spans="1:7" x14ac:dyDescent="0.25">
      <c r="A48" s="1">
        <v>2</v>
      </c>
      <c r="B48" s="1">
        <v>2</v>
      </c>
      <c r="C48" s="2">
        <f t="shared" si="0"/>
        <v>0</v>
      </c>
      <c r="D48" s="1">
        <f t="shared" si="1"/>
        <v>1.3211784912141631E-4</v>
      </c>
      <c r="F48" t="s">
        <v>15</v>
      </c>
    </row>
    <row r="49" spans="1:6" x14ac:dyDescent="0.25">
      <c r="A49" s="1">
        <v>3</v>
      </c>
      <c r="B49" s="1">
        <v>2</v>
      </c>
      <c r="C49" s="2">
        <f t="shared" si="0"/>
        <v>-1</v>
      </c>
      <c r="D49" s="1">
        <f t="shared" si="1"/>
        <v>0.97714361210199496</v>
      </c>
    </row>
    <row r="50" spans="1:6" x14ac:dyDescent="0.25">
      <c r="A50" s="1">
        <v>1</v>
      </c>
      <c r="B50" s="1">
        <v>1</v>
      </c>
      <c r="C50" s="2">
        <f t="shared" si="0"/>
        <v>0</v>
      </c>
      <c r="D50" s="1">
        <f t="shared" si="1"/>
        <v>1.3211784912141631E-4</v>
      </c>
      <c r="F50" t="s">
        <v>18</v>
      </c>
    </row>
    <row r="51" spans="1:6" x14ac:dyDescent="0.25">
      <c r="A51" s="1">
        <v>2</v>
      </c>
      <c r="B51" s="1">
        <v>1</v>
      </c>
      <c r="C51" s="2">
        <f t="shared" si="0"/>
        <v>-1</v>
      </c>
      <c r="D51" s="1">
        <f t="shared" si="1"/>
        <v>0.97714361210199496</v>
      </c>
      <c r="F51" t="s">
        <v>19</v>
      </c>
    </row>
    <row r="52" spans="1:6" x14ac:dyDescent="0.25">
      <c r="A52" s="1">
        <v>3</v>
      </c>
      <c r="B52" s="1">
        <v>1</v>
      </c>
      <c r="C52" s="2">
        <f t="shared" si="0"/>
        <v>-2</v>
      </c>
      <c r="D52" s="1">
        <f t="shared" si="1"/>
        <v>3.9541551063548681</v>
      </c>
    </row>
    <row r="53" spans="1:6" x14ac:dyDescent="0.25">
      <c r="A53" s="1">
        <v>2</v>
      </c>
      <c r="B53" s="1">
        <v>2</v>
      </c>
      <c r="C53" s="2">
        <f t="shared" si="0"/>
        <v>0</v>
      </c>
      <c r="D53" s="1">
        <f t="shared" si="1"/>
        <v>1.3211784912141631E-4</v>
      </c>
    </row>
    <row r="54" spans="1:6" x14ac:dyDescent="0.25">
      <c r="A54" s="1">
        <v>2</v>
      </c>
      <c r="B54" s="1">
        <v>2</v>
      </c>
      <c r="C54" s="2">
        <f t="shared" si="0"/>
        <v>0</v>
      </c>
      <c r="D54" s="1">
        <f t="shared" si="1"/>
        <v>1.3211784912141631E-4</v>
      </c>
    </row>
    <row r="55" spans="1:6" x14ac:dyDescent="0.25">
      <c r="A55" s="1">
        <v>2</v>
      </c>
      <c r="B55" s="1">
        <v>1</v>
      </c>
      <c r="C55" s="2">
        <f t="shared" si="0"/>
        <v>-1</v>
      </c>
      <c r="D55" s="1">
        <f t="shared" si="1"/>
        <v>0.97714361210199496</v>
      </c>
    </row>
    <row r="56" spans="1:6" x14ac:dyDescent="0.25">
      <c r="A56" s="1">
        <v>2</v>
      </c>
      <c r="B56" s="1">
        <v>5</v>
      </c>
      <c r="C56" s="2">
        <f t="shared" si="0"/>
        <v>3</v>
      </c>
      <c r="D56" s="1">
        <f t="shared" si="1"/>
        <v>9.0690976350905022</v>
      </c>
      <c r="F56" s="6" t="s">
        <v>23</v>
      </c>
    </row>
    <row r="57" spans="1:6" x14ac:dyDescent="0.25">
      <c r="A57" s="1">
        <v>1</v>
      </c>
      <c r="B57" s="1">
        <v>2</v>
      </c>
      <c r="C57" s="2">
        <f t="shared" si="0"/>
        <v>1</v>
      </c>
      <c r="D57" s="1">
        <f t="shared" si="1"/>
        <v>1.023120623596248</v>
      </c>
    </row>
    <row r="58" spans="1:6" x14ac:dyDescent="0.25">
      <c r="A58" s="1">
        <v>5</v>
      </c>
      <c r="B58" s="1">
        <v>2</v>
      </c>
      <c r="C58" s="2">
        <f t="shared" si="0"/>
        <v>-3</v>
      </c>
      <c r="D58" s="1">
        <f t="shared" si="1"/>
        <v>8.9311666006077424</v>
      </c>
      <c r="F58" t="s">
        <v>21</v>
      </c>
    </row>
    <row r="59" spans="1:6" x14ac:dyDescent="0.25">
      <c r="A59" s="1">
        <v>2</v>
      </c>
      <c r="B59" s="1">
        <v>1</v>
      </c>
      <c r="C59" s="2">
        <f t="shared" si="0"/>
        <v>-1</v>
      </c>
      <c r="D59" s="1">
        <f t="shared" si="1"/>
        <v>0.97714361210199496</v>
      </c>
      <c r="F59" t="s">
        <v>20</v>
      </c>
    </row>
    <row r="60" spans="1:6" x14ac:dyDescent="0.25">
      <c r="A60" s="1">
        <v>5</v>
      </c>
      <c r="B60" s="1">
        <v>1</v>
      </c>
      <c r="C60" s="2">
        <f t="shared" si="0"/>
        <v>-4</v>
      </c>
      <c r="D60" s="1">
        <f t="shared" si="1"/>
        <v>15.908178094860615</v>
      </c>
      <c r="F60" t="s">
        <v>22</v>
      </c>
    </row>
    <row r="61" spans="1:6" x14ac:dyDescent="0.25">
      <c r="A61" s="1">
        <v>1</v>
      </c>
      <c r="B61" s="1">
        <v>2</v>
      </c>
      <c r="C61" s="2">
        <f t="shared" si="0"/>
        <v>1</v>
      </c>
      <c r="D61" s="1">
        <f t="shared" si="1"/>
        <v>1.023120623596248</v>
      </c>
    </row>
    <row r="62" spans="1:6" x14ac:dyDescent="0.25">
      <c r="A62" s="1">
        <v>2</v>
      </c>
      <c r="B62" s="1">
        <v>2</v>
      </c>
      <c r="C62" s="2">
        <f t="shared" si="0"/>
        <v>0</v>
      </c>
      <c r="D62" s="1">
        <f t="shared" si="1"/>
        <v>1.3211784912141631E-4</v>
      </c>
    </row>
    <row r="63" spans="1:6" x14ac:dyDescent="0.25">
      <c r="A63" s="1">
        <v>1</v>
      </c>
      <c r="B63" s="1">
        <v>3</v>
      </c>
      <c r="C63" s="2">
        <f t="shared" si="0"/>
        <v>2</v>
      </c>
      <c r="D63" s="1">
        <f t="shared" si="1"/>
        <v>4.0461091293433746</v>
      </c>
    </row>
    <row r="64" spans="1:6" x14ac:dyDescent="0.25">
      <c r="A64" s="1">
        <v>3</v>
      </c>
      <c r="B64" s="1">
        <v>5</v>
      </c>
      <c r="C64" s="2">
        <f t="shared" si="0"/>
        <v>2</v>
      </c>
      <c r="D64" s="1">
        <f t="shared" si="1"/>
        <v>4.0461091293433746</v>
      </c>
    </row>
    <row r="65" spans="1:6" x14ac:dyDescent="0.25">
      <c r="A65" s="1">
        <v>2</v>
      </c>
      <c r="B65" s="1">
        <v>1</v>
      </c>
      <c r="C65" s="2">
        <f t="shared" si="0"/>
        <v>-1</v>
      </c>
      <c r="D65" s="1">
        <f t="shared" si="1"/>
        <v>0.97714361210199496</v>
      </c>
      <c r="F65" s="6" t="s">
        <v>23</v>
      </c>
    </row>
    <row r="66" spans="1:6" x14ac:dyDescent="0.25">
      <c r="A66" s="1">
        <v>2</v>
      </c>
      <c r="B66" s="1">
        <v>2</v>
      </c>
      <c r="C66" s="2">
        <f t="shared" si="0"/>
        <v>0</v>
      </c>
      <c r="D66" s="1">
        <f t="shared" si="1"/>
        <v>1.3211784912141631E-4</v>
      </c>
    </row>
    <row r="67" spans="1:6" x14ac:dyDescent="0.25">
      <c r="A67" s="1">
        <v>2</v>
      </c>
      <c r="B67" s="1">
        <v>3</v>
      </c>
      <c r="C67" s="2">
        <f t="shared" ref="C67:C88" si="2">B67-A67</f>
        <v>1</v>
      </c>
      <c r="D67" s="1">
        <f t="shared" si="1"/>
        <v>1.023120623596248</v>
      </c>
    </row>
    <row r="68" spans="1:6" x14ac:dyDescent="0.25">
      <c r="A68" s="1">
        <v>1</v>
      </c>
      <c r="B68" s="1">
        <v>2</v>
      </c>
      <c r="C68" s="2">
        <f t="shared" si="2"/>
        <v>1</v>
      </c>
      <c r="D68" s="1">
        <f t="shared" si="1"/>
        <v>1.023120623596248</v>
      </c>
    </row>
    <row r="69" spans="1:6" x14ac:dyDescent="0.25">
      <c r="A69" s="1">
        <v>1</v>
      </c>
      <c r="B69" s="1">
        <v>1</v>
      </c>
      <c r="C69" s="2">
        <f t="shared" si="2"/>
        <v>0</v>
      </c>
      <c r="D69" s="1">
        <f t="shared" ref="D69:D88" si="3">(C69-$G$6)^2</f>
        <v>1.3211784912141631E-4</v>
      </c>
    </row>
    <row r="70" spans="1:6" x14ac:dyDescent="0.25">
      <c r="A70" s="1">
        <v>2</v>
      </c>
      <c r="B70" s="1">
        <v>2</v>
      </c>
      <c r="C70" s="2">
        <f t="shared" si="2"/>
        <v>0</v>
      </c>
      <c r="D70" s="1">
        <f t="shared" si="3"/>
        <v>1.3211784912141631E-4</v>
      </c>
    </row>
    <row r="71" spans="1:6" x14ac:dyDescent="0.25">
      <c r="A71" s="1">
        <v>2</v>
      </c>
      <c r="B71" s="1">
        <v>1</v>
      </c>
      <c r="C71" s="2">
        <f t="shared" si="2"/>
        <v>-1</v>
      </c>
      <c r="D71" s="1">
        <f t="shared" si="3"/>
        <v>0.97714361210199496</v>
      </c>
    </row>
    <row r="72" spans="1:6" x14ac:dyDescent="0.25">
      <c r="A72" s="1">
        <v>1</v>
      </c>
      <c r="B72" s="1">
        <v>2</v>
      </c>
      <c r="C72" s="2">
        <f t="shared" si="2"/>
        <v>1</v>
      </c>
      <c r="D72" s="1">
        <f t="shared" si="3"/>
        <v>1.023120623596248</v>
      </c>
      <c r="F72" t="s">
        <v>24</v>
      </c>
    </row>
    <row r="73" spans="1:6" x14ac:dyDescent="0.25">
      <c r="A73" s="1">
        <v>3</v>
      </c>
      <c r="B73" s="1">
        <v>1</v>
      </c>
      <c r="C73" s="2">
        <f t="shared" si="2"/>
        <v>-2</v>
      </c>
      <c r="D73" s="1">
        <f t="shared" si="3"/>
        <v>3.9541551063548681</v>
      </c>
      <c r="F73" t="s">
        <v>22</v>
      </c>
    </row>
    <row r="74" spans="1:6" x14ac:dyDescent="0.25">
      <c r="A74" s="1">
        <v>1</v>
      </c>
      <c r="B74" s="1">
        <v>2</v>
      </c>
      <c r="C74" s="2">
        <f t="shared" si="2"/>
        <v>1</v>
      </c>
      <c r="D74" s="1">
        <f t="shared" si="3"/>
        <v>1.023120623596248</v>
      </c>
      <c r="F74" t="s">
        <v>24</v>
      </c>
    </row>
    <row r="75" spans="1:6" x14ac:dyDescent="0.25">
      <c r="A75" s="1">
        <v>1</v>
      </c>
      <c r="B75" s="1">
        <v>1</v>
      </c>
      <c r="C75" s="2">
        <f t="shared" si="2"/>
        <v>0</v>
      </c>
      <c r="D75" s="1">
        <f t="shared" si="3"/>
        <v>1.3211784912141631E-4</v>
      </c>
      <c r="F75" t="s">
        <v>22</v>
      </c>
    </row>
    <row r="76" spans="1:6" x14ac:dyDescent="0.25">
      <c r="A76" s="1">
        <v>1</v>
      </c>
      <c r="B76" s="1">
        <v>2</v>
      </c>
      <c r="C76" s="2">
        <f t="shared" si="2"/>
        <v>1</v>
      </c>
      <c r="D76" s="1">
        <f t="shared" si="3"/>
        <v>1.023120623596248</v>
      </c>
    </row>
    <row r="77" spans="1:6" x14ac:dyDescent="0.25">
      <c r="A77" s="1">
        <v>1</v>
      </c>
      <c r="B77" s="1">
        <v>2</v>
      </c>
      <c r="C77" s="2">
        <f t="shared" si="2"/>
        <v>1</v>
      </c>
      <c r="D77" s="1">
        <f t="shared" si="3"/>
        <v>1.023120623596248</v>
      </c>
    </row>
    <row r="78" spans="1:6" x14ac:dyDescent="0.25">
      <c r="A78" s="1">
        <v>2</v>
      </c>
      <c r="B78" s="1">
        <v>2</v>
      </c>
      <c r="C78" s="2">
        <f t="shared" si="2"/>
        <v>0</v>
      </c>
      <c r="D78" s="1">
        <f t="shared" si="3"/>
        <v>1.3211784912141631E-4</v>
      </c>
    </row>
    <row r="79" spans="1:6" x14ac:dyDescent="0.25">
      <c r="A79" s="1">
        <v>1</v>
      </c>
      <c r="B79" s="1">
        <v>1</v>
      </c>
      <c r="C79" s="2">
        <f t="shared" si="2"/>
        <v>0</v>
      </c>
      <c r="D79" s="1">
        <f t="shared" si="3"/>
        <v>1.3211784912141631E-4</v>
      </c>
    </row>
    <row r="80" spans="1:6" x14ac:dyDescent="0.25">
      <c r="A80" s="1">
        <v>2</v>
      </c>
      <c r="B80" s="1">
        <v>1</v>
      </c>
      <c r="C80" s="2">
        <f t="shared" si="2"/>
        <v>-1</v>
      </c>
      <c r="D80" s="1">
        <f t="shared" si="3"/>
        <v>0.97714361210199496</v>
      </c>
    </row>
    <row r="81" spans="1:6" x14ac:dyDescent="0.25">
      <c r="A81" s="1">
        <v>1</v>
      </c>
      <c r="B81" s="1">
        <v>2</v>
      </c>
      <c r="C81" s="2">
        <f t="shared" si="2"/>
        <v>1</v>
      </c>
      <c r="D81" s="1">
        <f t="shared" si="3"/>
        <v>1.023120623596248</v>
      </c>
    </row>
    <row r="82" spans="1:6" x14ac:dyDescent="0.25">
      <c r="A82" s="1">
        <v>5</v>
      </c>
      <c r="B82" s="1">
        <v>1</v>
      </c>
      <c r="C82" s="2">
        <f t="shared" si="2"/>
        <v>-4</v>
      </c>
      <c r="D82" s="1">
        <f t="shared" si="3"/>
        <v>15.908178094860615</v>
      </c>
    </row>
    <row r="83" spans="1:6" x14ac:dyDescent="0.25">
      <c r="A83" s="1">
        <v>2</v>
      </c>
      <c r="B83" s="1">
        <v>2</v>
      </c>
      <c r="C83" s="2">
        <f t="shared" si="2"/>
        <v>0</v>
      </c>
      <c r="D83" s="1">
        <f t="shared" si="3"/>
        <v>1.3211784912141631E-4</v>
      </c>
    </row>
    <row r="84" spans="1:6" x14ac:dyDescent="0.25">
      <c r="A84" s="1">
        <v>2</v>
      </c>
      <c r="B84" s="1">
        <v>2</v>
      </c>
      <c r="C84" s="2">
        <f t="shared" si="2"/>
        <v>0</v>
      </c>
      <c r="D84" s="1">
        <f t="shared" si="3"/>
        <v>1.3211784912141631E-4</v>
      </c>
    </row>
    <row r="85" spans="1:6" x14ac:dyDescent="0.25">
      <c r="A85" s="1">
        <v>2</v>
      </c>
      <c r="B85" s="1">
        <v>1</v>
      </c>
      <c r="C85" s="2">
        <f t="shared" si="2"/>
        <v>-1</v>
      </c>
      <c r="D85" s="1">
        <f t="shared" si="3"/>
        <v>0.97714361210199496</v>
      </c>
    </row>
    <row r="86" spans="1:6" x14ac:dyDescent="0.25">
      <c r="A86" s="1">
        <v>4</v>
      </c>
      <c r="B86" s="1">
        <v>4</v>
      </c>
      <c r="C86" s="2">
        <f t="shared" si="2"/>
        <v>0</v>
      </c>
      <c r="D86" s="1">
        <f t="shared" si="3"/>
        <v>1.3211784912141631E-4</v>
      </c>
    </row>
    <row r="87" spans="1:6" x14ac:dyDescent="0.25">
      <c r="A87" s="1">
        <v>2</v>
      </c>
      <c r="B87" s="1">
        <v>2</v>
      </c>
      <c r="C87" s="2">
        <f t="shared" si="2"/>
        <v>0</v>
      </c>
      <c r="D87" s="1">
        <f t="shared" si="3"/>
        <v>1.3211784912141631E-4</v>
      </c>
    </row>
    <row r="88" spans="1:6" x14ac:dyDescent="0.25">
      <c r="A88" s="1">
        <v>1</v>
      </c>
      <c r="B88" s="1">
        <v>3</v>
      </c>
      <c r="C88" s="2">
        <f t="shared" si="2"/>
        <v>2</v>
      </c>
      <c r="D88" s="1">
        <f t="shared" si="3"/>
        <v>4.0461091293433746</v>
      </c>
    </row>
    <row r="93" spans="1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8D41-9F17-4E1A-AC62-36AC2C04D508}">
  <dimension ref="A1:G93"/>
  <sheetViews>
    <sheetView zoomScale="70" zoomScaleNormal="70" workbookViewId="0">
      <selection activeCell="B2" sqref="B2"/>
    </sheetView>
  </sheetViews>
  <sheetFormatPr baseColWidth="10" defaultColWidth="9.140625" defaultRowHeight="15" x14ac:dyDescent="0.25"/>
  <cols>
    <col min="1" max="2" width="33.4257812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05" customHeight="1" x14ac:dyDescent="0.25">
      <c r="A1" s="3" t="s">
        <v>36</v>
      </c>
      <c r="B1" s="4" t="s">
        <v>37</v>
      </c>
      <c r="C1" s="5" t="s">
        <v>1</v>
      </c>
      <c r="D1" s="5"/>
    </row>
    <row r="2" spans="1:7" x14ac:dyDescent="0.25">
      <c r="A2" s="1">
        <v>2</v>
      </c>
      <c r="B2" s="1">
        <v>2</v>
      </c>
      <c r="C2" s="2">
        <f>B2-A2</f>
        <v>0</v>
      </c>
      <c r="D2" s="1">
        <f>(C2-$G$6)^2</f>
        <v>1.9024970273483946E-2</v>
      </c>
    </row>
    <row r="3" spans="1:7" x14ac:dyDescent="0.25">
      <c r="A3" s="1">
        <v>2</v>
      </c>
      <c r="B3" s="1">
        <v>2</v>
      </c>
      <c r="C3" s="2">
        <f t="shared" ref="C3:C66" si="0">B3-A3</f>
        <v>0</v>
      </c>
      <c r="D3" s="1">
        <f>(C3-$G$6)^2</f>
        <v>1.9024970273483946E-2</v>
      </c>
      <c r="F3" s="6" t="s">
        <v>17</v>
      </c>
      <c r="G3" s="6"/>
    </row>
    <row r="4" spans="1:7" x14ac:dyDescent="0.25">
      <c r="A4" s="1">
        <v>3</v>
      </c>
      <c r="B4" s="1">
        <v>1</v>
      </c>
      <c r="C4" s="2">
        <f t="shared" si="0"/>
        <v>-2</v>
      </c>
      <c r="D4" s="1">
        <f>(C4-$G$6)^2</f>
        <v>3.4673008323424495</v>
      </c>
      <c r="F4" t="s">
        <v>5</v>
      </c>
      <c r="G4">
        <v>87</v>
      </c>
    </row>
    <row r="5" spans="1:7" x14ac:dyDescent="0.25">
      <c r="A5" s="1">
        <v>2</v>
      </c>
      <c r="B5" s="1">
        <v>1</v>
      </c>
      <c r="C5" s="2">
        <f t="shared" si="0"/>
        <v>-1</v>
      </c>
      <c r="D5" s="1">
        <f t="shared" ref="D5:D68" si="1">(C5-$G$6)^2</f>
        <v>0.74316290130796658</v>
      </c>
      <c r="F5" t="s">
        <v>3</v>
      </c>
      <c r="G5">
        <f>SUM(C:C)</f>
        <v>-12</v>
      </c>
    </row>
    <row r="6" spans="1:7" x14ac:dyDescent="0.25">
      <c r="A6" s="1">
        <v>2</v>
      </c>
      <c r="B6" s="1">
        <v>3</v>
      </c>
      <c r="C6" s="2">
        <f t="shared" si="0"/>
        <v>1</v>
      </c>
      <c r="D6" s="1">
        <f t="shared" si="1"/>
        <v>1.2948870392390013</v>
      </c>
      <c r="F6" t="s">
        <v>2</v>
      </c>
      <c r="G6">
        <f>G5/G4</f>
        <v>-0.13793103448275862</v>
      </c>
    </row>
    <row r="7" spans="1:7" x14ac:dyDescent="0.25">
      <c r="A7" s="1">
        <v>1</v>
      </c>
      <c r="B7" s="1">
        <v>1</v>
      </c>
      <c r="C7" s="2">
        <f t="shared" si="0"/>
        <v>0</v>
      </c>
      <c r="D7" s="1">
        <f t="shared" si="1"/>
        <v>1.9024970273483946E-2</v>
      </c>
      <c r="F7" t="s">
        <v>4</v>
      </c>
      <c r="G7">
        <f>SUM(D:D)</f>
        <v>138.3448275862068</v>
      </c>
    </row>
    <row r="8" spans="1:7" x14ac:dyDescent="0.25">
      <c r="A8" s="1">
        <v>2</v>
      </c>
      <c r="B8" s="1">
        <v>1</v>
      </c>
      <c r="C8" s="2">
        <f t="shared" si="0"/>
        <v>-1</v>
      </c>
      <c r="D8" s="1">
        <f t="shared" si="1"/>
        <v>0.74316290130796658</v>
      </c>
      <c r="F8" t="s">
        <v>6</v>
      </c>
      <c r="G8">
        <f>SQRT(G7/(G4-1))</f>
        <v>1.2683299199680365</v>
      </c>
    </row>
    <row r="9" spans="1:7" x14ac:dyDescent="0.25">
      <c r="A9" s="1">
        <v>2</v>
      </c>
      <c r="B9" s="1">
        <v>1</v>
      </c>
      <c r="C9" s="2">
        <f t="shared" si="0"/>
        <v>-1</v>
      </c>
      <c r="D9" s="1">
        <f t="shared" si="1"/>
        <v>0.74316290130796658</v>
      </c>
    </row>
    <row r="10" spans="1:7" x14ac:dyDescent="0.25">
      <c r="A10" s="1">
        <v>4</v>
      </c>
      <c r="B10" s="1">
        <v>1</v>
      </c>
      <c r="C10" s="2">
        <f t="shared" si="0"/>
        <v>-3</v>
      </c>
      <c r="D10" s="1">
        <f t="shared" si="1"/>
        <v>8.191438763376933</v>
      </c>
    </row>
    <row r="11" spans="1:7" x14ac:dyDescent="0.25">
      <c r="A11" s="1">
        <v>2</v>
      </c>
      <c r="B11" s="1">
        <v>1</v>
      </c>
      <c r="C11" s="2">
        <f t="shared" si="0"/>
        <v>-1</v>
      </c>
      <c r="D11" s="1">
        <f t="shared" si="1"/>
        <v>0.74316290130796658</v>
      </c>
    </row>
    <row r="12" spans="1:7" x14ac:dyDescent="0.25">
      <c r="A12" s="1">
        <v>2</v>
      </c>
      <c r="B12" s="1">
        <v>2</v>
      </c>
      <c r="C12" s="2">
        <f t="shared" si="0"/>
        <v>0</v>
      </c>
      <c r="D12" s="1">
        <f t="shared" si="1"/>
        <v>1.9024970273483946E-2</v>
      </c>
      <c r="F12" t="s">
        <v>12</v>
      </c>
      <c r="G12">
        <f>G6/(G8/SQRT(G4))</f>
        <v>-1.0143536169498992</v>
      </c>
    </row>
    <row r="13" spans="1:7" x14ac:dyDescent="0.25">
      <c r="A13" s="1">
        <v>1</v>
      </c>
      <c r="B13" s="1">
        <v>2</v>
      </c>
      <c r="C13" s="2">
        <f t="shared" si="0"/>
        <v>1</v>
      </c>
      <c r="D13" s="1">
        <f t="shared" si="1"/>
        <v>1.2948870392390013</v>
      </c>
    </row>
    <row r="14" spans="1:7" x14ac:dyDescent="0.25">
      <c r="A14" s="1">
        <v>1</v>
      </c>
      <c r="B14" s="1">
        <v>1</v>
      </c>
      <c r="C14" s="2">
        <f t="shared" si="0"/>
        <v>0</v>
      </c>
      <c r="D14" s="1">
        <f t="shared" si="1"/>
        <v>1.9024970273483946E-2</v>
      </c>
    </row>
    <row r="15" spans="1:7" x14ac:dyDescent="0.25">
      <c r="A15" s="1">
        <v>2</v>
      </c>
      <c r="B15" s="1">
        <v>2</v>
      </c>
      <c r="C15" s="2">
        <f t="shared" si="0"/>
        <v>0</v>
      </c>
      <c r="D15" s="1">
        <f t="shared" si="1"/>
        <v>1.9024970273483946E-2</v>
      </c>
    </row>
    <row r="16" spans="1:7" x14ac:dyDescent="0.25">
      <c r="A16" s="1">
        <v>1</v>
      </c>
      <c r="B16" s="1">
        <v>1</v>
      </c>
      <c r="C16" s="2">
        <f t="shared" si="0"/>
        <v>0</v>
      </c>
      <c r="D16" s="1">
        <f t="shared" si="1"/>
        <v>1.9024970273483946E-2</v>
      </c>
    </row>
    <row r="17" spans="1:7" x14ac:dyDescent="0.25">
      <c r="A17" s="1">
        <v>2</v>
      </c>
      <c r="B17" s="1">
        <v>1</v>
      </c>
      <c r="C17" s="2">
        <f t="shared" si="0"/>
        <v>-1</v>
      </c>
      <c r="D17" s="1">
        <f t="shared" si="1"/>
        <v>0.74316290130796658</v>
      </c>
      <c r="F17" t="s">
        <v>7</v>
      </c>
      <c r="G17">
        <v>0.05</v>
      </c>
    </row>
    <row r="18" spans="1:7" x14ac:dyDescent="0.25">
      <c r="A18" s="1">
        <v>1</v>
      </c>
      <c r="B18" s="1">
        <v>3</v>
      </c>
      <c r="C18" s="2">
        <f t="shared" si="0"/>
        <v>2</v>
      </c>
      <c r="D18" s="1">
        <f t="shared" si="1"/>
        <v>4.5707491082045175</v>
      </c>
      <c r="F18" t="s">
        <v>8</v>
      </c>
      <c r="G18">
        <f>G4-1</f>
        <v>86</v>
      </c>
    </row>
    <row r="19" spans="1:7" x14ac:dyDescent="0.25">
      <c r="A19" s="1">
        <v>1</v>
      </c>
      <c r="B19" s="1">
        <v>2</v>
      </c>
      <c r="C19" s="2">
        <f t="shared" si="0"/>
        <v>1</v>
      </c>
      <c r="D19" s="1">
        <f t="shared" si="1"/>
        <v>1.2948870392390013</v>
      </c>
    </row>
    <row r="20" spans="1:7" x14ac:dyDescent="0.25">
      <c r="A20" s="1">
        <v>5</v>
      </c>
      <c r="B20" s="1">
        <v>2</v>
      </c>
      <c r="C20" s="2">
        <f t="shared" si="0"/>
        <v>-3</v>
      </c>
      <c r="D20" s="1">
        <f t="shared" si="1"/>
        <v>8.191438763376933</v>
      </c>
    </row>
    <row r="21" spans="1:7" x14ac:dyDescent="0.25">
      <c r="A21" s="1">
        <v>1</v>
      </c>
      <c r="B21" s="1">
        <v>1</v>
      </c>
      <c r="C21" s="2">
        <f t="shared" si="0"/>
        <v>0</v>
      </c>
      <c r="D21" s="1">
        <f t="shared" si="1"/>
        <v>1.9024970273483946E-2</v>
      </c>
    </row>
    <row r="22" spans="1:7" x14ac:dyDescent="0.25">
      <c r="A22" s="1">
        <v>1</v>
      </c>
      <c r="B22" s="1">
        <v>3</v>
      </c>
      <c r="C22" s="2">
        <f t="shared" si="0"/>
        <v>2</v>
      </c>
      <c r="D22" s="1">
        <f t="shared" si="1"/>
        <v>4.5707491082045175</v>
      </c>
      <c r="F22" s="6" t="s">
        <v>9</v>
      </c>
      <c r="G22" s="6"/>
    </row>
    <row r="23" spans="1:7" x14ac:dyDescent="0.25">
      <c r="A23" s="1">
        <v>2</v>
      </c>
      <c r="B23" s="1">
        <v>1</v>
      </c>
      <c r="C23" s="2">
        <f t="shared" si="0"/>
        <v>-1</v>
      </c>
      <c r="D23" s="1">
        <f t="shared" si="1"/>
        <v>0.74316290130796658</v>
      </c>
      <c r="F23" t="s">
        <v>26</v>
      </c>
      <c r="G23">
        <f>_xlfn.T.INV.2T(G17,G18)</f>
        <v>1.987934206239018</v>
      </c>
    </row>
    <row r="24" spans="1:7" x14ac:dyDescent="0.25">
      <c r="A24" s="1">
        <v>3</v>
      </c>
      <c r="B24" s="1">
        <v>1</v>
      </c>
      <c r="C24" s="2">
        <f t="shared" si="0"/>
        <v>-2</v>
      </c>
      <c r="D24" s="1">
        <f t="shared" si="1"/>
        <v>3.4673008323424495</v>
      </c>
      <c r="F24" t="s">
        <v>27</v>
      </c>
      <c r="G24">
        <f>_xlfn.T.INV(G17,G18)</f>
        <v>-1.662765449409072</v>
      </c>
    </row>
    <row r="25" spans="1:7" x14ac:dyDescent="0.25">
      <c r="A25" s="1">
        <v>2</v>
      </c>
      <c r="B25" s="1">
        <v>1</v>
      </c>
      <c r="C25" s="2">
        <f t="shared" si="0"/>
        <v>-1</v>
      </c>
      <c r="D25" s="1">
        <f t="shared" si="1"/>
        <v>0.74316290130796658</v>
      </c>
    </row>
    <row r="26" spans="1:7" x14ac:dyDescent="0.25">
      <c r="A26" s="1">
        <v>1</v>
      </c>
      <c r="B26" s="1">
        <v>1</v>
      </c>
      <c r="C26" s="2">
        <f t="shared" si="0"/>
        <v>0</v>
      </c>
      <c r="D26" s="1">
        <f t="shared" si="1"/>
        <v>1.9024970273483946E-2</v>
      </c>
    </row>
    <row r="27" spans="1:7" x14ac:dyDescent="0.25">
      <c r="A27" s="1">
        <v>2</v>
      </c>
      <c r="B27" s="1">
        <v>2</v>
      </c>
      <c r="C27" s="2">
        <f t="shared" si="0"/>
        <v>0</v>
      </c>
      <c r="D27" s="1">
        <f t="shared" si="1"/>
        <v>1.9024970273483946E-2</v>
      </c>
    </row>
    <row r="28" spans="1:7" x14ac:dyDescent="0.25">
      <c r="A28" s="1">
        <v>1</v>
      </c>
      <c r="B28" s="1">
        <v>1</v>
      </c>
      <c r="C28" s="2">
        <f t="shared" si="0"/>
        <v>0</v>
      </c>
      <c r="D28" s="1">
        <f t="shared" si="1"/>
        <v>1.9024970273483946E-2</v>
      </c>
    </row>
    <row r="29" spans="1:7" x14ac:dyDescent="0.25">
      <c r="A29" s="1">
        <v>1</v>
      </c>
      <c r="B29" s="1">
        <v>2</v>
      </c>
      <c r="C29" s="2">
        <f t="shared" si="0"/>
        <v>1</v>
      </c>
      <c r="D29" s="1">
        <f t="shared" si="1"/>
        <v>1.2948870392390013</v>
      </c>
    </row>
    <row r="30" spans="1:7" x14ac:dyDescent="0.25">
      <c r="A30" s="1">
        <v>4</v>
      </c>
      <c r="B30" s="1">
        <v>2</v>
      </c>
      <c r="C30" s="2">
        <f t="shared" si="0"/>
        <v>-2</v>
      </c>
      <c r="D30" s="1">
        <f t="shared" si="1"/>
        <v>3.4673008323424495</v>
      </c>
    </row>
    <row r="31" spans="1:7" x14ac:dyDescent="0.25">
      <c r="A31" s="1">
        <v>1</v>
      </c>
      <c r="B31" s="1">
        <v>1</v>
      </c>
      <c r="C31" s="2">
        <f t="shared" si="0"/>
        <v>0</v>
      </c>
      <c r="D31" s="1">
        <f t="shared" si="1"/>
        <v>1.9024970273483946E-2</v>
      </c>
    </row>
    <row r="32" spans="1:7" x14ac:dyDescent="0.25">
      <c r="A32" s="1">
        <v>1</v>
      </c>
      <c r="B32" s="1">
        <v>2</v>
      </c>
      <c r="C32" s="2">
        <f t="shared" si="0"/>
        <v>1</v>
      </c>
      <c r="D32" s="1">
        <f t="shared" si="1"/>
        <v>1.2948870392390013</v>
      </c>
    </row>
    <row r="33" spans="1:7" x14ac:dyDescent="0.25">
      <c r="A33" s="1">
        <v>2</v>
      </c>
      <c r="B33" s="1">
        <v>1</v>
      </c>
      <c r="C33" s="2">
        <f t="shared" si="0"/>
        <v>-1</v>
      </c>
      <c r="D33" s="1">
        <f t="shared" si="1"/>
        <v>0.74316290130796658</v>
      </c>
    </row>
    <row r="34" spans="1:7" x14ac:dyDescent="0.25">
      <c r="A34" s="1">
        <v>2</v>
      </c>
      <c r="B34" s="1">
        <v>3</v>
      </c>
      <c r="C34" s="2">
        <f t="shared" si="0"/>
        <v>1</v>
      </c>
      <c r="D34" s="1">
        <f t="shared" si="1"/>
        <v>1.2948870392390013</v>
      </c>
      <c r="F34" t="s">
        <v>10</v>
      </c>
    </row>
    <row r="35" spans="1:7" x14ac:dyDescent="0.25">
      <c r="A35" s="1">
        <v>2</v>
      </c>
      <c r="B35" s="1">
        <v>1</v>
      </c>
      <c r="C35" s="2">
        <f t="shared" si="0"/>
        <v>-1</v>
      </c>
      <c r="D35" s="1">
        <f t="shared" si="1"/>
        <v>0.74316290130796658</v>
      </c>
      <c r="F35" t="s">
        <v>11</v>
      </c>
    </row>
    <row r="36" spans="1:7" x14ac:dyDescent="0.25">
      <c r="A36" s="1">
        <v>2</v>
      </c>
      <c r="B36" s="1">
        <v>2</v>
      </c>
      <c r="C36" s="2">
        <f t="shared" si="0"/>
        <v>0</v>
      </c>
      <c r="D36" s="1">
        <f t="shared" si="1"/>
        <v>1.9024970273483946E-2</v>
      </c>
    </row>
    <row r="37" spans="1:7" x14ac:dyDescent="0.25">
      <c r="A37" s="1">
        <v>1</v>
      </c>
      <c r="B37" s="1">
        <v>1</v>
      </c>
      <c r="C37" s="2">
        <f t="shared" si="0"/>
        <v>0</v>
      </c>
      <c r="D37" s="1">
        <f t="shared" si="1"/>
        <v>1.9024970273483946E-2</v>
      </c>
    </row>
    <row r="38" spans="1:7" x14ac:dyDescent="0.25">
      <c r="A38" s="1">
        <v>5</v>
      </c>
      <c r="B38" s="1">
        <v>2</v>
      </c>
      <c r="C38" s="2">
        <f t="shared" si="0"/>
        <v>-3</v>
      </c>
      <c r="D38" s="1">
        <f t="shared" si="1"/>
        <v>8.191438763376933</v>
      </c>
    </row>
    <row r="39" spans="1:7" x14ac:dyDescent="0.25">
      <c r="A39" s="1">
        <v>3</v>
      </c>
      <c r="B39" s="1">
        <v>2</v>
      </c>
      <c r="C39" s="2">
        <f t="shared" si="0"/>
        <v>-1</v>
      </c>
      <c r="D39" s="1">
        <f t="shared" si="1"/>
        <v>0.74316290130796658</v>
      </c>
      <c r="F39" s="6" t="s">
        <v>13</v>
      </c>
      <c r="G39" s="6"/>
    </row>
    <row r="40" spans="1:7" x14ac:dyDescent="0.25">
      <c r="A40" s="1">
        <v>1</v>
      </c>
      <c r="B40" s="1">
        <v>3</v>
      </c>
      <c r="C40" s="2">
        <f t="shared" si="0"/>
        <v>2</v>
      </c>
      <c r="D40" s="1">
        <f t="shared" si="1"/>
        <v>4.5707491082045175</v>
      </c>
      <c r="F40" t="s">
        <v>13</v>
      </c>
    </row>
    <row r="41" spans="1:7" x14ac:dyDescent="0.25">
      <c r="A41" s="1">
        <v>2</v>
      </c>
      <c r="B41" s="1">
        <v>3</v>
      </c>
      <c r="C41" s="2">
        <f t="shared" si="0"/>
        <v>1</v>
      </c>
      <c r="D41" s="1">
        <f t="shared" si="1"/>
        <v>1.2948870392390013</v>
      </c>
      <c r="F41" t="s">
        <v>25</v>
      </c>
      <c r="G41">
        <f>TTEST(A:A,B:B,2,1)</f>
        <v>0.31325936312970265</v>
      </c>
    </row>
    <row r="42" spans="1:7" x14ac:dyDescent="0.25">
      <c r="A42" s="1">
        <v>1</v>
      </c>
      <c r="B42" s="1">
        <v>1</v>
      </c>
      <c r="C42" s="2">
        <f t="shared" si="0"/>
        <v>0</v>
      </c>
      <c r="D42" s="1">
        <f t="shared" si="1"/>
        <v>1.9024970273483946E-2</v>
      </c>
      <c r="F42" t="s">
        <v>29</v>
      </c>
      <c r="G42">
        <f>TTEST(A:A,B:B,1,1)</f>
        <v>0.15662968156485133</v>
      </c>
    </row>
    <row r="43" spans="1:7" x14ac:dyDescent="0.25">
      <c r="A43" s="1">
        <v>1</v>
      </c>
      <c r="B43" s="1">
        <v>2</v>
      </c>
      <c r="C43" s="2">
        <f t="shared" si="0"/>
        <v>1</v>
      </c>
      <c r="D43" s="1">
        <f t="shared" si="1"/>
        <v>1.2948870392390013</v>
      </c>
    </row>
    <row r="44" spans="1:7" x14ac:dyDescent="0.25">
      <c r="A44" s="1">
        <v>1</v>
      </c>
      <c r="B44" s="1">
        <v>1</v>
      </c>
      <c r="C44" s="2">
        <f t="shared" si="0"/>
        <v>0</v>
      </c>
      <c r="D44" s="1">
        <f t="shared" si="1"/>
        <v>1.9024970273483946E-2</v>
      </c>
    </row>
    <row r="45" spans="1:7" x14ac:dyDescent="0.25">
      <c r="A45" s="1">
        <v>2</v>
      </c>
      <c r="B45" s="1">
        <v>2</v>
      </c>
      <c r="C45" s="2">
        <f t="shared" si="0"/>
        <v>0</v>
      </c>
      <c r="D45" s="1">
        <f t="shared" si="1"/>
        <v>1.9024970273483946E-2</v>
      </c>
      <c r="F45" s="6" t="s">
        <v>16</v>
      </c>
      <c r="G45" s="6"/>
    </row>
    <row r="46" spans="1:7" x14ac:dyDescent="0.25">
      <c r="A46" s="1">
        <v>1</v>
      </c>
      <c r="B46" s="1">
        <v>2</v>
      </c>
      <c r="C46" s="2">
        <f t="shared" si="0"/>
        <v>1</v>
      </c>
      <c r="D46" s="1">
        <f t="shared" si="1"/>
        <v>1.2948870392390013</v>
      </c>
    </row>
    <row r="47" spans="1:7" x14ac:dyDescent="0.25">
      <c r="A47" s="1">
        <v>1</v>
      </c>
      <c r="B47" s="1">
        <v>4</v>
      </c>
      <c r="C47" s="2">
        <f t="shared" si="0"/>
        <v>3</v>
      </c>
      <c r="D47" s="1">
        <f t="shared" si="1"/>
        <v>9.8466111771700344</v>
      </c>
      <c r="F47" t="s">
        <v>14</v>
      </c>
    </row>
    <row r="48" spans="1:7" x14ac:dyDescent="0.25">
      <c r="A48" s="1">
        <v>2</v>
      </c>
      <c r="B48" s="1">
        <v>2</v>
      </c>
      <c r="C48" s="2">
        <f t="shared" si="0"/>
        <v>0</v>
      </c>
      <c r="D48" s="1">
        <f t="shared" si="1"/>
        <v>1.9024970273483946E-2</v>
      </c>
      <c r="F48" t="s">
        <v>15</v>
      </c>
    </row>
    <row r="49" spans="1:6" x14ac:dyDescent="0.25">
      <c r="A49" s="1">
        <v>2</v>
      </c>
      <c r="B49" s="1">
        <v>2</v>
      </c>
      <c r="C49" s="2">
        <f t="shared" si="0"/>
        <v>0</v>
      </c>
      <c r="D49" s="1">
        <f t="shared" si="1"/>
        <v>1.9024970273483946E-2</v>
      </c>
    </row>
    <row r="50" spans="1:6" x14ac:dyDescent="0.25">
      <c r="A50" s="1">
        <v>1</v>
      </c>
      <c r="B50" s="1">
        <v>1</v>
      </c>
      <c r="C50" s="2">
        <f t="shared" si="0"/>
        <v>0</v>
      </c>
      <c r="D50" s="1">
        <f t="shared" si="1"/>
        <v>1.9024970273483946E-2</v>
      </c>
      <c r="F50" t="s">
        <v>18</v>
      </c>
    </row>
    <row r="51" spans="1:6" x14ac:dyDescent="0.25">
      <c r="A51" s="1">
        <v>2</v>
      </c>
      <c r="B51" s="1">
        <v>1</v>
      </c>
      <c r="C51" s="2">
        <f t="shared" si="0"/>
        <v>-1</v>
      </c>
      <c r="D51" s="1">
        <f t="shared" si="1"/>
        <v>0.74316290130796658</v>
      </c>
      <c r="F51" t="s">
        <v>19</v>
      </c>
    </row>
    <row r="52" spans="1:6" x14ac:dyDescent="0.25">
      <c r="A52" s="1">
        <v>2</v>
      </c>
      <c r="B52" s="1">
        <v>1</v>
      </c>
      <c r="C52" s="2">
        <f t="shared" si="0"/>
        <v>-1</v>
      </c>
      <c r="D52" s="1">
        <f t="shared" si="1"/>
        <v>0.74316290130796658</v>
      </c>
    </row>
    <row r="53" spans="1:6" x14ac:dyDescent="0.25">
      <c r="A53" s="1">
        <v>2</v>
      </c>
      <c r="B53" s="1">
        <v>2</v>
      </c>
      <c r="C53" s="2">
        <f t="shared" si="0"/>
        <v>0</v>
      </c>
      <c r="D53" s="1">
        <f t="shared" si="1"/>
        <v>1.9024970273483946E-2</v>
      </c>
    </row>
    <row r="54" spans="1:6" x14ac:dyDescent="0.25">
      <c r="A54" s="1">
        <v>2</v>
      </c>
      <c r="B54" s="1">
        <v>2</v>
      </c>
      <c r="C54" s="2">
        <f t="shared" si="0"/>
        <v>0</v>
      </c>
      <c r="D54" s="1">
        <f t="shared" si="1"/>
        <v>1.9024970273483946E-2</v>
      </c>
    </row>
    <row r="55" spans="1:6" x14ac:dyDescent="0.25">
      <c r="A55" s="1">
        <v>2</v>
      </c>
      <c r="B55" s="1">
        <v>1</v>
      </c>
      <c r="C55" s="2">
        <f t="shared" si="0"/>
        <v>-1</v>
      </c>
      <c r="D55" s="1">
        <f t="shared" si="1"/>
        <v>0.74316290130796658</v>
      </c>
    </row>
    <row r="56" spans="1:6" x14ac:dyDescent="0.25">
      <c r="A56" s="1">
        <v>2</v>
      </c>
      <c r="B56" s="1">
        <v>1</v>
      </c>
      <c r="C56" s="2">
        <f t="shared" si="0"/>
        <v>-1</v>
      </c>
      <c r="D56" s="1">
        <f t="shared" si="1"/>
        <v>0.74316290130796658</v>
      </c>
      <c r="F56" s="6" t="s">
        <v>23</v>
      </c>
    </row>
    <row r="57" spans="1:6" x14ac:dyDescent="0.25">
      <c r="A57" s="1">
        <v>1</v>
      </c>
      <c r="B57" s="1">
        <v>2</v>
      </c>
      <c r="C57" s="2">
        <f t="shared" si="0"/>
        <v>1</v>
      </c>
      <c r="D57" s="1">
        <f t="shared" si="1"/>
        <v>1.2948870392390013</v>
      </c>
    </row>
    <row r="58" spans="1:6" x14ac:dyDescent="0.25">
      <c r="A58" s="1">
        <v>2</v>
      </c>
      <c r="B58" s="1">
        <v>2</v>
      </c>
      <c r="C58" s="2">
        <f t="shared" si="0"/>
        <v>0</v>
      </c>
      <c r="D58" s="1">
        <f t="shared" si="1"/>
        <v>1.9024970273483946E-2</v>
      </c>
      <c r="F58" t="s">
        <v>21</v>
      </c>
    </row>
    <row r="59" spans="1:6" x14ac:dyDescent="0.25">
      <c r="A59" s="1">
        <v>2</v>
      </c>
      <c r="B59" s="1">
        <v>3</v>
      </c>
      <c r="C59" s="2">
        <f t="shared" si="0"/>
        <v>1</v>
      </c>
      <c r="D59" s="1">
        <f t="shared" si="1"/>
        <v>1.2948870392390013</v>
      </c>
      <c r="F59" t="s">
        <v>20</v>
      </c>
    </row>
    <row r="60" spans="1:6" x14ac:dyDescent="0.25">
      <c r="A60" s="1">
        <v>1</v>
      </c>
      <c r="B60" s="1">
        <v>1</v>
      </c>
      <c r="C60" s="2">
        <f t="shared" si="0"/>
        <v>0</v>
      </c>
      <c r="D60" s="1">
        <f t="shared" si="1"/>
        <v>1.9024970273483946E-2</v>
      </c>
      <c r="F60" t="s">
        <v>22</v>
      </c>
    </row>
    <row r="61" spans="1:6" x14ac:dyDescent="0.25">
      <c r="A61" s="1">
        <v>1</v>
      </c>
      <c r="B61" s="1">
        <v>2</v>
      </c>
      <c r="C61" s="2">
        <f t="shared" si="0"/>
        <v>1</v>
      </c>
      <c r="D61" s="1">
        <f t="shared" si="1"/>
        <v>1.2948870392390013</v>
      </c>
    </row>
    <row r="62" spans="1:6" x14ac:dyDescent="0.25">
      <c r="A62" s="1">
        <v>2</v>
      </c>
      <c r="B62" s="1">
        <v>2</v>
      </c>
      <c r="C62" s="2">
        <f t="shared" si="0"/>
        <v>0</v>
      </c>
      <c r="D62" s="1">
        <f t="shared" si="1"/>
        <v>1.9024970273483946E-2</v>
      </c>
    </row>
    <row r="63" spans="1:6" x14ac:dyDescent="0.25">
      <c r="A63" s="1">
        <v>1</v>
      </c>
      <c r="B63" s="1">
        <v>1</v>
      </c>
      <c r="C63" s="2">
        <f t="shared" si="0"/>
        <v>0</v>
      </c>
      <c r="D63" s="1">
        <f t="shared" si="1"/>
        <v>1.9024970273483946E-2</v>
      </c>
    </row>
    <row r="64" spans="1:6" x14ac:dyDescent="0.25">
      <c r="A64" s="1">
        <v>1</v>
      </c>
      <c r="B64" s="1">
        <v>2</v>
      </c>
      <c r="C64" s="2">
        <f t="shared" si="0"/>
        <v>1</v>
      </c>
      <c r="D64" s="1">
        <f t="shared" si="1"/>
        <v>1.2948870392390013</v>
      </c>
    </row>
    <row r="65" spans="1:6" x14ac:dyDescent="0.25">
      <c r="A65" s="1">
        <v>2</v>
      </c>
      <c r="B65" s="1">
        <v>1</v>
      </c>
      <c r="C65" s="2">
        <f t="shared" si="0"/>
        <v>-1</v>
      </c>
      <c r="D65" s="1">
        <f t="shared" si="1"/>
        <v>0.74316290130796658</v>
      </c>
      <c r="F65" s="6" t="s">
        <v>23</v>
      </c>
    </row>
    <row r="66" spans="1:6" x14ac:dyDescent="0.25">
      <c r="A66" s="1">
        <v>2</v>
      </c>
      <c r="B66" s="1">
        <v>2</v>
      </c>
      <c r="C66" s="2">
        <f t="shared" si="0"/>
        <v>0</v>
      </c>
      <c r="D66" s="1">
        <f t="shared" si="1"/>
        <v>1.9024970273483946E-2</v>
      </c>
    </row>
    <row r="67" spans="1:6" x14ac:dyDescent="0.25">
      <c r="A67" s="1">
        <v>2</v>
      </c>
      <c r="B67" s="1">
        <v>4</v>
      </c>
      <c r="C67" s="2">
        <f t="shared" ref="C67:C88" si="2">B67-A67</f>
        <v>2</v>
      </c>
      <c r="D67" s="1">
        <f t="shared" si="1"/>
        <v>4.5707491082045175</v>
      </c>
    </row>
    <row r="68" spans="1:6" x14ac:dyDescent="0.25">
      <c r="A68" s="1">
        <v>1</v>
      </c>
      <c r="B68" s="1">
        <v>2</v>
      </c>
      <c r="C68" s="2">
        <f t="shared" si="2"/>
        <v>1</v>
      </c>
      <c r="D68" s="1">
        <f t="shared" si="1"/>
        <v>1.2948870392390013</v>
      </c>
    </row>
    <row r="69" spans="1:6" x14ac:dyDescent="0.25">
      <c r="A69" s="1">
        <v>1</v>
      </c>
      <c r="B69" s="1">
        <v>1</v>
      </c>
      <c r="C69" s="2">
        <f t="shared" si="2"/>
        <v>0</v>
      </c>
      <c r="D69" s="1">
        <f t="shared" ref="D69:D88" si="3">(C69-$G$6)^2</f>
        <v>1.9024970273483946E-2</v>
      </c>
    </row>
    <row r="70" spans="1:6" x14ac:dyDescent="0.25">
      <c r="A70" s="1">
        <v>2</v>
      </c>
      <c r="B70" s="1">
        <v>2</v>
      </c>
      <c r="C70" s="2">
        <f t="shared" si="2"/>
        <v>0</v>
      </c>
      <c r="D70" s="1">
        <f t="shared" si="3"/>
        <v>1.9024970273483946E-2</v>
      </c>
    </row>
    <row r="71" spans="1:6" x14ac:dyDescent="0.25">
      <c r="A71" s="1">
        <v>2</v>
      </c>
      <c r="B71" s="1">
        <v>1</v>
      </c>
      <c r="C71" s="2">
        <f t="shared" si="2"/>
        <v>-1</v>
      </c>
      <c r="D71" s="1">
        <f t="shared" si="3"/>
        <v>0.74316290130796658</v>
      </c>
    </row>
    <row r="72" spans="1:6" x14ac:dyDescent="0.25">
      <c r="A72" s="1">
        <v>3</v>
      </c>
      <c r="B72" s="1">
        <v>2</v>
      </c>
      <c r="C72" s="2">
        <f t="shared" si="2"/>
        <v>-1</v>
      </c>
      <c r="D72" s="1">
        <f t="shared" si="3"/>
        <v>0.74316290130796658</v>
      </c>
      <c r="F72" t="s">
        <v>24</v>
      </c>
    </row>
    <row r="73" spans="1:6" x14ac:dyDescent="0.25">
      <c r="A73" s="1">
        <v>4</v>
      </c>
      <c r="B73" s="1">
        <v>1</v>
      </c>
      <c r="C73" s="2">
        <f t="shared" si="2"/>
        <v>-3</v>
      </c>
      <c r="D73" s="1">
        <f t="shared" si="3"/>
        <v>8.191438763376933</v>
      </c>
      <c r="F73" t="s">
        <v>22</v>
      </c>
    </row>
    <row r="74" spans="1:6" x14ac:dyDescent="0.25">
      <c r="A74" s="1">
        <v>1</v>
      </c>
      <c r="B74" s="1">
        <v>2</v>
      </c>
      <c r="C74" s="2">
        <f t="shared" si="2"/>
        <v>1</v>
      </c>
      <c r="D74" s="1">
        <f t="shared" si="3"/>
        <v>1.2948870392390013</v>
      </c>
      <c r="F74" t="s">
        <v>24</v>
      </c>
    </row>
    <row r="75" spans="1:6" x14ac:dyDescent="0.25">
      <c r="A75" s="1">
        <v>1</v>
      </c>
      <c r="B75" s="1">
        <v>1</v>
      </c>
      <c r="C75" s="2">
        <f t="shared" si="2"/>
        <v>0</v>
      </c>
      <c r="D75" s="1">
        <f t="shared" si="3"/>
        <v>1.9024970273483946E-2</v>
      </c>
      <c r="F75" t="s">
        <v>22</v>
      </c>
    </row>
    <row r="76" spans="1:6" x14ac:dyDescent="0.25">
      <c r="A76" s="1">
        <v>1</v>
      </c>
      <c r="B76" s="1">
        <v>2</v>
      </c>
      <c r="C76" s="2">
        <f t="shared" si="2"/>
        <v>1</v>
      </c>
      <c r="D76" s="1">
        <f t="shared" si="3"/>
        <v>1.2948870392390013</v>
      </c>
    </row>
    <row r="77" spans="1:6" x14ac:dyDescent="0.25">
      <c r="A77" s="1">
        <v>1</v>
      </c>
      <c r="B77" s="1">
        <v>2</v>
      </c>
      <c r="C77" s="2">
        <f t="shared" si="2"/>
        <v>1</v>
      </c>
      <c r="D77" s="1">
        <f t="shared" si="3"/>
        <v>1.2948870392390013</v>
      </c>
    </row>
    <row r="78" spans="1:6" x14ac:dyDescent="0.25">
      <c r="A78" s="1">
        <v>2</v>
      </c>
      <c r="B78" s="1">
        <v>3</v>
      </c>
      <c r="C78" s="2">
        <f t="shared" si="2"/>
        <v>1</v>
      </c>
      <c r="D78" s="1">
        <f t="shared" si="3"/>
        <v>1.2948870392390013</v>
      </c>
    </row>
    <row r="79" spans="1:6" x14ac:dyDescent="0.25">
      <c r="A79" s="1">
        <v>1</v>
      </c>
      <c r="B79" s="1">
        <v>1</v>
      </c>
      <c r="C79" s="2">
        <f t="shared" si="2"/>
        <v>0</v>
      </c>
      <c r="D79" s="1">
        <f t="shared" si="3"/>
        <v>1.9024970273483946E-2</v>
      </c>
    </row>
    <row r="80" spans="1:6" x14ac:dyDescent="0.25">
      <c r="A80" s="1">
        <v>3</v>
      </c>
      <c r="B80" s="1">
        <v>1</v>
      </c>
      <c r="C80" s="2">
        <f t="shared" si="2"/>
        <v>-2</v>
      </c>
      <c r="D80" s="1">
        <f t="shared" si="3"/>
        <v>3.4673008323424495</v>
      </c>
    </row>
    <row r="81" spans="1:6" x14ac:dyDescent="0.25">
      <c r="A81" s="1">
        <v>1</v>
      </c>
      <c r="B81" s="1">
        <v>2</v>
      </c>
      <c r="C81" s="2">
        <f t="shared" si="2"/>
        <v>1</v>
      </c>
      <c r="D81" s="1">
        <f t="shared" si="3"/>
        <v>1.2948870392390013</v>
      </c>
    </row>
    <row r="82" spans="1:6" x14ac:dyDescent="0.25">
      <c r="A82" s="1">
        <v>5</v>
      </c>
      <c r="B82" s="1">
        <v>1</v>
      </c>
      <c r="C82" s="2">
        <f t="shared" si="2"/>
        <v>-4</v>
      </c>
      <c r="D82" s="1">
        <f t="shared" si="3"/>
        <v>14.915576694411417</v>
      </c>
    </row>
    <row r="83" spans="1:6" x14ac:dyDescent="0.25">
      <c r="A83" s="1">
        <v>2</v>
      </c>
      <c r="B83" s="1">
        <v>2</v>
      </c>
      <c r="C83" s="2">
        <f t="shared" si="2"/>
        <v>0</v>
      </c>
      <c r="D83" s="1">
        <f t="shared" si="3"/>
        <v>1.9024970273483946E-2</v>
      </c>
    </row>
    <row r="84" spans="1:6" x14ac:dyDescent="0.25">
      <c r="A84" s="1">
        <v>2</v>
      </c>
      <c r="B84" s="1">
        <v>2</v>
      </c>
      <c r="C84" s="2">
        <f t="shared" si="2"/>
        <v>0</v>
      </c>
      <c r="D84" s="1">
        <f t="shared" si="3"/>
        <v>1.9024970273483946E-2</v>
      </c>
    </row>
    <row r="85" spans="1:6" x14ac:dyDescent="0.25">
      <c r="A85" s="1">
        <v>4</v>
      </c>
      <c r="B85" s="1">
        <v>1</v>
      </c>
      <c r="C85" s="2">
        <f t="shared" si="2"/>
        <v>-3</v>
      </c>
      <c r="D85" s="1">
        <f t="shared" si="3"/>
        <v>8.191438763376933</v>
      </c>
    </row>
    <row r="86" spans="1:6" x14ac:dyDescent="0.25">
      <c r="A86" s="1">
        <v>1</v>
      </c>
      <c r="B86" s="1">
        <v>2</v>
      </c>
      <c r="C86" s="2">
        <f t="shared" si="2"/>
        <v>1</v>
      </c>
      <c r="D86" s="1">
        <f t="shared" si="3"/>
        <v>1.2948870392390013</v>
      </c>
    </row>
    <row r="87" spans="1:6" x14ac:dyDescent="0.25">
      <c r="A87" s="1">
        <v>2</v>
      </c>
      <c r="B87" s="1">
        <v>2</v>
      </c>
      <c r="C87" s="2">
        <f t="shared" si="2"/>
        <v>0</v>
      </c>
      <c r="D87" s="1">
        <f t="shared" si="3"/>
        <v>1.9024970273483946E-2</v>
      </c>
    </row>
    <row r="88" spans="1:6" x14ac:dyDescent="0.25">
      <c r="A88" s="1">
        <v>1</v>
      </c>
      <c r="B88" s="1">
        <v>2</v>
      </c>
      <c r="C88" s="2">
        <f t="shared" si="2"/>
        <v>1</v>
      </c>
      <c r="D88" s="1">
        <f t="shared" si="3"/>
        <v>1.2948870392390013</v>
      </c>
    </row>
    <row r="93" spans="1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FA41-19EF-45C5-9F92-14747F7CB2F2}">
  <dimension ref="A1:G93"/>
  <sheetViews>
    <sheetView zoomScale="70" zoomScaleNormal="70" workbookViewId="0">
      <selection activeCell="C3" sqref="C3"/>
    </sheetView>
  </sheetViews>
  <sheetFormatPr baseColWidth="10" defaultColWidth="9.140625" defaultRowHeight="15" x14ac:dyDescent="0.25"/>
  <cols>
    <col min="1" max="2" width="33.4257812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05" customHeight="1" x14ac:dyDescent="0.25">
      <c r="A1" s="3" t="s">
        <v>34</v>
      </c>
      <c r="B1" s="4" t="s">
        <v>35</v>
      </c>
      <c r="C1" s="5" t="s">
        <v>1</v>
      </c>
      <c r="D1" s="5"/>
    </row>
    <row r="2" spans="1:7" x14ac:dyDescent="0.25">
      <c r="A2" s="1">
        <v>2</v>
      </c>
      <c r="B2" s="1">
        <v>2</v>
      </c>
      <c r="C2" s="2">
        <f>B2-A2</f>
        <v>0</v>
      </c>
      <c r="D2" s="1">
        <f>(C2-$G$6)^2</f>
        <v>2.9726516052318672E-2</v>
      </c>
    </row>
    <row r="3" spans="1:7" x14ac:dyDescent="0.25">
      <c r="A3" s="1">
        <v>2</v>
      </c>
      <c r="B3" s="1">
        <v>2</v>
      </c>
      <c r="C3" s="2">
        <f t="shared" ref="C3:C66" si="0">B3-A3</f>
        <v>0</v>
      </c>
      <c r="D3" s="1">
        <f>(C3-$G$6)^2</f>
        <v>2.9726516052318672E-2</v>
      </c>
      <c r="F3" s="6" t="s">
        <v>17</v>
      </c>
      <c r="G3" s="6"/>
    </row>
    <row r="4" spans="1:7" x14ac:dyDescent="0.25">
      <c r="A4" s="1">
        <v>2</v>
      </c>
      <c r="B4" s="1">
        <v>1</v>
      </c>
      <c r="C4" s="2">
        <f t="shared" si="0"/>
        <v>-1</v>
      </c>
      <c r="D4" s="1">
        <f>(C4-$G$6)^2</f>
        <v>0.68489892984542211</v>
      </c>
      <c r="F4" t="s">
        <v>5</v>
      </c>
      <c r="G4">
        <v>87</v>
      </c>
    </row>
    <row r="5" spans="1:7" x14ac:dyDescent="0.25">
      <c r="A5" s="1">
        <v>2</v>
      </c>
      <c r="B5" s="1">
        <v>1</v>
      </c>
      <c r="C5" s="2">
        <f t="shared" si="0"/>
        <v>-1</v>
      </c>
      <c r="D5" s="1">
        <f t="shared" ref="D5:D68" si="1">(C5-$G$6)^2</f>
        <v>0.68489892984542211</v>
      </c>
      <c r="F5" t="s">
        <v>3</v>
      </c>
      <c r="G5">
        <f>SUM(C:C)</f>
        <v>-15</v>
      </c>
    </row>
    <row r="6" spans="1:7" x14ac:dyDescent="0.25">
      <c r="A6" s="1">
        <v>2</v>
      </c>
      <c r="B6" s="1">
        <v>3</v>
      </c>
      <c r="C6" s="2">
        <f t="shared" si="0"/>
        <v>1</v>
      </c>
      <c r="D6" s="1">
        <f t="shared" si="1"/>
        <v>1.3745541022592156</v>
      </c>
      <c r="F6" t="s">
        <v>2</v>
      </c>
      <c r="G6">
        <f>G5/G4</f>
        <v>-0.17241379310344829</v>
      </c>
    </row>
    <row r="7" spans="1:7" x14ac:dyDescent="0.25">
      <c r="A7" s="1">
        <v>1</v>
      </c>
      <c r="B7" s="1">
        <v>1</v>
      </c>
      <c r="C7" s="2">
        <f t="shared" si="0"/>
        <v>0</v>
      </c>
      <c r="D7" s="1">
        <f t="shared" si="1"/>
        <v>2.9726516052318672E-2</v>
      </c>
      <c r="F7" t="s">
        <v>4</v>
      </c>
      <c r="G7">
        <f>SUM(D:D)</f>
        <v>154.4137931034482</v>
      </c>
    </row>
    <row r="8" spans="1:7" x14ac:dyDescent="0.25">
      <c r="A8" s="1">
        <v>2</v>
      </c>
      <c r="B8" s="1">
        <v>1</v>
      </c>
      <c r="C8" s="2">
        <f t="shared" si="0"/>
        <v>-1</v>
      </c>
      <c r="D8" s="1">
        <f t="shared" si="1"/>
        <v>0.68489892984542211</v>
      </c>
      <c r="F8" t="s">
        <v>6</v>
      </c>
      <c r="G8">
        <f>SQRT(G7/(G4-1))</f>
        <v>1.3399661272334904</v>
      </c>
    </row>
    <row r="9" spans="1:7" x14ac:dyDescent="0.25">
      <c r="A9" s="1">
        <v>2</v>
      </c>
      <c r="B9" s="1">
        <v>1</v>
      </c>
      <c r="C9" s="2">
        <f t="shared" si="0"/>
        <v>-1</v>
      </c>
      <c r="D9" s="1">
        <f t="shared" si="1"/>
        <v>0.68489892984542211</v>
      </c>
    </row>
    <row r="10" spans="1:7" x14ac:dyDescent="0.25">
      <c r="A10" s="1">
        <v>5</v>
      </c>
      <c r="B10" s="1">
        <v>1</v>
      </c>
      <c r="C10" s="2">
        <f t="shared" si="0"/>
        <v>-4</v>
      </c>
      <c r="D10" s="1">
        <f t="shared" si="1"/>
        <v>14.650416171224732</v>
      </c>
    </row>
    <row r="11" spans="1:7" x14ac:dyDescent="0.25">
      <c r="A11" s="1">
        <v>2</v>
      </c>
      <c r="B11" s="1">
        <v>4</v>
      </c>
      <c r="C11" s="2">
        <f t="shared" si="0"/>
        <v>2</v>
      </c>
      <c r="D11" s="1">
        <f t="shared" si="1"/>
        <v>4.7193816884661119</v>
      </c>
    </row>
    <row r="12" spans="1:7" x14ac:dyDescent="0.25">
      <c r="A12" s="1">
        <v>4</v>
      </c>
      <c r="B12" s="1">
        <v>2</v>
      </c>
      <c r="C12" s="2">
        <f t="shared" si="0"/>
        <v>-2</v>
      </c>
      <c r="D12" s="1">
        <f t="shared" si="1"/>
        <v>3.3400713436385252</v>
      </c>
      <c r="F12" t="s">
        <v>12</v>
      </c>
      <c r="G12">
        <f>G6/(G8/SQRT(G4))</f>
        <v>-1.2001563096053303</v>
      </c>
    </row>
    <row r="13" spans="1:7" x14ac:dyDescent="0.25">
      <c r="A13" s="1">
        <v>1</v>
      </c>
      <c r="B13" s="1">
        <v>2</v>
      </c>
      <c r="C13" s="2">
        <f t="shared" si="0"/>
        <v>1</v>
      </c>
      <c r="D13" s="1">
        <f t="shared" si="1"/>
        <v>1.3745541022592156</v>
      </c>
    </row>
    <row r="14" spans="1:7" x14ac:dyDescent="0.25">
      <c r="A14" s="1">
        <v>4</v>
      </c>
      <c r="B14" s="1">
        <v>1</v>
      </c>
      <c r="C14" s="2">
        <f t="shared" si="0"/>
        <v>-3</v>
      </c>
      <c r="D14" s="1">
        <f t="shared" si="1"/>
        <v>7.995243757431628</v>
      </c>
    </row>
    <row r="15" spans="1:7" x14ac:dyDescent="0.25">
      <c r="A15" s="1">
        <v>2</v>
      </c>
      <c r="B15" s="1">
        <v>2</v>
      </c>
      <c r="C15" s="2">
        <f t="shared" si="0"/>
        <v>0</v>
      </c>
      <c r="D15" s="1">
        <f t="shared" si="1"/>
        <v>2.9726516052318672E-2</v>
      </c>
    </row>
    <row r="16" spans="1:7" x14ac:dyDescent="0.25">
      <c r="A16" s="1">
        <v>1</v>
      </c>
      <c r="B16" s="1">
        <v>1</v>
      </c>
      <c r="C16" s="2">
        <f t="shared" si="0"/>
        <v>0</v>
      </c>
      <c r="D16" s="1">
        <f t="shared" si="1"/>
        <v>2.9726516052318672E-2</v>
      </c>
    </row>
    <row r="17" spans="1:7" x14ac:dyDescent="0.25">
      <c r="A17" s="1">
        <v>2</v>
      </c>
      <c r="B17" s="1">
        <v>1</v>
      </c>
      <c r="C17" s="2">
        <f t="shared" si="0"/>
        <v>-1</v>
      </c>
      <c r="D17" s="1">
        <f t="shared" si="1"/>
        <v>0.68489892984542211</v>
      </c>
      <c r="F17" t="s">
        <v>7</v>
      </c>
      <c r="G17">
        <v>0.05</v>
      </c>
    </row>
    <row r="18" spans="1:7" x14ac:dyDescent="0.25">
      <c r="A18" s="1">
        <v>1</v>
      </c>
      <c r="B18" s="1">
        <v>2</v>
      </c>
      <c r="C18" s="2">
        <f t="shared" si="0"/>
        <v>1</v>
      </c>
      <c r="D18" s="1">
        <f t="shared" si="1"/>
        <v>1.3745541022592156</v>
      </c>
      <c r="F18" t="s">
        <v>8</v>
      </c>
      <c r="G18">
        <f>G4-1</f>
        <v>86</v>
      </c>
    </row>
    <row r="19" spans="1:7" x14ac:dyDescent="0.25">
      <c r="A19" s="1">
        <v>1</v>
      </c>
      <c r="B19" s="1">
        <v>2</v>
      </c>
      <c r="C19" s="2">
        <f t="shared" si="0"/>
        <v>1</v>
      </c>
      <c r="D19" s="1">
        <f t="shared" si="1"/>
        <v>1.3745541022592156</v>
      </c>
    </row>
    <row r="20" spans="1:7" x14ac:dyDescent="0.25">
      <c r="A20" s="1">
        <v>5</v>
      </c>
      <c r="B20" s="1">
        <v>2</v>
      </c>
      <c r="C20" s="2">
        <f t="shared" si="0"/>
        <v>-3</v>
      </c>
      <c r="D20" s="1">
        <f t="shared" si="1"/>
        <v>7.995243757431628</v>
      </c>
    </row>
    <row r="21" spans="1:7" x14ac:dyDescent="0.25">
      <c r="A21" s="1">
        <v>3</v>
      </c>
      <c r="B21" s="1">
        <v>1</v>
      </c>
      <c r="C21" s="2">
        <f t="shared" si="0"/>
        <v>-2</v>
      </c>
      <c r="D21" s="1">
        <f t="shared" si="1"/>
        <v>3.3400713436385252</v>
      </c>
    </row>
    <row r="22" spans="1:7" x14ac:dyDescent="0.25">
      <c r="A22" s="1">
        <v>1</v>
      </c>
      <c r="B22" s="1">
        <v>2</v>
      </c>
      <c r="C22" s="2">
        <f t="shared" si="0"/>
        <v>1</v>
      </c>
      <c r="D22" s="1">
        <f t="shared" si="1"/>
        <v>1.3745541022592156</v>
      </c>
      <c r="F22" s="6" t="s">
        <v>9</v>
      </c>
      <c r="G22" s="6"/>
    </row>
    <row r="23" spans="1:7" x14ac:dyDescent="0.25">
      <c r="A23" s="1">
        <v>2</v>
      </c>
      <c r="B23" s="1">
        <v>1</v>
      </c>
      <c r="C23" s="2">
        <f t="shared" si="0"/>
        <v>-1</v>
      </c>
      <c r="D23" s="1">
        <f t="shared" si="1"/>
        <v>0.68489892984542211</v>
      </c>
      <c r="F23" t="s">
        <v>26</v>
      </c>
      <c r="G23">
        <f>_xlfn.T.INV.2T(G17,G18)</f>
        <v>1.987934206239018</v>
      </c>
    </row>
    <row r="24" spans="1:7" x14ac:dyDescent="0.25">
      <c r="A24" s="1">
        <v>2</v>
      </c>
      <c r="B24" s="1">
        <v>1</v>
      </c>
      <c r="C24" s="2">
        <f t="shared" si="0"/>
        <v>-1</v>
      </c>
      <c r="D24" s="1">
        <f t="shared" si="1"/>
        <v>0.68489892984542211</v>
      </c>
      <c r="F24" t="s">
        <v>27</v>
      </c>
      <c r="G24">
        <f>_xlfn.T.INV(G17,G18)</f>
        <v>-1.662765449409072</v>
      </c>
    </row>
    <row r="25" spans="1:7" x14ac:dyDescent="0.25">
      <c r="A25" s="1">
        <v>2</v>
      </c>
      <c r="B25" s="1">
        <v>1</v>
      </c>
      <c r="C25" s="2">
        <f t="shared" si="0"/>
        <v>-1</v>
      </c>
      <c r="D25" s="1">
        <f t="shared" si="1"/>
        <v>0.68489892984542211</v>
      </c>
    </row>
    <row r="26" spans="1:7" x14ac:dyDescent="0.25">
      <c r="A26" s="1">
        <v>1</v>
      </c>
      <c r="B26" s="1">
        <v>3</v>
      </c>
      <c r="C26" s="2">
        <f t="shared" si="0"/>
        <v>2</v>
      </c>
      <c r="D26" s="1">
        <f t="shared" si="1"/>
        <v>4.7193816884661119</v>
      </c>
    </row>
    <row r="27" spans="1:7" x14ac:dyDescent="0.25">
      <c r="A27" s="1">
        <v>2</v>
      </c>
      <c r="B27" s="1">
        <v>2</v>
      </c>
      <c r="C27" s="2">
        <f t="shared" si="0"/>
        <v>0</v>
      </c>
      <c r="D27" s="1">
        <f t="shared" si="1"/>
        <v>2.9726516052318672E-2</v>
      </c>
    </row>
    <row r="28" spans="1:7" x14ac:dyDescent="0.25">
      <c r="A28" s="1">
        <v>3</v>
      </c>
      <c r="B28" s="1">
        <v>1</v>
      </c>
      <c r="C28" s="2">
        <f t="shared" si="0"/>
        <v>-2</v>
      </c>
      <c r="D28" s="1">
        <f t="shared" si="1"/>
        <v>3.3400713436385252</v>
      </c>
    </row>
    <row r="29" spans="1:7" x14ac:dyDescent="0.25">
      <c r="A29" s="1">
        <v>1</v>
      </c>
      <c r="B29" s="1">
        <v>2</v>
      </c>
      <c r="C29" s="2">
        <f t="shared" si="0"/>
        <v>1</v>
      </c>
      <c r="D29" s="1">
        <f t="shared" si="1"/>
        <v>1.3745541022592156</v>
      </c>
    </row>
    <row r="30" spans="1:7" x14ac:dyDescent="0.25">
      <c r="A30" s="1">
        <v>5</v>
      </c>
      <c r="B30" s="1">
        <v>2</v>
      </c>
      <c r="C30" s="2">
        <f t="shared" si="0"/>
        <v>-3</v>
      </c>
      <c r="D30" s="1">
        <f t="shared" si="1"/>
        <v>7.995243757431628</v>
      </c>
    </row>
    <row r="31" spans="1:7" x14ac:dyDescent="0.25">
      <c r="A31" s="1">
        <v>1</v>
      </c>
      <c r="B31" s="1">
        <v>1</v>
      </c>
      <c r="C31" s="2">
        <f t="shared" si="0"/>
        <v>0</v>
      </c>
      <c r="D31" s="1">
        <f t="shared" si="1"/>
        <v>2.9726516052318672E-2</v>
      </c>
    </row>
    <row r="32" spans="1:7" x14ac:dyDescent="0.25">
      <c r="A32" s="1">
        <v>1</v>
      </c>
      <c r="B32" s="1">
        <v>2</v>
      </c>
      <c r="C32" s="2">
        <f t="shared" si="0"/>
        <v>1</v>
      </c>
      <c r="D32" s="1">
        <f t="shared" si="1"/>
        <v>1.3745541022592156</v>
      </c>
    </row>
    <row r="33" spans="1:7" x14ac:dyDescent="0.25">
      <c r="A33" s="1">
        <v>3</v>
      </c>
      <c r="B33" s="1">
        <v>1</v>
      </c>
      <c r="C33" s="2">
        <f t="shared" si="0"/>
        <v>-2</v>
      </c>
      <c r="D33" s="1">
        <f t="shared" si="1"/>
        <v>3.3400713436385252</v>
      </c>
    </row>
    <row r="34" spans="1:7" x14ac:dyDescent="0.25">
      <c r="A34" s="1">
        <v>2</v>
      </c>
      <c r="B34" s="1">
        <v>1</v>
      </c>
      <c r="C34" s="2">
        <f t="shared" si="0"/>
        <v>-1</v>
      </c>
      <c r="D34" s="1">
        <f t="shared" si="1"/>
        <v>0.68489892984542211</v>
      </c>
      <c r="F34" t="s">
        <v>10</v>
      </c>
    </row>
    <row r="35" spans="1:7" x14ac:dyDescent="0.25">
      <c r="A35" s="1">
        <v>2</v>
      </c>
      <c r="B35" s="1">
        <v>1</v>
      </c>
      <c r="C35" s="2">
        <f t="shared" si="0"/>
        <v>-1</v>
      </c>
      <c r="D35" s="1">
        <f t="shared" si="1"/>
        <v>0.68489892984542211</v>
      </c>
      <c r="F35" t="s">
        <v>11</v>
      </c>
    </row>
    <row r="36" spans="1:7" x14ac:dyDescent="0.25">
      <c r="A36" s="1">
        <v>2</v>
      </c>
      <c r="B36" s="1">
        <v>2</v>
      </c>
      <c r="C36" s="2">
        <f t="shared" si="0"/>
        <v>0</v>
      </c>
      <c r="D36" s="1">
        <f t="shared" si="1"/>
        <v>2.9726516052318672E-2</v>
      </c>
    </row>
    <row r="37" spans="1:7" x14ac:dyDescent="0.25">
      <c r="A37" s="1">
        <v>1</v>
      </c>
      <c r="B37" s="1">
        <v>1</v>
      </c>
      <c r="C37" s="2">
        <f t="shared" si="0"/>
        <v>0</v>
      </c>
      <c r="D37" s="1">
        <f t="shared" si="1"/>
        <v>2.9726516052318672E-2</v>
      </c>
    </row>
    <row r="38" spans="1:7" x14ac:dyDescent="0.25">
      <c r="A38" s="1">
        <v>5</v>
      </c>
      <c r="B38" s="1">
        <v>4</v>
      </c>
      <c r="C38" s="2">
        <f t="shared" si="0"/>
        <v>-1</v>
      </c>
      <c r="D38" s="1">
        <f t="shared" si="1"/>
        <v>0.68489892984542211</v>
      </c>
    </row>
    <row r="39" spans="1:7" x14ac:dyDescent="0.25">
      <c r="A39" s="1">
        <v>1</v>
      </c>
      <c r="B39" s="1">
        <v>2</v>
      </c>
      <c r="C39" s="2">
        <f t="shared" si="0"/>
        <v>1</v>
      </c>
      <c r="D39" s="1">
        <f t="shared" si="1"/>
        <v>1.3745541022592156</v>
      </c>
      <c r="F39" s="6" t="s">
        <v>13</v>
      </c>
      <c r="G39" s="6"/>
    </row>
    <row r="40" spans="1:7" x14ac:dyDescent="0.25">
      <c r="A40" s="1">
        <v>3</v>
      </c>
      <c r="B40" s="1">
        <v>2</v>
      </c>
      <c r="C40" s="2">
        <f t="shared" si="0"/>
        <v>-1</v>
      </c>
      <c r="D40" s="1">
        <f t="shared" si="1"/>
        <v>0.68489892984542211</v>
      </c>
      <c r="F40" t="s">
        <v>13</v>
      </c>
    </row>
    <row r="41" spans="1:7" x14ac:dyDescent="0.25">
      <c r="A41" s="1">
        <v>2</v>
      </c>
      <c r="B41" s="1">
        <v>3</v>
      </c>
      <c r="C41" s="2">
        <f t="shared" si="0"/>
        <v>1</v>
      </c>
      <c r="D41" s="1">
        <f t="shared" si="1"/>
        <v>1.3745541022592156</v>
      </c>
      <c r="F41" t="s">
        <v>25</v>
      </c>
      <c r="G41">
        <f>TTEST(A:A,B:B,2,1)</f>
        <v>0.2333742818168642</v>
      </c>
    </row>
    <row r="42" spans="1:7" x14ac:dyDescent="0.25">
      <c r="A42" s="1">
        <v>4</v>
      </c>
      <c r="B42" s="1">
        <v>1</v>
      </c>
      <c r="C42" s="2">
        <f t="shared" si="0"/>
        <v>-3</v>
      </c>
      <c r="D42" s="1">
        <f t="shared" si="1"/>
        <v>7.995243757431628</v>
      </c>
      <c r="F42" t="s">
        <v>29</v>
      </c>
      <c r="G42">
        <f>TTEST(A:A,B:B,1,1)</f>
        <v>0.1166871409084321</v>
      </c>
    </row>
    <row r="43" spans="1:7" x14ac:dyDescent="0.25">
      <c r="A43" s="1">
        <v>1</v>
      </c>
      <c r="B43" s="1">
        <v>3</v>
      </c>
      <c r="C43" s="2">
        <f t="shared" si="0"/>
        <v>2</v>
      </c>
      <c r="D43" s="1">
        <f t="shared" si="1"/>
        <v>4.7193816884661119</v>
      </c>
    </row>
    <row r="44" spans="1:7" x14ac:dyDescent="0.25">
      <c r="A44" s="1">
        <v>1</v>
      </c>
      <c r="B44" s="1">
        <v>1</v>
      </c>
      <c r="C44" s="2">
        <f t="shared" si="0"/>
        <v>0</v>
      </c>
      <c r="D44" s="1">
        <f t="shared" si="1"/>
        <v>2.9726516052318672E-2</v>
      </c>
    </row>
    <row r="45" spans="1:7" x14ac:dyDescent="0.25">
      <c r="A45" s="1">
        <v>2</v>
      </c>
      <c r="B45" s="1">
        <v>2</v>
      </c>
      <c r="C45" s="2">
        <f t="shared" si="0"/>
        <v>0</v>
      </c>
      <c r="D45" s="1">
        <f t="shared" si="1"/>
        <v>2.9726516052318672E-2</v>
      </c>
      <c r="F45" s="6" t="s">
        <v>16</v>
      </c>
      <c r="G45" s="6"/>
    </row>
    <row r="46" spans="1:7" x14ac:dyDescent="0.25">
      <c r="A46" s="1">
        <v>1</v>
      </c>
      <c r="B46" s="1">
        <v>2</v>
      </c>
      <c r="C46" s="2">
        <f t="shared" si="0"/>
        <v>1</v>
      </c>
      <c r="D46" s="1">
        <f t="shared" si="1"/>
        <v>1.3745541022592156</v>
      </c>
    </row>
    <row r="47" spans="1:7" x14ac:dyDescent="0.25">
      <c r="A47" s="1">
        <v>1</v>
      </c>
      <c r="B47" s="1">
        <v>2</v>
      </c>
      <c r="C47" s="2">
        <f t="shared" si="0"/>
        <v>1</v>
      </c>
      <c r="D47" s="1">
        <f t="shared" si="1"/>
        <v>1.3745541022592156</v>
      </c>
      <c r="F47" t="s">
        <v>14</v>
      </c>
    </row>
    <row r="48" spans="1:7" x14ac:dyDescent="0.25">
      <c r="A48" s="1">
        <v>2</v>
      </c>
      <c r="B48" s="1">
        <v>2</v>
      </c>
      <c r="C48" s="2">
        <f t="shared" si="0"/>
        <v>0</v>
      </c>
      <c r="D48" s="1">
        <f t="shared" si="1"/>
        <v>2.9726516052318672E-2</v>
      </c>
      <c r="F48" t="s">
        <v>15</v>
      </c>
    </row>
    <row r="49" spans="1:6" x14ac:dyDescent="0.25">
      <c r="A49" s="1">
        <v>2</v>
      </c>
      <c r="B49" s="1">
        <v>2</v>
      </c>
      <c r="C49" s="2">
        <f t="shared" si="0"/>
        <v>0</v>
      </c>
      <c r="D49" s="1">
        <f t="shared" si="1"/>
        <v>2.9726516052318672E-2</v>
      </c>
    </row>
    <row r="50" spans="1:6" x14ac:dyDescent="0.25">
      <c r="A50" s="1">
        <v>1</v>
      </c>
      <c r="B50" s="1">
        <v>1</v>
      </c>
      <c r="C50" s="2">
        <f t="shared" si="0"/>
        <v>0</v>
      </c>
      <c r="D50" s="1">
        <f t="shared" si="1"/>
        <v>2.9726516052318672E-2</v>
      </c>
      <c r="F50" t="s">
        <v>18</v>
      </c>
    </row>
    <row r="51" spans="1:6" x14ac:dyDescent="0.25">
      <c r="A51" s="1">
        <v>2</v>
      </c>
      <c r="B51" s="1">
        <v>1</v>
      </c>
      <c r="C51" s="2">
        <f t="shared" si="0"/>
        <v>-1</v>
      </c>
      <c r="D51" s="1">
        <f t="shared" si="1"/>
        <v>0.68489892984542211</v>
      </c>
      <c r="F51" t="s">
        <v>19</v>
      </c>
    </row>
    <row r="52" spans="1:6" x14ac:dyDescent="0.25">
      <c r="A52" s="1">
        <v>2</v>
      </c>
      <c r="B52" s="1">
        <v>1</v>
      </c>
      <c r="C52" s="2">
        <f t="shared" si="0"/>
        <v>-1</v>
      </c>
      <c r="D52" s="1">
        <f t="shared" si="1"/>
        <v>0.68489892984542211</v>
      </c>
    </row>
    <row r="53" spans="1:6" x14ac:dyDescent="0.25">
      <c r="A53" s="1">
        <v>2</v>
      </c>
      <c r="B53" s="1">
        <v>2</v>
      </c>
      <c r="C53" s="2">
        <f t="shared" si="0"/>
        <v>0</v>
      </c>
      <c r="D53" s="1">
        <f t="shared" si="1"/>
        <v>2.9726516052318672E-2</v>
      </c>
    </row>
    <row r="54" spans="1:6" x14ac:dyDescent="0.25">
      <c r="A54" s="1">
        <v>2</v>
      </c>
      <c r="B54" s="1">
        <v>2</v>
      </c>
      <c r="C54" s="2">
        <f t="shared" si="0"/>
        <v>0</v>
      </c>
      <c r="D54" s="1">
        <f t="shared" si="1"/>
        <v>2.9726516052318672E-2</v>
      </c>
    </row>
    <row r="55" spans="1:6" x14ac:dyDescent="0.25">
      <c r="A55" s="1">
        <v>2</v>
      </c>
      <c r="B55" s="1">
        <v>3</v>
      </c>
      <c r="C55" s="2">
        <f t="shared" si="0"/>
        <v>1</v>
      </c>
      <c r="D55" s="1">
        <f t="shared" si="1"/>
        <v>1.3745541022592156</v>
      </c>
    </row>
    <row r="56" spans="1:6" x14ac:dyDescent="0.25">
      <c r="A56" s="1">
        <v>2</v>
      </c>
      <c r="B56" s="1">
        <v>1</v>
      </c>
      <c r="C56" s="2">
        <f t="shared" si="0"/>
        <v>-1</v>
      </c>
      <c r="D56" s="1">
        <f t="shared" si="1"/>
        <v>0.68489892984542211</v>
      </c>
      <c r="F56" s="6" t="s">
        <v>23</v>
      </c>
    </row>
    <row r="57" spans="1:6" x14ac:dyDescent="0.25">
      <c r="A57" s="1">
        <v>1</v>
      </c>
      <c r="B57" s="1">
        <v>2</v>
      </c>
      <c r="C57" s="2">
        <f t="shared" si="0"/>
        <v>1</v>
      </c>
      <c r="D57" s="1">
        <f t="shared" si="1"/>
        <v>1.3745541022592156</v>
      </c>
    </row>
    <row r="58" spans="1:6" x14ac:dyDescent="0.25">
      <c r="A58" s="1">
        <v>2</v>
      </c>
      <c r="B58" s="1">
        <v>2</v>
      </c>
      <c r="C58" s="2">
        <f t="shared" si="0"/>
        <v>0</v>
      </c>
      <c r="D58" s="1">
        <f t="shared" si="1"/>
        <v>2.9726516052318672E-2</v>
      </c>
      <c r="F58" t="s">
        <v>21</v>
      </c>
    </row>
    <row r="59" spans="1:6" x14ac:dyDescent="0.25">
      <c r="A59" s="1">
        <v>2</v>
      </c>
      <c r="B59" s="1">
        <v>1</v>
      </c>
      <c r="C59" s="2">
        <f t="shared" si="0"/>
        <v>-1</v>
      </c>
      <c r="D59" s="1">
        <f t="shared" si="1"/>
        <v>0.68489892984542211</v>
      </c>
      <c r="F59" t="s">
        <v>20</v>
      </c>
    </row>
    <row r="60" spans="1:6" x14ac:dyDescent="0.25">
      <c r="A60" s="1">
        <v>1</v>
      </c>
      <c r="B60" s="1">
        <v>1</v>
      </c>
      <c r="C60" s="2">
        <f t="shared" si="0"/>
        <v>0</v>
      </c>
      <c r="D60" s="1">
        <f t="shared" si="1"/>
        <v>2.9726516052318672E-2</v>
      </c>
      <c r="F60" t="s">
        <v>22</v>
      </c>
    </row>
    <row r="61" spans="1:6" x14ac:dyDescent="0.25">
      <c r="A61" s="1">
        <v>1</v>
      </c>
      <c r="B61" s="1">
        <v>2</v>
      </c>
      <c r="C61" s="2">
        <f t="shared" si="0"/>
        <v>1</v>
      </c>
      <c r="D61" s="1">
        <f t="shared" si="1"/>
        <v>1.3745541022592156</v>
      </c>
    </row>
    <row r="62" spans="1:6" x14ac:dyDescent="0.25">
      <c r="A62" s="1">
        <v>2</v>
      </c>
      <c r="B62" s="1">
        <v>2</v>
      </c>
      <c r="C62" s="2">
        <f t="shared" si="0"/>
        <v>0</v>
      </c>
      <c r="D62" s="1">
        <f t="shared" si="1"/>
        <v>2.9726516052318672E-2</v>
      </c>
    </row>
    <row r="63" spans="1:6" x14ac:dyDescent="0.25">
      <c r="A63" s="1">
        <v>1</v>
      </c>
      <c r="B63" s="1">
        <v>1</v>
      </c>
      <c r="C63" s="2">
        <f t="shared" si="0"/>
        <v>0</v>
      </c>
      <c r="D63" s="1">
        <f t="shared" si="1"/>
        <v>2.9726516052318672E-2</v>
      </c>
    </row>
    <row r="64" spans="1:6" x14ac:dyDescent="0.25">
      <c r="A64" s="1">
        <v>1</v>
      </c>
      <c r="B64" s="1">
        <v>2</v>
      </c>
      <c r="C64" s="2">
        <f t="shared" si="0"/>
        <v>1</v>
      </c>
      <c r="D64" s="1">
        <f t="shared" si="1"/>
        <v>1.3745541022592156</v>
      </c>
    </row>
    <row r="65" spans="1:6" x14ac:dyDescent="0.25">
      <c r="A65" s="1">
        <v>2</v>
      </c>
      <c r="B65" s="1">
        <v>1</v>
      </c>
      <c r="C65" s="2">
        <f t="shared" si="0"/>
        <v>-1</v>
      </c>
      <c r="D65" s="1">
        <f t="shared" si="1"/>
        <v>0.68489892984542211</v>
      </c>
      <c r="F65" s="6" t="s">
        <v>23</v>
      </c>
    </row>
    <row r="66" spans="1:6" x14ac:dyDescent="0.25">
      <c r="A66" s="1">
        <v>2</v>
      </c>
      <c r="B66" s="1">
        <v>2</v>
      </c>
      <c r="C66" s="2">
        <f t="shared" si="0"/>
        <v>0</v>
      </c>
      <c r="D66" s="1">
        <f t="shared" si="1"/>
        <v>2.9726516052318672E-2</v>
      </c>
    </row>
    <row r="67" spans="1:6" x14ac:dyDescent="0.25">
      <c r="A67" s="1">
        <v>2</v>
      </c>
      <c r="B67" s="1">
        <v>5</v>
      </c>
      <c r="C67" s="2">
        <f t="shared" ref="C67:C88" si="2">B67-A67</f>
        <v>3</v>
      </c>
      <c r="D67" s="1">
        <f t="shared" si="1"/>
        <v>10.06420927467301</v>
      </c>
    </row>
    <row r="68" spans="1:6" x14ac:dyDescent="0.25">
      <c r="A68" s="1">
        <v>1</v>
      </c>
      <c r="B68" s="1">
        <v>2</v>
      </c>
      <c r="C68" s="2">
        <f t="shared" si="2"/>
        <v>1</v>
      </c>
      <c r="D68" s="1">
        <f t="shared" si="1"/>
        <v>1.3745541022592156</v>
      </c>
    </row>
    <row r="69" spans="1:6" x14ac:dyDescent="0.25">
      <c r="A69" s="1">
        <v>1</v>
      </c>
      <c r="B69" s="1">
        <v>3</v>
      </c>
      <c r="C69" s="2">
        <f t="shared" si="2"/>
        <v>2</v>
      </c>
      <c r="D69" s="1">
        <f t="shared" ref="D69:D88" si="3">(C69-$G$6)^2</f>
        <v>4.7193816884661119</v>
      </c>
    </row>
    <row r="70" spans="1:6" x14ac:dyDescent="0.25">
      <c r="A70" s="1">
        <v>2</v>
      </c>
      <c r="B70" s="1">
        <v>2</v>
      </c>
      <c r="C70" s="2">
        <f t="shared" si="2"/>
        <v>0</v>
      </c>
      <c r="D70" s="1">
        <f t="shared" si="3"/>
        <v>2.9726516052318672E-2</v>
      </c>
    </row>
    <row r="71" spans="1:6" x14ac:dyDescent="0.25">
      <c r="A71" s="1">
        <v>2</v>
      </c>
      <c r="B71" s="1">
        <v>1</v>
      </c>
      <c r="C71" s="2">
        <f t="shared" si="2"/>
        <v>-1</v>
      </c>
      <c r="D71" s="1">
        <f t="shared" si="3"/>
        <v>0.68489892984542211</v>
      </c>
    </row>
    <row r="72" spans="1:6" x14ac:dyDescent="0.25">
      <c r="A72" s="1">
        <v>1</v>
      </c>
      <c r="B72" s="1">
        <v>2</v>
      </c>
      <c r="C72" s="2">
        <f t="shared" si="2"/>
        <v>1</v>
      </c>
      <c r="D72" s="1">
        <f t="shared" si="3"/>
        <v>1.3745541022592156</v>
      </c>
      <c r="F72" t="s">
        <v>24</v>
      </c>
    </row>
    <row r="73" spans="1:6" x14ac:dyDescent="0.25">
      <c r="A73" s="1">
        <v>3</v>
      </c>
      <c r="B73" s="1">
        <v>1</v>
      </c>
      <c r="C73" s="2">
        <f t="shared" si="2"/>
        <v>-2</v>
      </c>
      <c r="D73" s="1">
        <f t="shared" si="3"/>
        <v>3.3400713436385252</v>
      </c>
      <c r="F73" t="s">
        <v>22</v>
      </c>
    </row>
    <row r="74" spans="1:6" x14ac:dyDescent="0.25">
      <c r="A74" s="1">
        <v>1</v>
      </c>
      <c r="B74" s="1">
        <v>2</v>
      </c>
      <c r="C74" s="2">
        <f t="shared" si="2"/>
        <v>1</v>
      </c>
      <c r="D74" s="1">
        <f t="shared" si="3"/>
        <v>1.3745541022592156</v>
      </c>
      <c r="F74" t="s">
        <v>24</v>
      </c>
    </row>
    <row r="75" spans="1:6" x14ac:dyDescent="0.25">
      <c r="A75" s="1">
        <v>1</v>
      </c>
      <c r="B75" s="1">
        <v>1</v>
      </c>
      <c r="C75" s="2">
        <f t="shared" si="2"/>
        <v>0</v>
      </c>
      <c r="D75" s="1">
        <f t="shared" si="3"/>
        <v>2.9726516052318672E-2</v>
      </c>
      <c r="F75" t="s">
        <v>22</v>
      </c>
    </row>
    <row r="76" spans="1:6" x14ac:dyDescent="0.25">
      <c r="A76" s="1">
        <v>1</v>
      </c>
      <c r="B76" s="1">
        <v>2</v>
      </c>
      <c r="C76" s="2">
        <f t="shared" si="2"/>
        <v>1</v>
      </c>
      <c r="D76" s="1">
        <f t="shared" si="3"/>
        <v>1.3745541022592156</v>
      </c>
    </row>
    <row r="77" spans="1:6" x14ac:dyDescent="0.25">
      <c r="A77" s="1">
        <v>1</v>
      </c>
      <c r="B77" s="1">
        <v>2</v>
      </c>
      <c r="C77" s="2">
        <f t="shared" si="2"/>
        <v>1</v>
      </c>
      <c r="D77" s="1">
        <f t="shared" si="3"/>
        <v>1.3745541022592156</v>
      </c>
    </row>
    <row r="78" spans="1:6" x14ac:dyDescent="0.25">
      <c r="A78" s="1">
        <v>2</v>
      </c>
      <c r="B78" s="1">
        <v>3</v>
      </c>
      <c r="C78" s="2">
        <f t="shared" si="2"/>
        <v>1</v>
      </c>
      <c r="D78" s="1">
        <f t="shared" si="3"/>
        <v>1.3745541022592156</v>
      </c>
    </row>
    <row r="79" spans="1:6" x14ac:dyDescent="0.25">
      <c r="A79" s="1">
        <v>1</v>
      </c>
      <c r="B79" s="1">
        <v>1</v>
      </c>
      <c r="C79" s="2">
        <f t="shared" si="2"/>
        <v>0</v>
      </c>
      <c r="D79" s="1">
        <f t="shared" si="3"/>
        <v>2.9726516052318672E-2</v>
      </c>
    </row>
    <row r="80" spans="1:6" x14ac:dyDescent="0.25">
      <c r="A80" s="1">
        <v>2</v>
      </c>
      <c r="B80" s="1">
        <v>1</v>
      </c>
      <c r="C80" s="2">
        <f t="shared" si="2"/>
        <v>-1</v>
      </c>
      <c r="D80" s="1">
        <f t="shared" si="3"/>
        <v>0.68489892984542211</v>
      </c>
    </row>
    <row r="81" spans="1:6" x14ac:dyDescent="0.25">
      <c r="A81" s="1">
        <v>1</v>
      </c>
      <c r="B81" s="1">
        <v>2</v>
      </c>
      <c r="C81" s="2">
        <f t="shared" si="2"/>
        <v>1</v>
      </c>
      <c r="D81" s="1">
        <f t="shared" si="3"/>
        <v>1.3745541022592156</v>
      </c>
    </row>
    <row r="82" spans="1:6" x14ac:dyDescent="0.25">
      <c r="A82" s="1">
        <v>5</v>
      </c>
      <c r="B82" s="1">
        <v>1</v>
      </c>
      <c r="C82" s="2">
        <f t="shared" si="2"/>
        <v>-4</v>
      </c>
      <c r="D82" s="1">
        <f t="shared" si="3"/>
        <v>14.650416171224732</v>
      </c>
    </row>
    <row r="83" spans="1:6" x14ac:dyDescent="0.25">
      <c r="A83" s="1">
        <v>2</v>
      </c>
      <c r="B83" s="1">
        <v>2</v>
      </c>
      <c r="C83" s="2">
        <f t="shared" si="2"/>
        <v>0</v>
      </c>
      <c r="D83" s="1">
        <f t="shared" si="3"/>
        <v>2.9726516052318672E-2</v>
      </c>
    </row>
    <row r="84" spans="1:6" x14ac:dyDescent="0.25">
      <c r="A84" s="1">
        <v>2</v>
      </c>
      <c r="B84" s="1">
        <v>2</v>
      </c>
      <c r="C84" s="2">
        <f t="shared" si="2"/>
        <v>0</v>
      </c>
      <c r="D84" s="1">
        <f t="shared" si="3"/>
        <v>2.9726516052318672E-2</v>
      </c>
    </row>
    <row r="85" spans="1:6" x14ac:dyDescent="0.25">
      <c r="A85" s="1">
        <v>2</v>
      </c>
      <c r="B85" s="1">
        <v>1</v>
      </c>
      <c r="C85" s="2">
        <f t="shared" si="2"/>
        <v>-1</v>
      </c>
      <c r="D85" s="1">
        <f t="shared" si="3"/>
        <v>0.68489892984542211</v>
      </c>
    </row>
    <row r="86" spans="1:6" x14ac:dyDescent="0.25">
      <c r="A86" s="1">
        <v>1</v>
      </c>
      <c r="B86" s="1">
        <v>2</v>
      </c>
      <c r="C86" s="2">
        <f t="shared" si="2"/>
        <v>1</v>
      </c>
      <c r="D86" s="1">
        <f t="shared" si="3"/>
        <v>1.3745541022592156</v>
      </c>
    </row>
    <row r="87" spans="1:6" x14ac:dyDescent="0.25">
      <c r="A87" s="1">
        <v>2</v>
      </c>
      <c r="B87" s="1">
        <v>2</v>
      </c>
      <c r="C87" s="2">
        <f t="shared" si="2"/>
        <v>0</v>
      </c>
      <c r="D87" s="1">
        <f t="shared" si="3"/>
        <v>2.9726516052318672E-2</v>
      </c>
    </row>
    <row r="88" spans="1:6" x14ac:dyDescent="0.25">
      <c r="A88" s="1">
        <v>1</v>
      </c>
      <c r="B88" s="1">
        <v>2</v>
      </c>
      <c r="C88" s="2">
        <f t="shared" si="2"/>
        <v>1</v>
      </c>
      <c r="D88" s="1">
        <f t="shared" si="3"/>
        <v>1.3745541022592156</v>
      </c>
    </row>
    <row r="93" spans="1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5B5C3-0A56-4ABF-AB74-2494DE177BB4}">
  <dimension ref="A1:G93"/>
  <sheetViews>
    <sheetView zoomScale="70" zoomScaleNormal="70" workbookViewId="0">
      <selection activeCell="A2" sqref="A2"/>
    </sheetView>
  </sheetViews>
  <sheetFormatPr baseColWidth="10" defaultColWidth="9.140625" defaultRowHeight="15" x14ac:dyDescent="0.25"/>
  <cols>
    <col min="1" max="2" width="33.4257812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05" customHeight="1" x14ac:dyDescent="0.25">
      <c r="A1" s="3" t="s">
        <v>32</v>
      </c>
      <c r="B1" s="4" t="s">
        <v>33</v>
      </c>
      <c r="C1" s="5" t="s">
        <v>1</v>
      </c>
      <c r="D1" s="5"/>
    </row>
    <row r="2" spans="1:7" x14ac:dyDescent="0.25">
      <c r="A2" s="1">
        <v>2</v>
      </c>
      <c r="B2" s="1">
        <v>2</v>
      </c>
      <c r="C2" s="2">
        <f>B2-A2</f>
        <v>0</v>
      </c>
      <c r="D2" s="1">
        <f>(C2-$G$6)^2</f>
        <v>1.5986259743691375E-2</v>
      </c>
    </row>
    <row r="3" spans="1:7" x14ac:dyDescent="0.25">
      <c r="A3" s="1">
        <v>2</v>
      </c>
      <c r="B3" s="1">
        <v>2</v>
      </c>
      <c r="C3" s="2">
        <f t="shared" ref="C3:C66" si="0">B3-A3</f>
        <v>0</v>
      </c>
      <c r="D3" s="1">
        <f>(C3-$G$6)^2</f>
        <v>1.5986259743691375E-2</v>
      </c>
      <c r="F3" s="6" t="s">
        <v>17</v>
      </c>
      <c r="G3" s="6"/>
    </row>
    <row r="4" spans="1:7" x14ac:dyDescent="0.25">
      <c r="A4" s="1">
        <v>3</v>
      </c>
      <c r="B4" s="1">
        <v>1</v>
      </c>
      <c r="C4" s="2">
        <f t="shared" si="0"/>
        <v>-2</v>
      </c>
      <c r="D4" s="1">
        <f>(C4-$G$6)^2</f>
        <v>3.5102391333069098</v>
      </c>
      <c r="F4" t="s">
        <v>5</v>
      </c>
      <c r="G4">
        <v>87</v>
      </c>
    </row>
    <row r="5" spans="1:7" x14ac:dyDescent="0.25">
      <c r="A5" s="1">
        <v>2</v>
      </c>
      <c r="B5" s="1">
        <v>1</v>
      </c>
      <c r="C5" s="2">
        <f t="shared" si="0"/>
        <v>-1</v>
      </c>
      <c r="D5" s="1">
        <f t="shared" ref="D5:D68" si="1">(C5-$G$6)^2</f>
        <v>0.76311269652530067</v>
      </c>
      <c r="F5" t="s">
        <v>3</v>
      </c>
      <c r="G5">
        <f>SUM(C:C)</f>
        <v>-11</v>
      </c>
    </row>
    <row r="6" spans="1:7" x14ac:dyDescent="0.25">
      <c r="A6" s="1">
        <v>2</v>
      </c>
      <c r="B6" s="1">
        <v>1</v>
      </c>
      <c r="C6" s="2">
        <f t="shared" si="0"/>
        <v>-1</v>
      </c>
      <c r="D6" s="1">
        <f t="shared" si="1"/>
        <v>0.76311269652530067</v>
      </c>
      <c r="F6" t="s">
        <v>2</v>
      </c>
      <c r="G6">
        <f>G5/G4</f>
        <v>-0.12643678160919541</v>
      </c>
    </row>
    <row r="7" spans="1:7" x14ac:dyDescent="0.25">
      <c r="A7" s="1">
        <v>1</v>
      </c>
      <c r="B7" s="1">
        <v>1</v>
      </c>
      <c r="C7" s="2">
        <f t="shared" si="0"/>
        <v>0</v>
      </c>
      <c r="D7" s="1">
        <f t="shared" si="1"/>
        <v>1.5986259743691375E-2</v>
      </c>
      <c r="F7" t="s">
        <v>4</v>
      </c>
      <c r="G7">
        <f>SUM(D:D)</f>
        <v>117.60919540229891</v>
      </c>
    </row>
    <row r="8" spans="1:7" x14ac:dyDescent="0.25">
      <c r="A8" s="1">
        <v>2</v>
      </c>
      <c r="B8" s="1">
        <v>1</v>
      </c>
      <c r="C8" s="2">
        <f t="shared" si="0"/>
        <v>-1</v>
      </c>
      <c r="D8" s="1">
        <f t="shared" si="1"/>
        <v>0.76311269652530067</v>
      </c>
      <c r="F8" t="s">
        <v>6</v>
      </c>
      <c r="G8">
        <f>SQRT(G7/(G4-1))</f>
        <v>1.1694224145909218</v>
      </c>
    </row>
    <row r="9" spans="1:7" x14ac:dyDescent="0.25">
      <c r="A9" s="1">
        <v>2</v>
      </c>
      <c r="B9" s="1">
        <v>1</v>
      </c>
      <c r="C9" s="2">
        <f t="shared" si="0"/>
        <v>-1</v>
      </c>
      <c r="D9" s="1">
        <f t="shared" si="1"/>
        <v>0.76311269652530067</v>
      </c>
    </row>
    <row r="10" spans="1:7" x14ac:dyDescent="0.25">
      <c r="A10" s="1">
        <v>3</v>
      </c>
      <c r="B10" s="1">
        <v>1</v>
      </c>
      <c r="C10" s="2">
        <f t="shared" si="0"/>
        <v>-2</v>
      </c>
      <c r="D10" s="1">
        <f t="shared" si="1"/>
        <v>3.5102391333069098</v>
      </c>
    </row>
    <row r="11" spans="1:7" x14ac:dyDescent="0.25">
      <c r="A11" s="1">
        <v>2</v>
      </c>
      <c r="B11" s="1">
        <v>1</v>
      </c>
      <c r="C11" s="2">
        <f t="shared" si="0"/>
        <v>-1</v>
      </c>
      <c r="D11" s="1">
        <f t="shared" si="1"/>
        <v>0.76311269652530067</v>
      </c>
    </row>
    <row r="12" spans="1:7" x14ac:dyDescent="0.25">
      <c r="A12" s="1">
        <v>2</v>
      </c>
      <c r="B12" s="1">
        <v>2</v>
      </c>
      <c r="C12" s="2">
        <f t="shared" si="0"/>
        <v>0</v>
      </c>
      <c r="D12" s="1">
        <f t="shared" si="1"/>
        <v>1.5986259743691375E-2</v>
      </c>
      <c r="F12" t="s">
        <v>12</v>
      </c>
      <c r="G12">
        <f>G6/(G8/SQRT(G4))</f>
        <v>-1.0084668923796167</v>
      </c>
    </row>
    <row r="13" spans="1:7" x14ac:dyDescent="0.25">
      <c r="A13" s="1">
        <v>1</v>
      </c>
      <c r="B13" s="1">
        <v>2</v>
      </c>
      <c r="C13" s="2">
        <f t="shared" si="0"/>
        <v>1</v>
      </c>
      <c r="D13" s="1">
        <f t="shared" si="1"/>
        <v>1.268859822962082</v>
      </c>
    </row>
    <row r="14" spans="1:7" x14ac:dyDescent="0.25">
      <c r="A14" s="1">
        <v>1</v>
      </c>
      <c r="B14" s="1">
        <v>1</v>
      </c>
      <c r="C14" s="2">
        <f t="shared" si="0"/>
        <v>0</v>
      </c>
      <c r="D14" s="1">
        <f t="shared" si="1"/>
        <v>1.5986259743691375E-2</v>
      </c>
    </row>
    <row r="15" spans="1:7" x14ac:dyDescent="0.25">
      <c r="A15" s="1">
        <v>2</v>
      </c>
      <c r="B15" s="1">
        <v>2</v>
      </c>
      <c r="C15" s="2">
        <f t="shared" si="0"/>
        <v>0</v>
      </c>
      <c r="D15" s="1">
        <f t="shared" si="1"/>
        <v>1.5986259743691375E-2</v>
      </c>
    </row>
    <row r="16" spans="1:7" x14ac:dyDescent="0.25">
      <c r="A16" s="1">
        <v>1</v>
      </c>
      <c r="B16" s="1">
        <v>1</v>
      </c>
      <c r="C16" s="2">
        <f t="shared" si="0"/>
        <v>0</v>
      </c>
      <c r="D16" s="1">
        <f t="shared" si="1"/>
        <v>1.5986259743691375E-2</v>
      </c>
    </row>
    <row r="17" spans="1:7" x14ac:dyDescent="0.25">
      <c r="A17" s="1">
        <v>2</v>
      </c>
      <c r="B17" s="1">
        <v>1</v>
      </c>
      <c r="C17" s="2">
        <f t="shared" si="0"/>
        <v>-1</v>
      </c>
      <c r="D17" s="1">
        <f t="shared" si="1"/>
        <v>0.76311269652530067</v>
      </c>
      <c r="F17" t="s">
        <v>7</v>
      </c>
      <c r="G17">
        <v>0.05</v>
      </c>
    </row>
    <row r="18" spans="1:7" x14ac:dyDescent="0.25">
      <c r="A18" s="1">
        <v>1</v>
      </c>
      <c r="B18" s="1">
        <v>3</v>
      </c>
      <c r="C18" s="2">
        <f t="shared" si="0"/>
        <v>2</v>
      </c>
      <c r="D18" s="1">
        <f t="shared" si="1"/>
        <v>4.5217333861804736</v>
      </c>
      <c r="F18" t="s">
        <v>8</v>
      </c>
      <c r="G18">
        <f>G4-1</f>
        <v>86</v>
      </c>
    </row>
    <row r="19" spans="1:7" x14ac:dyDescent="0.25">
      <c r="A19" s="1">
        <v>1</v>
      </c>
      <c r="B19" s="1">
        <v>2</v>
      </c>
      <c r="C19" s="2">
        <f t="shared" si="0"/>
        <v>1</v>
      </c>
      <c r="D19" s="1">
        <f t="shared" si="1"/>
        <v>1.268859822962082</v>
      </c>
    </row>
    <row r="20" spans="1:7" x14ac:dyDescent="0.25">
      <c r="A20" s="1">
        <v>3</v>
      </c>
      <c r="B20" s="1">
        <v>2</v>
      </c>
      <c r="C20" s="2">
        <f t="shared" si="0"/>
        <v>-1</v>
      </c>
      <c r="D20" s="1">
        <f t="shared" si="1"/>
        <v>0.76311269652530067</v>
      </c>
    </row>
    <row r="21" spans="1:7" x14ac:dyDescent="0.25">
      <c r="A21" s="1">
        <v>1</v>
      </c>
      <c r="B21" s="1">
        <v>1</v>
      </c>
      <c r="C21" s="2">
        <f t="shared" si="0"/>
        <v>0</v>
      </c>
      <c r="D21" s="1">
        <f t="shared" si="1"/>
        <v>1.5986259743691375E-2</v>
      </c>
    </row>
    <row r="22" spans="1:7" x14ac:dyDescent="0.25">
      <c r="A22" s="1">
        <v>1</v>
      </c>
      <c r="B22" s="1">
        <v>2</v>
      </c>
      <c r="C22" s="2">
        <f t="shared" si="0"/>
        <v>1</v>
      </c>
      <c r="D22" s="1">
        <f t="shared" si="1"/>
        <v>1.268859822962082</v>
      </c>
      <c r="F22" s="6" t="s">
        <v>9</v>
      </c>
      <c r="G22" s="6"/>
    </row>
    <row r="23" spans="1:7" x14ac:dyDescent="0.25">
      <c r="A23" s="1">
        <v>2</v>
      </c>
      <c r="B23" s="1">
        <v>4</v>
      </c>
      <c r="C23" s="2">
        <f t="shared" si="0"/>
        <v>2</v>
      </c>
      <c r="D23" s="1">
        <f t="shared" si="1"/>
        <v>4.5217333861804736</v>
      </c>
      <c r="F23" t="s">
        <v>26</v>
      </c>
      <c r="G23">
        <f>_xlfn.T.INV.2T(G17,G18)</f>
        <v>1.987934206239018</v>
      </c>
    </row>
    <row r="24" spans="1:7" x14ac:dyDescent="0.25">
      <c r="A24" s="1">
        <v>2</v>
      </c>
      <c r="B24" s="1">
        <v>1</v>
      </c>
      <c r="C24" s="2">
        <f t="shared" si="0"/>
        <v>-1</v>
      </c>
      <c r="D24" s="1">
        <f t="shared" si="1"/>
        <v>0.76311269652530067</v>
      </c>
      <c r="F24" t="s">
        <v>27</v>
      </c>
      <c r="G24">
        <f>_xlfn.T.INV(G17,G18)</f>
        <v>-1.662765449409072</v>
      </c>
    </row>
    <row r="25" spans="1:7" x14ac:dyDescent="0.25">
      <c r="A25" s="1">
        <v>2</v>
      </c>
      <c r="B25" s="1">
        <v>1</v>
      </c>
      <c r="C25" s="2">
        <f t="shared" si="0"/>
        <v>-1</v>
      </c>
      <c r="D25" s="1">
        <f t="shared" si="1"/>
        <v>0.76311269652530067</v>
      </c>
    </row>
    <row r="26" spans="1:7" x14ac:dyDescent="0.25">
      <c r="A26" s="1">
        <v>1</v>
      </c>
      <c r="B26" s="1">
        <v>1</v>
      </c>
      <c r="C26" s="2">
        <f t="shared" si="0"/>
        <v>0</v>
      </c>
      <c r="D26" s="1">
        <f t="shared" si="1"/>
        <v>1.5986259743691375E-2</v>
      </c>
    </row>
    <row r="27" spans="1:7" x14ac:dyDescent="0.25">
      <c r="A27" s="1">
        <v>4</v>
      </c>
      <c r="B27" s="1">
        <v>2</v>
      </c>
      <c r="C27" s="2">
        <f t="shared" si="0"/>
        <v>-2</v>
      </c>
      <c r="D27" s="1">
        <f t="shared" si="1"/>
        <v>3.5102391333069098</v>
      </c>
    </row>
    <row r="28" spans="1:7" x14ac:dyDescent="0.25">
      <c r="A28" s="1">
        <v>1</v>
      </c>
      <c r="B28" s="1">
        <v>1</v>
      </c>
      <c r="C28" s="2">
        <f t="shared" si="0"/>
        <v>0</v>
      </c>
      <c r="D28" s="1">
        <f t="shared" si="1"/>
        <v>1.5986259743691375E-2</v>
      </c>
    </row>
    <row r="29" spans="1:7" x14ac:dyDescent="0.25">
      <c r="A29" s="1">
        <v>4</v>
      </c>
      <c r="B29" s="1">
        <v>2</v>
      </c>
      <c r="C29" s="2">
        <f t="shared" si="0"/>
        <v>-2</v>
      </c>
      <c r="D29" s="1">
        <f t="shared" si="1"/>
        <v>3.5102391333069098</v>
      </c>
    </row>
    <row r="30" spans="1:7" x14ac:dyDescent="0.25">
      <c r="A30" s="1">
        <v>4</v>
      </c>
      <c r="B30" s="1">
        <v>2</v>
      </c>
      <c r="C30" s="2">
        <f t="shared" si="0"/>
        <v>-2</v>
      </c>
      <c r="D30" s="1">
        <f t="shared" si="1"/>
        <v>3.5102391333069098</v>
      </c>
    </row>
    <row r="31" spans="1:7" x14ac:dyDescent="0.25">
      <c r="A31" s="1">
        <v>1</v>
      </c>
      <c r="B31" s="1">
        <v>1</v>
      </c>
      <c r="C31" s="2">
        <f t="shared" si="0"/>
        <v>0</v>
      </c>
      <c r="D31" s="1">
        <f t="shared" si="1"/>
        <v>1.5986259743691375E-2</v>
      </c>
    </row>
    <row r="32" spans="1:7" x14ac:dyDescent="0.25">
      <c r="A32" s="1">
        <v>1</v>
      </c>
      <c r="B32" s="1">
        <v>2</v>
      </c>
      <c r="C32" s="2">
        <f t="shared" si="0"/>
        <v>1</v>
      </c>
      <c r="D32" s="1">
        <f t="shared" si="1"/>
        <v>1.268859822962082</v>
      </c>
    </row>
    <row r="33" spans="1:7" x14ac:dyDescent="0.25">
      <c r="A33" s="1">
        <v>2</v>
      </c>
      <c r="B33" s="1">
        <v>1</v>
      </c>
      <c r="C33" s="2">
        <f t="shared" si="0"/>
        <v>-1</v>
      </c>
      <c r="D33" s="1">
        <f t="shared" si="1"/>
        <v>0.76311269652530067</v>
      </c>
    </row>
    <row r="34" spans="1:7" x14ac:dyDescent="0.25">
      <c r="A34" s="1">
        <v>2</v>
      </c>
      <c r="B34" s="1">
        <v>1</v>
      </c>
      <c r="C34" s="2">
        <f t="shared" si="0"/>
        <v>-1</v>
      </c>
      <c r="D34" s="1">
        <f t="shared" si="1"/>
        <v>0.76311269652530067</v>
      </c>
      <c r="F34" t="s">
        <v>10</v>
      </c>
    </row>
    <row r="35" spans="1:7" x14ac:dyDescent="0.25">
      <c r="A35" s="1">
        <v>2</v>
      </c>
      <c r="B35" s="1">
        <v>1</v>
      </c>
      <c r="C35" s="2">
        <f t="shared" si="0"/>
        <v>-1</v>
      </c>
      <c r="D35" s="1">
        <f t="shared" si="1"/>
        <v>0.76311269652530067</v>
      </c>
      <c r="F35" t="s">
        <v>11</v>
      </c>
    </row>
    <row r="36" spans="1:7" x14ac:dyDescent="0.25">
      <c r="A36" s="1">
        <v>2</v>
      </c>
      <c r="B36" s="1">
        <v>2</v>
      </c>
      <c r="C36" s="2">
        <f t="shared" si="0"/>
        <v>0</v>
      </c>
      <c r="D36" s="1">
        <f t="shared" si="1"/>
        <v>1.5986259743691375E-2</v>
      </c>
    </row>
    <row r="37" spans="1:7" x14ac:dyDescent="0.25">
      <c r="A37" s="1">
        <v>1</v>
      </c>
      <c r="B37" s="1">
        <v>1</v>
      </c>
      <c r="C37" s="2">
        <f t="shared" si="0"/>
        <v>0</v>
      </c>
      <c r="D37" s="1">
        <f t="shared" si="1"/>
        <v>1.5986259743691375E-2</v>
      </c>
    </row>
    <row r="38" spans="1:7" x14ac:dyDescent="0.25">
      <c r="A38" s="1">
        <v>3</v>
      </c>
      <c r="B38" s="1">
        <v>2</v>
      </c>
      <c r="C38" s="2">
        <f t="shared" si="0"/>
        <v>-1</v>
      </c>
      <c r="D38" s="1">
        <f t="shared" si="1"/>
        <v>0.76311269652530067</v>
      </c>
    </row>
    <row r="39" spans="1:7" x14ac:dyDescent="0.25">
      <c r="A39" s="1">
        <v>1</v>
      </c>
      <c r="B39" s="1">
        <v>2</v>
      </c>
      <c r="C39" s="2">
        <f t="shared" si="0"/>
        <v>1</v>
      </c>
      <c r="D39" s="1">
        <f t="shared" si="1"/>
        <v>1.268859822962082</v>
      </c>
      <c r="F39" s="6" t="s">
        <v>13</v>
      </c>
      <c r="G39" s="6"/>
    </row>
    <row r="40" spans="1:7" x14ac:dyDescent="0.25">
      <c r="A40" s="1">
        <v>1</v>
      </c>
      <c r="B40" s="1">
        <v>2</v>
      </c>
      <c r="C40" s="2">
        <f t="shared" si="0"/>
        <v>1</v>
      </c>
      <c r="D40" s="1">
        <f t="shared" si="1"/>
        <v>1.268859822962082</v>
      </c>
      <c r="F40" t="s">
        <v>13</v>
      </c>
    </row>
    <row r="41" spans="1:7" x14ac:dyDescent="0.25">
      <c r="A41" s="1">
        <v>2</v>
      </c>
      <c r="B41" s="1">
        <v>1</v>
      </c>
      <c r="C41" s="2">
        <f t="shared" si="0"/>
        <v>-1</v>
      </c>
      <c r="D41" s="1">
        <f t="shared" si="1"/>
        <v>0.76311269652530067</v>
      </c>
      <c r="F41" t="s">
        <v>25</v>
      </c>
      <c r="G41">
        <f>TTEST(A:A,B:B,2,1)</f>
        <v>0.31605939817398043</v>
      </c>
    </row>
    <row r="42" spans="1:7" x14ac:dyDescent="0.25">
      <c r="A42" s="1">
        <v>1</v>
      </c>
      <c r="B42" s="1">
        <v>1</v>
      </c>
      <c r="C42" s="2">
        <f t="shared" si="0"/>
        <v>0</v>
      </c>
      <c r="D42" s="1">
        <f t="shared" si="1"/>
        <v>1.5986259743691375E-2</v>
      </c>
      <c r="F42" t="s">
        <v>29</v>
      </c>
      <c r="G42">
        <f>TTEST(A:A,B:B,1,1)</f>
        <v>0.15802969908699022</v>
      </c>
    </row>
    <row r="43" spans="1:7" x14ac:dyDescent="0.25">
      <c r="A43" s="1">
        <v>1</v>
      </c>
      <c r="B43" s="1">
        <v>2</v>
      </c>
      <c r="C43" s="2">
        <f t="shared" si="0"/>
        <v>1</v>
      </c>
      <c r="D43" s="1">
        <f t="shared" si="1"/>
        <v>1.268859822962082</v>
      </c>
    </row>
    <row r="44" spans="1:7" x14ac:dyDescent="0.25">
      <c r="A44" s="1">
        <v>1</v>
      </c>
      <c r="B44" s="1">
        <v>1</v>
      </c>
      <c r="C44" s="2">
        <f t="shared" si="0"/>
        <v>0</v>
      </c>
      <c r="D44" s="1">
        <f t="shared" si="1"/>
        <v>1.5986259743691375E-2</v>
      </c>
    </row>
    <row r="45" spans="1:7" x14ac:dyDescent="0.25">
      <c r="A45" s="1">
        <v>2</v>
      </c>
      <c r="B45" s="1">
        <v>3</v>
      </c>
      <c r="C45" s="2">
        <f t="shared" si="0"/>
        <v>1</v>
      </c>
      <c r="D45" s="1">
        <f t="shared" si="1"/>
        <v>1.268859822962082</v>
      </c>
      <c r="F45" s="6" t="s">
        <v>16</v>
      </c>
      <c r="G45" s="6"/>
    </row>
    <row r="46" spans="1:7" x14ac:dyDescent="0.25">
      <c r="A46" s="1">
        <v>1</v>
      </c>
      <c r="B46" s="1">
        <v>2</v>
      </c>
      <c r="C46" s="2">
        <f t="shared" si="0"/>
        <v>1</v>
      </c>
      <c r="D46" s="1">
        <f t="shared" si="1"/>
        <v>1.268859822962082</v>
      </c>
    </row>
    <row r="47" spans="1:7" x14ac:dyDescent="0.25">
      <c r="A47" s="1">
        <v>1</v>
      </c>
      <c r="B47" s="1">
        <v>2</v>
      </c>
      <c r="C47" s="2">
        <f t="shared" si="0"/>
        <v>1</v>
      </c>
      <c r="D47" s="1">
        <f t="shared" si="1"/>
        <v>1.268859822962082</v>
      </c>
      <c r="F47" t="s">
        <v>14</v>
      </c>
    </row>
    <row r="48" spans="1:7" x14ac:dyDescent="0.25">
      <c r="A48" s="1">
        <v>2</v>
      </c>
      <c r="B48" s="1">
        <v>4</v>
      </c>
      <c r="C48" s="2">
        <f t="shared" si="0"/>
        <v>2</v>
      </c>
      <c r="D48" s="1">
        <f t="shared" si="1"/>
        <v>4.5217333861804736</v>
      </c>
      <c r="F48" t="s">
        <v>15</v>
      </c>
    </row>
    <row r="49" spans="1:6" x14ac:dyDescent="0.25">
      <c r="A49" s="1">
        <v>2</v>
      </c>
      <c r="B49" s="1">
        <v>2</v>
      </c>
      <c r="C49" s="2">
        <f t="shared" si="0"/>
        <v>0</v>
      </c>
      <c r="D49" s="1">
        <f t="shared" si="1"/>
        <v>1.5986259743691375E-2</v>
      </c>
    </row>
    <row r="50" spans="1:6" x14ac:dyDescent="0.25">
      <c r="A50" s="1">
        <v>1</v>
      </c>
      <c r="B50" s="1">
        <v>1</v>
      </c>
      <c r="C50" s="2">
        <f t="shared" si="0"/>
        <v>0</v>
      </c>
      <c r="D50" s="1">
        <f t="shared" si="1"/>
        <v>1.5986259743691375E-2</v>
      </c>
      <c r="F50" t="s">
        <v>18</v>
      </c>
    </row>
    <row r="51" spans="1:6" x14ac:dyDescent="0.25">
      <c r="A51" s="1">
        <v>2</v>
      </c>
      <c r="B51" s="1">
        <v>1</v>
      </c>
      <c r="C51" s="2">
        <f t="shared" si="0"/>
        <v>-1</v>
      </c>
      <c r="D51" s="1">
        <f t="shared" si="1"/>
        <v>0.76311269652530067</v>
      </c>
      <c r="F51" t="s">
        <v>19</v>
      </c>
    </row>
    <row r="52" spans="1:6" x14ac:dyDescent="0.25">
      <c r="A52" s="1">
        <v>2</v>
      </c>
      <c r="B52" s="1">
        <v>1</v>
      </c>
      <c r="C52" s="2">
        <f t="shared" si="0"/>
        <v>-1</v>
      </c>
      <c r="D52" s="1">
        <f t="shared" si="1"/>
        <v>0.76311269652530067</v>
      </c>
    </row>
    <row r="53" spans="1:6" x14ac:dyDescent="0.25">
      <c r="A53" s="1">
        <v>2</v>
      </c>
      <c r="B53" s="1">
        <v>2</v>
      </c>
      <c r="C53" s="2">
        <f t="shared" si="0"/>
        <v>0</v>
      </c>
      <c r="D53" s="1">
        <f t="shared" si="1"/>
        <v>1.5986259743691375E-2</v>
      </c>
    </row>
    <row r="54" spans="1:6" x14ac:dyDescent="0.25">
      <c r="A54" s="1">
        <v>2</v>
      </c>
      <c r="B54" s="1">
        <v>2</v>
      </c>
      <c r="C54" s="2">
        <f t="shared" si="0"/>
        <v>0</v>
      </c>
      <c r="D54" s="1">
        <f t="shared" si="1"/>
        <v>1.5986259743691375E-2</v>
      </c>
    </row>
    <row r="55" spans="1:6" x14ac:dyDescent="0.25">
      <c r="A55" s="1">
        <v>2</v>
      </c>
      <c r="B55" s="1">
        <v>1</v>
      </c>
      <c r="C55" s="2">
        <f t="shared" si="0"/>
        <v>-1</v>
      </c>
      <c r="D55" s="1">
        <f t="shared" si="1"/>
        <v>0.76311269652530067</v>
      </c>
    </row>
    <row r="56" spans="1:6" x14ac:dyDescent="0.25">
      <c r="A56" s="1">
        <v>2</v>
      </c>
      <c r="B56" s="1">
        <v>1</v>
      </c>
      <c r="C56" s="2">
        <f t="shared" si="0"/>
        <v>-1</v>
      </c>
      <c r="D56" s="1">
        <f t="shared" si="1"/>
        <v>0.76311269652530067</v>
      </c>
      <c r="F56" s="6" t="s">
        <v>23</v>
      </c>
    </row>
    <row r="57" spans="1:6" x14ac:dyDescent="0.25">
      <c r="A57" s="1">
        <v>1</v>
      </c>
      <c r="B57" s="1">
        <v>2</v>
      </c>
      <c r="C57" s="2">
        <f t="shared" si="0"/>
        <v>1</v>
      </c>
      <c r="D57" s="1">
        <f t="shared" si="1"/>
        <v>1.268859822962082</v>
      </c>
    </row>
    <row r="58" spans="1:6" x14ac:dyDescent="0.25">
      <c r="A58" s="1">
        <v>2</v>
      </c>
      <c r="B58" s="1">
        <v>2</v>
      </c>
      <c r="C58" s="2">
        <f t="shared" si="0"/>
        <v>0</v>
      </c>
      <c r="D58" s="1">
        <f t="shared" si="1"/>
        <v>1.5986259743691375E-2</v>
      </c>
      <c r="F58" t="s">
        <v>21</v>
      </c>
    </row>
    <row r="59" spans="1:6" x14ac:dyDescent="0.25">
      <c r="A59" s="1">
        <v>2</v>
      </c>
      <c r="B59" s="1">
        <v>1</v>
      </c>
      <c r="C59" s="2">
        <f t="shared" si="0"/>
        <v>-1</v>
      </c>
      <c r="D59" s="1">
        <f t="shared" si="1"/>
        <v>0.76311269652530067</v>
      </c>
      <c r="F59" t="s">
        <v>20</v>
      </c>
    </row>
    <row r="60" spans="1:6" x14ac:dyDescent="0.25">
      <c r="A60" s="1">
        <v>1</v>
      </c>
      <c r="B60" s="1">
        <v>1</v>
      </c>
      <c r="C60" s="2">
        <f t="shared" si="0"/>
        <v>0</v>
      </c>
      <c r="D60" s="1">
        <f t="shared" si="1"/>
        <v>1.5986259743691375E-2</v>
      </c>
      <c r="F60" t="s">
        <v>22</v>
      </c>
    </row>
    <row r="61" spans="1:6" x14ac:dyDescent="0.25">
      <c r="A61" s="1">
        <v>1</v>
      </c>
      <c r="B61" s="1">
        <v>2</v>
      </c>
      <c r="C61" s="2">
        <f t="shared" si="0"/>
        <v>1</v>
      </c>
      <c r="D61" s="1">
        <f t="shared" si="1"/>
        <v>1.268859822962082</v>
      </c>
    </row>
    <row r="62" spans="1:6" x14ac:dyDescent="0.25">
      <c r="A62" s="1">
        <v>2</v>
      </c>
      <c r="B62" s="1">
        <v>3</v>
      </c>
      <c r="C62" s="2">
        <f t="shared" si="0"/>
        <v>1</v>
      </c>
      <c r="D62" s="1">
        <f t="shared" si="1"/>
        <v>1.268859822962082</v>
      </c>
    </row>
    <row r="63" spans="1:6" x14ac:dyDescent="0.25">
      <c r="A63" s="1">
        <v>1</v>
      </c>
      <c r="B63" s="1">
        <v>1</v>
      </c>
      <c r="C63" s="2">
        <f t="shared" si="0"/>
        <v>0</v>
      </c>
      <c r="D63" s="1">
        <f t="shared" si="1"/>
        <v>1.5986259743691375E-2</v>
      </c>
    </row>
    <row r="64" spans="1:6" x14ac:dyDescent="0.25">
      <c r="A64" s="1">
        <v>1</v>
      </c>
      <c r="B64" s="1">
        <v>2</v>
      </c>
      <c r="C64" s="2">
        <f t="shared" si="0"/>
        <v>1</v>
      </c>
      <c r="D64" s="1">
        <f t="shared" si="1"/>
        <v>1.268859822962082</v>
      </c>
    </row>
    <row r="65" spans="1:6" x14ac:dyDescent="0.25">
      <c r="A65" s="1">
        <v>2</v>
      </c>
      <c r="B65" s="1">
        <v>1</v>
      </c>
      <c r="C65" s="2">
        <f t="shared" si="0"/>
        <v>-1</v>
      </c>
      <c r="D65" s="1">
        <f t="shared" si="1"/>
        <v>0.76311269652530067</v>
      </c>
      <c r="F65" s="6" t="s">
        <v>23</v>
      </c>
    </row>
    <row r="66" spans="1:6" x14ac:dyDescent="0.25">
      <c r="A66" s="1">
        <v>2</v>
      </c>
      <c r="B66" s="1">
        <v>2</v>
      </c>
      <c r="C66" s="2">
        <f t="shared" si="0"/>
        <v>0</v>
      </c>
      <c r="D66" s="1">
        <f t="shared" si="1"/>
        <v>1.5986259743691375E-2</v>
      </c>
    </row>
    <row r="67" spans="1:6" x14ac:dyDescent="0.25">
      <c r="A67" s="1">
        <v>2</v>
      </c>
      <c r="B67" s="1">
        <v>4</v>
      </c>
      <c r="C67" s="2">
        <f t="shared" ref="C67:C88" si="2">B67-A67</f>
        <v>2</v>
      </c>
      <c r="D67" s="1">
        <f t="shared" si="1"/>
        <v>4.5217333861804736</v>
      </c>
    </row>
    <row r="68" spans="1:6" x14ac:dyDescent="0.25">
      <c r="A68" s="1">
        <v>1</v>
      </c>
      <c r="B68" s="1">
        <v>2</v>
      </c>
      <c r="C68" s="2">
        <f t="shared" si="2"/>
        <v>1</v>
      </c>
      <c r="D68" s="1">
        <f t="shared" si="1"/>
        <v>1.268859822962082</v>
      </c>
    </row>
    <row r="69" spans="1:6" x14ac:dyDescent="0.25">
      <c r="A69" s="1">
        <v>1</v>
      </c>
      <c r="B69" s="1">
        <v>1</v>
      </c>
      <c r="C69" s="2">
        <f t="shared" si="2"/>
        <v>0</v>
      </c>
      <c r="D69" s="1">
        <f t="shared" ref="D69:D88" si="3">(C69-$G$6)^2</f>
        <v>1.5986259743691375E-2</v>
      </c>
    </row>
    <row r="70" spans="1:6" x14ac:dyDescent="0.25">
      <c r="A70" s="1">
        <v>2</v>
      </c>
      <c r="B70" s="1">
        <v>2</v>
      </c>
      <c r="C70" s="2">
        <f t="shared" si="2"/>
        <v>0</v>
      </c>
      <c r="D70" s="1">
        <f t="shared" si="3"/>
        <v>1.5986259743691375E-2</v>
      </c>
    </row>
    <row r="71" spans="1:6" x14ac:dyDescent="0.25">
      <c r="A71" s="1">
        <v>3</v>
      </c>
      <c r="B71" s="1">
        <v>1</v>
      </c>
      <c r="C71" s="2">
        <f t="shared" si="2"/>
        <v>-2</v>
      </c>
      <c r="D71" s="1">
        <f t="shared" si="3"/>
        <v>3.5102391333069098</v>
      </c>
    </row>
    <row r="72" spans="1:6" x14ac:dyDescent="0.25">
      <c r="A72" s="1">
        <v>1</v>
      </c>
      <c r="B72" s="1">
        <v>2</v>
      </c>
      <c r="C72" s="2">
        <f t="shared" si="2"/>
        <v>1</v>
      </c>
      <c r="D72" s="1">
        <f t="shared" si="3"/>
        <v>1.268859822962082</v>
      </c>
      <c r="F72" t="s">
        <v>24</v>
      </c>
    </row>
    <row r="73" spans="1:6" x14ac:dyDescent="0.25">
      <c r="A73" s="1">
        <v>4</v>
      </c>
      <c r="B73" s="1">
        <v>1</v>
      </c>
      <c r="C73" s="2">
        <f t="shared" si="2"/>
        <v>-3</v>
      </c>
      <c r="D73" s="1">
        <f t="shared" si="3"/>
        <v>8.2573655700885187</v>
      </c>
      <c r="F73" t="s">
        <v>22</v>
      </c>
    </row>
    <row r="74" spans="1:6" x14ac:dyDescent="0.25">
      <c r="A74" s="1">
        <v>1</v>
      </c>
      <c r="B74" s="1">
        <v>2</v>
      </c>
      <c r="C74" s="2">
        <f t="shared" si="2"/>
        <v>1</v>
      </c>
      <c r="D74" s="1">
        <f t="shared" si="3"/>
        <v>1.268859822962082</v>
      </c>
      <c r="F74" t="s">
        <v>24</v>
      </c>
    </row>
    <row r="75" spans="1:6" x14ac:dyDescent="0.25">
      <c r="A75" s="1">
        <v>1</v>
      </c>
      <c r="B75" s="1">
        <v>1</v>
      </c>
      <c r="C75" s="2">
        <f t="shared" si="2"/>
        <v>0</v>
      </c>
      <c r="D75" s="1">
        <f t="shared" si="3"/>
        <v>1.5986259743691375E-2</v>
      </c>
      <c r="F75" t="s">
        <v>22</v>
      </c>
    </row>
    <row r="76" spans="1:6" x14ac:dyDescent="0.25">
      <c r="A76" s="1">
        <v>1</v>
      </c>
      <c r="B76" s="1">
        <v>3</v>
      </c>
      <c r="C76" s="2">
        <f t="shared" si="2"/>
        <v>2</v>
      </c>
      <c r="D76" s="1">
        <f t="shared" si="3"/>
        <v>4.5217333861804736</v>
      </c>
    </row>
    <row r="77" spans="1:6" x14ac:dyDescent="0.25">
      <c r="A77" s="1">
        <v>1</v>
      </c>
      <c r="B77" s="1">
        <v>2</v>
      </c>
      <c r="C77" s="2">
        <f t="shared" si="2"/>
        <v>1</v>
      </c>
      <c r="D77" s="1">
        <f t="shared" si="3"/>
        <v>1.268859822962082</v>
      </c>
    </row>
    <row r="78" spans="1:6" x14ac:dyDescent="0.25">
      <c r="A78" s="1">
        <v>4</v>
      </c>
      <c r="B78" s="1">
        <v>2</v>
      </c>
      <c r="C78" s="2">
        <f t="shared" si="2"/>
        <v>-2</v>
      </c>
      <c r="D78" s="1">
        <f t="shared" si="3"/>
        <v>3.5102391333069098</v>
      </c>
    </row>
    <row r="79" spans="1:6" x14ac:dyDescent="0.25">
      <c r="A79" s="1">
        <v>1</v>
      </c>
      <c r="B79" s="1">
        <v>1</v>
      </c>
      <c r="C79" s="2">
        <f t="shared" si="2"/>
        <v>0</v>
      </c>
      <c r="D79" s="1">
        <f t="shared" si="3"/>
        <v>1.5986259743691375E-2</v>
      </c>
    </row>
    <row r="80" spans="1:6" x14ac:dyDescent="0.25">
      <c r="A80" s="1">
        <v>2</v>
      </c>
      <c r="B80" s="1">
        <v>1</v>
      </c>
      <c r="C80" s="2">
        <f t="shared" si="2"/>
        <v>-1</v>
      </c>
      <c r="D80" s="1">
        <f t="shared" si="3"/>
        <v>0.76311269652530067</v>
      </c>
    </row>
    <row r="81" spans="1:6" x14ac:dyDescent="0.25">
      <c r="A81" s="1">
        <v>1</v>
      </c>
      <c r="B81" s="1">
        <v>2</v>
      </c>
      <c r="C81" s="2">
        <f t="shared" si="2"/>
        <v>1</v>
      </c>
      <c r="D81" s="1">
        <f t="shared" si="3"/>
        <v>1.268859822962082</v>
      </c>
    </row>
    <row r="82" spans="1:6" x14ac:dyDescent="0.25">
      <c r="A82" s="1">
        <v>4</v>
      </c>
      <c r="B82" s="1">
        <v>1</v>
      </c>
      <c r="C82" s="2">
        <f t="shared" si="2"/>
        <v>-3</v>
      </c>
      <c r="D82" s="1">
        <f t="shared" si="3"/>
        <v>8.2573655700885187</v>
      </c>
    </row>
    <row r="83" spans="1:6" x14ac:dyDescent="0.25">
      <c r="A83" s="1">
        <v>3</v>
      </c>
      <c r="B83" s="1">
        <v>2</v>
      </c>
      <c r="C83" s="2">
        <f t="shared" si="2"/>
        <v>-1</v>
      </c>
      <c r="D83" s="1">
        <f t="shared" si="3"/>
        <v>0.76311269652530067</v>
      </c>
    </row>
    <row r="84" spans="1:6" x14ac:dyDescent="0.25">
      <c r="A84" s="1">
        <v>2</v>
      </c>
      <c r="B84" s="1">
        <v>2</v>
      </c>
      <c r="C84" s="2">
        <f t="shared" si="2"/>
        <v>0</v>
      </c>
      <c r="D84" s="1">
        <f t="shared" si="3"/>
        <v>1.5986259743691375E-2</v>
      </c>
    </row>
    <row r="85" spans="1:6" x14ac:dyDescent="0.25">
      <c r="A85" s="1">
        <v>2</v>
      </c>
      <c r="B85" s="1">
        <v>1</v>
      </c>
      <c r="C85" s="2">
        <f t="shared" si="2"/>
        <v>-1</v>
      </c>
      <c r="D85" s="1">
        <f t="shared" si="3"/>
        <v>0.76311269652530067</v>
      </c>
    </row>
    <row r="86" spans="1:6" x14ac:dyDescent="0.25">
      <c r="A86" s="1">
        <v>1</v>
      </c>
      <c r="B86" s="1">
        <v>4</v>
      </c>
      <c r="C86" s="2">
        <f t="shared" si="2"/>
        <v>3</v>
      </c>
      <c r="D86" s="1">
        <f t="shared" si="3"/>
        <v>9.7746069493988657</v>
      </c>
    </row>
    <row r="87" spans="1:6" x14ac:dyDescent="0.25">
      <c r="A87" s="1">
        <v>3</v>
      </c>
      <c r="B87" s="1">
        <v>2</v>
      </c>
      <c r="C87" s="2">
        <f t="shared" si="2"/>
        <v>-1</v>
      </c>
      <c r="D87" s="1">
        <f t="shared" si="3"/>
        <v>0.76311269652530067</v>
      </c>
    </row>
    <row r="88" spans="1:6" x14ac:dyDescent="0.25">
      <c r="A88" s="1">
        <v>1</v>
      </c>
      <c r="B88" s="1">
        <v>2</v>
      </c>
      <c r="C88" s="2">
        <f t="shared" si="2"/>
        <v>1</v>
      </c>
      <c r="D88" s="1">
        <f t="shared" si="3"/>
        <v>1.268859822962082</v>
      </c>
    </row>
    <row r="93" spans="1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A09F-40B4-4C74-AC1B-A4F74E194FB3}">
  <dimension ref="A1:G93"/>
  <sheetViews>
    <sheetView zoomScale="70" zoomScaleNormal="70" workbookViewId="0">
      <selection activeCell="B11" sqref="B11"/>
    </sheetView>
  </sheetViews>
  <sheetFormatPr baseColWidth="10" defaultColWidth="9.140625" defaultRowHeight="15" x14ac:dyDescent="0.25"/>
  <cols>
    <col min="1" max="2" width="33.4257812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05" customHeight="1" x14ac:dyDescent="0.25">
      <c r="A1" s="3" t="s">
        <v>30</v>
      </c>
      <c r="B1" s="4" t="s">
        <v>31</v>
      </c>
      <c r="C1" s="5" t="s">
        <v>1</v>
      </c>
      <c r="D1" s="5"/>
    </row>
    <row r="2" spans="1:7" x14ac:dyDescent="0.25">
      <c r="A2" s="1">
        <v>2</v>
      </c>
      <c r="B2" s="1">
        <v>2</v>
      </c>
      <c r="C2" s="2">
        <f>B2-A2</f>
        <v>0</v>
      </c>
      <c r="D2" s="1">
        <f>(C2-$G$6)^2</f>
        <v>4.7562425683709865E-3</v>
      </c>
    </row>
    <row r="3" spans="1:7" x14ac:dyDescent="0.25">
      <c r="A3" s="1">
        <v>2</v>
      </c>
      <c r="B3" s="1">
        <v>2</v>
      </c>
      <c r="C3" s="2">
        <f t="shared" ref="C3:C66" si="0">B3-A3</f>
        <v>0</v>
      </c>
      <c r="D3" s="1">
        <f>(C3-$G$6)^2</f>
        <v>4.7562425683709865E-3</v>
      </c>
      <c r="F3" s="6" t="s">
        <v>17</v>
      </c>
      <c r="G3" s="6"/>
    </row>
    <row r="4" spans="1:7" x14ac:dyDescent="0.25">
      <c r="A4" s="1">
        <v>2</v>
      </c>
      <c r="B4" s="1">
        <v>1</v>
      </c>
      <c r="C4" s="2">
        <f t="shared" si="0"/>
        <v>-1</v>
      </c>
      <c r="D4" s="1">
        <f>(C4-$G$6)^2</f>
        <v>0.86682520808561236</v>
      </c>
      <c r="F4" t="s">
        <v>5</v>
      </c>
      <c r="G4">
        <v>87</v>
      </c>
    </row>
    <row r="5" spans="1:7" x14ac:dyDescent="0.25">
      <c r="A5" s="1">
        <v>2</v>
      </c>
      <c r="B5" s="1">
        <v>1</v>
      </c>
      <c r="C5" s="2">
        <f t="shared" si="0"/>
        <v>-1</v>
      </c>
      <c r="D5" s="1">
        <f t="shared" ref="D5:D68" si="1">(C5-$G$6)^2</f>
        <v>0.86682520808561236</v>
      </c>
      <c r="F5" t="s">
        <v>3</v>
      </c>
      <c r="G5">
        <f>SUM(C:C)</f>
        <v>-6</v>
      </c>
    </row>
    <row r="6" spans="1:7" x14ac:dyDescent="0.25">
      <c r="A6" s="1">
        <v>2</v>
      </c>
      <c r="B6" s="1">
        <v>5</v>
      </c>
      <c r="C6" s="2">
        <f t="shared" si="0"/>
        <v>3</v>
      </c>
      <c r="D6" s="1">
        <f t="shared" si="1"/>
        <v>9.418549346016647</v>
      </c>
      <c r="F6" t="s">
        <v>2</v>
      </c>
      <c r="G6">
        <f>G5/G4</f>
        <v>-6.8965517241379309E-2</v>
      </c>
    </row>
    <row r="7" spans="1:7" x14ac:dyDescent="0.25">
      <c r="A7" s="1">
        <v>1</v>
      </c>
      <c r="B7" s="1">
        <v>1</v>
      </c>
      <c r="C7" s="2">
        <f t="shared" si="0"/>
        <v>0</v>
      </c>
      <c r="D7" s="1">
        <f t="shared" si="1"/>
        <v>4.7562425683709865E-3</v>
      </c>
      <c r="F7" t="s">
        <v>4</v>
      </c>
      <c r="G7">
        <f>SUM(D:D)</f>
        <v>133.58620689655169</v>
      </c>
    </row>
    <row r="8" spans="1:7" x14ac:dyDescent="0.25">
      <c r="A8" s="1">
        <v>2</v>
      </c>
      <c r="B8" s="1">
        <v>1</v>
      </c>
      <c r="C8" s="2">
        <f t="shared" si="0"/>
        <v>-1</v>
      </c>
      <c r="D8" s="1">
        <f t="shared" si="1"/>
        <v>0.86682520808561236</v>
      </c>
      <c r="F8" t="s">
        <v>6</v>
      </c>
      <c r="G8">
        <f>SQRT(G7/(G4-1))</f>
        <v>1.2463257949545961</v>
      </c>
    </row>
    <row r="9" spans="1:7" x14ac:dyDescent="0.25">
      <c r="A9" s="1">
        <v>2</v>
      </c>
      <c r="B9" s="1">
        <v>1</v>
      </c>
      <c r="C9" s="2">
        <f t="shared" si="0"/>
        <v>-1</v>
      </c>
      <c r="D9" s="1">
        <f t="shared" si="1"/>
        <v>0.86682520808561236</v>
      </c>
    </row>
    <row r="10" spans="1:7" x14ac:dyDescent="0.25">
      <c r="A10" s="1">
        <v>4</v>
      </c>
      <c r="B10" s="1">
        <v>1</v>
      </c>
      <c r="C10" s="2">
        <f t="shared" si="0"/>
        <v>-3</v>
      </c>
      <c r="D10" s="1">
        <f t="shared" si="1"/>
        <v>8.5909631391200936</v>
      </c>
    </row>
    <row r="11" spans="1:7" x14ac:dyDescent="0.25">
      <c r="A11" s="1">
        <v>2</v>
      </c>
      <c r="B11" s="1">
        <v>1</v>
      </c>
      <c r="C11" s="2">
        <f t="shared" si="0"/>
        <v>-1</v>
      </c>
      <c r="D11" s="1">
        <f t="shared" si="1"/>
        <v>0.86682520808561236</v>
      </c>
    </row>
    <row r="12" spans="1:7" x14ac:dyDescent="0.25">
      <c r="A12" s="1">
        <v>2</v>
      </c>
      <c r="B12" s="1">
        <v>2</v>
      </c>
      <c r="C12" s="2">
        <f t="shared" si="0"/>
        <v>0</v>
      </c>
      <c r="D12" s="1">
        <f t="shared" si="1"/>
        <v>4.7562425683709865E-3</v>
      </c>
      <c r="F12" t="s">
        <v>12</v>
      </c>
      <c r="G12">
        <f>G6/(G8/SQRT(G4))</f>
        <v>-0.51613111395653277</v>
      </c>
    </row>
    <row r="13" spans="1:7" x14ac:dyDescent="0.25">
      <c r="A13" s="1">
        <v>1</v>
      </c>
      <c r="B13" s="1">
        <v>2</v>
      </c>
      <c r="C13" s="2">
        <f t="shared" si="0"/>
        <v>1</v>
      </c>
      <c r="D13" s="1">
        <f t="shared" si="1"/>
        <v>1.1426872770511294</v>
      </c>
    </row>
    <row r="14" spans="1:7" x14ac:dyDescent="0.25">
      <c r="A14" s="1">
        <v>1</v>
      </c>
      <c r="B14" s="1">
        <v>1</v>
      </c>
      <c r="C14" s="2">
        <f t="shared" si="0"/>
        <v>0</v>
      </c>
      <c r="D14" s="1">
        <f t="shared" si="1"/>
        <v>4.7562425683709865E-3</v>
      </c>
    </row>
    <row r="15" spans="1:7" x14ac:dyDescent="0.25">
      <c r="A15" s="1">
        <v>2</v>
      </c>
      <c r="B15" s="1">
        <v>2</v>
      </c>
      <c r="C15" s="2">
        <f t="shared" si="0"/>
        <v>0</v>
      </c>
      <c r="D15" s="1">
        <f t="shared" si="1"/>
        <v>4.7562425683709865E-3</v>
      </c>
    </row>
    <row r="16" spans="1:7" x14ac:dyDescent="0.25">
      <c r="A16" s="1">
        <v>1</v>
      </c>
      <c r="B16" s="1">
        <v>1</v>
      </c>
      <c r="C16" s="2">
        <f t="shared" si="0"/>
        <v>0</v>
      </c>
      <c r="D16" s="1">
        <f t="shared" si="1"/>
        <v>4.7562425683709865E-3</v>
      </c>
    </row>
    <row r="17" spans="1:7" x14ac:dyDescent="0.25">
      <c r="A17" s="1">
        <v>2</v>
      </c>
      <c r="B17" s="1">
        <v>1</v>
      </c>
      <c r="C17" s="2">
        <f t="shared" si="0"/>
        <v>-1</v>
      </c>
      <c r="D17" s="1">
        <f t="shared" si="1"/>
        <v>0.86682520808561236</v>
      </c>
      <c r="F17" t="s">
        <v>7</v>
      </c>
      <c r="G17">
        <v>0.05</v>
      </c>
    </row>
    <row r="18" spans="1:7" x14ac:dyDescent="0.25">
      <c r="A18" s="1">
        <v>1</v>
      </c>
      <c r="B18" s="1">
        <v>2</v>
      </c>
      <c r="C18" s="2">
        <f t="shared" si="0"/>
        <v>1</v>
      </c>
      <c r="D18" s="1">
        <f t="shared" si="1"/>
        <v>1.1426872770511294</v>
      </c>
      <c r="F18" t="s">
        <v>8</v>
      </c>
      <c r="G18">
        <f>G4-1</f>
        <v>86</v>
      </c>
    </row>
    <row r="19" spans="1:7" x14ac:dyDescent="0.25">
      <c r="A19" s="1">
        <v>1</v>
      </c>
      <c r="B19" s="1">
        <v>2</v>
      </c>
      <c r="C19" s="2">
        <f t="shared" si="0"/>
        <v>1</v>
      </c>
      <c r="D19" s="1">
        <f t="shared" si="1"/>
        <v>1.1426872770511294</v>
      </c>
    </row>
    <row r="20" spans="1:7" x14ac:dyDescent="0.25">
      <c r="A20" s="1">
        <v>5</v>
      </c>
      <c r="B20" s="1">
        <v>3</v>
      </c>
      <c r="C20" s="2">
        <f t="shared" si="0"/>
        <v>-2</v>
      </c>
      <c r="D20" s="1">
        <f t="shared" si="1"/>
        <v>3.7288941736028542</v>
      </c>
    </row>
    <row r="21" spans="1:7" x14ac:dyDescent="0.25">
      <c r="A21" s="1">
        <v>3</v>
      </c>
      <c r="B21" s="1">
        <v>3</v>
      </c>
      <c r="C21" s="2">
        <f t="shared" si="0"/>
        <v>0</v>
      </c>
      <c r="D21" s="1">
        <f t="shared" si="1"/>
        <v>4.7562425683709865E-3</v>
      </c>
    </row>
    <row r="22" spans="1:7" x14ac:dyDescent="0.25">
      <c r="A22" s="1">
        <v>1</v>
      </c>
      <c r="B22" s="1">
        <v>2</v>
      </c>
      <c r="C22" s="2">
        <f t="shared" si="0"/>
        <v>1</v>
      </c>
      <c r="D22" s="1">
        <f t="shared" si="1"/>
        <v>1.1426872770511294</v>
      </c>
      <c r="F22" s="6" t="s">
        <v>9</v>
      </c>
      <c r="G22" s="6"/>
    </row>
    <row r="23" spans="1:7" x14ac:dyDescent="0.25">
      <c r="A23" s="1">
        <v>2</v>
      </c>
      <c r="B23" s="1">
        <v>1</v>
      </c>
      <c r="C23" s="2">
        <f t="shared" si="0"/>
        <v>-1</v>
      </c>
      <c r="D23" s="1">
        <f t="shared" si="1"/>
        <v>0.86682520808561236</v>
      </c>
      <c r="F23" t="s">
        <v>26</v>
      </c>
      <c r="G23">
        <f>_xlfn.T.INV.2T(G17,G18)</f>
        <v>1.987934206239018</v>
      </c>
    </row>
    <row r="24" spans="1:7" x14ac:dyDescent="0.25">
      <c r="A24" s="1">
        <v>2</v>
      </c>
      <c r="B24" s="1">
        <v>1</v>
      </c>
      <c r="C24" s="2">
        <f t="shared" si="0"/>
        <v>-1</v>
      </c>
      <c r="D24" s="1">
        <f t="shared" si="1"/>
        <v>0.86682520808561236</v>
      </c>
      <c r="F24" t="s">
        <v>27</v>
      </c>
      <c r="G24">
        <f>_xlfn.T.INV(G17,G18)</f>
        <v>-1.662765449409072</v>
      </c>
    </row>
    <row r="25" spans="1:7" x14ac:dyDescent="0.25">
      <c r="A25" s="1">
        <v>2</v>
      </c>
      <c r="B25" s="1">
        <v>1</v>
      </c>
      <c r="C25" s="2">
        <f t="shared" si="0"/>
        <v>-1</v>
      </c>
      <c r="D25" s="1">
        <f t="shared" si="1"/>
        <v>0.86682520808561236</v>
      </c>
    </row>
    <row r="26" spans="1:7" x14ac:dyDescent="0.25">
      <c r="A26" s="1">
        <v>3</v>
      </c>
      <c r="B26" s="1">
        <v>1</v>
      </c>
      <c r="C26" s="2">
        <f t="shared" si="0"/>
        <v>-2</v>
      </c>
      <c r="D26" s="1">
        <f t="shared" si="1"/>
        <v>3.7288941736028542</v>
      </c>
    </row>
    <row r="27" spans="1:7" x14ac:dyDescent="0.25">
      <c r="A27" s="1">
        <v>2</v>
      </c>
      <c r="B27" s="1">
        <v>2</v>
      </c>
      <c r="C27" s="2">
        <f t="shared" si="0"/>
        <v>0</v>
      </c>
      <c r="D27" s="1">
        <f t="shared" si="1"/>
        <v>4.7562425683709865E-3</v>
      </c>
    </row>
    <row r="28" spans="1:7" x14ac:dyDescent="0.25">
      <c r="A28" s="1">
        <v>1</v>
      </c>
      <c r="B28" s="1">
        <v>1</v>
      </c>
      <c r="C28" s="2">
        <f t="shared" si="0"/>
        <v>0</v>
      </c>
      <c r="D28" s="1">
        <f t="shared" si="1"/>
        <v>4.7562425683709865E-3</v>
      </c>
    </row>
    <row r="29" spans="1:7" x14ac:dyDescent="0.25">
      <c r="A29" s="1">
        <v>1</v>
      </c>
      <c r="B29" s="1">
        <v>2</v>
      </c>
      <c r="C29" s="2">
        <f t="shared" si="0"/>
        <v>1</v>
      </c>
      <c r="D29" s="1">
        <f t="shared" si="1"/>
        <v>1.1426872770511294</v>
      </c>
    </row>
    <row r="30" spans="1:7" x14ac:dyDescent="0.25">
      <c r="A30" s="1">
        <v>5</v>
      </c>
      <c r="B30" s="1">
        <v>2</v>
      </c>
      <c r="C30" s="2">
        <f t="shared" si="0"/>
        <v>-3</v>
      </c>
      <c r="D30" s="1">
        <f t="shared" si="1"/>
        <v>8.5909631391200936</v>
      </c>
    </row>
    <row r="31" spans="1:7" x14ac:dyDescent="0.25">
      <c r="A31" s="1">
        <v>3</v>
      </c>
      <c r="B31" s="1">
        <v>1</v>
      </c>
      <c r="C31" s="2">
        <f t="shared" si="0"/>
        <v>-2</v>
      </c>
      <c r="D31" s="1">
        <f t="shared" si="1"/>
        <v>3.7288941736028542</v>
      </c>
    </row>
    <row r="32" spans="1:7" x14ac:dyDescent="0.25">
      <c r="A32" s="1">
        <v>3</v>
      </c>
      <c r="B32" s="1">
        <v>2</v>
      </c>
      <c r="C32" s="2">
        <f t="shared" si="0"/>
        <v>-1</v>
      </c>
      <c r="D32" s="1">
        <f t="shared" si="1"/>
        <v>0.86682520808561236</v>
      </c>
    </row>
    <row r="33" spans="1:7" x14ac:dyDescent="0.25">
      <c r="A33" s="1">
        <v>2</v>
      </c>
      <c r="B33" s="1">
        <v>1</v>
      </c>
      <c r="C33" s="2">
        <f t="shared" si="0"/>
        <v>-1</v>
      </c>
      <c r="D33" s="1">
        <f t="shared" si="1"/>
        <v>0.86682520808561236</v>
      </c>
    </row>
    <row r="34" spans="1:7" x14ac:dyDescent="0.25">
      <c r="A34" s="1">
        <v>2</v>
      </c>
      <c r="B34" s="1">
        <v>1</v>
      </c>
      <c r="C34" s="2">
        <f t="shared" si="0"/>
        <v>-1</v>
      </c>
      <c r="D34" s="1">
        <f t="shared" si="1"/>
        <v>0.86682520808561236</v>
      </c>
      <c r="F34" t="s">
        <v>10</v>
      </c>
    </row>
    <row r="35" spans="1:7" x14ac:dyDescent="0.25">
      <c r="A35" s="1">
        <v>2</v>
      </c>
      <c r="B35" s="1">
        <v>1</v>
      </c>
      <c r="C35" s="2">
        <f t="shared" si="0"/>
        <v>-1</v>
      </c>
      <c r="D35" s="1">
        <f t="shared" si="1"/>
        <v>0.86682520808561236</v>
      </c>
      <c r="F35" t="s">
        <v>11</v>
      </c>
    </row>
    <row r="36" spans="1:7" x14ac:dyDescent="0.25">
      <c r="A36" s="1">
        <v>2</v>
      </c>
      <c r="B36" s="1">
        <v>2</v>
      </c>
      <c r="C36" s="2">
        <f t="shared" si="0"/>
        <v>0</v>
      </c>
      <c r="D36" s="1">
        <f t="shared" si="1"/>
        <v>4.7562425683709865E-3</v>
      </c>
    </row>
    <row r="37" spans="1:7" x14ac:dyDescent="0.25">
      <c r="A37" s="1">
        <v>1</v>
      </c>
      <c r="B37" s="1">
        <v>1</v>
      </c>
      <c r="C37" s="2">
        <f t="shared" si="0"/>
        <v>0</v>
      </c>
      <c r="D37" s="1">
        <f t="shared" si="1"/>
        <v>4.7562425683709865E-3</v>
      </c>
    </row>
    <row r="38" spans="1:7" x14ac:dyDescent="0.25">
      <c r="A38" s="1">
        <v>5</v>
      </c>
      <c r="B38" s="1">
        <v>2</v>
      </c>
      <c r="C38" s="2">
        <f t="shared" si="0"/>
        <v>-3</v>
      </c>
      <c r="D38" s="1">
        <f t="shared" si="1"/>
        <v>8.5909631391200936</v>
      </c>
    </row>
    <row r="39" spans="1:7" x14ac:dyDescent="0.25">
      <c r="A39" s="1">
        <v>1</v>
      </c>
      <c r="B39" s="1">
        <v>2</v>
      </c>
      <c r="C39" s="2">
        <f t="shared" si="0"/>
        <v>1</v>
      </c>
      <c r="D39" s="1">
        <f t="shared" si="1"/>
        <v>1.1426872770511294</v>
      </c>
      <c r="F39" s="6" t="s">
        <v>13</v>
      </c>
      <c r="G39" s="6"/>
    </row>
    <row r="40" spans="1:7" x14ac:dyDescent="0.25">
      <c r="A40" s="1">
        <v>1</v>
      </c>
      <c r="B40" s="1">
        <v>2</v>
      </c>
      <c r="C40" s="2">
        <f t="shared" si="0"/>
        <v>1</v>
      </c>
      <c r="D40" s="1">
        <f t="shared" si="1"/>
        <v>1.1426872770511294</v>
      </c>
      <c r="F40" t="s">
        <v>13</v>
      </c>
    </row>
    <row r="41" spans="1:7" x14ac:dyDescent="0.25">
      <c r="A41" s="1">
        <v>2</v>
      </c>
      <c r="B41" s="1">
        <v>5</v>
      </c>
      <c r="C41" s="2">
        <f t="shared" si="0"/>
        <v>3</v>
      </c>
      <c r="D41" s="1">
        <f t="shared" si="1"/>
        <v>9.418549346016647</v>
      </c>
      <c r="F41" t="s">
        <v>25</v>
      </c>
      <c r="G41">
        <f>TTEST(A:A,B:B,2,1)</f>
        <v>0.60708737054613782</v>
      </c>
    </row>
    <row r="42" spans="1:7" x14ac:dyDescent="0.25">
      <c r="A42" s="1">
        <v>1</v>
      </c>
      <c r="B42" s="1">
        <v>3</v>
      </c>
      <c r="C42" s="2">
        <f t="shared" si="0"/>
        <v>2</v>
      </c>
      <c r="D42" s="1">
        <f t="shared" si="1"/>
        <v>4.2806183115338889</v>
      </c>
      <c r="F42" t="s">
        <v>29</v>
      </c>
      <c r="G42">
        <f>TTEST(A:A,B:B,1,1)</f>
        <v>0.30354368527306891</v>
      </c>
    </row>
    <row r="43" spans="1:7" x14ac:dyDescent="0.25">
      <c r="A43" s="1">
        <v>1</v>
      </c>
      <c r="B43" s="1">
        <v>2</v>
      </c>
      <c r="C43" s="2">
        <f t="shared" si="0"/>
        <v>1</v>
      </c>
      <c r="D43" s="1">
        <f t="shared" si="1"/>
        <v>1.1426872770511294</v>
      </c>
    </row>
    <row r="44" spans="1:7" x14ac:dyDescent="0.25">
      <c r="A44" s="1">
        <v>1</v>
      </c>
      <c r="B44" s="1">
        <v>1</v>
      </c>
      <c r="C44" s="2">
        <f t="shared" si="0"/>
        <v>0</v>
      </c>
      <c r="D44" s="1">
        <f t="shared" si="1"/>
        <v>4.7562425683709865E-3</v>
      </c>
    </row>
    <row r="45" spans="1:7" x14ac:dyDescent="0.25">
      <c r="A45" s="1">
        <v>2</v>
      </c>
      <c r="B45" s="1">
        <v>2</v>
      </c>
      <c r="C45" s="2">
        <f t="shared" si="0"/>
        <v>0</v>
      </c>
      <c r="D45" s="1">
        <f t="shared" si="1"/>
        <v>4.7562425683709865E-3</v>
      </c>
      <c r="F45" s="6" t="s">
        <v>16</v>
      </c>
      <c r="G45" s="6"/>
    </row>
    <row r="46" spans="1:7" x14ac:dyDescent="0.25">
      <c r="A46" s="1">
        <v>1</v>
      </c>
      <c r="B46" s="1">
        <v>2</v>
      </c>
      <c r="C46" s="2">
        <f t="shared" si="0"/>
        <v>1</v>
      </c>
      <c r="D46" s="1">
        <f t="shared" si="1"/>
        <v>1.1426872770511294</v>
      </c>
    </row>
    <row r="47" spans="1:7" x14ac:dyDescent="0.25">
      <c r="A47" s="1">
        <v>1</v>
      </c>
      <c r="B47" s="1">
        <v>2</v>
      </c>
      <c r="C47" s="2">
        <f t="shared" si="0"/>
        <v>1</v>
      </c>
      <c r="D47" s="1">
        <f t="shared" si="1"/>
        <v>1.1426872770511294</v>
      </c>
      <c r="F47" t="s">
        <v>14</v>
      </c>
    </row>
    <row r="48" spans="1:7" x14ac:dyDescent="0.25">
      <c r="A48" s="1">
        <v>2</v>
      </c>
      <c r="B48" s="1">
        <v>2</v>
      </c>
      <c r="C48" s="2">
        <f t="shared" si="0"/>
        <v>0</v>
      </c>
      <c r="D48" s="1">
        <f t="shared" si="1"/>
        <v>4.7562425683709865E-3</v>
      </c>
      <c r="F48" t="s">
        <v>15</v>
      </c>
    </row>
    <row r="49" spans="1:6" x14ac:dyDescent="0.25">
      <c r="A49" s="1">
        <v>2</v>
      </c>
      <c r="B49" s="1">
        <v>2</v>
      </c>
      <c r="C49" s="2">
        <f t="shared" si="0"/>
        <v>0</v>
      </c>
      <c r="D49" s="1">
        <f t="shared" si="1"/>
        <v>4.7562425683709865E-3</v>
      </c>
    </row>
    <row r="50" spans="1:6" x14ac:dyDescent="0.25">
      <c r="A50" s="1">
        <v>1</v>
      </c>
      <c r="B50" s="1">
        <v>1</v>
      </c>
      <c r="C50" s="2">
        <f t="shared" si="0"/>
        <v>0</v>
      </c>
      <c r="D50" s="1">
        <f t="shared" si="1"/>
        <v>4.7562425683709865E-3</v>
      </c>
      <c r="F50" t="s">
        <v>18</v>
      </c>
    </row>
    <row r="51" spans="1:6" x14ac:dyDescent="0.25">
      <c r="A51" s="1">
        <v>2</v>
      </c>
      <c r="B51" s="1">
        <v>1</v>
      </c>
      <c r="C51" s="2">
        <f t="shared" si="0"/>
        <v>-1</v>
      </c>
      <c r="D51" s="1">
        <f t="shared" si="1"/>
        <v>0.86682520808561236</v>
      </c>
      <c r="F51" t="s">
        <v>19</v>
      </c>
    </row>
    <row r="52" spans="1:6" x14ac:dyDescent="0.25">
      <c r="A52" s="1">
        <v>2</v>
      </c>
      <c r="B52" s="1">
        <v>1</v>
      </c>
      <c r="C52" s="2">
        <f t="shared" si="0"/>
        <v>-1</v>
      </c>
      <c r="D52" s="1">
        <f t="shared" si="1"/>
        <v>0.86682520808561236</v>
      </c>
    </row>
    <row r="53" spans="1:6" x14ac:dyDescent="0.25">
      <c r="A53" s="1">
        <v>2</v>
      </c>
      <c r="B53" s="1">
        <v>2</v>
      </c>
      <c r="C53" s="2">
        <f t="shared" si="0"/>
        <v>0</v>
      </c>
      <c r="D53" s="1">
        <f t="shared" si="1"/>
        <v>4.7562425683709865E-3</v>
      </c>
    </row>
    <row r="54" spans="1:6" x14ac:dyDescent="0.25">
      <c r="A54" s="1">
        <v>2</v>
      </c>
      <c r="B54" s="1">
        <v>2</v>
      </c>
      <c r="C54" s="2">
        <f t="shared" si="0"/>
        <v>0</v>
      </c>
      <c r="D54" s="1">
        <f t="shared" si="1"/>
        <v>4.7562425683709865E-3</v>
      </c>
    </row>
    <row r="55" spans="1:6" x14ac:dyDescent="0.25">
      <c r="A55" s="1">
        <v>2</v>
      </c>
      <c r="B55" s="1">
        <v>1</v>
      </c>
      <c r="C55" s="2">
        <f t="shared" si="0"/>
        <v>-1</v>
      </c>
      <c r="D55" s="1">
        <f t="shared" si="1"/>
        <v>0.86682520808561236</v>
      </c>
    </row>
    <row r="56" spans="1:6" x14ac:dyDescent="0.25">
      <c r="A56" s="1">
        <v>2</v>
      </c>
      <c r="B56" s="1">
        <v>1</v>
      </c>
      <c r="C56" s="2">
        <f t="shared" si="0"/>
        <v>-1</v>
      </c>
      <c r="D56" s="1">
        <f t="shared" si="1"/>
        <v>0.86682520808561236</v>
      </c>
      <c r="F56" s="6" t="s">
        <v>23</v>
      </c>
    </row>
    <row r="57" spans="1:6" x14ac:dyDescent="0.25">
      <c r="A57" s="1">
        <v>1</v>
      </c>
      <c r="B57" s="1">
        <v>2</v>
      </c>
      <c r="C57" s="2">
        <f t="shared" si="0"/>
        <v>1</v>
      </c>
      <c r="D57" s="1">
        <f t="shared" si="1"/>
        <v>1.1426872770511294</v>
      </c>
    </row>
    <row r="58" spans="1:6" x14ac:dyDescent="0.25">
      <c r="A58" s="1">
        <v>2</v>
      </c>
      <c r="B58" s="1">
        <v>2</v>
      </c>
      <c r="C58" s="2">
        <f t="shared" si="0"/>
        <v>0</v>
      </c>
      <c r="D58" s="1">
        <f t="shared" si="1"/>
        <v>4.7562425683709865E-3</v>
      </c>
      <c r="F58" t="s">
        <v>21</v>
      </c>
    </row>
    <row r="59" spans="1:6" x14ac:dyDescent="0.25">
      <c r="A59" s="1">
        <v>2</v>
      </c>
      <c r="B59" s="1">
        <v>1</v>
      </c>
      <c r="C59" s="2">
        <f t="shared" si="0"/>
        <v>-1</v>
      </c>
      <c r="D59" s="1">
        <f t="shared" si="1"/>
        <v>0.86682520808561236</v>
      </c>
      <c r="F59" t="s">
        <v>20</v>
      </c>
    </row>
    <row r="60" spans="1:6" x14ac:dyDescent="0.25">
      <c r="A60" s="1">
        <v>1</v>
      </c>
      <c r="B60" s="1">
        <v>1</v>
      </c>
      <c r="C60" s="2">
        <f t="shared" si="0"/>
        <v>0</v>
      </c>
      <c r="D60" s="1">
        <f t="shared" si="1"/>
        <v>4.7562425683709865E-3</v>
      </c>
      <c r="F60" t="s">
        <v>22</v>
      </c>
    </row>
    <row r="61" spans="1:6" x14ac:dyDescent="0.25">
      <c r="A61" s="1">
        <v>1</v>
      </c>
      <c r="B61" s="1">
        <v>2</v>
      </c>
      <c r="C61" s="2">
        <f t="shared" si="0"/>
        <v>1</v>
      </c>
      <c r="D61" s="1">
        <f t="shared" si="1"/>
        <v>1.1426872770511294</v>
      </c>
    </row>
    <row r="62" spans="1:6" x14ac:dyDescent="0.25">
      <c r="A62" s="1">
        <v>2</v>
      </c>
      <c r="B62" s="1">
        <v>3</v>
      </c>
      <c r="C62" s="2">
        <f t="shared" si="0"/>
        <v>1</v>
      </c>
      <c r="D62" s="1">
        <f t="shared" si="1"/>
        <v>1.1426872770511294</v>
      </c>
    </row>
    <row r="63" spans="1:6" x14ac:dyDescent="0.25">
      <c r="A63" s="1">
        <v>1</v>
      </c>
      <c r="B63" s="1">
        <v>3</v>
      </c>
      <c r="C63" s="2">
        <f t="shared" si="0"/>
        <v>2</v>
      </c>
      <c r="D63" s="1">
        <f t="shared" si="1"/>
        <v>4.2806183115338889</v>
      </c>
    </row>
    <row r="64" spans="1:6" x14ac:dyDescent="0.25">
      <c r="A64" s="1">
        <v>1</v>
      </c>
      <c r="B64" s="1">
        <v>2</v>
      </c>
      <c r="C64" s="2">
        <f t="shared" si="0"/>
        <v>1</v>
      </c>
      <c r="D64" s="1">
        <f t="shared" si="1"/>
        <v>1.1426872770511294</v>
      </c>
    </row>
    <row r="65" spans="1:6" x14ac:dyDescent="0.25">
      <c r="A65" s="1">
        <v>2</v>
      </c>
      <c r="B65" s="1">
        <v>1</v>
      </c>
      <c r="C65" s="2">
        <f t="shared" si="0"/>
        <v>-1</v>
      </c>
      <c r="D65" s="1">
        <f t="shared" si="1"/>
        <v>0.86682520808561236</v>
      </c>
      <c r="F65" s="6" t="s">
        <v>23</v>
      </c>
    </row>
    <row r="66" spans="1:6" x14ac:dyDescent="0.25">
      <c r="A66" s="1">
        <v>3</v>
      </c>
      <c r="B66" s="1">
        <v>2</v>
      </c>
      <c r="C66" s="2">
        <f t="shared" si="0"/>
        <v>-1</v>
      </c>
      <c r="D66" s="1">
        <f t="shared" si="1"/>
        <v>0.86682520808561236</v>
      </c>
    </row>
    <row r="67" spans="1:6" x14ac:dyDescent="0.25">
      <c r="A67" s="1">
        <v>2</v>
      </c>
      <c r="B67" s="1">
        <v>5</v>
      </c>
      <c r="C67" s="2">
        <f t="shared" ref="C67:C88" si="2">B67-A67</f>
        <v>3</v>
      </c>
      <c r="D67" s="1">
        <f t="shared" si="1"/>
        <v>9.418549346016647</v>
      </c>
    </row>
    <row r="68" spans="1:6" x14ac:dyDescent="0.25">
      <c r="A68" s="1">
        <v>1</v>
      </c>
      <c r="B68" s="1">
        <v>2</v>
      </c>
      <c r="C68" s="2">
        <f t="shared" si="2"/>
        <v>1</v>
      </c>
      <c r="D68" s="1">
        <f t="shared" si="1"/>
        <v>1.1426872770511294</v>
      </c>
    </row>
    <row r="69" spans="1:6" x14ac:dyDescent="0.25">
      <c r="A69" s="1">
        <v>3</v>
      </c>
      <c r="B69" s="1">
        <v>3</v>
      </c>
      <c r="C69" s="2">
        <f t="shared" si="2"/>
        <v>0</v>
      </c>
      <c r="D69" s="1">
        <f t="shared" ref="D69:D88" si="3">(C69-$G$6)^2</f>
        <v>4.7562425683709865E-3</v>
      </c>
    </row>
    <row r="70" spans="1:6" x14ac:dyDescent="0.25">
      <c r="A70" s="1">
        <v>3</v>
      </c>
      <c r="B70" s="1">
        <v>2</v>
      </c>
      <c r="C70" s="2">
        <f t="shared" si="2"/>
        <v>-1</v>
      </c>
      <c r="D70" s="1">
        <f t="shared" si="3"/>
        <v>0.86682520808561236</v>
      </c>
    </row>
    <row r="71" spans="1:6" x14ac:dyDescent="0.25">
      <c r="A71" s="1">
        <v>3</v>
      </c>
      <c r="B71" s="1">
        <v>1</v>
      </c>
      <c r="C71" s="2">
        <f t="shared" si="2"/>
        <v>-2</v>
      </c>
      <c r="D71" s="1">
        <f t="shared" si="3"/>
        <v>3.7288941736028542</v>
      </c>
    </row>
    <row r="72" spans="1:6" x14ac:dyDescent="0.25">
      <c r="A72" s="1">
        <v>1</v>
      </c>
      <c r="B72" s="1">
        <v>2</v>
      </c>
      <c r="C72" s="2">
        <f t="shared" si="2"/>
        <v>1</v>
      </c>
      <c r="D72" s="1">
        <f t="shared" si="3"/>
        <v>1.1426872770511294</v>
      </c>
      <c r="F72" t="s">
        <v>24</v>
      </c>
    </row>
    <row r="73" spans="1:6" x14ac:dyDescent="0.25">
      <c r="A73" s="1">
        <v>4</v>
      </c>
      <c r="B73" s="1">
        <v>1</v>
      </c>
      <c r="C73" s="2">
        <f t="shared" si="2"/>
        <v>-3</v>
      </c>
      <c r="D73" s="1">
        <f t="shared" si="3"/>
        <v>8.5909631391200936</v>
      </c>
      <c r="F73" t="s">
        <v>22</v>
      </c>
    </row>
    <row r="74" spans="1:6" x14ac:dyDescent="0.25">
      <c r="A74" s="1">
        <v>1</v>
      </c>
      <c r="B74" s="1">
        <v>2</v>
      </c>
      <c r="C74" s="2">
        <f t="shared" si="2"/>
        <v>1</v>
      </c>
      <c r="D74" s="1">
        <f t="shared" si="3"/>
        <v>1.1426872770511294</v>
      </c>
      <c r="F74" t="s">
        <v>24</v>
      </c>
    </row>
    <row r="75" spans="1:6" x14ac:dyDescent="0.25">
      <c r="A75" s="1">
        <v>1</v>
      </c>
      <c r="B75" s="1">
        <v>1</v>
      </c>
      <c r="C75" s="2">
        <f t="shared" si="2"/>
        <v>0</v>
      </c>
      <c r="D75" s="1">
        <f t="shared" si="3"/>
        <v>4.7562425683709865E-3</v>
      </c>
      <c r="F75" t="s">
        <v>22</v>
      </c>
    </row>
    <row r="76" spans="1:6" x14ac:dyDescent="0.25">
      <c r="A76" s="1">
        <v>1</v>
      </c>
      <c r="B76" s="1">
        <v>2</v>
      </c>
      <c r="C76" s="2">
        <f t="shared" si="2"/>
        <v>1</v>
      </c>
      <c r="D76" s="1">
        <f t="shared" si="3"/>
        <v>1.1426872770511294</v>
      </c>
    </row>
    <row r="77" spans="1:6" x14ac:dyDescent="0.25">
      <c r="A77" s="1">
        <v>1</v>
      </c>
      <c r="B77" s="1">
        <v>2</v>
      </c>
      <c r="C77" s="2">
        <f t="shared" si="2"/>
        <v>1</v>
      </c>
      <c r="D77" s="1">
        <f t="shared" si="3"/>
        <v>1.1426872770511294</v>
      </c>
    </row>
    <row r="78" spans="1:6" x14ac:dyDescent="0.25">
      <c r="A78" s="1">
        <v>2</v>
      </c>
      <c r="B78" s="1">
        <v>2</v>
      </c>
      <c r="C78" s="2">
        <f t="shared" si="2"/>
        <v>0</v>
      </c>
      <c r="D78" s="1">
        <f t="shared" si="3"/>
        <v>4.7562425683709865E-3</v>
      </c>
    </row>
    <row r="79" spans="1:6" x14ac:dyDescent="0.25">
      <c r="A79" s="1">
        <v>1</v>
      </c>
      <c r="B79" s="1">
        <v>1</v>
      </c>
      <c r="C79" s="2">
        <f t="shared" si="2"/>
        <v>0</v>
      </c>
      <c r="D79" s="1">
        <f t="shared" si="3"/>
        <v>4.7562425683709865E-3</v>
      </c>
    </row>
    <row r="80" spans="1:6" x14ac:dyDescent="0.25">
      <c r="A80" s="1">
        <v>2</v>
      </c>
      <c r="B80" s="1">
        <v>1</v>
      </c>
      <c r="C80" s="2">
        <f t="shared" si="2"/>
        <v>-1</v>
      </c>
      <c r="D80" s="1">
        <f t="shared" si="3"/>
        <v>0.86682520808561236</v>
      </c>
    </row>
    <row r="81" spans="1:6" x14ac:dyDescent="0.25">
      <c r="A81" s="1">
        <v>1</v>
      </c>
      <c r="B81" s="1">
        <v>2</v>
      </c>
      <c r="C81" s="2">
        <f t="shared" si="2"/>
        <v>1</v>
      </c>
      <c r="D81" s="1">
        <f t="shared" si="3"/>
        <v>1.1426872770511294</v>
      </c>
    </row>
    <row r="82" spans="1:6" x14ac:dyDescent="0.25">
      <c r="A82" s="1">
        <v>2</v>
      </c>
      <c r="B82" s="1">
        <v>1</v>
      </c>
      <c r="C82" s="2">
        <f t="shared" si="2"/>
        <v>-1</v>
      </c>
      <c r="D82" s="1">
        <f t="shared" si="3"/>
        <v>0.86682520808561236</v>
      </c>
    </row>
    <row r="83" spans="1:6" x14ac:dyDescent="0.25">
      <c r="A83" s="1">
        <v>2</v>
      </c>
      <c r="B83" s="1">
        <v>2</v>
      </c>
      <c r="C83" s="2">
        <f t="shared" si="2"/>
        <v>0</v>
      </c>
      <c r="D83" s="1">
        <f t="shared" si="3"/>
        <v>4.7562425683709865E-3</v>
      </c>
    </row>
    <row r="84" spans="1:6" x14ac:dyDescent="0.25">
      <c r="A84" s="1">
        <v>2</v>
      </c>
      <c r="B84" s="1">
        <v>2</v>
      </c>
      <c r="C84" s="2">
        <f t="shared" si="2"/>
        <v>0</v>
      </c>
      <c r="D84" s="1">
        <f t="shared" si="3"/>
        <v>4.7562425683709865E-3</v>
      </c>
    </row>
    <row r="85" spans="1:6" x14ac:dyDescent="0.25">
      <c r="A85" s="1">
        <v>2</v>
      </c>
      <c r="B85" s="1">
        <v>3</v>
      </c>
      <c r="C85" s="2">
        <f t="shared" si="2"/>
        <v>1</v>
      </c>
      <c r="D85" s="1">
        <f t="shared" si="3"/>
        <v>1.1426872770511294</v>
      </c>
    </row>
    <row r="86" spans="1:6" x14ac:dyDescent="0.25">
      <c r="A86" s="1">
        <v>1</v>
      </c>
      <c r="B86" s="1">
        <v>2</v>
      </c>
      <c r="C86" s="2">
        <f t="shared" si="2"/>
        <v>1</v>
      </c>
      <c r="D86" s="1">
        <f t="shared" si="3"/>
        <v>1.1426872770511294</v>
      </c>
    </row>
    <row r="87" spans="1:6" x14ac:dyDescent="0.25">
      <c r="A87" s="1">
        <v>2</v>
      </c>
      <c r="B87" s="1">
        <v>3</v>
      </c>
      <c r="C87" s="2">
        <f t="shared" si="2"/>
        <v>1</v>
      </c>
      <c r="D87" s="1">
        <f t="shared" si="3"/>
        <v>1.1426872770511294</v>
      </c>
    </row>
    <row r="88" spans="1:6" x14ac:dyDescent="0.25">
      <c r="A88" s="1">
        <v>1</v>
      </c>
      <c r="B88" s="1">
        <v>2</v>
      </c>
      <c r="C88" s="2">
        <f t="shared" si="2"/>
        <v>1</v>
      </c>
      <c r="D88" s="1">
        <f t="shared" si="3"/>
        <v>1.1426872770511294</v>
      </c>
    </row>
    <row r="93" spans="1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zoomScale="70" zoomScaleNormal="70" workbookViewId="0">
      <selection activeCell="C3" sqref="C3"/>
    </sheetView>
  </sheetViews>
  <sheetFormatPr baseColWidth="10" defaultColWidth="9.140625" defaultRowHeight="15" x14ac:dyDescent="0.25"/>
  <cols>
    <col min="1" max="2" width="33.4257812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11" customHeight="1" x14ac:dyDescent="0.25">
      <c r="A1" s="3" t="s">
        <v>0</v>
      </c>
      <c r="B1" s="4" t="s">
        <v>28</v>
      </c>
      <c r="C1" s="5" t="s">
        <v>1</v>
      </c>
      <c r="D1" s="5"/>
    </row>
    <row r="2" spans="1:7" x14ac:dyDescent="0.25">
      <c r="A2" s="1">
        <v>3</v>
      </c>
      <c r="B2" s="1">
        <v>2</v>
      </c>
      <c r="C2" s="2">
        <f>B2-A2</f>
        <v>-1</v>
      </c>
      <c r="D2" s="1">
        <f>(C2-$G$6)^2</f>
        <v>0.88836041749240313</v>
      </c>
    </row>
    <row r="3" spans="1:7" x14ac:dyDescent="0.25">
      <c r="A3" s="1">
        <v>2</v>
      </c>
      <c r="B3" s="1">
        <v>2</v>
      </c>
      <c r="C3" s="2">
        <f t="shared" ref="C3:C66" si="0">B3-A3</f>
        <v>0</v>
      </c>
      <c r="D3" s="1">
        <f>(C3-$G$6)^2</f>
        <v>3.3029462280354076E-3</v>
      </c>
      <c r="F3" s="6" t="s">
        <v>17</v>
      </c>
      <c r="G3" s="6"/>
    </row>
    <row r="4" spans="1:7" x14ac:dyDescent="0.25">
      <c r="A4" s="1">
        <v>2</v>
      </c>
      <c r="B4" s="1">
        <v>1</v>
      </c>
      <c r="C4" s="2">
        <f t="shared" si="0"/>
        <v>-1</v>
      </c>
      <c r="D4" s="1">
        <f>(C4-$G$6)^2</f>
        <v>0.88836041749240313</v>
      </c>
      <c r="F4" t="s">
        <v>5</v>
      </c>
      <c r="G4">
        <v>87</v>
      </c>
    </row>
    <row r="5" spans="1:7" x14ac:dyDescent="0.25">
      <c r="A5" s="1">
        <v>2</v>
      </c>
      <c r="B5" s="1">
        <v>1</v>
      </c>
      <c r="C5" s="2">
        <f t="shared" si="0"/>
        <v>-1</v>
      </c>
      <c r="D5" s="1">
        <f t="shared" ref="D5:D66" si="1">(C5-$G$6)^2</f>
        <v>0.88836041749240313</v>
      </c>
      <c r="F5" t="s">
        <v>3</v>
      </c>
      <c r="G5">
        <f>SUM(C:C)</f>
        <v>-5</v>
      </c>
    </row>
    <row r="6" spans="1:7" x14ac:dyDescent="0.25">
      <c r="A6" s="1">
        <v>2</v>
      </c>
      <c r="B6" s="1">
        <v>4</v>
      </c>
      <c r="C6" s="2">
        <f t="shared" si="0"/>
        <v>2</v>
      </c>
      <c r="D6" s="1">
        <f t="shared" si="1"/>
        <v>4.2331880036992997</v>
      </c>
      <c r="F6" t="s">
        <v>2</v>
      </c>
      <c r="G6">
        <f>G5/G4</f>
        <v>-5.7471264367816091E-2</v>
      </c>
    </row>
    <row r="7" spans="1:7" x14ac:dyDescent="0.25">
      <c r="A7" s="1">
        <v>1</v>
      </c>
      <c r="B7" s="1">
        <v>1</v>
      </c>
      <c r="C7" s="2">
        <f t="shared" si="0"/>
        <v>0</v>
      </c>
      <c r="D7" s="1">
        <f t="shared" si="1"/>
        <v>3.3029462280354076E-3</v>
      </c>
      <c r="F7" t="s">
        <v>4</v>
      </c>
      <c r="G7">
        <f>SUM(D:D)</f>
        <v>98.712643678160845</v>
      </c>
    </row>
    <row r="8" spans="1:7" x14ac:dyDescent="0.25">
      <c r="A8" s="1">
        <v>2</v>
      </c>
      <c r="B8" s="1">
        <v>1</v>
      </c>
      <c r="C8" s="2">
        <f t="shared" si="0"/>
        <v>-1</v>
      </c>
      <c r="D8" s="1">
        <f t="shared" si="1"/>
        <v>0.88836041749240313</v>
      </c>
      <c r="F8" t="s">
        <v>6</v>
      </c>
      <c r="G8">
        <f>SQRT(G7/(G4-1))</f>
        <v>1.0713642882410022</v>
      </c>
    </row>
    <row r="9" spans="1:7" x14ac:dyDescent="0.25">
      <c r="A9" s="1">
        <v>2</v>
      </c>
      <c r="B9" s="1">
        <v>1</v>
      </c>
      <c r="C9" s="2">
        <f t="shared" si="0"/>
        <v>-1</v>
      </c>
      <c r="D9" s="1">
        <f t="shared" si="1"/>
        <v>0.88836041749240313</v>
      </c>
    </row>
    <row r="10" spans="1:7" x14ac:dyDescent="0.25">
      <c r="A10" s="1">
        <v>4</v>
      </c>
      <c r="B10" s="1">
        <v>1</v>
      </c>
      <c r="C10" s="2">
        <f t="shared" si="0"/>
        <v>-3</v>
      </c>
      <c r="D10" s="1">
        <f t="shared" si="1"/>
        <v>8.6584753600211393</v>
      </c>
    </row>
    <row r="11" spans="1:7" x14ac:dyDescent="0.25">
      <c r="A11" s="1">
        <v>2</v>
      </c>
      <c r="B11" s="1">
        <v>1</v>
      </c>
      <c r="C11" s="2">
        <f t="shared" si="0"/>
        <v>-1</v>
      </c>
      <c r="D11" s="1">
        <f t="shared" si="1"/>
        <v>0.88836041749240313</v>
      </c>
    </row>
    <row r="12" spans="1:7" x14ac:dyDescent="0.25">
      <c r="A12" s="1">
        <v>2</v>
      </c>
      <c r="B12" s="1">
        <v>2</v>
      </c>
      <c r="C12" s="2">
        <f t="shared" si="0"/>
        <v>0</v>
      </c>
      <c r="D12" s="1">
        <f t="shared" si="1"/>
        <v>3.3029462280354076E-3</v>
      </c>
      <c r="F12" t="s">
        <v>12</v>
      </c>
      <c r="G12">
        <f>G6/(G8/SQRT(G4))</f>
        <v>-0.50034920269650829</v>
      </c>
    </row>
    <row r="13" spans="1:7" x14ac:dyDescent="0.25">
      <c r="A13" s="1">
        <v>1</v>
      </c>
      <c r="B13" s="1">
        <v>2</v>
      </c>
      <c r="C13" s="2">
        <f t="shared" si="0"/>
        <v>1</v>
      </c>
      <c r="D13" s="1">
        <f t="shared" si="1"/>
        <v>1.1182454749636677</v>
      </c>
    </row>
    <row r="14" spans="1:7" x14ac:dyDescent="0.25">
      <c r="A14" s="1">
        <v>1</v>
      </c>
      <c r="B14" s="1">
        <v>1</v>
      </c>
      <c r="C14" s="2">
        <f t="shared" si="0"/>
        <v>0</v>
      </c>
      <c r="D14" s="1">
        <f t="shared" si="1"/>
        <v>3.3029462280354076E-3</v>
      </c>
    </row>
    <row r="15" spans="1:7" x14ac:dyDescent="0.25">
      <c r="A15" s="1">
        <v>2</v>
      </c>
      <c r="B15" s="1">
        <v>2</v>
      </c>
      <c r="C15" s="2">
        <f t="shared" si="0"/>
        <v>0</v>
      </c>
      <c r="D15" s="1">
        <f t="shared" si="1"/>
        <v>3.3029462280354076E-3</v>
      </c>
    </row>
    <row r="16" spans="1:7" x14ac:dyDescent="0.25">
      <c r="A16" s="1">
        <v>1</v>
      </c>
      <c r="B16" s="1">
        <v>1</v>
      </c>
      <c r="C16" s="2">
        <f t="shared" si="0"/>
        <v>0</v>
      </c>
      <c r="D16" s="1">
        <f t="shared" si="1"/>
        <v>3.3029462280354076E-3</v>
      </c>
    </row>
    <row r="17" spans="1:7" x14ac:dyDescent="0.25">
      <c r="A17" s="1">
        <v>2</v>
      </c>
      <c r="B17" s="1">
        <v>1</v>
      </c>
      <c r="C17" s="2">
        <f t="shared" si="0"/>
        <v>-1</v>
      </c>
      <c r="D17" s="1">
        <f t="shared" si="1"/>
        <v>0.88836041749240313</v>
      </c>
      <c r="F17" t="s">
        <v>7</v>
      </c>
      <c r="G17">
        <v>0.05</v>
      </c>
    </row>
    <row r="18" spans="1:7" x14ac:dyDescent="0.25">
      <c r="A18" s="1">
        <v>1</v>
      </c>
      <c r="B18" s="1">
        <v>2</v>
      </c>
      <c r="C18" s="2">
        <f t="shared" si="0"/>
        <v>1</v>
      </c>
      <c r="D18" s="1">
        <f t="shared" si="1"/>
        <v>1.1182454749636677</v>
      </c>
      <c r="F18" t="s">
        <v>8</v>
      </c>
      <c r="G18">
        <f>G4-1</f>
        <v>86</v>
      </c>
    </row>
    <row r="19" spans="1:7" x14ac:dyDescent="0.25">
      <c r="A19" s="1">
        <v>1</v>
      </c>
      <c r="B19" s="1">
        <v>2</v>
      </c>
      <c r="C19" s="2">
        <f t="shared" si="0"/>
        <v>1</v>
      </c>
      <c r="D19" s="1">
        <f t="shared" si="1"/>
        <v>1.1182454749636677</v>
      </c>
    </row>
    <row r="20" spans="1:7" x14ac:dyDescent="0.25">
      <c r="A20" s="1">
        <v>3</v>
      </c>
      <c r="B20" s="1">
        <v>2</v>
      </c>
      <c r="C20" s="2">
        <f t="shared" si="0"/>
        <v>-1</v>
      </c>
      <c r="D20" s="1">
        <f t="shared" si="1"/>
        <v>0.88836041749240313</v>
      </c>
    </row>
    <row r="21" spans="1:7" x14ac:dyDescent="0.25">
      <c r="A21" s="1">
        <v>1</v>
      </c>
      <c r="B21" s="1">
        <v>1</v>
      </c>
      <c r="C21" s="2">
        <f t="shared" si="0"/>
        <v>0</v>
      </c>
      <c r="D21" s="1">
        <f t="shared" si="1"/>
        <v>3.3029462280354076E-3</v>
      </c>
    </row>
    <row r="22" spans="1:7" x14ac:dyDescent="0.25">
      <c r="A22" s="1">
        <v>1</v>
      </c>
      <c r="B22" s="1">
        <v>3</v>
      </c>
      <c r="C22" s="2">
        <f t="shared" si="0"/>
        <v>2</v>
      </c>
      <c r="D22" s="1">
        <f t="shared" si="1"/>
        <v>4.2331880036992997</v>
      </c>
      <c r="F22" s="6" t="s">
        <v>9</v>
      </c>
      <c r="G22" s="6"/>
    </row>
    <row r="23" spans="1:7" x14ac:dyDescent="0.25">
      <c r="A23" s="1">
        <v>2</v>
      </c>
      <c r="B23" s="1">
        <v>1</v>
      </c>
      <c r="C23" s="2">
        <f t="shared" si="0"/>
        <v>-1</v>
      </c>
      <c r="D23" s="1">
        <f t="shared" si="1"/>
        <v>0.88836041749240313</v>
      </c>
      <c r="F23" t="s">
        <v>26</v>
      </c>
      <c r="G23">
        <f>_xlfn.T.INV.2T(G17,G18)</f>
        <v>1.987934206239018</v>
      </c>
    </row>
    <row r="24" spans="1:7" x14ac:dyDescent="0.25">
      <c r="A24" s="1">
        <v>3</v>
      </c>
      <c r="B24" s="1">
        <v>1</v>
      </c>
      <c r="C24" s="2">
        <f t="shared" si="0"/>
        <v>-2</v>
      </c>
      <c r="D24" s="1">
        <f t="shared" si="1"/>
        <v>3.7734178887567711</v>
      </c>
      <c r="F24" t="s">
        <v>27</v>
      </c>
      <c r="G24">
        <f>_xlfn.T.INV(G17,G18)</f>
        <v>-1.662765449409072</v>
      </c>
    </row>
    <row r="25" spans="1:7" x14ac:dyDescent="0.25">
      <c r="A25" s="1">
        <v>2</v>
      </c>
      <c r="B25" s="1">
        <v>1</v>
      </c>
      <c r="C25" s="2">
        <f t="shared" si="0"/>
        <v>-1</v>
      </c>
      <c r="D25" s="1">
        <f t="shared" si="1"/>
        <v>0.88836041749240313</v>
      </c>
    </row>
    <row r="26" spans="1:7" x14ac:dyDescent="0.25">
      <c r="A26" s="1">
        <v>1</v>
      </c>
      <c r="B26" s="1">
        <v>1</v>
      </c>
      <c r="C26" s="2">
        <f t="shared" si="0"/>
        <v>0</v>
      </c>
      <c r="D26" s="1">
        <f t="shared" si="1"/>
        <v>3.3029462280354076E-3</v>
      </c>
    </row>
    <row r="27" spans="1:7" x14ac:dyDescent="0.25">
      <c r="A27" s="1">
        <v>2</v>
      </c>
      <c r="B27" s="1">
        <v>3</v>
      </c>
      <c r="C27" s="2">
        <f t="shared" si="0"/>
        <v>1</v>
      </c>
      <c r="D27" s="1">
        <f t="shared" si="1"/>
        <v>1.1182454749636677</v>
      </c>
    </row>
    <row r="28" spans="1:7" x14ac:dyDescent="0.25">
      <c r="A28" s="1">
        <v>1</v>
      </c>
      <c r="B28" s="1">
        <v>1</v>
      </c>
      <c r="C28" s="2">
        <f t="shared" si="0"/>
        <v>0</v>
      </c>
      <c r="D28" s="1">
        <f t="shared" si="1"/>
        <v>3.3029462280354076E-3</v>
      </c>
    </row>
    <row r="29" spans="1:7" x14ac:dyDescent="0.25">
      <c r="A29" s="1">
        <v>1</v>
      </c>
      <c r="B29" s="1">
        <v>2</v>
      </c>
      <c r="C29" s="2">
        <f t="shared" si="0"/>
        <v>1</v>
      </c>
      <c r="D29" s="1">
        <f t="shared" si="1"/>
        <v>1.1182454749636677</v>
      </c>
    </row>
    <row r="30" spans="1:7" x14ac:dyDescent="0.25">
      <c r="A30" s="1">
        <v>3</v>
      </c>
      <c r="B30" s="1">
        <v>2</v>
      </c>
      <c r="C30" s="2">
        <f t="shared" si="0"/>
        <v>-1</v>
      </c>
      <c r="D30" s="1">
        <f t="shared" si="1"/>
        <v>0.88836041749240313</v>
      </c>
    </row>
    <row r="31" spans="1:7" x14ac:dyDescent="0.25">
      <c r="A31" s="1">
        <v>1</v>
      </c>
      <c r="B31" s="1">
        <v>1</v>
      </c>
      <c r="C31" s="2">
        <f t="shared" si="0"/>
        <v>0</v>
      </c>
      <c r="D31" s="1">
        <f t="shared" si="1"/>
        <v>3.3029462280354076E-3</v>
      </c>
    </row>
    <row r="32" spans="1:7" x14ac:dyDescent="0.25">
      <c r="A32" s="1">
        <v>1</v>
      </c>
      <c r="B32" s="1">
        <v>2</v>
      </c>
      <c r="C32" s="2">
        <f t="shared" si="0"/>
        <v>1</v>
      </c>
      <c r="D32" s="1">
        <f t="shared" si="1"/>
        <v>1.1182454749636677</v>
      </c>
    </row>
    <row r="33" spans="1:7" x14ac:dyDescent="0.25">
      <c r="A33" s="1">
        <v>2</v>
      </c>
      <c r="B33" s="1">
        <v>1</v>
      </c>
      <c r="C33" s="2">
        <f t="shared" si="0"/>
        <v>-1</v>
      </c>
      <c r="D33" s="1">
        <f t="shared" si="1"/>
        <v>0.88836041749240313</v>
      </c>
    </row>
    <row r="34" spans="1:7" x14ac:dyDescent="0.25">
      <c r="A34" s="1">
        <v>2</v>
      </c>
      <c r="B34" s="1">
        <v>1</v>
      </c>
      <c r="C34" s="2">
        <f t="shared" si="0"/>
        <v>-1</v>
      </c>
      <c r="D34" s="1">
        <f t="shared" si="1"/>
        <v>0.88836041749240313</v>
      </c>
      <c r="F34" t="s">
        <v>10</v>
      </c>
    </row>
    <row r="35" spans="1:7" x14ac:dyDescent="0.25">
      <c r="A35" s="1">
        <v>2</v>
      </c>
      <c r="B35" s="1">
        <v>1</v>
      </c>
      <c r="C35" s="2">
        <f t="shared" si="0"/>
        <v>-1</v>
      </c>
      <c r="D35" s="1">
        <f t="shared" si="1"/>
        <v>0.88836041749240313</v>
      </c>
      <c r="F35" t="s">
        <v>11</v>
      </c>
    </row>
    <row r="36" spans="1:7" x14ac:dyDescent="0.25">
      <c r="A36" s="1">
        <v>2</v>
      </c>
      <c r="B36" s="1">
        <v>2</v>
      </c>
      <c r="C36" s="2">
        <f t="shared" si="0"/>
        <v>0</v>
      </c>
      <c r="D36" s="1">
        <f t="shared" si="1"/>
        <v>3.3029462280354076E-3</v>
      </c>
    </row>
    <row r="37" spans="1:7" x14ac:dyDescent="0.25">
      <c r="A37" s="1">
        <v>1</v>
      </c>
      <c r="B37" s="1">
        <v>1</v>
      </c>
      <c r="C37" s="2">
        <f t="shared" si="0"/>
        <v>0</v>
      </c>
      <c r="D37" s="1">
        <f t="shared" si="1"/>
        <v>3.3029462280354076E-3</v>
      </c>
    </row>
    <row r="38" spans="1:7" x14ac:dyDescent="0.25">
      <c r="A38" s="1">
        <v>3</v>
      </c>
      <c r="B38" s="1">
        <v>2</v>
      </c>
      <c r="C38" s="2">
        <f t="shared" si="0"/>
        <v>-1</v>
      </c>
      <c r="D38" s="1">
        <f t="shared" si="1"/>
        <v>0.88836041749240313</v>
      </c>
    </row>
    <row r="39" spans="1:7" x14ac:dyDescent="0.25">
      <c r="A39" s="1">
        <v>1</v>
      </c>
      <c r="B39" s="1">
        <v>3</v>
      </c>
      <c r="C39" s="2">
        <f t="shared" si="0"/>
        <v>2</v>
      </c>
      <c r="D39" s="1">
        <f t="shared" si="1"/>
        <v>4.2331880036992997</v>
      </c>
      <c r="F39" s="6" t="s">
        <v>13</v>
      </c>
      <c r="G39" s="6"/>
    </row>
    <row r="40" spans="1:7" x14ac:dyDescent="0.25">
      <c r="A40" s="1">
        <v>1</v>
      </c>
      <c r="B40" s="1">
        <v>2</v>
      </c>
      <c r="C40" s="2">
        <f t="shared" si="0"/>
        <v>1</v>
      </c>
      <c r="D40" s="1">
        <f t="shared" si="1"/>
        <v>1.1182454749636677</v>
      </c>
      <c r="F40" t="s">
        <v>13</v>
      </c>
    </row>
    <row r="41" spans="1:7" x14ac:dyDescent="0.25">
      <c r="A41" s="1">
        <v>2</v>
      </c>
      <c r="B41" s="1">
        <v>4</v>
      </c>
      <c r="C41" s="2">
        <f t="shared" si="0"/>
        <v>2</v>
      </c>
      <c r="D41" s="1">
        <f t="shared" si="1"/>
        <v>4.2331880036992997</v>
      </c>
      <c r="F41" t="s">
        <v>25</v>
      </c>
      <c r="G41">
        <f>TTEST(A:A,B:B,2,1)</f>
        <v>0.61810722384461658</v>
      </c>
    </row>
    <row r="42" spans="1:7" x14ac:dyDescent="0.25">
      <c r="A42" s="1">
        <v>1</v>
      </c>
      <c r="B42" s="1">
        <v>1</v>
      </c>
      <c r="C42" s="2">
        <f t="shared" si="0"/>
        <v>0</v>
      </c>
      <c r="D42" s="1">
        <f t="shared" si="1"/>
        <v>3.3029462280354076E-3</v>
      </c>
      <c r="F42" t="s">
        <v>29</v>
      </c>
      <c r="G42">
        <f>TTEST(A:A,B:B,1,1)</f>
        <v>0.30905361192230829</v>
      </c>
    </row>
    <row r="43" spans="1:7" x14ac:dyDescent="0.25">
      <c r="A43" s="1">
        <v>1</v>
      </c>
      <c r="B43" s="1">
        <v>2</v>
      </c>
      <c r="C43" s="2">
        <f t="shared" si="0"/>
        <v>1</v>
      </c>
      <c r="D43" s="1">
        <f t="shared" si="1"/>
        <v>1.1182454749636677</v>
      </c>
    </row>
    <row r="44" spans="1:7" x14ac:dyDescent="0.25">
      <c r="A44" s="1">
        <v>1</v>
      </c>
      <c r="B44" s="1">
        <v>1</v>
      </c>
      <c r="C44" s="2">
        <f t="shared" si="0"/>
        <v>0</v>
      </c>
      <c r="D44" s="1">
        <f t="shared" si="1"/>
        <v>3.3029462280354076E-3</v>
      </c>
    </row>
    <row r="45" spans="1:7" x14ac:dyDescent="0.25">
      <c r="A45" s="1">
        <v>2</v>
      </c>
      <c r="B45" s="1">
        <v>2</v>
      </c>
      <c r="C45" s="2">
        <f t="shared" si="0"/>
        <v>0</v>
      </c>
      <c r="D45" s="1">
        <f t="shared" si="1"/>
        <v>3.3029462280354076E-3</v>
      </c>
      <c r="F45" s="6" t="s">
        <v>16</v>
      </c>
      <c r="G45" s="6"/>
    </row>
    <row r="46" spans="1:7" x14ac:dyDescent="0.25">
      <c r="A46" s="1">
        <v>1</v>
      </c>
      <c r="B46" s="1">
        <v>2</v>
      </c>
      <c r="C46" s="2">
        <f t="shared" si="0"/>
        <v>1</v>
      </c>
      <c r="D46" s="1">
        <f t="shared" si="1"/>
        <v>1.1182454749636677</v>
      </c>
    </row>
    <row r="47" spans="1:7" x14ac:dyDescent="0.25">
      <c r="A47" s="1">
        <v>1</v>
      </c>
      <c r="B47" s="1">
        <v>3</v>
      </c>
      <c r="C47" s="2">
        <f t="shared" si="0"/>
        <v>2</v>
      </c>
      <c r="D47" s="1">
        <f t="shared" si="1"/>
        <v>4.2331880036992997</v>
      </c>
      <c r="F47" t="s">
        <v>14</v>
      </c>
    </row>
    <row r="48" spans="1:7" x14ac:dyDescent="0.25">
      <c r="A48" s="1">
        <v>2</v>
      </c>
      <c r="B48" s="1">
        <v>2</v>
      </c>
      <c r="C48" s="2">
        <f t="shared" si="0"/>
        <v>0</v>
      </c>
      <c r="D48" s="1">
        <f t="shared" si="1"/>
        <v>3.3029462280354076E-3</v>
      </c>
      <c r="F48" t="s">
        <v>15</v>
      </c>
    </row>
    <row r="49" spans="1:6" x14ac:dyDescent="0.25">
      <c r="A49" s="1">
        <v>2</v>
      </c>
      <c r="B49" s="1">
        <v>2</v>
      </c>
      <c r="C49" s="2">
        <f t="shared" si="0"/>
        <v>0</v>
      </c>
      <c r="D49" s="1">
        <f t="shared" si="1"/>
        <v>3.3029462280354076E-3</v>
      </c>
    </row>
    <row r="50" spans="1:6" x14ac:dyDescent="0.25">
      <c r="A50" s="1">
        <v>1</v>
      </c>
      <c r="B50" s="1">
        <v>1</v>
      </c>
      <c r="C50" s="2">
        <f t="shared" si="0"/>
        <v>0</v>
      </c>
      <c r="D50" s="1">
        <f t="shared" si="1"/>
        <v>3.3029462280354076E-3</v>
      </c>
      <c r="F50" t="s">
        <v>18</v>
      </c>
    </row>
    <row r="51" spans="1:6" x14ac:dyDescent="0.25">
      <c r="A51" s="1">
        <v>3</v>
      </c>
      <c r="B51" s="1">
        <v>1</v>
      </c>
      <c r="C51" s="2">
        <f t="shared" si="0"/>
        <v>-2</v>
      </c>
      <c r="D51" s="1">
        <f t="shared" si="1"/>
        <v>3.7734178887567711</v>
      </c>
      <c r="F51" t="s">
        <v>19</v>
      </c>
    </row>
    <row r="52" spans="1:6" x14ac:dyDescent="0.25">
      <c r="A52" s="1">
        <v>2</v>
      </c>
      <c r="B52" s="1">
        <v>1</v>
      </c>
      <c r="C52" s="2">
        <f t="shared" si="0"/>
        <v>-1</v>
      </c>
      <c r="D52" s="1">
        <f t="shared" si="1"/>
        <v>0.88836041749240313</v>
      </c>
    </row>
    <row r="53" spans="1:6" x14ac:dyDescent="0.25">
      <c r="A53" s="1">
        <v>2</v>
      </c>
      <c r="B53" s="1">
        <v>2</v>
      </c>
      <c r="C53" s="2">
        <f t="shared" si="0"/>
        <v>0</v>
      </c>
      <c r="D53" s="1">
        <f t="shared" si="1"/>
        <v>3.3029462280354076E-3</v>
      </c>
    </row>
    <row r="54" spans="1:6" x14ac:dyDescent="0.25">
      <c r="A54" s="1">
        <v>2</v>
      </c>
      <c r="B54" s="1">
        <v>2</v>
      </c>
      <c r="C54" s="2">
        <f t="shared" si="0"/>
        <v>0</v>
      </c>
      <c r="D54" s="1">
        <f t="shared" si="1"/>
        <v>3.3029462280354076E-3</v>
      </c>
    </row>
    <row r="55" spans="1:6" x14ac:dyDescent="0.25">
      <c r="A55" s="1">
        <v>2</v>
      </c>
      <c r="B55" s="1">
        <v>1</v>
      </c>
      <c r="C55" s="2">
        <f t="shared" si="0"/>
        <v>-1</v>
      </c>
      <c r="D55" s="1">
        <f t="shared" si="1"/>
        <v>0.88836041749240313</v>
      </c>
    </row>
    <row r="56" spans="1:6" x14ac:dyDescent="0.25">
      <c r="A56" s="1">
        <v>2</v>
      </c>
      <c r="B56" s="1">
        <v>1</v>
      </c>
      <c r="C56" s="2">
        <f t="shared" si="0"/>
        <v>-1</v>
      </c>
      <c r="D56" s="1">
        <f t="shared" si="1"/>
        <v>0.88836041749240313</v>
      </c>
      <c r="F56" s="6" t="s">
        <v>23</v>
      </c>
    </row>
    <row r="57" spans="1:6" x14ac:dyDescent="0.25">
      <c r="A57" s="1">
        <v>1</v>
      </c>
      <c r="B57" s="1">
        <v>2</v>
      </c>
      <c r="C57" s="2">
        <f t="shared" si="0"/>
        <v>1</v>
      </c>
      <c r="D57" s="1">
        <f t="shared" si="1"/>
        <v>1.1182454749636677</v>
      </c>
    </row>
    <row r="58" spans="1:6" x14ac:dyDescent="0.25">
      <c r="A58" s="1">
        <v>2</v>
      </c>
      <c r="B58" s="1">
        <v>2</v>
      </c>
      <c r="C58" s="2">
        <f t="shared" si="0"/>
        <v>0</v>
      </c>
      <c r="D58" s="1">
        <f t="shared" si="1"/>
        <v>3.3029462280354076E-3</v>
      </c>
      <c r="F58" t="s">
        <v>21</v>
      </c>
    </row>
    <row r="59" spans="1:6" x14ac:dyDescent="0.25">
      <c r="A59" s="1">
        <v>2</v>
      </c>
      <c r="B59" s="1">
        <v>1</v>
      </c>
      <c r="C59" s="2">
        <f t="shared" si="0"/>
        <v>-1</v>
      </c>
      <c r="D59" s="1">
        <f t="shared" si="1"/>
        <v>0.88836041749240313</v>
      </c>
      <c r="F59" t="s">
        <v>20</v>
      </c>
    </row>
    <row r="60" spans="1:6" x14ac:dyDescent="0.25">
      <c r="A60" s="1">
        <v>1</v>
      </c>
      <c r="B60" s="1">
        <v>1</v>
      </c>
      <c r="C60" s="2">
        <f t="shared" si="0"/>
        <v>0</v>
      </c>
      <c r="D60" s="1">
        <f t="shared" si="1"/>
        <v>3.3029462280354076E-3</v>
      </c>
      <c r="F60" t="s">
        <v>22</v>
      </c>
    </row>
    <row r="61" spans="1:6" x14ac:dyDescent="0.25">
      <c r="A61" s="1">
        <v>1</v>
      </c>
      <c r="B61" s="1">
        <v>2</v>
      </c>
      <c r="C61" s="2">
        <f t="shared" si="0"/>
        <v>1</v>
      </c>
      <c r="D61" s="1">
        <f t="shared" si="1"/>
        <v>1.1182454749636677</v>
      </c>
    </row>
    <row r="62" spans="1:6" x14ac:dyDescent="0.25">
      <c r="A62" s="1">
        <v>2</v>
      </c>
      <c r="B62" s="1">
        <v>2</v>
      </c>
      <c r="C62" s="2">
        <f t="shared" si="0"/>
        <v>0</v>
      </c>
      <c r="D62" s="1">
        <f t="shared" si="1"/>
        <v>3.3029462280354076E-3</v>
      </c>
    </row>
    <row r="63" spans="1:6" x14ac:dyDescent="0.25">
      <c r="A63" s="1">
        <v>1</v>
      </c>
      <c r="B63" s="1">
        <v>1</v>
      </c>
      <c r="C63" s="2">
        <f t="shared" si="0"/>
        <v>0</v>
      </c>
      <c r="D63" s="1">
        <f t="shared" si="1"/>
        <v>3.3029462280354076E-3</v>
      </c>
    </row>
    <row r="64" spans="1:6" x14ac:dyDescent="0.25">
      <c r="A64" s="1">
        <v>1</v>
      </c>
      <c r="B64" s="1">
        <v>2</v>
      </c>
      <c r="C64" s="2">
        <f t="shared" si="0"/>
        <v>1</v>
      </c>
      <c r="D64" s="1">
        <f t="shared" si="1"/>
        <v>1.1182454749636677</v>
      </c>
    </row>
    <row r="65" spans="1:6" x14ac:dyDescent="0.25">
      <c r="A65" s="1">
        <v>2</v>
      </c>
      <c r="B65" s="1">
        <v>1</v>
      </c>
      <c r="C65" s="2">
        <f t="shared" si="0"/>
        <v>-1</v>
      </c>
      <c r="D65" s="1">
        <f t="shared" si="1"/>
        <v>0.88836041749240313</v>
      </c>
      <c r="F65" s="6" t="s">
        <v>23</v>
      </c>
    </row>
    <row r="66" spans="1:6" x14ac:dyDescent="0.25">
      <c r="A66" s="1">
        <v>2</v>
      </c>
      <c r="B66" s="1">
        <v>2</v>
      </c>
      <c r="C66" s="2">
        <f t="shared" si="0"/>
        <v>0</v>
      </c>
      <c r="D66" s="1">
        <f t="shared" si="1"/>
        <v>3.3029462280354076E-3</v>
      </c>
    </row>
    <row r="67" spans="1:6" x14ac:dyDescent="0.25">
      <c r="A67" s="1">
        <v>3</v>
      </c>
      <c r="B67" s="1">
        <v>3</v>
      </c>
      <c r="C67" s="2">
        <f t="shared" ref="C67:C88" si="2">B67-A67</f>
        <v>0</v>
      </c>
      <c r="D67" s="1">
        <f t="shared" ref="D67:D88" si="3">(C67-$G$6)^2</f>
        <v>3.3029462280354076E-3</v>
      </c>
    </row>
    <row r="68" spans="1:6" x14ac:dyDescent="0.25">
      <c r="A68" s="1">
        <v>1</v>
      </c>
      <c r="B68" s="1">
        <v>2</v>
      </c>
      <c r="C68" s="2">
        <f t="shared" si="2"/>
        <v>1</v>
      </c>
      <c r="D68" s="1">
        <f t="shared" si="3"/>
        <v>1.1182454749636677</v>
      </c>
    </row>
    <row r="69" spans="1:6" x14ac:dyDescent="0.25">
      <c r="A69" s="1">
        <v>1</v>
      </c>
      <c r="B69" s="1">
        <v>1</v>
      </c>
      <c r="C69" s="2">
        <f t="shared" si="2"/>
        <v>0</v>
      </c>
      <c r="D69" s="1">
        <f t="shared" si="3"/>
        <v>3.3029462280354076E-3</v>
      </c>
    </row>
    <row r="70" spans="1:6" x14ac:dyDescent="0.25">
      <c r="A70" s="1">
        <v>2</v>
      </c>
      <c r="B70" s="1">
        <v>2</v>
      </c>
      <c r="C70" s="2">
        <f t="shared" si="2"/>
        <v>0</v>
      </c>
      <c r="D70" s="1">
        <f t="shared" si="3"/>
        <v>3.3029462280354076E-3</v>
      </c>
    </row>
    <row r="71" spans="1:6" x14ac:dyDescent="0.25">
      <c r="A71" s="1">
        <v>2</v>
      </c>
      <c r="B71" s="1">
        <v>1</v>
      </c>
      <c r="C71" s="2">
        <f t="shared" si="2"/>
        <v>-1</v>
      </c>
      <c r="D71" s="1">
        <f t="shared" si="3"/>
        <v>0.88836041749240313</v>
      </c>
    </row>
    <row r="72" spans="1:6" x14ac:dyDescent="0.25">
      <c r="A72" s="1">
        <v>1</v>
      </c>
      <c r="B72" s="1">
        <v>3</v>
      </c>
      <c r="C72" s="2">
        <f t="shared" si="2"/>
        <v>2</v>
      </c>
      <c r="D72" s="1">
        <f t="shared" si="3"/>
        <v>4.2331880036992997</v>
      </c>
      <c r="F72" t="s">
        <v>24</v>
      </c>
    </row>
    <row r="73" spans="1:6" x14ac:dyDescent="0.25">
      <c r="A73" s="1">
        <v>3</v>
      </c>
      <c r="B73" s="1">
        <v>1</v>
      </c>
      <c r="C73" s="2">
        <f t="shared" si="2"/>
        <v>-2</v>
      </c>
      <c r="D73" s="1">
        <f t="shared" si="3"/>
        <v>3.7734178887567711</v>
      </c>
      <c r="F73" t="s">
        <v>22</v>
      </c>
    </row>
    <row r="74" spans="1:6" x14ac:dyDescent="0.25">
      <c r="A74" s="1">
        <v>1</v>
      </c>
      <c r="B74" s="1">
        <v>2</v>
      </c>
      <c r="C74" s="2">
        <f t="shared" si="2"/>
        <v>1</v>
      </c>
      <c r="D74" s="1">
        <f t="shared" si="3"/>
        <v>1.1182454749636677</v>
      </c>
      <c r="F74" t="s">
        <v>24</v>
      </c>
    </row>
    <row r="75" spans="1:6" x14ac:dyDescent="0.25">
      <c r="A75" s="1">
        <v>1</v>
      </c>
      <c r="B75" s="1">
        <v>1</v>
      </c>
      <c r="C75" s="2">
        <f t="shared" si="2"/>
        <v>0</v>
      </c>
      <c r="D75" s="1">
        <f t="shared" si="3"/>
        <v>3.3029462280354076E-3</v>
      </c>
      <c r="F75" t="s">
        <v>22</v>
      </c>
    </row>
    <row r="76" spans="1:6" x14ac:dyDescent="0.25">
      <c r="A76" s="1">
        <v>1</v>
      </c>
      <c r="B76" s="1">
        <v>2</v>
      </c>
      <c r="C76" s="2">
        <f t="shared" si="2"/>
        <v>1</v>
      </c>
      <c r="D76" s="1">
        <f t="shared" si="3"/>
        <v>1.1182454749636677</v>
      </c>
    </row>
    <row r="77" spans="1:6" x14ac:dyDescent="0.25">
      <c r="A77" s="1">
        <v>1</v>
      </c>
      <c r="B77" s="1">
        <v>2</v>
      </c>
      <c r="C77" s="2">
        <f t="shared" si="2"/>
        <v>1</v>
      </c>
      <c r="D77" s="1">
        <f t="shared" si="3"/>
        <v>1.1182454749636677</v>
      </c>
    </row>
    <row r="78" spans="1:6" x14ac:dyDescent="0.25">
      <c r="A78" s="1">
        <v>2</v>
      </c>
      <c r="B78" s="1">
        <v>2</v>
      </c>
      <c r="C78" s="2">
        <f t="shared" si="2"/>
        <v>0</v>
      </c>
      <c r="D78" s="1">
        <f t="shared" si="3"/>
        <v>3.3029462280354076E-3</v>
      </c>
    </row>
    <row r="79" spans="1:6" x14ac:dyDescent="0.25">
      <c r="A79" s="1">
        <v>1</v>
      </c>
      <c r="B79" s="1">
        <v>1</v>
      </c>
      <c r="C79" s="2">
        <f t="shared" si="2"/>
        <v>0</v>
      </c>
      <c r="D79" s="1">
        <f t="shared" si="3"/>
        <v>3.3029462280354076E-3</v>
      </c>
    </row>
    <row r="80" spans="1:6" x14ac:dyDescent="0.25">
      <c r="A80" s="1">
        <v>2</v>
      </c>
      <c r="B80" s="1">
        <v>1</v>
      </c>
      <c r="C80" s="2">
        <f t="shared" si="2"/>
        <v>-1</v>
      </c>
      <c r="D80" s="1">
        <f t="shared" si="3"/>
        <v>0.88836041749240313</v>
      </c>
    </row>
    <row r="81" spans="1:6" x14ac:dyDescent="0.25">
      <c r="A81" s="1">
        <v>1</v>
      </c>
      <c r="B81" s="1">
        <v>2</v>
      </c>
      <c r="C81" s="2">
        <f t="shared" si="2"/>
        <v>1</v>
      </c>
      <c r="D81" s="1">
        <f t="shared" si="3"/>
        <v>1.1182454749636677</v>
      </c>
    </row>
    <row r="82" spans="1:6" x14ac:dyDescent="0.25">
      <c r="A82" s="1">
        <v>4</v>
      </c>
      <c r="B82" s="1">
        <v>1</v>
      </c>
      <c r="C82" s="2">
        <f t="shared" si="2"/>
        <v>-3</v>
      </c>
      <c r="D82" s="1">
        <f t="shared" si="3"/>
        <v>8.6584753600211393</v>
      </c>
    </row>
    <row r="83" spans="1:6" x14ac:dyDescent="0.25">
      <c r="A83" s="1">
        <v>2</v>
      </c>
      <c r="B83" s="1">
        <v>2</v>
      </c>
      <c r="C83" s="2">
        <f t="shared" si="2"/>
        <v>0</v>
      </c>
      <c r="D83" s="1">
        <f t="shared" si="3"/>
        <v>3.3029462280354076E-3</v>
      </c>
    </row>
    <row r="84" spans="1:6" x14ac:dyDescent="0.25">
      <c r="A84" s="1">
        <v>2</v>
      </c>
      <c r="B84" s="1">
        <v>2</v>
      </c>
      <c r="C84" s="2">
        <f t="shared" si="2"/>
        <v>0</v>
      </c>
      <c r="D84" s="1">
        <f t="shared" si="3"/>
        <v>3.3029462280354076E-3</v>
      </c>
    </row>
    <row r="85" spans="1:6" x14ac:dyDescent="0.25">
      <c r="A85" s="1">
        <v>3</v>
      </c>
      <c r="B85" s="1">
        <v>1</v>
      </c>
      <c r="C85" s="2">
        <f t="shared" si="2"/>
        <v>-2</v>
      </c>
      <c r="D85" s="1">
        <f t="shared" si="3"/>
        <v>3.7734178887567711</v>
      </c>
    </row>
    <row r="86" spans="1:6" x14ac:dyDescent="0.25">
      <c r="A86" s="1">
        <v>1</v>
      </c>
      <c r="B86" s="1">
        <v>2</v>
      </c>
      <c r="C86" s="2">
        <f t="shared" si="2"/>
        <v>1</v>
      </c>
      <c r="D86" s="1">
        <f t="shared" si="3"/>
        <v>1.1182454749636677</v>
      </c>
    </row>
    <row r="87" spans="1:6" x14ac:dyDescent="0.25">
      <c r="A87" s="1">
        <v>2</v>
      </c>
      <c r="B87" s="1">
        <v>2</v>
      </c>
      <c r="C87" s="2">
        <f t="shared" si="2"/>
        <v>0</v>
      </c>
      <c r="D87" s="1">
        <f t="shared" si="3"/>
        <v>3.3029462280354076E-3</v>
      </c>
    </row>
    <row r="88" spans="1:6" x14ac:dyDescent="0.25">
      <c r="A88" s="1">
        <v>1</v>
      </c>
      <c r="B88" s="1">
        <v>2</v>
      </c>
      <c r="C88" s="2">
        <f t="shared" si="2"/>
        <v>1</v>
      </c>
      <c r="D88" s="1">
        <f t="shared" si="3"/>
        <v>1.1182454749636677</v>
      </c>
    </row>
    <row r="93" spans="1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SatisfacciónModuloReportes</vt:lpstr>
      <vt:lpstr>FacilidadUsoModReportes</vt:lpstr>
      <vt:lpstr>TiempoGenerarReportesPagosCurso</vt:lpstr>
      <vt:lpstr>TiempoGenerarReportesPagosEstud</vt:lpstr>
      <vt:lpstr>SatisfaccionModuloPagos</vt:lpstr>
      <vt:lpstr>TiempoAccesoInfoPago</vt:lpstr>
      <vt:lpstr>FacilidadUsoModuloPagos</vt:lpstr>
      <vt:lpstr>TiempoRegistroPago</vt:lpstr>
      <vt:lpstr>SatisfacciónModuloInscripciones</vt:lpstr>
      <vt:lpstr>TiempoAccesoInfoInscripciones</vt:lpstr>
      <vt:lpstr>FacilidadUsoModuloInscripciones</vt:lpstr>
      <vt:lpstr>TiempoRegistroInscripcion</vt:lpstr>
      <vt:lpstr>SatisfaccionUsuarios</vt:lpstr>
      <vt:lpstr>TiempoAccesoInfUsuario</vt:lpstr>
      <vt:lpstr>FacilidadUsoModuloUsuario</vt:lpstr>
      <vt:lpstr>TiempoRegistroUsuario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2025-11-02T22:24:11Z</dcterms:modified>
</cp:coreProperties>
</file>
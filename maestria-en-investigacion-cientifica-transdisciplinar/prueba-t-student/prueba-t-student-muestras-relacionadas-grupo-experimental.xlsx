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tisfacciónModuloReportes" sheetId="1" r:id="rId4"/>
    <sheet state="visible" name="FacilidadUsoModReportes" sheetId="2" r:id="rId5"/>
    <sheet state="visible" name="TiempoGenerarReportesPagosCurso" sheetId="3" r:id="rId6"/>
    <sheet state="visible" name="TiempoGenerarReportesPagosEstud" sheetId="4" r:id="rId7"/>
    <sheet state="visible" name="SatisfaccionModuloPagos" sheetId="5" r:id="rId8"/>
    <sheet state="visible" name="TiempoAccesoInfoPago" sheetId="6" r:id="rId9"/>
    <sheet state="visible" name="FacilidadUsoModuloPagos" sheetId="7" r:id="rId10"/>
    <sheet state="visible" name="TiempoRegistroPago" sheetId="8" r:id="rId11"/>
    <sheet state="visible" name="SatisfacciónModuloInscripciones" sheetId="9" r:id="rId12"/>
    <sheet state="visible" name="TiempoAccesoInfoInscripciones" sheetId="10" r:id="rId13"/>
    <sheet state="visible" name="FacilidadUsoModuloInscripciones" sheetId="11" r:id="rId14"/>
    <sheet state="visible" name="TiempoRegistroInscripcion" sheetId="12" r:id="rId15"/>
    <sheet state="visible" name="SatisfaccionUsuarios" sheetId="13" r:id="rId16"/>
    <sheet state="visible" name="TiempoAccesoInfUsuario" sheetId="14" r:id="rId17"/>
    <sheet state="visible" name="FacilidadUsoModuloUsuario" sheetId="15" r:id="rId18"/>
    <sheet state="visible" name="TiempoRegistroUsuario" sheetId="16" r:id="rId19"/>
  </sheets>
  <definedNames/>
  <calcPr/>
  <extLst>
    <ext uri="GoogleSheetsCustomDataVersion2">
      <go:sheetsCustomData xmlns:go="http://customooxmlschemas.google.com/" r:id="rId20" roundtripDataChecksum="alMmZA8DcP9LlgKCZ8NSbfYzcFF4qFbC6nmT4XSQ7nc="/>
    </ext>
  </extLst>
</workbook>
</file>

<file path=xl/sharedStrings.xml><?xml version="1.0" encoding="utf-8"?>
<sst xmlns="http://schemas.openxmlformats.org/spreadsheetml/2006/main" count="560" uniqueCount="212">
  <si>
    <r>
      <rPr>
        <rFont val="Calibri"/>
        <color rgb="FFC00000"/>
        <sz val="11.0"/>
      </rPr>
      <t>(Sin Sistema) Pre-test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Satisfacción del modulo de reportes
a)	Muy bueno = 5
b)	Bueno = 4
c)	Moderado = 3
d)	Malo = 2
e)	Muy malo = 1</t>
    </r>
  </si>
  <si>
    <r>
      <rPr>
        <rFont val="Calibri"/>
        <color rgb="FFC00000"/>
        <sz val="11.0"/>
      </rPr>
      <t>(Con Sistema) Post-test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Satisfacción del modulo de reportes
a)	Muy bueno = 5
b)	Bueno = 4
c)	Moderado = 3
d)	Malo = 2
e)	Muy malo = 1</t>
    </r>
  </si>
  <si>
    <t>Diferencia</t>
  </si>
  <si>
    <t>Datos</t>
  </si>
  <si>
    <t>numero de datos</t>
  </si>
  <si>
    <t>Sumatoria Diferencias</t>
  </si>
  <si>
    <t>Media de las diferencias</t>
  </si>
  <si>
    <t>Sumatoria de diferencias</t>
  </si>
  <si>
    <t>desviación estándar de las diferencias</t>
  </si>
  <si>
    <t>t calculado (estadistico t):</t>
  </si>
  <si>
    <t>nivel de significancia (α)</t>
  </si>
  <si>
    <t>grados de libertad   (DF)</t>
  </si>
  <si>
    <t>Valor critico t</t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</si>
  <si>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- 2 colas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</si>
  <si>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- 1 colas</t>
    </r>
  </si>
  <si>
    <t>t crítico: te dice si tu t calculado cae en la zona de rechazo.</t>
  </si>
  <si>
    <t>Si t calculado &gt; valor critico el aumento de calificaciones es estadísticamente significativo.</t>
  </si>
  <si>
    <t>p valor</t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</si>
  <si>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dos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</si>
  <si>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una colas</t>
    </r>
  </si>
  <si>
    <t>Hipotesis</t>
  </si>
  <si>
    <r>
      <rPr>
        <rFont val="Calibri"/>
        <color theme="1"/>
      </rPr>
      <t xml:space="preserve">hipotesis nula Ho = </t>
    </r>
    <r>
      <rPr>
        <rFont val="Calibri"/>
        <color rgb="FFC00000"/>
        <sz val="11.0"/>
      </rPr>
      <t>No hay diferencias significativa</t>
    </r>
  </si>
  <si>
    <r>
      <rPr>
        <rFont val="Calibri"/>
        <color theme="1"/>
      </rPr>
      <t xml:space="preserve">hipotesis alternativa H1 = </t>
    </r>
    <r>
      <rPr>
        <rFont val="Calibri"/>
        <color rgb="FF00B050"/>
        <sz val="11.0"/>
      </rPr>
      <t>Si hay diferencia significativa</t>
    </r>
  </si>
  <si>
    <t>si te calculado &gt; a t critico (de tabla) ---&gt; se rechaza la hipotesis nula y se acepta la hipotesis alternativa ?</t>
  </si>
  <si>
    <t>y si p valor &lt; 0.05 ---&gt; se rechaza la hipotesis nula y se acepta la hipotesis alternativa ?</t>
  </si>
  <si>
    <t>Concluciones</t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</si>
  <si>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t calculado</t>
    </r>
    <r>
      <rPr>
        <rFont val="Calibri"/>
        <color rgb="FFC00000"/>
        <sz val="11.0"/>
      </rPr>
      <t xml:space="preserve"> &gt; t critico (Tabla)</t>
    </r>
  </si>
  <si>
    <t>La diferencia observada es lo suficientemente grande como para que no sea atribuible al azar.</t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</si>
  <si>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</si>
  <si>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t xml:space="preserve">Como p valor es menor que  el nivel de significancia  </t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</si>
  <si>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</si>
  <si>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</si>
  <si>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rgb="FFC00000"/>
        <sz val="11.0"/>
      </rPr>
      <t>(Sin Sistema) Pre-test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Facilidad de uso del modulo de reportes
a)	Muy fácil = 5
b)	Fácil = 4
c)	Moderado = 3
d)	Difícil = 2
e)	Muy difícil = 1</t>
    </r>
  </si>
  <si>
    <r>
      <rPr>
        <rFont val="Calibri"/>
        <color rgb="FFC00000"/>
        <sz val="11.0"/>
      </rPr>
      <t>(Con Sistema) Post-test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Facilidad de uso del modulo de reportes
a)	Muy fácil = 5
b)	Fácil = 4
c)	Moderado = 3
d)	Difícil = 2
e)	Muy difícil = 1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</si>
  <si>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- 2 colas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</si>
  <si>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- 1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</si>
  <si>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dos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</si>
  <si>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una colas</t>
    </r>
  </si>
  <si>
    <r>
      <rPr>
        <rFont val="Calibri"/>
        <color theme="1"/>
      </rPr>
      <t xml:space="preserve">hipotesis nula Ho = </t>
    </r>
    <r>
      <rPr>
        <rFont val="Calibri"/>
        <color rgb="FFC00000"/>
        <sz val="11.0"/>
      </rPr>
      <t>No hay diferencias significativa</t>
    </r>
  </si>
  <si>
    <r>
      <rPr>
        <rFont val="Calibri"/>
        <color theme="1"/>
      </rPr>
      <t xml:space="preserve">hipotesis alternativa H1 = </t>
    </r>
    <r>
      <rPr>
        <rFont val="Calibri"/>
        <color rgb="FF00B050"/>
        <sz val="11.0"/>
      </rPr>
      <t>Si hay diferencia significativa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</si>
  <si>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t calculado</t>
    </r>
    <r>
      <rPr>
        <rFont val="Calibri"/>
        <color rgb="FFC00000"/>
        <sz val="11.0"/>
      </rPr>
      <t xml:space="preserve"> &gt; t critico (Tabla)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</si>
  <si>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</si>
  <si>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</si>
  <si>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</si>
  <si>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rgb="FFC00000"/>
        <sz val="11.0"/>
      </rPr>
      <t>(Sin Sistema) Pre-test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Tiempo en generar reportes de pagos por curso
a)	Menos de 2 = 5
b)	2 – 4 = 4
c)	5 – 7 = 3
d)	8 – 10 = 2
e)	Más de 10 = 1</t>
    </r>
  </si>
  <si>
    <r>
      <rPr>
        <rFont val="Calibri"/>
        <color rgb="FFC00000"/>
        <sz val="11.0"/>
      </rPr>
      <t>(Con Sistema) Post-test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Tiempo en generar reportes de pagos por curso
a)	Menos de 2 = 5
b)	2 – 4 = 4
c)	5 – 7 = 3
d)	8 – 10 = 2
e)	Más de 10 = 1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</si>
  <si>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- 2 colas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</si>
  <si>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- 1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</si>
  <si>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dos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</si>
  <si>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una colas</t>
    </r>
  </si>
  <si>
    <r>
      <rPr>
        <rFont val="Calibri"/>
        <color theme="1"/>
      </rPr>
      <t xml:space="preserve">hipotesis nula Ho = </t>
    </r>
    <r>
      <rPr>
        <rFont val="Calibri"/>
        <color rgb="FFC00000"/>
        <sz val="11.0"/>
      </rPr>
      <t>No hay diferencias significativa</t>
    </r>
  </si>
  <si>
    <r>
      <rPr>
        <rFont val="Calibri"/>
        <color theme="1"/>
      </rPr>
      <t xml:space="preserve">hipotesis alternativa H1 = </t>
    </r>
    <r>
      <rPr>
        <rFont val="Calibri"/>
        <color rgb="FF00B050"/>
        <sz val="11.0"/>
      </rPr>
      <t>Si hay diferencia significativa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</si>
  <si>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t calculado</t>
    </r>
    <r>
      <rPr>
        <rFont val="Calibri"/>
        <color rgb="FFC00000"/>
        <sz val="11.0"/>
      </rPr>
      <t xml:space="preserve"> &gt; t critico (Tabla)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</si>
  <si>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</si>
  <si>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</si>
  <si>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</si>
  <si>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rgb="FFC00000"/>
        <sz val="11.0"/>
      </rPr>
      <t>(Sin Sistema) Pre-test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Tiempo en generar reportes de pagos por estudiante
a)	Menos de 2 = 5
b)	2 – 4 = 4
c)	5 – 7 = 3
d)	8 – 10 = 2
e)	Más de 10 = 1</t>
    </r>
  </si>
  <si>
    <r>
      <rPr>
        <rFont val="Calibri"/>
        <color rgb="FFC00000"/>
        <sz val="11.0"/>
      </rPr>
      <t>(Con Sistema) Post-test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Tiempo en generar reportes de pagos por estudiante
a)	Menos de 2 = 5
b)	2 – 4 = 4
c)	5 – 7 = 3
d)	8 – 10 = 2
e)	Más de 10 = 1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</si>
  <si>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- 2 colas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</si>
  <si>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- 1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</si>
  <si>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dos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</si>
  <si>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una colas</t>
    </r>
  </si>
  <si>
    <r>
      <rPr>
        <rFont val="Calibri"/>
        <color theme="1"/>
      </rPr>
      <t xml:space="preserve">hipotesis nula Ho = </t>
    </r>
    <r>
      <rPr>
        <rFont val="Calibri"/>
        <color rgb="FFC00000"/>
        <sz val="11.0"/>
      </rPr>
      <t>No hay diferencias significativa</t>
    </r>
  </si>
  <si>
    <r>
      <rPr>
        <rFont val="Calibri"/>
        <color theme="1"/>
      </rPr>
      <t xml:space="preserve">hipotesis alternativa H1 = </t>
    </r>
    <r>
      <rPr>
        <rFont val="Calibri"/>
        <color rgb="FF00B050"/>
        <sz val="11.0"/>
      </rPr>
      <t>Si hay diferencia significativa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</si>
  <si>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t calculado</t>
    </r>
    <r>
      <rPr>
        <rFont val="Calibri"/>
        <color rgb="FFC00000"/>
        <sz val="11.0"/>
      </rPr>
      <t xml:space="preserve"> &gt; t critico (Tabla)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</si>
  <si>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</si>
  <si>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</si>
  <si>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</si>
  <si>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rgb="FFC00000"/>
        <sz val="11.0"/>
      </rPr>
      <t>(Sin Sistema) Pre-test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Satisfaccion del modulo de pagos
a)	Muy bueno = 5
b)	Bueno = 4
c)	Moderado = 3
d)	Malo = 2
e)	Muy malo = 1</t>
    </r>
  </si>
  <si>
    <r>
      <rPr>
        <rFont val="Calibri"/>
        <color rgb="FFC00000"/>
        <sz val="11.0"/>
      </rPr>
      <t>(Con Sistema) Post-test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Satisfaccion del modulo de pagos
a)	Muy bueno = 5
b)	Bueno = 4
c)	Moderado = 3
d)	Malo = 2
e)	Muy malo = 1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</si>
  <si>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- 2 colas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</si>
  <si>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- 1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</si>
  <si>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dos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</si>
  <si>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una colas</t>
    </r>
  </si>
  <si>
    <r>
      <rPr>
        <rFont val="Calibri"/>
        <color theme="1"/>
      </rPr>
      <t xml:space="preserve">hipotesis nula Ho = </t>
    </r>
    <r>
      <rPr>
        <rFont val="Calibri"/>
        <color rgb="FFC00000"/>
        <sz val="11.0"/>
      </rPr>
      <t>No hay diferencias significativa</t>
    </r>
  </si>
  <si>
    <r>
      <rPr>
        <rFont val="Calibri"/>
        <color theme="1"/>
      </rPr>
      <t xml:space="preserve">hipotesis alternativa H1 = </t>
    </r>
    <r>
      <rPr>
        <rFont val="Calibri"/>
        <color rgb="FF00B050"/>
        <sz val="11.0"/>
      </rPr>
      <t>Si hay diferencia significativa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</si>
  <si>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t calculado</t>
    </r>
    <r>
      <rPr>
        <rFont val="Calibri"/>
        <color rgb="FFC00000"/>
        <sz val="11.0"/>
      </rPr>
      <t xml:space="preserve"> &gt; t critico (Tabla)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</si>
  <si>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</si>
  <si>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</si>
  <si>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</si>
  <si>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rgb="FFC00000"/>
        <sz val="11.0"/>
      </rPr>
      <t>(Sin Sistema) Pre-test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Tiempo de acceso a la informacion del pago/historial
a)	1 o menos =5
b)	2 – 3 = 4
c)	4 - 5 = 3
d)	6 – 7 = 2
e)	8 o mas = 1</t>
    </r>
  </si>
  <si>
    <r>
      <rPr>
        <rFont val="Calibri"/>
        <color rgb="FFC00000"/>
        <sz val="11.0"/>
      </rPr>
      <t>(Con Sistema) Post-test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Tiempo de acceso a la informacion del pago/historial
a)	1 o menos =5
b)	2 – 3 = 4
c)	4 - 5 = 3
d)	6 – 7 = 2
e)	8 o mas = 1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</si>
  <si>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- 2 colas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</si>
  <si>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- 1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</si>
  <si>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dos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</si>
  <si>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una colas</t>
    </r>
  </si>
  <si>
    <r>
      <rPr>
        <rFont val="Calibri"/>
        <color theme="1"/>
      </rPr>
      <t xml:space="preserve">hipotesis nula Ho = </t>
    </r>
    <r>
      <rPr>
        <rFont val="Calibri"/>
        <color rgb="FFC00000"/>
        <sz val="11.0"/>
      </rPr>
      <t>No hay diferencias significativa</t>
    </r>
  </si>
  <si>
    <r>
      <rPr>
        <rFont val="Calibri"/>
        <color theme="1"/>
      </rPr>
      <t xml:space="preserve">hipotesis alternativa H1 = </t>
    </r>
    <r>
      <rPr>
        <rFont val="Calibri"/>
        <color rgb="FF00B050"/>
        <sz val="11.0"/>
      </rPr>
      <t>Si hay diferencia significativa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</si>
  <si>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t calculado</t>
    </r>
    <r>
      <rPr>
        <rFont val="Calibri"/>
        <color rgb="FFC00000"/>
        <sz val="11.0"/>
      </rPr>
      <t xml:space="preserve"> &gt; t critico (Tabla)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</si>
  <si>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</si>
  <si>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</si>
  <si>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</si>
  <si>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rgb="FFC00000"/>
        <sz val="11.0"/>
      </rPr>
      <t>(Sin Sistema) Pre-test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Facilidad de uso del modulo  de pagos
a)	Muy fácil = 5
b)	Fácil = 4
c)	Moderado = 3
d)	Difícil = 2
e)	e) Muy difícil = 1</t>
    </r>
  </si>
  <si>
    <r>
      <rPr>
        <rFont val="Calibri"/>
        <color rgb="FFC00000"/>
        <sz val="11.0"/>
      </rPr>
      <t>(Con Sistema) Post-test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Facilidad de uso del modulo  de pagos
a)	Muy fácil = 5
b)	Fácil = 4
c)	Moderado = 3
d)	Difícil = 2
e)	e) Muy difícil = 1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</si>
  <si>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- 2 colas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</si>
  <si>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- 1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</si>
  <si>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dos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</si>
  <si>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una colas</t>
    </r>
  </si>
  <si>
    <r>
      <rPr>
        <rFont val="Calibri"/>
        <color theme="1"/>
      </rPr>
      <t xml:space="preserve">hipotesis nula Ho = </t>
    </r>
    <r>
      <rPr>
        <rFont val="Calibri"/>
        <color rgb="FFC00000"/>
        <sz val="11.0"/>
      </rPr>
      <t>No hay diferencias significativa</t>
    </r>
  </si>
  <si>
    <r>
      <rPr>
        <rFont val="Calibri"/>
        <color theme="1"/>
      </rPr>
      <t xml:space="preserve">hipotesis alternativa H1 = </t>
    </r>
    <r>
      <rPr>
        <rFont val="Calibri"/>
        <color rgb="FF00B050"/>
        <sz val="11.0"/>
      </rPr>
      <t>Si hay diferencia significativa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</si>
  <si>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t calculado</t>
    </r>
    <r>
      <rPr>
        <rFont val="Calibri"/>
        <color rgb="FFC00000"/>
        <sz val="11.0"/>
      </rPr>
      <t xml:space="preserve"> &gt; t critico (Tabla)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</si>
  <si>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</si>
  <si>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</si>
  <si>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</si>
  <si>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rgb="FFC00000"/>
        <sz val="11.0"/>
      </rPr>
      <t>(Sin Sistema) Pre-test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Tiempo registro de pago
a)	Menos de 2 = 5
b)	2 – 4 = 4
c)	5 – 7 = 3
d)	8 – 10 = 2
e)	Más de 10 = 1</t>
    </r>
  </si>
  <si>
    <r>
      <rPr>
        <rFont val="Calibri"/>
        <color rgb="FFC00000"/>
        <sz val="11.0"/>
      </rPr>
      <t>(Con Sistema) Post-test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Tiempo registro de pago
a)	Menos de 2 = 5
b)	2 – 4 = 4
c)	5 – 7 = 3
d)	8 – 10 = 2
e)	Más de 10 = 1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</si>
  <si>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- 2 colas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</si>
  <si>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- 1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</si>
  <si>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dos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</si>
  <si>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una colas</t>
    </r>
  </si>
  <si>
    <r>
      <rPr>
        <rFont val="Calibri"/>
        <color theme="1"/>
      </rPr>
      <t xml:space="preserve">hipotesis nula Ho = </t>
    </r>
    <r>
      <rPr>
        <rFont val="Calibri"/>
        <color rgb="FFC00000"/>
        <sz val="11.0"/>
      </rPr>
      <t>No hay diferencias significativa</t>
    </r>
  </si>
  <si>
    <r>
      <rPr>
        <rFont val="Calibri"/>
        <color theme="1"/>
      </rPr>
      <t xml:space="preserve">hipotesis alternativa H1 = </t>
    </r>
    <r>
      <rPr>
        <rFont val="Calibri"/>
        <color rgb="FF00B050"/>
        <sz val="11.0"/>
      </rPr>
      <t>Si hay diferencia significativa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</si>
  <si>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t calculado</t>
    </r>
    <r>
      <rPr>
        <rFont val="Calibri"/>
        <color rgb="FFC00000"/>
        <sz val="11.0"/>
      </rPr>
      <t xml:space="preserve"> &gt; t critico (Tabla)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</si>
  <si>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</si>
  <si>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</si>
  <si>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</si>
  <si>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rgb="FFC00000"/>
        <sz val="11.0"/>
      </rPr>
      <t>(Sin Sistema) Pre-test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Satisfacción modulo inscripciones
a)	Muy bueno = 5
b)	Bueno = 4
c)	Moderado = 3
d)	Malo = 2
e)	Muy malo = 1</t>
    </r>
  </si>
  <si>
    <r>
      <rPr>
        <rFont val="Calibri"/>
        <color rgb="FFC00000"/>
        <sz val="11.0"/>
      </rPr>
      <t>(Con Sistema) Post-test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Satisfacción modulo inscripciones
a)	Muy bueno = 5
b)	Bueno = 4
c)	Moderado = 3
d)	Malo = 2
e)	Muy malo = 1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</si>
  <si>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- 2 colas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</si>
  <si>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- 1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</si>
  <si>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dos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</si>
  <si>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una colas</t>
    </r>
  </si>
  <si>
    <r>
      <rPr>
        <rFont val="Calibri"/>
        <color theme="1"/>
      </rPr>
      <t xml:space="preserve">hipotesis nula Ho = </t>
    </r>
    <r>
      <rPr>
        <rFont val="Calibri"/>
        <color rgb="FFC00000"/>
        <sz val="11.0"/>
      </rPr>
      <t>No hay diferencias significativa</t>
    </r>
  </si>
  <si>
    <r>
      <rPr>
        <rFont val="Calibri"/>
        <color theme="1"/>
      </rPr>
      <t xml:space="preserve">hipotesis alternativa H1 = </t>
    </r>
    <r>
      <rPr>
        <rFont val="Calibri"/>
        <color rgb="FF00B050"/>
        <sz val="11.0"/>
      </rPr>
      <t>Si hay diferencia significativa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</si>
  <si>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t calculado</t>
    </r>
    <r>
      <rPr>
        <rFont val="Calibri"/>
        <color rgb="FFC00000"/>
        <sz val="11.0"/>
      </rPr>
      <t xml:space="preserve"> &gt; t critico (Tabla)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</si>
  <si>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</si>
  <si>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</si>
  <si>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</si>
  <si>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rgb="FFC00000"/>
        <sz val="11.0"/>
      </rPr>
      <t>(Sin Sistema) Pre-test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Tiempo de acceso a la informacion de inscripciones
a)	1 o menos = 5
b)	2 - 3 = 4
c)	4 - 5  = 3
d)	6 - 7 = 2
e)	8 o mas = 1</t>
    </r>
  </si>
  <si>
    <r>
      <rPr>
        <rFont val="Calibri"/>
        <color rgb="FFC00000"/>
        <sz val="11.0"/>
      </rPr>
      <t>(Con Sistema) Post-test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Tiempo de acceso a la informacion de inscripciones
a)	1 o menos = 5
b)	2 - 3 = 4
c)	4 - 5  = 3
d)	6 - 7 = 2
e)	8 o mas = 1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</si>
  <si>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- 2 colas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</si>
  <si>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- 1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</si>
  <si>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dos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</si>
  <si>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una colas</t>
    </r>
  </si>
  <si>
    <r>
      <rPr>
        <rFont val="Calibri"/>
        <color theme="1"/>
      </rPr>
      <t xml:space="preserve">hipotesis nula Ho = </t>
    </r>
    <r>
      <rPr>
        <rFont val="Calibri"/>
        <color rgb="FFC00000"/>
        <sz val="11.0"/>
      </rPr>
      <t>No hay diferencias significativa</t>
    </r>
  </si>
  <si>
    <r>
      <rPr>
        <rFont val="Calibri"/>
        <color theme="1"/>
      </rPr>
      <t xml:space="preserve">hipotesis alternativa H1 = </t>
    </r>
    <r>
      <rPr>
        <rFont val="Calibri"/>
        <color rgb="FF00B050"/>
        <sz val="11.0"/>
      </rPr>
      <t>Si hay diferencia significativa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</si>
  <si>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t calculado</t>
    </r>
    <r>
      <rPr>
        <rFont val="Calibri"/>
        <color rgb="FFC00000"/>
        <sz val="11.0"/>
      </rPr>
      <t xml:space="preserve"> &gt; t critico (Tabla)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</si>
  <si>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</si>
  <si>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</si>
  <si>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</si>
  <si>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rgb="FFC00000"/>
        <sz val="11.0"/>
      </rPr>
      <t>(Sin Sistema) Pre-test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Facilidad de uso modulo inscripciones
a)	Muy fácil
b)	Fácil
c)	Moderado
d)	Difícil
e)	Muy difícil</t>
    </r>
  </si>
  <si>
    <r>
      <rPr>
        <rFont val="Calibri"/>
        <color rgb="FFC00000"/>
        <sz val="11.0"/>
      </rPr>
      <t>(Con Sistema) Post-test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Facilidad de uso modulo inscripciones
a)	Muy fácil
b)	Fácil
c)	Moderado
d)	Difícil
e)	Muy difícil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</si>
  <si>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- 2 colas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</si>
  <si>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- 1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</si>
  <si>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dos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</si>
  <si>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una colas</t>
    </r>
  </si>
  <si>
    <r>
      <rPr>
        <rFont val="Calibri"/>
        <color theme="1"/>
      </rPr>
      <t xml:space="preserve">hipotesis nula Ho = </t>
    </r>
    <r>
      <rPr>
        <rFont val="Calibri"/>
        <color rgb="FFC00000"/>
        <sz val="11.0"/>
      </rPr>
      <t>No hay diferencias significativa</t>
    </r>
  </si>
  <si>
    <r>
      <rPr>
        <rFont val="Calibri"/>
        <color theme="1"/>
      </rPr>
      <t xml:space="preserve">hipotesis alternativa H1 = </t>
    </r>
    <r>
      <rPr>
        <rFont val="Calibri"/>
        <color rgb="FF00B050"/>
        <sz val="11.0"/>
      </rPr>
      <t>Si hay diferencia significativa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</si>
  <si>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t calculado</t>
    </r>
    <r>
      <rPr>
        <rFont val="Calibri"/>
        <color rgb="FFC00000"/>
        <sz val="11.0"/>
      </rPr>
      <t xml:space="preserve"> &gt; t critico (Tabla)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</si>
  <si>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</si>
  <si>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</si>
  <si>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</si>
  <si>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rgb="FFC00000"/>
        <sz val="11.0"/>
      </rPr>
      <t>(Sin Sistema) Pre-test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Tiempo de registro inscripcion
a)	Menos de 2 = 5
b)	2 – 4 = 4
c)	5 – 7 = 3
d)	8 – 10 = 2
e)	Más de 10 = 1</t>
    </r>
  </si>
  <si>
    <r>
      <rPr>
        <rFont val="Calibri"/>
        <color rgb="FFC00000"/>
        <sz val="11.0"/>
      </rPr>
      <t>(Con Sistema) Post-test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Tiempo de registro inscripcion
a)	Menos de 2 = 5
b)	2 – 4 = 4
c)	5 – 7 = 3
d)	8 – 10 = 2
e)	Más de 10 = 1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</si>
  <si>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- 2 colas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</si>
  <si>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- 1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</si>
  <si>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dos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</si>
  <si>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una colas</t>
    </r>
  </si>
  <si>
    <r>
      <rPr>
        <rFont val="Calibri"/>
        <color theme="1"/>
      </rPr>
      <t xml:space="preserve">hipotesis nula Ho = </t>
    </r>
    <r>
      <rPr>
        <rFont val="Calibri"/>
        <color rgb="FFC00000"/>
        <sz val="11.0"/>
      </rPr>
      <t>No hay diferencias significativa</t>
    </r>
  </si>
  <si>
    <r>
      <rPr>
        <rFont val="Calibri"/>
        <color theme="1"/>
      </rPr>
      <t xml:space="preserve">hipotesis alternativa H1 = </t>
    </r>
    <r>
      <rPr>
        <rFont val="Calibri"/>
        <color rgb="FF00B050"/>
        <sz val="11.0"/>
      </rPr>
      <t>Si hay diferencia significativa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</si>
  <si>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t calculado</t>
    </r>
    <r>
      <rPr>
        <rFont val="Calibri"/>
        <color rgb="FFC00000"/>
        <sz val="11.0"/>
      </rPr>
      <t xml:space="preserve"> &gt; t critico (Tabla)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</si>
  <si>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</si>
  <si>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</si>
  <si>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</si>
  <si>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rgb="FFC00000"/>
        <sz val="11.0"/>
      </rPr>
      <t>(Sin Sistema) Pre-test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Satisfaccion de usuarios
a) Muy bueno = 5
b) Bueno = 4
c) Moderado = 3
d) Malo = 2
e) Muy malo = 1</t>
    </r>
  </si>
  <si>
    <r>
      <rPr>
        <rFont val="Calibri"/>
        <color rgb="FFC00000"/>
        <sz val="11.0"/>
      </rPr>
      <t>(Con Sistema) Post-test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Satisfaccion de usuarios
a) Muy bueno = 5
b) Bueno = 4
c) Moderado = 3
d) Malo = 2
e) Muy malo = 1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</si>
  <si>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- 2 colas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</si>
  <si>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- 1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</si>
  <si>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dos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</si>
  <si>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una colas</t>
    </r>
  </si>
  <si>
    <r>
      <rPr>
        <rFont val="Calibri"/>
        <color theme="1"/>
      </rPr>
      <t xml:space="preserve">hipotesis nula Ho = </t>
    </r>
    <r>
      <rPr>
        <rFont val="Calibri"/>
        <color rgb="FFC00000"/>
        <sz val="11.0"/>
      </rPr>
      <t>No hay diferencias significativa</t>
    </r>
  </si>
  <si>
    <r>
      <rPr>
        <rFont val="Calibri"/>
        <color theme="1"/>
      </rPr>
      <t xml:space="preserve">hipotesis alternativa H1 = </t>
    </r>
    <r>
      <rPr>
        <rFont val="Calibri"/>
        <color rgb="FF00B050"/>
        <sz val="11.0"/>
      </rPr>
      <t>Si hay diferencia significativa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</si>
  <si>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t calculado</t>
    </r>
    <r>
      <rPr>
        <rFont val="Calibri"/>
        <color rgb="FFC00000"/>
        <sz val="11.0"/>
      </rPr>
      <t xml:space="preserve"> &gt; t critico (Tabla)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</si>
  <si>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</si>
  <si>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</si>
  <si>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</si>
  <si>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rgb="FFC00000"/>
        <sz val="11.0"/>
      </rPr>
      <t>(Sin Sistema) Pre-test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Tiempo de acceso a información de usuario
a) 1 o menos = 5
b) 2 - 3 = 4
c) 4 - 5 =3
d) 6 - 7 = 2
e) 8 o mas = 1</t>
    </r>
  </si>
  <si>
    <r>
      <rPr>
        <rFont val="Calibri"/>
        <color rgb="FFC00000"/>
        <sz val="11.0"/>
      </rPr>
      <t>(Con Sistema) Post-test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Tiempo de acceso a información de usuario
a) 1 o menos = 5
b) 2 - 3 = 4
c) 4 - 5 =3
d) 6 - 7 = 2
e) 8 o mas = 1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</si>
  <si>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- 2 colas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</si>
  <si>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- 1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</si>
  <si>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dos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</si>
  <si>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una colas</t>
    </r>
  </si>
  <si>
    <r>
      <rPr>
        <rFont val="Calibri"/>
        <color theme="1"/>
      </rPr>
      <t xml:space="preserve">hipotesis nula Ho = </t>
    </r>
    <r>
      <rPr>
        <rFont val="Calibri"/>
        <color rgb="FFC00000"/>
        <sz val="11.0"/>
      </rPr>
      <t>No hay diferencias significativa</t>
    </r>
  </si>
  <si>
    <r>
      <rPr>
        <rFont val="Calibri"/>
        <color theme="1"/>
      </rPr>
      <t xml:space="preserve">hipotesis alternativa H1 = </t>
    </r>
    <r>
      <rPr>
        <rFont val="Calibri"/>
        <color rgb="FF00B050"/>
        <sz val="11.0"/>
      </rPr>
      <t>Si hay diferencia significativa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</si>
  <si>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t calculado</t>
    </r>
    <r>
      <rPr>
        <rFont val="Calibri"/>
        <color rgb="FFC00000"/>
        <sz val="11.0"/>
      </rPr>
      <t xml:space="preserve"> &gt; t critico (Tabla)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</si>
  <si>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</si>
  <si>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</si>
  <si>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</si>
  <si>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rgb="FFC00000"/>
        <sz val="11.0"/>
      </rPr>
      <t>(Sin Sistema) Pre-test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Facilidad de uso modulo usuarios
a) Muy fácil = 5
b) Fácil = 4
c) Moderado = 3
d) Difícil = 2
e) Muy difícil = 1</t>
    </r>
  </si>
  <si>
    <r>
      <rPr>
        <rFont val="Calibri"/>
        <color rgb="FFC00000"/>
        <sz val="11.0"/>
      </rPr>
      <t>(Con Sistema) Post-test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Facilidad de uso modulo usuarios
a) Muy fácil = 5
b) Fácil = 4
c) Moderado = 3
d) Difícil = 2
e) Muy difícil = 1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</si>
  <si>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- 2 colas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</si>
  <si>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- 1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</si>
  <si>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dos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</si>
  <si>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una colas</t>
    </r>
  </si>
  <si>
    <r>
      <rPr>
        <rFont val="Calibri"/>
        <color theme="1"/>
      </rPr>
      <t xml:space="preserve">hipotesis nula Ho = </t>
    </r>
    <r>
      <rPr>
        <rFont val="Calibri"/>
        <color rgb="FFC00000"/>
        <sz val="11.0"/>
      </rPr>
      <t>No hay diferencias significativa</t>
    </r>
  </si>
  <si>
    <r>
      <rPr>
        <rFont val="Calibri"/>
        <color theme="1"/>
      </rPr>
      <t xml:space="preserve">hipotesis alternativa H1 = </t>
    </r>
    <r>
      <rPr>
        <rFont val="Calibri"/>
        <color rgb="FF00B050"/>
        <sz val="11.0"/>
      </rPr>
      <t>Si hay diferencia significativa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</si>
  <si>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t calculado</t>
    </r>
    <r>
      <rPr>
        <rFont val="Calibri"/>
        <color rgb="FFC00000"/>
        <sz val="11.0"/>
      </rPr>
      <t xml:space="preserve"> &gt; t critico (Tabla)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</si>
  <si>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</si>
  <si>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</si>
  <si>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</si>
  <si>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rgb="FFC00000"/>
        <sz val="11.0"/>
      </rPr>
      <t>(Sin Sistema) Pre-test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Tiempo de Registro de usuario (Minutos)</t>
    </r>
    <r>
      <rPr>
        <rFont val="Calibri"/>
        <color theme="1"/>
        <sz val="11.0"/>
      </rPr>
      <t xml:space="preserve">
</t>
    </r>
    <r>
      <rPr>
        <rFont val="Calibri"/>
        <color theme="1"/>
        <sz val="8.0"/>
      </rPr>
      <t>a) Menos de 2 -&gt; 5
b) 2 - 4 -&gt; 4
c) 5 -7 -&gt; 3
d) 8 -10 -&gt; 2 
e) Más de 10 -&gt; 1</t>
    </r>
  </si>
  <si>
    <r>
      <rPr>
        <rFont val="Calibri"/>
        <color rgb="FFC00000"/>
        <sz val="11.0"/>
      </rPr>
      <t>(Con Sistema) Post-test</t>
    </r>
    <r>
      <rPr>
        <rFont val="Calibri"/>
        <color theme="1"/>
        <sz val="11.0"/>
      </rPr>
      <t xml:space="preserve">
</t>
    </r>
    <r>
      <rPr>
        <rFont val="Calibri"/>
        <color theme="1"/>
        <sz val="10.0"/>
      </rPr>
      <t>Tiempo de Registro de usuario (Minutos)</t>
    </r>
    <r>
      <rPr>
        <rFont val="Calibri"/>
        <color theme="1"/>
        <sz val="11.0"/>
      </rPr>
      <t xml:space="preserve">
</t>
    </r>
    <r>
      <rPr>
        <rFont val="Calibri"/>
        <color theme="1"/>
        <sz val="8.0"/>
      </rPr>
      <t>a) Menos de 2 -&gt; 5
b) 2 - 4 -&gt; 4
c) 5 -7 -&gt; 3
d) 8 -10 -&gt; 2 
e) Más de 10 -&gt; 1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</si>
  <si>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- 2 colas</t>
    </r>
  </si>
  <si>
    <r>
      <rPr>
        <rFont val="Calibri"/>
        <color theme="1"/>
      </rPr>
      <t xml:space="preserve">valor crítico t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- 1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</si>
  <si>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dos colas</t>
    </r>
  </si>
  <si>
    <r>
      <rPr>
        <rFont val="Calibri"/>
        <color theme="1"/>
      </rPr>
      <t xml:space="preserve">p valor con </t>
    </r>
    <r>
      <rPr>
        <rFont val="Calibri"/>
        <b/>
        <color theme="1"/>
        <sz val="11.0"/>
      </rPr>
      <t>(Excel)</t>
    </r>
    <r>
      <rPr>
        <rFont val="Calibri"/>
        <color theme="1"/>
        <sz val="11.0"/>
      </rPr>
      <t xml:space="preserve"> una colas</t>
    </r>
  </si>
  <si>
    <r>
      <rPr>
        <rFont val="Calibri"/>
        <color theme="1"/>
      </rPr>
      <t xml:space="preserve">hipotesis nula Ho = </t>
    </r>
    <r>
      <rPr>
        <rFont val="Calibri"/>
        <color rgb="FFC00000"/>
        <sz val="11.0"/>
      </rPr>
      <t>No hay diferencias significativa</t>
    </r>
  </si>
  <si>
    <r>
      <rPr>
        <rFont val="Calibri"/>
        <color theme="1"/>
      </rPr>
      <t xml:space="preserve">hipotesis alternativa H1 = </t>
    </r>
    <r>
      <rPr>
        <rFont val="Calibri"/>
        <color rgb="FF00B050"/>
        <sz val="11.0"/>
      </rPr>
      <t>Si hay diferencia significativa</t>
    </r>
  </si>
  <si>
    <r>
      <rPr>
        <rFont val="Calibri"/>
        <color theme="1"/>
      </rPr>
      <t xml:space="preserve">Si </t>
    </r>
    <r>
      <rPr>
        <rFont val="Calibri"/>
        <color rgb="FF00B050"/>
        <sz val="11.0"/>
      </rPr>
      <t>t calculado</t>
    </r>
    <r>
      <rPr>
        <rFont val="Calibri"/>
        <color rgb="FFC00000"/>
        <sz val="11.0"/>
      </rPr>
      <t xml:space="preserve"> &gt; t critico (Tabla)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</si>
  <si>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</si>
  <si>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</si>
  <si>
    <r>
      <rPr>
        <rFont val="Calibri"/>
        <color theme="1"/>
      </rPr>
      <t xml:space="preserve">Se </t>
    </r>
    <r>
      <rPr>
        <rFont val="Calibri"/>
        <color rgb="FFC00000"/>
        <sz val="11.0"/>
      </rPr>
      <t>rechaza</t>
    </r>
    <r>
      <rPr>
        <rFont val="Calibri"/>
        <color theme="1"/>
        <sz val="11.0"/>
      </rPr>
      <t xml:space="preserve"> la hipotesis nula </t>
    </r>
    <r>
      <rPr>
        <rFont val="Calibri"/>
        <color rgb="FFC00000"/>
        <sz val="11.0"/>
      </rPr>
      <t>Ho</t>
    </r>
    <r>
      <rPr>
        <rFont val="Calibri"/>
        <color theme="1"/>
        <sz val="11.0"/>
      </rPr>
      <t xml:space="preserve"> y se </t>
    </r>
    <r>
      <rPr>
        <rFont val="Calibri"/>
        <color rgb="FF00B050"/>
        <sz val="11.0"/>
      </rPr>
      <t>acepta</t>
    </r>
    <r>
      <rPr>
        <rFont val="Calibri"/>
        <color theme="1"/>
        <sz val="11.0"/>
      </rPr>
      <t xml:space="preserve"> la hipotesis alternativa </t>
    </r>
    <r>
      <rPr>
        <rFont val="Calibri"/>
        <color rgb="FF00B050"/>
        <sz val="11.0"/>
      </rPr>
      <t>H1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</si>
</sst>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6100"/>
      <name val="Calibri"/>
    </font>
    <font>
      <sz val="10.0"/>
      <color rgb="FF000000"/>
      <name val="Calibri"/>
    </font>
    <font>
      <sz val="11.0"/>
      <color rgb="FF9C650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EB9C"/>
        <bgColor rgb="FFFFEB9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/>
    </xf>
    <xf borderId="2" fillId="3" fontId="4" numFmtId="0" xfId="0" applyBorder="1" applyFill="1" applyFont="1"/>
    <xf borderId="0" fillId="0" fontId="5" numFmtId="0" xfId="0" applyFont="1"/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5.png"/><Relationship Id="rId10" Type="http://schemas.openxmlformats.org/officeDocument/2006/relationships/image" Target="../media/image10.png"/><Relationship Id="rId13" Type="http://schemas.openxmlformats.org/officeDocument/2006/relationships/image" Target="../media/image11.png"/><Relationship Id="rId12" Type="http://schemas.openxmlformats.org/officeDocument/2006/relationships/image" Target="../media/image2.png"/><Relationship Id="rId1" Type="http://schemas.openxmlformats.org/officeDocument/2006/relationships/image" Target="../media/image9.png"/><Relationship Id="rId2" Type="http://schemas.openxmlformats.org/officeDocument/2006/relationships/image" Target="../media/image13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9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4.png"/><Relationship Id="rId7" Type="http://schemas.openxmlformats.org/officeDocument/2006/relationships/image" Target="../media/image3.png"/><Relationship Id="rId8" Type="http://schemas.openxmlformats.org/officeDocument/2006/relationships/image" Target="../media/image12.pn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5.png"/><Relationship Id="rId10" Type="http://schemas.openxmlformats.org/officeDocument/2006/relationships/image" Target="../media/image10.png"/><Relationship Id="rId13" Type="http://schemas.openxmlformats.org/officeDocument/2006/relationships/image" Target="../media/image11.png"/><Relationship Id="rId12" Type="http://schemas.openxmlformats.org/officeDocument/2006/relationships/image" Target="../media/image2.png"/><Relationship Id="rId1" Type="http://schemas.openxmlformats.org/officeDocument/2006/relationships/image" Target="../media/image9.png"/><Relationship Id="rId2" Type="http://schemas.openxmlformats.org/officeDocument/2006/relationships/image" Target="../media/image13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9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4.png"/><Relationship Id="rId7" Type="http://schemas.openxmlformats.org/officeDocument/2006/relationships/image" Target="../media/image3.png"/><Relationship Id="rId8" Type="http://schemas.openxmlformats.org/officeDocument/2006/relationships/image" Target="../media/image12.pn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5.png"/><Relationship Id="rId10" Type="http://schemas.openxmlformats.org/officeDocument/2006/relationships/image" Target="../media/image10.png"/><Relationship Id="rId13" Type="http://schemas.openxmlformats.org/officeDocument/2006/relationships/image" Target="../media/image11.png"/><Relationship Id="rId12" Type="http://schemas.openxmlformats.org/officeDocument/2006/relationships/image" Target="../media/image2.png"/><Relationship Id="rId1" Type="http://schemas.openxmlformats.org/officeDocument/2006/relationships/image" Target="../media/image9.png"/><Relationship Id="rId2" Type="http://schemas.openxmlformats.org/officeDocument/2006/relationships/image" Target="../media/image13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9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4.png"/><Relationship Id="rId7" Type="http://schemas.openxmlformats.org/officeDocument/2006/relationships/image" Target="../media/image3.png"/><Relationship Id="rId8" Type="http://schemas.openxmlformats.org/officeDocument/2006/relationships/image" Target="../media/image12.png"/></Relationships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image" Target="../media/image5.png"/><Relationship Id="rId10" Type="http://schemas.openxmlformats.org/officeDocument/2006/relationships/image" Target="../media/image10.png"/><Relationship Id="rId13" Type="http://schemas.openxmlformats.org/officeDocument/2006/relationships/image" Target="../media/image11.png"/><Relationship Id="rId12" Type="http://schemas.openxmlformats.org/officeDocument/2006/relationships/image" Target="../media/image2.png"/><Relationship Id="rId1" Type="http://schemas.openxmlformats.org/officeDocument/2006/relationships/image" Target="../media/image9.png"/><Relationship Id="rId2" Type="http://schemas.openxmlformats.org/officeDocument/2006/relationships/image" Target="../media/image13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9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4.png"/><Relationship Id="rId7" Type="http://schemas.openxmlformats.org/officeDocument/2006/relationships/image" Target="../media/image3.png"/><Relationship Id="rId8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image" Target="../media/image5.png"/><Relationship Id="rId10" Type="http://schemas.openxmlformats.org/officeDocument/2006/relationships/image" Target="../media/image10.png"/><Relationship Id="rId13" Type="http://schemas.openxmlformats.org/officeDocument/2006/relationships/image" Target="../media/image11.png"/><Relationship Id="rId12" Type="http://schemas.openxmlformats.org/officeDocument/2006/relationships/image" Target="../media/image2.png"/><Relationship Id="rId1" Type="http://schemas.openxmlformats.org/officeDocument/2006/relationships/image" Target="../media/image9.png"/><Relationship Id="rId2" Type="http://schemas.openxmlformats.org/officeDocument/2006/relationships/image" Target="../media/image13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9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4.png"/><Relationship Id="rId7" Type="http://schemas.openxmlformats.org/officeDocument/2006/relationships/image" Target="../media/image3.png"/><Relationship Id="rId8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image" Target="../media/image5.png"/><Relationship Id="rId10" Type="http://schemas.openxmlformats.org/officeDocument/2006/relationships/image" Target="../media/image10.png"/><Relationship Id="rId13" Type="http://schemas.openxmlformats.org/officeDocument/2006/relationships/image" Target="../media/image11.png"/><Relationship Id="rId12" Type="http://schemas.openxmlformats.org/officeDocument/2006/relationships/image" Target="../media/image2.png"/><Relationship Id="rId1" Type="http://schemas.openxmlformats.org/officeDocument/2006/relationships/image" Target="../media/image9.png"/><Relationship Id="rId2" Type="http://schemas.openxmlformats.org/officeDocument/2006/relationships/image" Target="../media/image13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9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4.png"/><Relationship Id="rId7" Type="http://schemas.openxmlformats.org/officeDocument/2006/relationships/image" Target="../media/image3.png"/><Relationship Id="rId8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1" Type="http://schemas.openxmlformats.org/officeDocument/2006/relationships/image" Target="../media/image5.png"/><Relationship Id="rId10" Type="http://schemas.openxmlformats.org/officeDocument/2006/relationships/image" Target="../media/image10.png"/><Relationship Id="rId13" Type="http://schemas.openxmlformats.org/officeDocument/2006/relationships/image" Target="../media/image11.png"/><Relationship Id="rId12" Type="http://schemas.openxmlformats.org/officeDocument/2006/relationships/image" Target="../media/image2.png"/><Relationship Id="rId1" Type="http://schemas.openxmlformats.org/officeDocument/2006/relationships/image" Target="../media/image9.png"/><Relationship Id="rId2" Type="http://schemas.openxmlformats.org/officeDocument/2006/relationships/image" Target="../media/image13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9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4.png"/><Relationship Id="rId7" Type="http://schemas.openxmlformats.org/officeDocument/2006/relationships/image" Target="../media/image3.png"/><Relationship Id="rId8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1" Type="http://schemas.openxmlformats.org/officeDocument/2006/relationships/image" Target="../media/image5.png"/><Relationship Id="rId10" Type="http://schemas.openxmlformats.org/officeDocument/2006/relationships/image" Target="../media/image10.png"/><Relationship Id="rId13" Type="http://schemas.openxmlformats.org/officeDocument/2006/relationships/image" Target="../media/image11.png"/><Relationship Id="rId12" Type="http://schemas.openxmlformats.org/officeDocument/2006/relationships/image" Target="../media/image2.png"/><Relationship Id="rId1" Type="http://schemas.openxmlformats.org/officeDocument/2006/relationships/image" Target="../media/image9.png"/><Relationship Id="rId2" Type="http://schemas.openxmlformats.org/officeDocument/2006/relationships/image" Target="../media/image13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9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4.png"/><Relationship Id="rId7" Type="http://schemas.openxmlformats.org/officeDocument/2006/relationships/image" Target="../media/image3.png"/><Relationship Id="rId8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1" Type="http://schemas.openxmlformats.org/officeDocument/2006/relationships/image" Target="../media/image5.png"/><Relationship Id="rId10" Type="http://schemas.openxmlformats.org/officeDocument/2006/relationships/image" Target="../media/image10.png"/><Relationship Id="rId13" Type="http://schemas.openxmlformats.org/officeDocument/2006/relationships/image" Target="../media/image11.png"/><Relationship Id="rId12" Type="http://schemas.openxmlformats.org/officeDocument/2006/relationships/image" Target="../media/image2.png"/><Relationship Id="rId1" Type="http://schemas.openxmlformats.org/officeDocument/2006/relationships/image" Target="../media/image9.png"/><Relationship Id="rId2" Type="http://schemas.openxmlformats.org/officeDocument/2006/relationships/image" Target="../media/image13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9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4.png"/><Relationship Id="rId7" Type="http://schemas.openxmlformats.org/officeDocument/2006/relationships/image" Target="../media/image3.png"/><Relationship Id="rId8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1" Type="http://schemas.openxmlformats.org/officeDocument/2006/relationships/image" Target="../media/image5.png"/><Relationship Id="rId10" Type="http://schemas.openxmlformats.org/officeDocument/2006/relationships/image" Target="../media/image10.png"/><Relationship Id="rId13" Type="http://schemas.openxmlformats.org/officeDocument/2006/relationships/image" Target="../media/image11.png"/><Relationship Id="rId12" Type="http://schemas.openxmlformats.org/officeDocument/2006/relationships/image" Target="../media/image2.png"/><Relationship Id="rId1" Type="http://schemas.openxmlformats.org/officeDocument/2006/relationships/image" Target="../media/image9.png"/><Relationship Id="rId2" Type="http://schemas.openxmlformats.org/officeDocument/2006/relationships/image" Target="../media/image13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9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4.png"/><Relationship Id="rId7" Type="http://schemas.openxmlformats.org/officeDocument/2006/relationships/image" Target="../media/image3.png"/><Relationship Id="rId8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1" Type="http://schemas.openxmlformats.org/officeDocument/2006/relationships/image" Target="../media/image5.png"/><Relationship Id="rId10" Type="http://schemas.openxmlformats.org/officeDocument/2006/relationships/image" Target="../media/image10.png"/><Relationship Id="rId13" Type="http://schemas.openxmlformats.org/officeDocument/2006/relationships/image" Target="../media/image11.png"/><Relationship Id="rId12" Type="http://schemas.openxmlformats.org/officeDocument/2006/relationships/image" Target="../media/image2.png"/><Relationship Id="rId1" Type="http://schemas.openxmlformats.org/officeDocument/2006/relationships/image" Target="../media/image9.png"/><Relationship Id="rId2" Type="http://schemas.openxmlformats.org/officeDocument/2006/relationships/image" Target="../media/image13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9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4.png"/><Relationship Id="rId7" Type="http://schemas.openxmlformats.org/officeDocument/2006/relationships/image" Target="../media/image3.png"/><Relationship Id="rId8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1" Type="http://schemas.openxmlformats.org/officeDocument/2006/relationships/image" Target="../media/image5.png"/><Relationship Id="rId10" Type="http://schemas.openxmlformats.org/officeDocument/2006/relationships/image" Target="../media/image10.png"/><Relationship Id="rId13" Type="http://schemas.openxmlformats.org/officeDocument/2006/relationships/image" Target="../media/image11.png"/><Relationship Id="rId12" Type="http://schemas.openxmlformats.org/officeDocument/2006/relationships/image" Target="../media/image2.png"/><Relationship Id="rId1" Type="http://schemas.openxmlformats.org/officeDocument/2006/relationships/image" Target="../media/image9.png"/><Relationship Id="rId2" Type="http://schemas.openxmlformats.org/officeDocument/2006/relationships/image" Target="../media/image13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9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4.png"/><Relationship Id="rId7" Type="http://schemas.openxmlformats.org/officeDocument/2006/relationships/image" Target="../media/image3.png"/><Relationship Id="rId8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1" Type="http://schemas.openxmlformats.org/officeDocument/2006/relationships/image" Target="../media/image5.png"/><Relationship Id="rId10" Type="http://schemas.openxmlformats.org/officeDocument/2006/relationships/image" Target="../media/image10.png"/><Relationship Id="rId13" Type="http://schemas.openxmlformats.org/officeDocument/2006/relationships/image" Target="../media/image11.png"/><Relationship Id="rId12" Type="http://schemas.openxmlformats.org/officeDocument/2006/relationships/image" Target="../media/image2.png"/><Relationship Id="rId1" Type="http://schemas.openxmlformats.org/officeDocument/2006/relationships/image" Target="../media/image9.png"/><Relationship Id="rId2" Type="http://schemas.openxmlformats.org/officeDocument/2006/relationships/image" Target="../media/image13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9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4.png"/><Relationship Id="rId7" Type="http://schemas.openxmlformats.org/officeDocument/2006/relationships/image" Target="../media/image3.png"/><Relationship Id="rId8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1" Type="http://schemas.openxmlformats.org/officeDocument/2006/relationships/image" Target="../media/image5.png"/><Relationship Id="rId10" Type="http://schemas.openxmlformats.org/officeDocument/2006/relationships/image" Target="../media/image10.png"/><Relationship Id="rId13" Type="http://schemas.openxmlformats.org/officeDocument/2006/relationships/image" Target="../media/image11.png"/><Relationship Id="rId12" Type="http://schemas.openxmlformats.org/officeDocument/2006/relationships/image" Target="../media/image2.png"/><Relationship Id="rId1" Type="http://schemas.openxmlformats.org/officeDocument/2006/relationships/image" Target="../media/image9.png"/><Relationship Id="rId2" Type="http://schemas.openxmlformats.org/officeDocument/2006/relationships/image" Target="../media/image13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9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4.png"/><Relationship Id="rId7" Type="http://schemas.openxmlformats.org/officeDocument/2006/relationships/image" Target="../media/image3.png"/><Relationship Id="rId8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1" Type="http://schemas.openxmlformats.org/officeDocument/2006/relationships/image" Target="../media/image5.png"/><Relationship Id="rId10" Type="http://schemas.openxmlformats.org/officeDocument/2006/relationships/image" Target="../media/image10.png"/><Relationship Id="rId13" Type="http://schemas.openxmlformats.org/officeDocument/2006/relationships/image" Target="../media/image11.png"/><Relationship Id="rId12" Type="http://schemas.openxmlformats.org/officeDocument/2006/relationships/image" Target="../media/image2.png"/><Relationship Id="rId1" Type="http://schemas.openxmlformats.org/officeDocument/2006/relationships/image" Target="../media/image9.png"/><Relationship Id="rId2" Type="http://schemas.openxmlformats.org/officeDocument/2006/relationships/image" Target="../media/image13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9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4.png"/><Relationship Id="rId7" Type="http://schemas.openxmlformats.org/officeDocument/2006/relationships/image" Target="../media/image3.png"/><Relationship Id="rId8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1" Type="http://schemas.openxmlformats.org/officeDocument/2006/relationships/image" Target="../media/image5.png"/><Relationship Id="rId10" Type="http://schemas.openxmlformats.org/officeDocument/2006/relationships/image" Target="../media/image10.png"/><Relationship Id="rId13" Type="http://schemas.openxmlformats.org/officeDocument/2006/relationships/image" Target="../media/image11.png"/><Relationship Id="rId12" Type="http://schemas.openxmlformats.org/officeDocument/2006/relationships/image" Target="../media/image2.png"/><Relationship Id="rId1" Type="http://schemas.openxmlformats.org/officeDocument/2006/relationships/image" Target="../media/image9.png"/><Relationship Id="rId2" Type="http://schemas.openxmlformats.org/officeDocument/2006/relationships/image" Target="../media/image13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9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4.png"/><Relationship Id="rId7" Type="http://schemas.openxmlformats.org/officeDocument/2006/relationships/image" Target="../media/image3.png"/><Relationship Id="rId8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2390775</xdr:colOff>
      <xdr:row>5</xdr:row>
      <xdr:rowOff>19050</xdr:rowOff>
    </xdr:from>
    <xdr:ext cx="171450" cy="1333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0</xdr:row>
      <xdr:rowOff>400050</xdr:rowOff>
    </xdr:from>
    <xdr:ext cx="962025" cy="276225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</xdr:colOff>
      <xdr:row>0</xdr:row>
      <xdr:rowOff>962025</xdr:rowOff>
    </xdr:from>
    <xdr:ext cx="285750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6</xdr:row>
      <xdr:rowOff>28575</xdr:rowOff>
    </xdr:from>
    <xdr:ext cx="638175" cy="14287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4</xdr:row>
      <xdr:rowOff>38100</xdr:rowOff>
    </xdr:from>
    <xdr:ext cx="333375" cy="1238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2381250</xdr:colOff>
      <xdr:row>3</xdr:row>
      <xdr:rowOff>38100</xdr:rowOff>
    </xdr:from>
    <xdr:ext cx="171450" cy="1143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2343150</xdr:colOff>
      <xdr:row>7</xdr:row>
      <xdr:rowOff>19050</xdr:rowOff>
    </xdr:from>
    <xdr:ext cx="180975" cy="13335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8</xdr:row>
      <xdr:rowOff>19050</xdr:rowOff>
    </xdr:from>
    <xdr:ext cx="1028700" cy="428625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12</xdr:row>
      <xdr:rowOff>0</xdr:rowOff>
    </xdr:from>
    <xdr:ext cx="666750" cy="43815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1962150</xdr:colOff>
      <xdr:row>17</xdr:row>
      <xdr:rowOff>0</xdr:rowOff>
    </xdr:from>
    <xdr:ext cx="523875" cy="20002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24</xdr:row>
      <xdr:rowOff>114300</xdr:rowOff>
    </xdr:from>
    <xdr:ext cx="4467225" cy="1514475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1971675</xdr:colOff>
      <xdr:row>56</xdr:row>
      <xdr:rowOff>85725</xdr:rowOff>
    </xdr:from>
    <xdr:ext cx="1228725" cy="352425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65</xdr:row>
      <xdr:rowOff>114300</xdr:rowOff>
    </xdr:from>
    <xdr:ext cx="2867025" cy="838200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2390775</xdr:colOff>
      <xdr:row>5</xdr:row>
      <xdr:rowOff>19050</xdr:rowOff>
    </xdr:from>
    <xdr:ext cx="171450" cy="1333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0</xdr:row>
      <xdr:rowOff>400050</xdr:rowOff>
    </xdr:from>
    <xdr:ext cx="962025" cy="276225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</xdr:colOff>
      <xdr:row>0</xdr:row>
      <xdr:rowOff>962025</xdr:rowOff>
    </xdr:from>
    <xdr:ext cx="285750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6</xdr:row>
      <xdr:rowOff>28575</xdr:rowOff>
    </xdr:from>
    <xdr:ext cx="638175" cy="14287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4</xdr:row>
      <xdr:rowOff>38100</xdr:rowOff>
    </xdr:from>
    <xdr:ext cx="333375" cy="1238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2381250</xdr:colOff>
      <xdr:row>3</xdr:row>
      <xdr:rowOff>38100</xdr:rowOff>
    </xdr:from>
    <xdr:ext cx="171450" cy="1143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2343150</xdr:colOff>
      <xdr:row>7</xdr:row>
      <xdr:rowOff>19050</xdr:rowOff>
    </xdr:from>
    <xdr:ext cx="180975" cy="13335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8</xdr:row>
      <xdr:rowOff>19050</xdr:rowOff>
    </xdr:from>
    <xdr:ext cx="1028700" cy="428625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12</xdr:row>
      <xdr:rowOff>0</xdr:rowOff>
    </xdr:from>
    <xdr:ext cx="666750" cy="43815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1962150</xdr:colOff>
      <xdr:row>17</xdr:row>
      <xdr:rowOff>0</xdr:rowOff>
    </xdr:from>
    <xdr:ext cx="523875" cy="20002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24</xdr:row>
      <xdr:rowOff>114300</xdr:rowOff>
    </xdr:from>
    <xdr:ext cx="4467225" cy="1514475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1971675</xdr:colOff>
      <xdr:row>56</xdr:row>
      <xdr:rowOff>85725</xdr:rowOff>
    </xdr:from>
    <xdr:ext cx="1228725" cy="352425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65</xdr:row>
      <xdr:rowOff>114300</xdr:rowOff>
    </xdr:from>
    <xdr:ext cx="2867025" cy="838200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2390775</xdr:colOff>
      <xdr:row>5</xdr:row>
      <xdr:rowOff>19050</xdr:rowOff>
    </xdr:from>
    <xdr:ext cx="171450" cy="1333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0</xdr:row>
      <xdr:rowOff>400050</xdr:rowOff>
    </xdr:from>
    <xdr:ext cx="962025" cy="276225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</xdr:colOff>
      <xdr:row>0</xdr:row>
      <xdr:rowOff>962025</xdr:rowOff>
    </xdr:from>
    <xdr:ext cx="285750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6</xdr:row>
      <xdr:rowOff>28575</xdr:rowOff>
    </xdr:from>
    <xdr:ext cx="638175" cy="14287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4</xdr:row>
      <xdr:rowOff>38100</xdr:rowOff>
    </xdr:from>
    <xdr:ext cx="333375" cy="1238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2381250</xdr:colOff>
      <xdr:row>3</xdr:row>
      <xdr:rowOff>38100</xdr:rowOff>
    </xdr:from>
    <xdr:ext cx="171450" cy="1143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2343150</xdr:colOff>
      <xdr:row>7</xdr:row>
      <xdr:rowOff>19050</xdr:rowOff>
    </xdr:from>
    <xdr:ext cx="180975" cy="13335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8</xdr:row>
      <xdr:rowOff>19050</xdr:rowOff>
    </xdr:from>
    <xdr:ext cx="1028700" cy="428625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12</xdr:row>
      <xdr:rowOff>0</xdr:rowOff>
    </xdr:from>
    <xdr:ext cx="666750" cy="43815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1962150</xdr:colOff>
      <xdr:row>17</xdr:row>
      <xdr:rowOff>0</xdr:rowOff>
    </xdr:from>
    <xdr:ext cx="523875" cy="20002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24</xdr:row>
      <xdr:rowOff>114300</xdr:rowOff>
    </xdr:from>
    <xdr:ext cx="4467225" cy="1514475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1971675</xdr:colOff>
      <xdr:row>56</xdr:row>
      <xdr:rowOff>85725</xdr:rowOff>
    </xdr:from>
    <xdr:ext cx="1228725" cy="352425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65</xdr:row>
      <xdr:rowOff>114300</xdr:rowOff>
    </xdr:from>
    <xdr:ext cx="2867025" cy="838200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2390775</xdr:colOff>
      <xdr:row>5</xdr:row>
      <xdr:rowOff>19050</xdr:rowOff>
    </xdr:from>
    <xdr:ext cx="171450" cy="1333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0</xdr:row>
      <xdr:rowOff>400050</xdr:rowOff>
    </xdr:from>
    <xdr:ext cx="962025" cy="276225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</xdr:colOff>
      <xdr:row>0</xdr:row>
      <xdr:rowOff>962025</xdr:rowOff>
    </xdr:from>
    <xdr:ext cx="285750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6</xdr:row>
      <xdr:rowOff>28575</xdr:rowOff>
    </xdr:from>
    <xdr:ext cx="638175" cy="14287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4</xdr:row>
      <xdr:rowOff>38100</xdr:rowOff>
    </xdr:from>
    <xdr:ext cx="333375" cy="1238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2381250</xdr:colOff>
      <xdr:row>3</xdr:row>
      <xdr:rowOff>38100</xdr:rowOff>
    </xdr:from>
    <xdr:ext cx="171450" cy="1143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2343150</xdr:colOff>
      <xdr:row>7</xdr:row>
      <xdr:rowOff>19050</xdr:rowOff>
    </xdr:from>
    <xdr:ext cx="180975" cy="13335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8</xdr:row>
      <xdr:rowOff>19050</xdr:rowOff>
    </xdr:from>
    <xdr:ext cx="1028700" cy="428625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12</xdr:row>
      <xdr:rowOff>0</xdr:rowOff>
    </xdr:from>
    <xdr:ext cx="666750" cy="43815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1962150</xdr:colOff>
      <xdr:row>17</xdr:row>
      <xdr:rowOff>0</xdr:rowOff>
    </xdr:from>
    <xdr:ext cx="523875" cy="20002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24</xdr:row>
      <xdr:rowOff>114300</xdr:rowOff>
    </xdr:from>
    <xdr:ext cx="4467225" cy="1514475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1971675</xdr:colOff>
      <xdr:row>56</xdr:row>
      <xdr:rowOff>85725</xdr:rowOff>
    </xdr:from>
    <xdr:ext cx="1228725" cy="352425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65</xdr:row>
      <xdr:rowOff>114300</xdr:rowOff>
    </xdr:from>
    <xdr:ext cx="2867025" cy="838200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2390775</xdr:colOff>
      <xdr:row>5</xdr:row>
      <xdr:rowOff>19050</xdr:rowOff>
    </xdr:from>
    <xdr:ext cx="171450" cy="1333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0</xdr:row>
      <xdr:rowOff>400050</xdr:rowOff>
    </xdr:from>
    <xdr:ext cx="962025" cy="276225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</xdr:colOff>
      <xdr:row>0</xdr:row>
      <xdr:rowOff>962025</xdr:rowOff>
    </xdr:from>
    <xdr:ext cx="285750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6</xdr:row>
      <xdr:rowOff>28575</xdr:rowOff>
    </xdr:from>
    <xdr:ext cx="638175" cy="14287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4</xdr:row>
      <xdr:rowOff>38100</xdr:rowOff>
    </xdr:from>
    <xdr:ext cx="333375" cy="1238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2381250</xdr:colOff>
      <xdr:row>3</xdr:row>
      <xdr:rowOff>38100</xdr:rowOff>
    </xdr:from>
    <xdr:ext cx="171450" cy="1143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2343150</xdr:colOff>
      <xdr:row>7</xdr:row>
      <xdr:rowOff>19050</xdr:rowOff>
    </xdr:from>
    <xdr:ext cx="180975" cy="13335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8</xdr:row>
      <xdr:rowOff>19050</xdr:rowOff>
    </xdr:from>
    <xdr:ext cx="1028700" cy="428625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12</xdr:row>
      <xdr:rowOff>0</xdr:rowOff>
    </xdr:from>
    <xdr:ext cx="666750" cy="43815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1962150</xdr:colOff>
      <xdr:row>17</xdr:row>
      <xdr:rowOff>0</xdr:rowOff>
    </xdr:from>
    <xdr:ext cx="523875" cy="20002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24</xdr:row>
      <xdr:rowOff>114300</xdr:rowOff>
    </xdr:from>
    <xdr:ext cx="4467225" cy="1514475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1971675</xdr:colOff>
      <xdr:row>56</xdr:row>
      <xdr:rowOff>85725</xdr:rowOff>
    </xdr:from>
    <xdr:ext cx="1228725" cy="352425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65</xdr:row>
      <xdr:rowOff>114300</xdr:rowOff>
    </xdr:from>
    <xdr:ext cx="2867025" cy="838200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2390775</xdr:colOff>
      <xdr:row>5</xdr:row>
      <xdr:rowOff>19050</xdr:rowOff>
    </xdr:from>
    <xdr:ext cx="171450" cy="1333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0</xdr:row>
      <xdr:rowOff>400050</xdr:rowOff>
    </xdr:from>
    <xdr:ext cx="962025" cy="276225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</xdr:colOff>
      <xdr:row>0</xdr:row>
      <xdr:rowOff>962025</xdr:rowOff>
    </xdr:from>
    <xdr:ext cx="285750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6</xdr:row>
      <xdr:rowOff>28575</xdr:rowOff>
    </xdr:from>
    <xdr:ext cx="638175" cy="14287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4</xdr:row>
      <xdr:rowOff>38100</xdr:rowOff>
    </xdr:from>
    <xdr:ext cx="333375" cy="1238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2381250</xdr:colOff>
      <xdr:row>3</xdr:row>
      <xdr:rowOff>38100</xdr:rowOff>
    </xdr:from>
    <xdr:ext cx="171450" cy="1143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2343150</xdr:colOff>
      <xdr:row>7</xdr:row>
      <xdr:rowOff>19050</xdr:rowOff>
    </xdr:from>
    <xdr:ext cx="180975" cy="13335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8</xdr:row>
      <xdr:rowOff>19050</xdr:rowOff>
    </xdr:from>
    <xdr:ext cx="1028700" cy="428625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12</xdr:row>
      <xdr:rowOff>0</xdr:rowOff>
    </xdr:from>
    <xdr:ext cx="666750" cy="43815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1962150</xdr:colOff>
      <xdr:row>17</xdr:row>
      <xdr:rowOff>0</xdr:rowOff>
    </xdr:from>
    <xdr:ext cx="523875" cy="20002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24</xdr:row>
      <xdr:rowOff>114300</xdr:rowOff>
    </xdr:from>
    <xdr:ext cx="4467225" cy="1514475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1971675</xdr:colOff>
      <xdr:row>56</xdr:row>
      <xdr:rowOff>85725</xdr:rowOff>
    </xdr:from>
    <xdr:ext cx="1228725" cy="352425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65</xdr:row>
      <xdr:rowOff>114300</xdr:rowOff>
    </xdr:from>
    <xdr:ext cx="2867025" cy="838200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2390775</xdr:colOff>
      <xdr:row>5</xdr:row>
      <xdr:rowOff>19050</xdr:rowOff>
    </xdr:from>
    <xdr:ext cx="171450" cy="1333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0</xdr:row>
      <xdr:rowOff>400050</xdr:rowOff>
    </xdr:from>
    <xdr:ext cx="962025" cy="276225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</xdr:colOff>
      <xdr:row>0</xdr:row>
      <xdr:rowOff>962025</xdr:rowOff>
    </xdr:from>
    <xdr:ext cx="285750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6</xdr:row>
      <xdr:rowOff>28575</xdr:rowOff>
    </xdr:from>
    <xdr:ext cx="638175" cy="14287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4</xdr:row>
      <xdr:rowOff>38100</xdr:rowOff>
    </xdr:from>
    <xdr:ext cx="333375" cy="1238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2381250</xdr:colOff>
      <xdr:row>3</xdr:row>
      <xdr:rowOff>38100</xdr:rowOff>
    </xdr:from>
    <xdr:ext cx="171450" cy="1143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2343150</xdr:colOff>
      <xdr:row>7</xdr:row>
      <xdr:rowOff>19050</xdr:rowOff>
    </xdr:from>
    <xdr:ext cx="180975" cy="13335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8</xdr:row>
      <xdr:rowOff>19050</xdr:rowOff>
    </xdr:from>
    <xdr:ext cx="1028700" cy="428625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12</xdr:row>
      <xdr:rowOff>0</xdr:rowOff>
    </xdr:from>
    <xdr:ext cx="666750" cy="43815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1962150</xdr:colOff>
      <xdr:row>17</xdr:row>
      <xdr:rowOff>0</xdr:rowOff>
    </xdr:from>
    <xdr:ext cx="523875" cy="20002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24</xdr:row>
      <xdr:rowOff>114300</xdr:rowOff>
    </xdr:from>
    <xdr:ext cx="4467225" cy="1514475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1971675</xdr:colOff>
      <xdr:row>56</xdr:row>
      <xdr:rowOff>85725</xdr:rowOff>
    </xdr:from>
    <xdr:ext cx="1228725" cy="352425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65</xdr:row>
      <xdr:rowOff>114300</xdr:rowOff>
    </xdr:from>
    <xdr:ext cx="2867025" cy="838200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2390775</xdr:colOff>
      <xdr:row>5</xdr:row>
      <xdr:rowOff>19050</xdr:rowOff>
    </xdr:from>
    <xdr:ext cx="171450" cy="1333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0</xdr:row>
      <xdr:rowOff>400050</xdr:rowOff>
    </xdr:from>
    <xdr:ext cx="962025" cy="276225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</xdr:colOff>
      <xdr:row>0</xdr:row>
      <xdr:rowOff>962025</xdr:rowOff>
    </xdr:from>
    <xdr:ext cx="285750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6</xdr:row>
      <xdr:rowOff>28575</xdr:rowOff>
    </xdr:from>
    <xdr:ext cx="638175" cy="14287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4</xdr:row>
      <xdr:rowOff>38100</xdr:rowOff>
    </xdr:from>
    <xdr:ext cx="333375" cy="1238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2381250</xdr:colOff>
      <xdr:row>3</xdr:row>
      <xdr:rowOff>38100</xdr:rowOff>
    </xdr:from>
    <xdr:ext cx="171450" cy="1143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2343150</xdr:colOff>
      <xdr:row>7</xdr:row>
      <xdr:rowOff>19050</xdr:rowOff>
    </xdr:from>
    <xdr:ext cx="180975" cy="13335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8</xdr:row>
      <xdr:rowOff>19050</xdr:rowOff>
    </xdr:from>
    <xdr:ext cx="1028700" cy="428625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12</xdr:row>
      <xdr:rowOff>0</xdr:rowOff>
    </xdr:from>
    <xdr:ext cx="666750" cy="43815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1962150</xdr:colOff>
      <xdr:row>17</xdr:row>
      <xdr:rowOff>0</xdr:rowOff>
    </xdr:from>
    <xdr:ext cx="523875" cy="20002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24</xdr:row>
      <xdr:rowOff>114300</xdr:rowOff>
    </xdr:from>
    <xdr:ext cx="4467225" cy="1514475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1971675</xdr:colOff>
      <xdr:row>56</xdr:row>
      <xdr:rowOff>85725</xdr:rowOff>
    </xdr:from>
    <xdr:ext cx="1228725" cy="352425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65</xdr:row>
      <xdr:rowOff>114300</xdr:rowOff>
    </xdr:from>
    <xdr:ext cx="2867025" cy="838200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2390775</xdr:colOff>
      <xdr:row>5</xdr:row>
      <xdr:rowOff>19050</xdr:rowOff>
    </xdr:from>
    <xdr:ext cx="171450" cy="1333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0</xdr:row>
      <xdr:rowOff>400050</xdr:rowOff>
    </xdr:from>
    <xdr:ext cx="962025" cy="276225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</xdr:colOff>
      <xdr:row>0</xdr:row>
      <xdr:rowOff>962025</xdr:rowOff>
    </xdr:from>
    <xdr:ext cx="285750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6</xdr:row>
      <xdr:rowOff>28575</xdr:rowOff>
    </xdr:from>
    <xdr:ext cx="638175" cy="14287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4</xdr:row>
      <xdr:rowOff>38100</xdr:rowOff>
    </xdr:from>
    <xdr:ext cx="333375" cy="1238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2381250</xdr:colOff>
      <xdr:row>3</xdr:row>
      <xdr:rowOff>38100</xdr:rowOff>
    </xdr:from>
    <xdr:ext cx="171450" cy="1143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2343150</xdr:colOff>
      <xdr:row>7</xdr:row>
      <xdr:rowOff>19050</xdr:rowOff>
    </xdr:from>
    <xdr:ext cx="180975" cy="13335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8</xdr:row>
      <xdr:rowOff>19050</xdr:rowOff>
    </xdr:from>
    <xdr:ext cx="1028700" cy="428625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12</xdr:row>
      <xdr:rowOff>0</xdr:rowOff>
    </xdr:from>
    <xdr:ext cx="666750" cy="43815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1962150</xdr:colOff>
      <xdr:row>17</xdr:row>
      <xdr:rowOff>0</xdr:rowOff>
    </xdr:from>
    <xdr:ext cx="523875" cy="20002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24</xdr:row>
      <xdr:rowOff>114300</xdr:rowOff>
    </xdr:from>
    <xdr:ext cx="4467225" cy="1514475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1971675</xdr:colOff>
      <xdr:row>56</xdr:row>
      <xdr:rowOff>85725</xdr:rowOff>
    </xdr:from>
    <xdr:ext cx="1228725" cy="352425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65</xdr:row>
      <xdr:rowOff>114300</xdr:rowOff>
    </xdr:from>
    <xdr:ext cx="2867025" cy="838200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2390775</xdr:colOff>
      <xdr:row>5</xdr:row>
      <xdr:rowOff>19050</xdr:rowOff>
    </xdr:from>
    <xdr:ext cx="171450" cy="1333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0</xdr:row>
      <xdr:rowOff>400050</xdr:rowOff>
    </xdr:from>
    <xdr:ext cx="962025" cy="276225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</xdr:colOff>
      <xdr:row>0</xdr:row>
      <xdr:rowOff>962025</xdr:rowOff>
    </xdr:from>
    <xdr:ext cx="285750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6</xdr:row>
      <xdr:rowOff>28575</xdr:rowOff>
    </xdr:from>
    <xdr:ext cx="638175" cy="14287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4</xdr:row>
      <xdr:rowOff>38100</xdr:rowOff>
    </xdr:from>
    <xdr:ext cx="333375" cy="1238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2381250</xdr:colOff>
      <xdr:row>3</xdr:row>
      <xdr:rowOff>38100</xdr:rowOff>
    </xdr:from>
    <xdr:ext cx="171450" cy="1143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2343150</xdr:colOff>
      <xdr:row>7</xdr:row>
      <xdr:rowOff>19050</xdr:rowOff>
    </xdr:from>
    <xdr:ext cx="180975" cy="13335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8</xdr:row>
      <xdr:rowOff>19050</xdr:rowOff>
    </xdr:from>
    <xdr:ext cx="1028700" cy="428625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12</xdr:row>
      <xdr:rowOff>0</xdr:rowOff>
    </xdr:from>
    <xdr:ext cx="666750" cy="43815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1962150</xdr:colOff>
      <xdr:row>17</xdr:row>
      <xdr:rowOff>0</xdr:rowOff>
    </xdr:from>
    <xdr:ext cx="523875" cy="20002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24</xdr:row>
      <xdr:rowOff>114300</xdr:rowOff>
    </xdr:from>
    <xdr:ext cx="4467225" cy="1514475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1971675</xdr:colOff>
      <xdr:row>56</xdr:row>
      <xdr:rowOff>85725</xdr:rowOff>
    </xdr:from>
    <xdr:ext cx="1228725" cy="352425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65</xdr:row>
      <xdr:rowOff>114300</xdr:rowOff>
    </xdr:from>
    <xdr:ext cx="2867025" cy="838200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2390775</xdr:colOff>
      <xdr:row>5</xdr:row>
      <xdr:rowOff>19050</xdr:rowOff>
    </xdr:from>
    <xdr:ext cx="171450" cy="1333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0</xdr:row>
      <xdr:rowOff>400050</xdr:rowOff>
    </xdr:from>
    <xdr:ext cx="962025" cy="276225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</xdr:colOff>
      <xdr:row>0</xdr:row>
      <xdr:rowOff>962025</xdr:rowOff>
    </xdr:from>
    <xdr:ext cx="285750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6</xdr:row>
      <xdr:rowOff>28575</xdr:rowOff>
    </xdr:from>
    <xdr:ext cx="638175" cy="14287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4</xdr:row>
      <xdr:rowOff>38100</xdr:rowOff>
    </xdr:from>
    <xdr:ext cx="333375" cy="1238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2381250</xdr:colOff>
      <xdr:row>3</xdr:row>
      <xdr:rowOff>38100</xdr:rowOff>
    </xdr:from>
    <xdr:ext cx="171450" cy="1143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2343150</xdr:colOff>
      <xdr:row>7</xdr:row>
      <xdr:rowOff>19050</xdr:rowOff>
    </xdr:from>
    <xdr:ext cx="180975" cy="13335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8</xdr:row>
      <xdr:rowOff>19050</xdr:rowOff>
    </xdr:from>
    <xdr:ext cx="1028700" cy="428625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12</xdr:row>
      <xdr:rowOff>0</xdr:rowOff>
    </xdr:from>
    <xdr:ext cx="666750" cy="43815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1962150</xdr:colOff>
      <xdr:row>17</xdr:row>
      <xdr:rowOff>0</xdr:rowOff>
    </xdr:from>
    <xdr:ext cx="523875" cy="20002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24</xdr:row>
      <xdr:rowOff>114300</xdr:rowOff>
    </xdr:from>
    <xdr:ext cx="4467225" cy="1514475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1971675</xdr:colOff>
      <xdr:row>56</xdr:row>
      <xdr:rowOff>85725</xdr:rowOff>
    </xdr:from>
    <xdr:ext cx="1228725" cy="352425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65</xdr:row>
      <xdr:rowOff>114300</xdr:rowOff>
    </xdr:from>
    <xdr:ext cx="2867025" cy="838200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2390775</xdr:colOff>
      <xdr:row>5</xdr:row>
      <xdr:rowOff>19050</xdr:rowOff>
    </xdr:from>
    <xdr:ext cx="171450" cy="1333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0</xdr:row>
      <xdr:rowOff>400050</xdr:rowOff>
    </xdr:from>
    <xdr:ext cx="962025" cy="276225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</xdr:colOff>
      <xdr:row>0</xdr:row>
      <xdr:rowOff>962025</xdr:rowOff>
    </xdr:from>
    <xdr:ext cx="285750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6</xdr:row>
      <xdr:rowOff>28575</xdr:rowOff>
    </xdr:from>
    <xdr:ext cx="638175" cy="14287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4</xdr:row>
      <xdr:rowOff>38100</xdr:rowOff>
    </xdr:from>
    <xdr:ext cx="333375" cy="1238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2381250</xdr:colOff>
      <xdr:row>3</xdr:row>
      <xdr:rowOff>38100</xdr:rowOff>
    </xdr:from>
    <xdr:ext cx="171450" cy="1143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2343150</xdr:colOff>
      <xdr:row>7</xdr:row>
      <xdr:rowOff>19050</xdr:rowOff>
    </xdr:from>
    <xdr:ext cx="180975" cy="13335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8</xdr:row>
      <xdr:rowOff>19050</xdr:rowOff>
    </xdr:from>
    <xdr:ext cx="1028700" cy="428625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12</xdr:row>
      <xdr:rowOff>0</xdr:rowOff>
    </xdr:from>
    <xdr:ext cx="666750" cy="43815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1962150</xdr:colOff>
      <xdr:row>17</xdr:row>
      <xdr:rowOff>0</xdr:rowOff>
    </xdr:from>
    <xdr:ext cx="523875" cy="20002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24</xdr:row>
      <xdr:rowOff>114300</xdr:rowOff>
    </xdr:from>
    <xdr:ext cx="4467225" cy="1514475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1971675</xdr:colOff>
      <xdr:row>56</xdr:row>
      <xdr:rowOff>85725</xdr:rowOff>
    </xdr:from>
    <xdr:ext cx="1228725" cy="352425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65</xdr:row>
      <xdr:rowOff>114300</xdr:rowOff>
    </xdr:from>
    <xdr:ext cx="2867025" cy="838200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2390775</xdr:colOff>
      <xdr:row>5</xdr:row>
      <xdr:rowOff>19050</xdr:rowOff>
    </xdr:from>
    <xdr:ext cx="171450" cy="1333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0</xdr:row>
      <xdr:rowOff>400050</xdr:rowOff>
    </xdr:from>
    <xdr:ext cx="962025" cy="276225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</xdr:colOff>
      <xdr:row>0</xdr:row>
      <xdr:rowOff>962025</xdr:rowOff>
    </xdr:from>
    <xdr:ext cx="285750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6</xdr:row>
      <xdr:rowOff>28575</xdr:rowOff>
    </xdr:from>
    <xdr:ext cx="638175" cy="14287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4</xdr:row>
      <xdr:rowOff>38100</xdr:rowOff>
    </xdr:from>
    <xdr:ext cx="333375" cy="1238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2381250</xdr:colOff>
      <xdr:row>3</xdr:row>
      <xdr:rowOff>38100</xdr:rowOff>
    </xdr:from>
    <xdr:ext cx="171450" cy="1143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2343150</xdr:colOff>
      <xdr:row>7</xdr:row>
      <xdr:rowOff>19050</xdr:rowOff>
    </xdr:from>
    <xdr:ext cx="180975" cy="13335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8</xdr:row>
      <xdr:rowOff>19050</xdr:rowOff>
    </xdr:from>
    <xdr:ext cx="1028700" cy="428625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12</xdr:row>
      <xdr:rowOff>0</xdr:rowOff>
    </xdr:from>
    <xdr:ext cx="666750" cy="43815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1962150</xdr:colOff>
      <xdr:row>17</xdr:row>
      <xdr:rowOff>0</xdr:rowOff>
    </xdr:from>
    <xdr:ext cx="523875" cy="20002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24</xdr:row>
      <xdr:rowOff>114300</xdr:rowOff>
    </xdr:from>
    <xdr:ext cx="4467225" cy="1514475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1971675</xdr:colOff>
      <xdr:row>56</xdr:row>
      <xdr:rowOff>85725</xdr:rowOff>
    </xdr:from>
    <xdr:ext cx="1228725" cy="352425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65</xdr:row>
      <xdr:rowOff>114300</xdr:rowOff>
    </xdr:from>
    <xdr:ext cx="2867025" cy="838200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2390775</xdr:colOff>
      <xdr:row>5</xdr:row>
      <xdr:rowOff>19050</xdr:rowOff>
    </xdr:from>
    <xdr:ext cx="171450" cy="1333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0</xdr:row>
      <xdr:rowOff>400050</xdr:rowOff>
    </xdr:from>
    <xdr:ext cx="962025" cy="276225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</xdr:colOff>
      <xdr:row>0</xdr:row>
      <xdr:rowOff>962025</xdr:rowOff>
    </xdr:from>
    <xdr:ext cx="285750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6</xdr:row>
      <xdr:rowOff>28575</xdr:rowOff>
    </xdr:from>
    <xdr:ext cx="638175" cy="14287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4</xdr:row>
      <xdr:rowOff>38100</xdr:rowOff>
    </xdr:from>
    <xdr:ext cx="333375" cy="1238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2381250</xdr:colOff>
      <xdr:row>3</xdr:row>
      <xdr:rowOff>38100</xdr:rowOff>
    </xdr:from>
    <xdr:ext cx="171450" cy="1143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2343150</xdr:colOff>
      <xdr:row>7</xdr:row>
      <xdr:rowOff>19050</xdr:rowOff>
    </xdr:from>
    <xdr:ext cx="180975" cy="13335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8</xdr:row>
      <xdr:rowOff>19050</xdr:rowOff>
    </xdr:from>
    <xdr:ext cx="1028700" cy="428625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12</xdr:row>
      <xdr:rowOff>0</xdr:rowOff>
    </xdr:from>
    <xdr:ext cx="666750" cy="43815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1962150</xdr:colOff>
      <xdr:row>17</xdr:row>
      <xdr:rowOff>0</xdr:rowOff>
    </xdr:from>
    <xdr:ext cx="523875" cy="20002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24</xdr:row>
      <xdr:rowOff>114300</xdr:rowOff>
    </xdr:from>
    <xdr:ext cx="4467225" cy="1514475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1971675</xdr:colOff>
      <xdr:row>56</xdr:row>
      <xdr:rowOff>85725</xdr:rowOff>
    </xdr:from>
    <xdr:ext cx="1228725" cy="352425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65</xdr:row>
      <xdr:rowOff>114300</xdr:rowOff>
    </xdr:from>
    <xdr:ext cx="2867025" cy="838200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2390775</xdr:colOff>
      <xdr:row>5</xdr:row>
      <xdr:rowOff>19050</xdr:rowOff>
    </xdr:from>
    <xdr:ext cx="171450" cy="1333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0</xdr:row>
      <xdr:rowOff>400050</xdr:rowOff>
    </xdr:from>
    <xdr:ext cx="962025" cy="276225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</xdr:colOff>
      <xdr:row>0</xdr:row>
      <xdr:rowOff>962025</xdr:rowOff>
    </xdr:from>
    <xdr:ext cx="285750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6</xdr:row>
      <xdr:rowOff>28575</xdr:rowOff>
    </xdr:from>
    <xdr:ext cx="638175" cy="14287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4</xdr:row>
      <xdr:rowOff>38100</xdr:rowOff>
    </xdr:from>
    <xdr:ext cx="333375" cy="1238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2381250</xdr:colOff>
      <xdr:row>3</xdr:row>
      <xdr:rowOff>38100</xdr:rowOff>
    </xdr:from>
    <xdr:ext cx="171450" cy="1143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2343150</xdr:colOff>
      <xdr:row>7</xdr:row>
      <xdr:rowOff>19050</xdr:rowOff>
    </xdr:from>
    <xdr:ext cx="180975" cy="13335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8</xdr:row>
      <xdr:rowOff>19050</xdr:rowOff>
    </xdr:from>
    <xdr:ext cx="1028700" cy="428625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12</xdr:row>
      <xdr:rowOff>0</xdr:rowOff>
    </xdr:from>
    <xdr:ext cx="666750" cy="43815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1962150</xdr:colOff>
      <xdr:row>17</xdr:row>
      <xdr:rowOff>0</xdr:rowOff>
    </xdr:from>
    <xdr:ext cx="523875" cy="20002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24</xdr:row>
      <xdr:rowOff>114300</xdr:rowOff>
    </xdr:from>
    <xdr:ext cx="4467225" cy="1514475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1971675</xdr:colOff>
      <xdr:row>56</xdr:row>
      <xdr:rowOff>85725</xdr:rowOff>
    </xdr:from>
    <xdr:ext cx="1228725" cy="352425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65</xdr:row>
      <xdr:rowOff>114300</xdr:rowOff>
    </xdr:from>
    <xdr:ext cx="2867025" cy="838200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2390775</xdr:colOff>
      <xdr:row>5</xdr:row>
      <xdr:rowOff>19050</xdr:rowOff>
    </xdr:from>
    <xdr:ext cx="171450" cy="1333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0</xdr:row>
      <xdr:rowOff>609600</xdr:rowOff>
    </xdr:from>
    <xdr:ext cx="962025" cy="276225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523875</xdr:colOff>
      <xdr:row>0</xdr:row>
      <xdr:rowOff>1028700</xdr:rowOff>
    </xdr:from>
    <xdr:ext cx="285750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1943100</xdr:colOff>
      <xdr:row>6</xdr:row>
      <xdr:rowOff>28575</xdr:rowOff>
    </xdr:from>
    <xdr:ext cx="638175" cy="14287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2238375</xdr:colOff>
      <xdr:row>4</xdr:row>
      <xdr:rowOff>38100</xdr:rowOff>
    </xdr:from>
    <xdr:ext cx="333375" cy="1238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2381250</xdr:colOff>
      <xdr:row>3</xdr:row>
      <xdr:rowOff>38100</xdr:rowOff>
    </xdr:from>
    <xdr:ext cx="171450" cy="1143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2343150</xdr:colOff>
      <xdr:row>7</xdr:row>
      <xdr:rowOff>19050</xdr:rowOff>
    </xdr:from>
    <xdr:ext cx="180975" cy="13335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8</xdr:row>
      <xdr:rowOff>19050</xdr:rowOff>
    </xdr:from>
    <xdr:ext cx="1028700" cy="428625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12</xdr:row>
      <xdr:rowOff>0</xdr:rowOff>
    </xdr:from>
    <xdr:ext cx="666750" cy="43815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1962150</xdr:colOff>
      <xdr:row>17</xdr:row>
      <xdr:rowOff>0</xdr:rowOff>
    </xdr:from>
    <xdr:ext cx="523875" cy="20002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24</xdr:row>
      <xdr:rowOff>114300</xdr:rowOff>
    </xdr:from>
    <xdr:ext cx="4467225" cy="1514475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1971675</xdr:colOff>
      <xdr:row>56</xdr:row>
      <xdr:rowOff>85725</xdr:rowOff>
    </xdr:from>
    <xdr:ext cx="1228725" cy="352425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65</xdr:row>
      <xdr:rowOff>114300</xdr:rowOff>
    </xdr:from>
    <xdr:ext cx="2867025" cy="838200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3.43"/>
    <col customWidth="1" min="3" max="3" width="19.86"/>
    <col customWidth="1" min="4" max="4" width="23.14"/>
    <col customWidth="1" min="5" max="5" width="12.0"/>
    <col customWidth="1" min="6" max="6" width="39.0"/>
    <col customWidth="1" min="7" max="7" width="19.0"/>
    <col customWidth="1" min="8" max="26" width="9.14"/>
  </cols>
  <sheetData>
    <row r="1" ht="108.0" customHeight="1">
      <c r="A1" s="1" t="s">
        <v>0</v>
      </c>
      <c r="B1" s="2" t="s">
        <v>1</v>
      </c>
      <c r="C1" s="3" t="s">
        <v>2</v>
      </c>
      <c r="D1" s="3"/>
    </row>
    <row r="2">
      <c r="A2" s="4">
        <v>2.0</v>
      </c>
      <c r="B2" s="4">
        <v>3.0</v>
      </c>
      <c r="C2" s="4">
        <f t="shared" ref="C2:C88" si="1">B2-A2</f>
        <v>1</v>
      </c>
      <c r="D2" s="5">
        <f t="shared" ref="D2:D88" si="2">(C2-$G$6)^2</f>
        <v>1.243096842</v>
      </c>
    </row>
    <row r="3">
      <c r="A3" s="4">
        <v>3.0</v>
      </c>
      <c r="B3" s="4">
        <v>4.0</v>
      </c>
      <c r="C3" s="4">
        <f t="shared" si="1"/>
        <v>1</v>
      </c>
      <c r="D3" s="5">
        <f t="shared" si="2"/>
        <v>1.243096842</v>
      </c>
      <c r="F3" s="6" t="s">
        <v>3</v>
      </c>
      <c r="G3" s="6"/>
    </row>
    <row r="4">
      <c r="A4" s="4">
        <v>2.0</v>
      </c>
      <c r="B4" s="4">
        <v>4.0</v>
      </c>
      <c r="C4" s="4">
        <f t="shared" si="1"/>
        <v>2</v>
      </c>
      <c r="D4" s="5">
        <f t="shared" si="2"/>
        <v>0.01321178491</v>
      </c>
      <c r="F4" s="7" t="s">
        <v>4</v>
      </c>
      <c r="G4" s="7">
        <v>87.0</v>
      </c>
    </row>
    <row r="5">
      <c r="A5" s="4">
        <v>1.0</v>
      </c>
      <c r="B5" s="4">
        <v>5.0</v>
      </c>
      <c r="C5" s="4">
        <f t="shared" si="1"/>
        <v>4</v>
      </c>
      <c r="D5" s="5">
        <f t="shared" si="2"/>
        <v>3.55344167</v>
      </c>
      <c r="F5" s="7" t="s">
        <v>5</v>
      </c>
      <c r="G5" s="7">
        <f>SUM(C:C)</f>
        <v>184</v>
      </c>
    </row>
    <row r="6">
      <c r="A6" s="4">
        <v>2.0</v>
      </c>
      <c r="B6" s="4">
        <v>3.0</v>
      </c>
      <c r="C6" s="4">
        <f t="shared" si="1"/>
        <v>1</v>
      </c>
      <c r="D6" s="5">
        <f t="shared" si="2"/>
        <v>1.243096842</v>
      </c>
      <c r="F6" s="7" t="s">
        <v>6</v>
      </c>
      <c r="G6" s="7">
        <f>G5/G4</f>
        <v>2.114942529</v>
      </c>
    </row>
    <row r="7">
      <c r="A7" s="4">
        <v>3.0</v>
      </c>
      <c r="B7" s="4">
        <v>5.0</v>
      </c>
      <c r="C7" s="4">
        <f t="shared" si="1"/>
        <v>2</v>
      </c>
      <c r="D7" s="5">
        <f t="shared" si="2"/>
        <v>0.01321178491</v>
      </c>
      <c r="F7" s="7" t="s">
        <v>7</v>
      </c>
      <c r="G7" s="7">
        <f>SUM(D:D)</f>
        <v>146.8505747</v>
      </c>
    </row>
    <row r="8">
      <c r="A8" s="4">
        <v>3.0</v>
      </c>
      <c r="B8" s="4">
        <v>2.0</v>
      </c>
      <c r="C8" s="4">
        <f t="shared" si="1"/>
        <v>-1</v>
      </c>
      <c r="D8" s="5">
        <f t="shared" si="2"/>
        <v>9.702866957</v>
      </c>
      <c r="F8" s="7" t="s">
        <v>8</v>
      </c>
      <c r="G8" s="7">
        <f>SQRT(G7/(G4-1))</f>
        <v>1.306738238</v>
      </c>
    </row>
    <row r="9">
      <c r="A9" s="4">
        <v>1.0</v>
      </c>
      <c r="B9" s="4">
        <v>4.0</v>
      </c>
      <c r="C9" s="4">
        <f t="shared" si="1"/>
        <v>3</v>
      </c>
      <c r="D9" s="5">
        <f t="shared" si="2"/>
        <v>0.7833267274</v>
      </c>
    </row>
    <row r="10">
      <c r="A10" s="4">
        <v>2.0</v>
      </c>
      <c r="B10" s="4">
        <v>5.0</v>
      </c>
      <c r="C10" s="4">
        <f t="shared" si="1"/>
        <v>3</v>
      </c>
      <c r="D10" s="5">
        <f t="shared" si="2"/>
        <v>0.7833267274</v>
      </c>
    </row>
    <row r="11">
      <c r="A11" s="4">
        <v>1.0</v>
      </c>
      <c r="B11" s="4">
        <v>5.0</v>
      </c>
      <c r="C11" s="4">
        <f t="shared" si="1"/>
        <v>4</v>
      </c>
      <c r="D11" s="5">
        <f t="shared" si="2"/>
        <v>3.55344167</v>
      </c>
    </row>
    <row r="12">
      <c r="A12" s="4">
        <v>2.0</v>
      </c>
      <c r="B12" s="4">
        <v>3.0</v>
      </c>
      <c r="C12" s="4">
        <f t="shared" si="1"/>
        <v>1</v>
      </c>
      <c r="D12" s="5">
        <f t="shared" si="2"/>
        <v>1.243096842</v>
      </c>
      <c r="F12" s="7" t="s">
        <v>9</v>
      </c>
      <c r="G12" s="7">
        <f>G6/(G8/SQRT(G4))</f>
        <v>15.096268</v>
      </c>
    </row>
    <row r="13">
      <c r="A13" s="4">
        <v>1.0</v>
      </c>
      <c r="B13" s="4">
        <v>4.0</v>
      </c>
      <c r="C13" s="4">
        <f t="shared" si="1"/>
        <v>3</v>
      </c>
      <c r="D13" s="5">
        <f t="shared" si="2"/>
        <v>0.7833267274</v>
      </c>
    </row>
    <row r="14">
      <c r="A14" s="4">
        <v>2.0</v>
      </c>
      <c r="B14" s="4">
        <v>5.0</v>
      </c>
      <c r="C14" s="4">
        <f t="shared" si="1"/>
        <v>3</v>
      </c>
      <c r="D14" s="5">
        <f t="shared" si="2"/>
        <v>0.7833267274</v>
      </c>
    </row>
    <row r="15">
      <c r="A15" s="4">
        <v>1.0</v>
      </c>
      <c r="B15" s="4">
        <v>3.0</v>
      </c>
      <c r="C15" s="4">
        <f t="shared" si="1"/>
        <v>2</v>
      </c>
      <c r="D15" s="5">
        <f t="shared" si="2"/>
        <v>0.01321178491</v>
      </c>
    </row>
    <row r="16">
      <c r="A16" s="4">
        <v>2.0</v>
      </c>
      <c r="B16" s="4">
        <v>3.0</v>
      </c>
      <c r="C16" s="4">
        <f t="shared" si="1"/>
        <v>1</v>
      </c>
      <c r="D16" s="5">
        <f t="shared" si="2"/>
        <v>1.243096842</v>
      </c>
    </row>
    <row r="17">
      <c r="A17" s="4">
        <v>4.0</v>
      </c>
      <c r="B17" s="4">
        <v>5.0</v>
      </c>
      <c r="C17" s="4">
        <f t="shared" si="1"/>
        <v>1</v>
      </c>
      <c r="D17" s="5">
        <f t="shared" si="2"/>
        <v>1.243096842</v>
      </c>
      <c r="F17" s="7" t="s">
        <v>10</v>
      </c>
      <c r="G17" s="7">
        <v>0.05</v>
      </c>
    </row>
    <row r="18">
      <c r="A18" s="4">
        <v>3.0</v>
      </c>
      <c r="B18" s="4">
        <v>3.0</v>
      </c>
      <c r="C18" s="4">
        <f t="shared" si="1"/>
        <v>0</v>
      </c>
      <c r="D18" s="5">
        <f t="shared" si="2"/>
        <v>4.4729819</v>
      </c>
      <c r="F18" s="7" t="s">
        <v>11</v>
      </c>
      <c r="G18" s="7">
        <f>G4-1</f>
        <v>86</v>
      </c>
    </row>
    <row r="19">
      <c r="A19" s="4">
        <v>3.0</v>
      </c>
      <c r="B19" s="4">
        <v>5.0</v>
      </c>
      <c r="C19" s="4">
        <f t="shared" si="1"/>
        <v>2</v>
      </c>
      <c r="D19" s="5">
        <f t="shared" si="2"/>
        <v>0.01321178491</v>
      </c>
    </row>
    <row r="20">
      <c r="A20" s="4">
        <v>3.0</v>
      </c>
      <c r="B20" s="4">
        <v>3.0</v>
      </c>
      <c r="C20" s="4">
        <f t="shared" si="1"/>
        <v>0</v>
      </c>
      <c r="D20" s="5">
        <f t="shared" si="2"/>
        <v>4.4729819</v>
      </c>
    </row>
    <row r="21" ht="15.75" customHeight="1">
      <c r="A21" s="4">
        <v>1.0</v>
      </c>
      <c r="B21" s="4">
        <v>4.0</v>
      </c>
      <c r="C21" s="4">
        <f t="shared" si="1"/>
        <v>3</v>
      </c>
      <c r="D21" s="5">
        <f t="shared" si="2"/>
        <v>0.7833267274</v>
      </c>
    </row>
    <row r="22" ht="15.75" customHeight="1">
      <c r="A22" s="4">
        <v>2.0</v>
      </c>
      <c r="B22" s="4">
        <v>4.0</v>
      </c>
      <c r="C22" s="4">
        <f t="shared" si="1"/>
        <v>2</v>
      </c>
      <c r="D22" s="5">
        <f t="shared" si="2"/>
        <v>0.01321178491</v>
      </c>
      <c r="F22" s="6" t="s">
        <v>12</v>
      </c>
      <c r="G22" s="6"/>
    </row>
    <row r="23" ht="15.75" customHeight="1">
      <c r="A23" s="4">
        <v>1.0</v>
      </c>
      <c r="B23" s="4">
        <v>4.0</v>
      </c>
      <c r="C23" s="4">
        <f t="shared" si="1"/>
        <v>3</v>
      </c>
      <c r="D23" s="5">
        <f t="shared" si="2"/>
        <v>0.7833267274</v>
      </c>
      <c r="F23" s="7" t="s">
        <v>13</v>
      </c>
      <c r="G23" s="7">
        <f>_xlfn.T.INV.2T(G17,G18)</f>
        <v>1.987934206</v>
      </c>
    </row>
    <row r="24" ht="15.75" customHeight="1">
      <c r="A24" s="4">
        <v>2.0</v>
      </c>
      <c r="B24" s="4">
        <v>4.0</v>
      </c>
      <c r="C24" s="4">
        <f t="shared" si="1"/>
        <v>2</v>
      </c>
      <c r="D24" s="5">
        <f t="shared" si="2"/>
        <v>0.01321178491</v>
      </c>
      <c r="F24" s="7" t="s">
        <v>14</v>
      </c>
      <c r="G24" s="7">
        <f>_xlfn.T.INV(G17,G18)</f>
        <v>-1.662765449</v>
      </c>
    </row>
    <row r="25" ht="15.75" customHeight="1">
      <c r="A25" s="4">
        <v>1.0</v>
      </c>
      <c r="B25" s="4">
        <v>5.0</v>
      </c>
      <c r="C25" s="4">
        <f t="shared" si="1"/>
        <v>4</v>
      </c>
      <c r="D25" s="5">
        <f t="shared" si="2"/>
        <v>3.55344167</v>
      </c>
    </row>
    <row r="26" ht="15.75" customHeight="1">
      <c r="A26" s="4">
        <v>2.0</v>
      </c>
      <c r="B26" s="4">
        <v>4.0</v>
      </c>
      <c r="C26" s="4">
        <f t="shared" si="1"/>
        <v>2</v>
      </c>
      <c r="D26" s="5">
        <f t="shared" si="2"/>
        <v>0.01321178491</v>
      </c>
    </row>
    <row r="27" ht="15.75" customHeight="1">
      <c r="A27" s="4">
        <v>1.0</v>
      </c>
      <c r="B27" s="4">
        <v>5.0</v>
      </c>
      <c r="C27" s="4">
        <f t="shared" si="1"/>
        <v>4</v>
      </c>
      <c r="D27" s="5">
        <f t="shared" si="2"/>
        <v>3.55344167</v>
      </c>
    </row>
    <row r="28" ht="15.75" customHeight="1">
      <c r="A28" s="4">
        <v>2.0</v>
      </c>
      <c r="B28" s="4">
        <v>4.0</v>
      </c>
      <c r="C28" s="4">
        <f t="shared" si="1"/>
        <v>2</v>
      </c>
      <c r="D28" s="5">
        <f t="shared" si="2"/>
        <v>0.01321178491</v>
      </c>
    </row>
    <row r="29" ht="15.75" customHeight="1">
      <c r="A29" s="4">
        <v>1.0</v>
      </c>
      <c r="B29" s="4">
        <v>3.0</v>
      </c>
      <c r="C29" s="4">
        <f t="shared" si="1"/>
        <v>2</v>
      </c>
      <c r="D29" s="5">
        <f t="shared" si="2"/>
        <v>0.01321178491</v>
      </c>
    </row>
    <row r="30" ht="15.75" customHeight="1">
      <c r="A30" s="4">
        <v>2.0</v>
      </c>
      <c r="B30" s="4">
        <v>4.0</v>
      </c>
      <c r="C30" s="4">
        <f t="shared" si="1"/>
        <v>2</v>
      </c>
      <c r="D30" s="5">
        <f t="shared" si="2"/>
        <v>0.01321178491</v>
      </c>
    </row>
    <row r="31" ht="15.75" customHeight="1">
      <c r="A31" s="4">
        <v>1.0</v>
      </c>
      <c r="B31" s="4">
        <v>4.0</v>
      </c>
      <c r="C31" s="4">
        <f t="shared" si="1"/>
        <v>3</v>
      </c>
      <c r="D31" s="5">
        <f t="shared" si="2"/>
        <v>0.7833267274</v>
      </c>
    </row>
    <row r="32" ht="15.75" customHeight="1">
      <c r="A32" s="4">
        <v>2.0</v>
      </c>
      <c r="B32" s="4">
        <v>3.0</v>
      </c>
      <c r="C32" s="4">
        <f t="shared" si="1"/>
        <v>1</v>
      </c>
      <c r="D32" s="5">
        <f t="shared" si="2"/>
        <v>1.243096842</v>
      </c>
    </row>
    <row r="33" ht="15.75" customHeight="1">
      <c r="A33" s="4">
        <v>1.0</v>
      </c>
      <c r="B33" s="4">
        <v>5.0</v>
      </c>
      <c r="C33" s="4">
        <f t="shared" si="1"/>
        <v>4</v>
      </c>
      <c r="D33" s="5">
        <f t="shared" si="2"/>
        <v>3.55344167</v>
      </c>
    </row>
    <row r="34" ht="15.75" customHeight="1">
      <c r="A34" s="4">
        <v>2.0</v>
      </c>
      <c r="B34" s="4">
        <v>2.0</v>
      </c>
      <c r="C34" s="4">
        <f t="shared" si="1"/>
        <v>0</v>
      </c>
      <c r="D34" s="5">
        <f t="shared" si="2"/>
        <v>4.4729819</v>
      </c>
      <c r="F34" s="7" t="s">
        <v>15</v>
      </c>
    </row>
    <row r="35" ht="15.75" customHeight="1">
      <c r="A35" s="4">
        <v>1.0</v>
      </c>
      <c r="B35" s="4">
        <v>3.0</v>
      </c>
      <c r="C35" s="4">
        <f t="shared" si="1"/>
        <v>2</v>
      </c>
      <c r="D35" s="5">
        <f t="shared" si="2"/>
        <v>0.01321178491</v>
      </c>
      <c r="F35" s="7" t="s">
        <v>16</v>
      </c>
    </row>
    <row r="36" ht="15.75" customHeight="1">
      <c r="A36" s="4">
        <v>2.0</v>
      </c>
      <c r="B36" s="4">
        <v>4.0</v>
      </c>
      <c r="C36" s="4">
        <f t="shared" si="1"/>
        <v>2</v>
      </c>
      <c r="D36" s="5">
        <f t="shared" si="2"/>
        <v>0.01321178491</v>
      </c>
    </row>
    <row r="37" ht="15.75" customHeight="1">
      <c r="A37" s="4">
        <v>1.0</v>
      </c>
      <c r="B37" s="4">
        <v>4.0</v>
      </c>
      <c r="C37" s="4">
        <f t="shared" si="1"/>
        <v>3</v>
      </c>
      <c r="D37" s="5">
        <f t="shared" si="2"/>
        <v>0.7833267274</v>
      </c>
    </row>
    <row r="38" ht="15.75" customHeight="1">
      <c r="A38" s="4">
        <v>2.0</v>
      </c>
      <c r="B38" s="4">
        <v>3.0</v>
      </c>
      <c r="C38" s="4">
        <f t="shared" si="1"/>
        <v>1</v>
      </c>
      <c r="D38" s="5">
        <f t="shared" si="2"/>
        <v>1.243096842</v>
      </c>
    </row>
    <row r="39" ht="15.75" customHeight="1">
      <c r="A39" s="4">
        <v>1.0</v>
      </c>
      <c r="B39" s="4">
        <v>3.0</v>
      </c>
      <c r="C39" s="4">
        <f t="shared" si="1"/>
        <v>2</v>
      </c>
      <c r="D39" s="5">
        <f t="shared" si="2"/>
        <v>0.01321178491</v>
      </c>
      <c r="F39" s="6" t="s">
        <v>17</v>
      </c>
      <c r="G39" s="6"/>
    </row>
    <row r="40" ht="15.75" customHeight="1">
      <c r="A40" s="4">
        <v>2.0</v>
      </c>
      <c r="B40" s="4">
        <v>5.0</v>
      </c>
      <c r="C40" s="4">
        <f t="shared" si="1"/>
        <v>3</v>
      </c>
      <c r="D40" s="5">
        <f t="shared" si="2"/>
        <v>0.7833267274</v>
      </c>
      <c r="F40" s="7" t="s">
        <v>17</v>
      </c>
    </row>
    <row r="41" ht="15.75" customHeight="1">
      <c r="A41" s="4">
        <v>1.0</v>
      </c>
      <c r="B41" s="4">
        <v>5.0</v>
      </c>
      <c r="C41" s="4">
        <f t="shared" si="1"/>
        <v>4</v>
      </c>
      <c r="D41" s="5">
        <f t="shared" si="2"/>
        <v>3.55344167</v>
      </c>
      <c r="F41" s="7" t="s">
        <v>18</v>
      </c>
      <c r="G41" s="7">
        <f>TTEST(A:A,B:B,2,1)</f>
        <v>0</v>
      </c>
    </row>
    <row r="42" ht="15.75" customHeight="1">
      <c r="A42" s="4">
        <v>2.0</v>
      </c>
      <c r="B42" s="4">
        <v>3.0</v>
      </c>
      <c r="C42" s="4">
        <f t="shared" si="1"/>
        <v>1</v>
      </c>
      <c r="D42" s="5">
        <f t="shared" si="2"/>
        <v>1.243096842</v>
      </c>
      <c r="F42" s="7" t="s">
        <v>19</v>
      </c>
      <c r="G42" s="7">
        <f>TTEST(A:A,B:B,1,1)</f>
        <v>0</v>
      </c>
    </row>
    <row r="43" ht="15.75" customHeight="1">
      <c r="A43" s="4">
        <v>3.0</v>
      </c>
      <c r="B43" s="4">
        <v>5.0</v>
      </c>
      <c r="C43" s="4">
        <f t="shared" si="1"/>
        <v>2</v>
      </c>
      <c r="D43" s="5">
        <f t="shared" si="2"/>
        <v>0.01321178491</v>
      </c>
    </row>
    <row r="44" ht="15.75" customHeight="1">
      <c r="A44" s="4">
        <v>3.0</v>
      </c>
      <c r="B44" s="4">
        <v>3.0</v>
      </c>
      <c r="C44" s="4">
        <f t="shared" si="1"/>
        <v>0</v>
      </c>
      <c r="D44" s="5">
        <f t="shared" si="2"/>
        <v>4.4729819</v>
      </c>
    </row>
    <row r="45" ht="15.75" customHeight="1">
      <c r="A45" s="4">
        <v>1.0</v>
      </c>
      <c r="B45" s="4">
        <v>5.0</v>
      </c>
      <c r="C45" s="4">
        <f t="shared" si="1"/>
        <v>4</v>
      </c>
      <c r="D45" s="5">
        <f t="shared" si="2"/>
        <v>3.55344167</v>
      </c>
      <c r="F45" s="6" t="s">
        <v>20</v>
      </c>
      <c r="G45" s="6"/>
    </row>
    <row r="46" ht="15.75" customHeight="1">
      <c r="A46" s="4">
        <v>2.0</v>
      </c>
      <c r="B46" s="4">
        <v>3.0</v>
      </c>
      <c r="C46" s="4">
        <f t="shared" si="1"/>
        <v>1</v>
      </c>
      <c r="D46" s="5">
        <f t="shared" si="2"/>
        <v>1.243096842</v>
      </c>
    </row>
    <row r="47" ht="15.75" customHeight="1">
      <c r="A47" s="4">
        <v>1.0</v>
      </c>
      <c r="B47" s="4">
        <v>4.0</v>
      </c>
      <c r="C47" s="4">
        <f t="shared" si="1"/>
        <v>3</v>
      </c>
      <c r="D47" s="5">
        <f t="shared" si="2"/>
        <v>0.7833267274</v>
      </c>
      <c r="F47" s="7" t="s">
        <v>21</v>
      </c>
    </row>
    <row r="48" ht="15.75" customHeight="1">
      <c r="A48" s="4">
        <v>2.0</v>
      </c>
      <c r="B48" s="4">
        <v>5.0</v>
      </c>
      <c r="C48" s="4">
        <f t="shared" si="1"/>
        <v>3</v>
      </c>
      <c r="D48" s="5">
        <f t="shared" si="2"/>
        <v>0.7833267274</v>
      </c>
      <c r="F48" s="7" t="s">
        <v>22</v>
      </c>
    </row>
    <row r="49" ht="15.75" customHeight="1">
      <c r="A49" s="4">
        <v>1.0</v>
      </c>
      <c r="B49" s="4">
        <v>5.0</v>
      </c>
      <c r="C49" s="4">
        <f t="shared" si="1"/>
        <v>4</v>
      </c>
      <c r="D49" s="5">
        <f t="shared" si="2"/>
        <v>3.55344167</v>
      </c>
    </row>
    <row r="50" ht="15.75" customHeight="1">
      <c r="A50" s="4">
        <v>2.0</v>
      </c>
      <c r="B50" s="4">
        <v>4.0</v>
      </c>
      <c r="C50" s="4">
        <f t="shared" si="1"/>
        <v>2</v>
      </c>
      <c r="D50" s="5">
        <f t="shared" si="2"/>
        <v>0.01321178491</v>
      </c>
      <c r="F50" s="7" t="s">
        <v>23</v>
      </c>
    </row>
    <row r="51" ht="15.75" customHeight="1">
      <c r="A51" s="4">
        <v>1.0</v>
      </c>
      <c r="B51" s="4">
        <v>5.0</v>
      </c>
      <c r="C51" s="4">
        <f t="shared" si="1"/>
        <v>4</v>
      </c>
      <c r="D51" s="5">
        <f t="shared" si="2"/>
        <v>3.55344167</v>
      </c>
      <c r="F51" s="7" t="s">
        <v>24</v>
      </c>
    </row>
    <row r="52" ht="15.75" customHeight="1">
      <c r="A52" s="4">
        <v>2.0</v>
      </c>
      <c r="B52" s="4">
        <v>3.0</v>
      </c>
      <c r="C52" s="4">
        <f t="shared" si="1"/>
        <v>1</v>
      </c>
      <c r="D52" s="5">
        <f t="shared" si="2"/>
        <v>1.243096842</v>
      </c>
    </row>
    <row r="53" ht="15.75" customHeight="1">
      <c r="A53" s="4">
        <v>1.0</v>
      </c>
      <c r="B53" s="4">
        <v>4.0</v>
      </c>
      <c r="C53" s="4">
        <f t="shared" si="1"/>
        <v>3</v>
      </c>
      <c r="D53" s="5">
        <f t="shared" si="2"/>
        <v>0.7833267274</v>
      </c>
    </row>
    <row r="54" ht="15.75" customHeight="1">
      <c r="A54" s="4">
        <v>2.0</v>
      </c>
      <c r="B54" s="4">
        <v>3.0</v>
      </c>
      <c r="C54" s="4">
        <f t="shared" si="1"/>
        <v>1</v>
      </c>
      <c r="D54" s="5">
        <f t="shared" si="2"/>
        <v>1.243096842</v>
      </c>
    </row>
    <row r="55" ht="15.75" customHeight="1">
      <c r="A55" s="4">
        <v>1.0</v>
      </c>
      <c r="B55" s="4">
        <v>5.0</v>
      </c>
      <c r="C55" s="4">
        <f t="shared" si="1"/>
        <v>4</v>
      </c>
      <c r="D55" s="5">
        <f t="shared" si="2"/>
        <v>3.55344167</v>
      </c>
    </row>
    <row r="56" ht="15.75" customHeight="1">
      <c r="A56" s="4">
        <v>2.0</v>
      </c>
      <c r="B56" s="4">
        <v>4.0</v>
      </c>
      <c r="C56" s="4">
        <f t="shared" si="1"/>
        <v>2</v>
      </c>
      <c r="D56" s="5">
        <f t="shared" si="2"/>
        <v>0.01321178491</v>
      </c>
      <c r="F56" s="6" t="s">
        <v>25</v>
      </c>
    </row>
    <row r="57" ht="15.75" customHeight="1">
      <c r="A57" s="4">
        <v>1.0</v>
      </c>
      <c r="B57" s="4">
        <v>4.0</v>
      </c>
      <c r="C57" s="4">
        <f t="shared" si="1"/>
        <v>3</v>
      </c>
      <c r="D57" s="5">
        <f t="shared" si="2"/>
        <v>0.7833267274</v>
      </c>
    </row>
    <row r="58" ht="15.75" customHeight="1">
      <c r="A58" s="4">
        <v>2.0</v>
      </c>
      <c r="B58" s="4">
        <v>5.0</v>
      </c>
      <c r="C58" s="4">
        <f t="shared" si="1"/>
        <v>3</v>
      </c>
      <c r="D58" s="5">
        <f t="shared" si="2"/>
        <v>0.7833267274</v>
      </c>
      <c r="F58" s="7" t="s">
        <v>26</v>
      </c>
    </row>
    <row r="59" ht="15.75" customHeight="1">
      <c r="A59" s="4">
        <v>1.0</v>
      </c>
      <c r="B59" s="4">
        <v>5.0</v>
      </c>
      <c r="C59" s="4">
        <f t="shared" si="1"/>
        <v>4</v>
      </c>
      <c r="D59" s="5">
        <f t="shared" si="2"/>
        <v>3.55344167</v>
      </c>
      <c r="F59" s="7" t="s">
        <v>27</v>
      </c>
    </row>
    <row r="60" ht="15.75" customHeight="1">
      <c r="A60" s="4">
        <v>2.0</v>
      </c>
      <c r="B60" s="4">
        <v>3.0</v>
      </c>
      <c r="C60" s="4">
        <f t="shared" si="1"/>
        <v>1</v>
      </c>
      <c r="D60" s="5">
        <f t="shared" si="2"/>
        <v>1.243096842</v>
      </c>
      <c r="F60" s="7" t="s">
        <v>28</v>
      </c>
    </row>
    <row r="61" ht="15.75" customHeight="1">
      <c r="A61" s="4">
        <v>1.0</v>
      </c>
      <c r="B61" s="4">
        <v>3.0</v>
      </c>
      <c r="C61" s="4">
        <f t="shared" si="1"/>
        <v>2</v>
      </c>
      <c r="D61" s="5">
        <f t="shared" si="2"/>
        <v>0.01321178491</v>
      </c>
    </row>
    <row r="62" ht="15.75" customHeight="1">
      <c r="A62" s="4">
        <v>2.0</v>
      </c>
      <c r="B62" s="4">
        <v>5.0</v>
      </c>
      <c r="C62" s="4">
        <f t="shared" si="1"/>
        <v>3</v>
      </c>
      <c r="D62" s="5">
        <f t="shared" si="2"/>
        <v>0.7833267274</v>
      </c>
    </row>
    <row r="63" ht="15.75" customHeight="1">
      <c r="A63" s="4">
        <v>1.0</v>
      </c>
      <c r="B63" s="4">
        <v>3.0</v>
      </c>
      <c r="C63" s="4">
        <f t="shared" si="1"/>
        <v>2</v>
      </c>
      <c r="D63" s="5">
        <f t="shared" si="2"/>
        <v>0.01321178491</v>
      </c>
    </row>
    <row r="64" ht="15.75" customHeight="1">
      <c r="A64" s="4">
        <v>2.0</v>
      </c>
      <c r="B64" s="4">
        <v>3.0</v>
      </c>
      <c r="C64" s="4">
        <f t="shared" si="1"/>
        <v>1</v>
      </c>
      <c r="D64" s="5">
        <f t="shared" si="2"/>
        <v>1.243096842</v>
      </c>
    </row>
    <row r="65" ht="15.75" customHeight="1">
      <c r="A65" s="4">
        <v>1.0</v>
      </c>
      <c r="B65" s="4">
        <v>4.0</v>
      </c>
      <c r="C65" s="4">
        <f t="shared" si="1"/>
        <v>3</v>
      </c>
      <c r="D65" s="5">
        <f t="shared" si="2"/>
        <v>0.7833267274</v>
      </c>
      <c r="F65" s="6" t="s">
        <v>25</v>
      </c>
    </row>
    <row r="66" ht="15.75" customHeight="1">
      <c r="A66" s="4">
        <v>2.0</v>
      </c>
      <c r="B66" s="4">
        <v>4.0</v>
      </c>
      <c r="C66" s="4">
        <f t="shared" si="1"/>
        <v>2</v>
      </c>
      <c r="D66" s="5">
        <f t="shared" si="2"/>
        <v>0.01321178491</v>
      </c>
    </row>
    <row r="67" ht="15.75" customHeight="1">
      <c r="A67" s="4">
        <v>3.0</v>
      </c>
      <c r="B67" s="4">
        <v>3.0</v>
      </c>
      <c r="C67" s="4">
        <f t="shared" si="1"/>
        <v>0</v>
      </c>
      <c r="D67" s="5">
        <f t="shared" si="2"/>
        <v>4.4729819</v>
      </c>
    </row>
    <row r="68" ht="15.75" customHeight="1">
      <c r="A68" s="4">
        <v>4.0</v>
      </c>
      <c r="B68" s="4">
        <v>4.0</v>
      </c>
      <c r="C68" s="4">
        <f t="shared" si="1"/>
        <v>0</v>
      </c>
      <c r="D68" s="5">
        <f t="shared" si="2"/>
        <v>4.4729819</v>
      </c>
    </row>
    <row r="69" ht="15.75" customHeight="1">
      <c r="A69" s="4">
        <v>1.0</v>
      </c>
      <c r="B69" s="4">
        <v>5.0</v>
      </c>
      <c r="C69" s="4">
        <f t="shared" si="1"/>
        <v>4</v>
      </c>
      <c r="D69" s="5">
        <f t="shared" si="2"/>
        <v>3.55344167</v>
      </c>
    </row>
    <row r="70" ht="15.75" customHeight="1">
      <c r="A70" s="4">
        <v>2.0</v>
      </c>
      <c r="B70" s="4">
        <v>5.0</v>
      </c>
      <c r="C70" s="4">
        <f t="shared" si="1"/>
        <v>3</v>
      </c>
      <c r="D70" s="5">
        <f t="shared" si="2"/>
        <v>0.7833267274</v>
      </c>
    </row>
    <row r="71" ht="15.75" customHeight="1">
      <c r="A71" s="4">
        <v>1.0</v>
      </c>
      <c r="B71" s="4">
        <v>4.0</v>
      </c>
      <c r="C71" s="4">
        <f t="shared" si="1"/>
        <v>3</v>
      </c>
      <c r="D71" s="5">
        <f t="shared" si="2"/>
        <v>0.7833267274</v>
      </c>
    </row>
    <row r="72" ht="15.75" customHeight="1">
      <c r="A72" s="4">
        <v>2.0</v>
      </c>
      <c r="B72" s="4">
        <v>4.0</v>
      </c>
      <c r="C72" s="4">
        <f t="shared" si="1"/>
        <v>2</v>
      </c>
      <c r="D72" s="5">
        <f t="shared" si="2"/>
        <v>0.01321178491</v>
      </c>
      <c r="F72" s="7" t="s">
        <v>29</v>
      </c>
    </row>
    <row r="73" ht="15.75" customHeight="1">
      <c r="A73" s="4">
        <v>1.0</v>
      </c>
      <c r="B73" s="4">
        <v>3.0</v>
      </c>
      <c r="C73" s="4">
        <f t="shared" si="1"/>
        <v>2</v>
      </c>
      <c r="D73" s="5">
        <f t="shared" si="2"/>
        <v>0.01321178491</v>
      </c>
      <c r="F73" s="7" t="s">
        <v>30</v>
      </c>
    </row>
    <row r="74" ht="15.75" customHeight="1">
      <c r="A74" s="4">
        <v>2.0</v>
      </c>
      <c r="B74" s="4">
        <v>1.0</v>
      </c>
      <c r="C74" s="4">
        <f t="shared" si="1"/>
        <v>-1</v>
      </c>
      <c r="D74" s="5">
        <f t="shared" si="2"/>
        <v>9.702866957</v>
      </c>
      <c r="F74" s="7" t="s">
        <v>29</v>
      </c>
    </row>
    <row r="75" ht="15.75" customHeight="1">
      <c r="A75" s="4">
        <v>1.0</v>
      </c>
      <c r="B75" s="4">
        <v>5.0</v>
      </c>
      <c r="C75" s="4">
        <f t="shared" si="1"/>
        <v>4</v>
      </c>
      <c r="D75" s="5">
        <f t="shared" si="2"/>
        <v>3.55344167</v>
      </c>
      <c r="F75" s="7" t="s">
        <v>31</v>
      </c>
    </row>
    <row r="76" ht="15.75" customHeight="1">
      <c r="A76" s="4">
        <v>2.0</v>
      </c>
      <c r="B76" s="4">
        <v>3.0</v>
      </c>
      <c r="C76" s="4">
        <f t="shared" si="1"/>
        <v>1</v>
      </c>
      <c r="D76" s="5">
        <f t="shared" si="2"/>
        <v>1.243096842</v>
      </c>
    </row>
    <row r="77" ht="15.75" customHeight="1">
      <c r="A77" s="4">
        <v>1.0</v>
      </c>
      <c r="B77" s="4">
        <v>5.0</v>
      </c>
      <c r="C77" s="4">
        <f t="shared" si="1"/>
        <v>4</v>
      </c>
      <c r="D77" s="5">
        <f t="shared" si="2"/>
        <v>3.55344167</v>
      </c>
    </row>
    <row r="78" ht="15.75" customHeight="1">
      <c r="A78" s="4">
        <v>2.0</v>
      </c>
      <c r="B78" s="4">
        <v>4.0</v>
      </c>
      <c r="C78" s="4">
        <f t="shared" si="1"/>
        <v>2</v>
      </c>
      <c r="D78" s="5">
        <f t="shared" si="2"/>
        <v>0.01321178491</v>
      </c>
    </row>
    <row r="79" ht="15.75" customHeight="1">
      <c r="A79" s="4">
        <v>1.0</v>
      </c>
      <c r="B79" s="4">
        <v>4.0</v>
      </c>
      <c r="C79" s="4">
        <f t="shared" si="1"/>
        <v>3</v>
      </c>
      <c r="D79" s="5">
        <f t="shared" si="2"/>
        <v>0.7833267274</v>
      </c>
    </row>
    <row r="80" ht="15.75" customHeight="1">
      <c r="A80" s="4">
        <v>2.0</v>
      </c>
      <c r="B80" s="4">
        <v>4.0</v>
      </c>
      <c r="C80" s="4">
        <f t="shared" si="1"/>
        <v>2</v>
      </c>
      <c r="D80" s="5">
        <f t="shared" si="2"/>
        <v>0.01321178491</v>
      </c>
    </row>
    <row r="81" ht="15.75" customHeight="1">
      <c r="A81" s="4">
        <v>4.0</v>
      </c>
      <c r="B81" s="4">
        <v>4.0</v>
      </c>
      <c r="C81" s="4">
        <f t="shared" si="1"/>
        <v>0</v>
      </c>
      <c r="D81" s="5">
        <f t="shared" si="2"/>
        <v>4.4729819</v>
      </c>
    </row>
    <row r="82" ht="15.75" customHeight="1">
      <c r="A82" s="4">
        <v>3.0</v>
      </c>
      <c r="B82" s="4">
        <v>3.0</v>
      </c>
      <c r="C82" s="4">
        <f t="shared" si="1"/>
        <v>0</v>
      </c>
      <c r="D82" s="5">
        <f t="shared" si="2"/>
        <v>4.4729819</v>
      </c>
    </row>
    <row r="83" ht="15.75" customHeight="1">
      <c r="A83" s="4">
        <v>1.0</v>
      </c>
      <c r="B83" s="4">
        <v>5.0</v>
      </c>
      <c r="C83" s="4">
        <f t="shared" si="1"/>
        <v>4</v>
      </c>
      <c r="D83" s="5">
        <f t="shared" si="2"/>
        <v>3.55344167</v>
      </c>
    </row>
    <row r="84" ht="15.75" customHeight="1">
      <c r="A84" s="4">
        <v>2.0</v>
      </c>
      <c r="B84" s="4">
        <v>3.0</v>
      </c>
      <c r="C84" s="4">
        <f t="shared" si="1"/>
        <v>1</v>
      </c>
      <c r="D84" s="5">
        <f t="shared" si="2"/>
        <v>1.243096842</v>
      </c>
    </row>
    <row r="85" ht="15.75" customHeight="1">
      <c r="A85" s="4">
        <v>1.0</v>
      </c>
      <c r="B85" s="4">
        <v>4.0</v>
      </c>
      <c r="C85" s="4">
        <f t="shared" si="1"/>
        <v>3</v>
      </c>
      <c r="D85" s="5">
        <f t="shared" si="2"/>
        <v>0.7833267274</v>
      </c>
    </row>
    <row r="86" ht="15.75" customHeight="1">
      <c r="A86" s="4">
        <v>2.0</v>
      </c>
      <c r="B86" s="4">
        <v>3.0</v>
      </c>
      <c r="C86" s="4">
        <f t="shared" si="1"/>
        <v>1</v>
      </c>
      <c r="D86" s="5">
        <f t="shared" si="2"/>
        <v>1.243096842</v>
      </c>
    </row>
    <row r="87" ht="15.75" customHeight="1">
      <c r="A87" s="4">
        <v>1.0</v>
      </c>
      <c r="B87" s="4">
        <v>3.0</v>
      </c>
      <c r="C87" s="4">
        <f t="shared" si="1"/>
        <v>2</v>
      </c>
      <c r="D87" s="5">
        <f t="shared" si="2"/>
        <v>0.01321178491</v>
      </c>
    </row>
    <row r="88" ht="15.75" customHeight="1">
      <c r="A88" s="4">
        <v>2.0</v>
      </c>
      <c r="B88" s="4">
        <v>3.0</v>
      </c>
      <c r="C88" s="4">
        <f t="shared" si="1"/>
        <v>1</v>
      </c>
      <c r="D88" s="5">
        <f t="shared" si="2"/>
        <v>1.243096842</v>
      </c>
    </row>
    <row r="89" ht="15.75" customHeight="1"/>
    <row r="90" ht="15.75" customHeight="1"/>
    <row r="91" ht="15.75" customHeight="1"/>
    <row r="92" ht="15.75" customHeight="1"/>
    <row r="93" ht="15.75" customHeight="1">
      <c r="F93" s="8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3.43"/>
    <col customWidth="1" min="3" max="3" width="19.86"/>
    <col customWidth="1" min="4" max="4" width="23.14"/>
    <col customWidth="1" min="5" max="5" width="12.0"/>
    <col customWidth="1" min="6" max="6" width="39.0"/>
    <col customWidth="1" min="7" max="7" width="19.0"/>
    <col customWidth="1" min="8" max="26" width="9.14"/>
  </cols>
  <sheetData>
    <row r="1" ht="108.0" customHeight="1">
      <c r="A1" s="1" t="s">
        <v>32</v>
      </c>
      <c r="B1" s="2" t="s">
        <v>33</v>
      </c>
      <c r="C1" s="3" t="s">
        <v>2</v>
      </c>
      <c r="D1" s="3"/>
    </row>
    <row r="2">
      <c r="A2" s="4">
        <v>2.0</v>
      </c>
      <c r="B2" s="4">
        <v>3.0</v>
      </c>
      <c r="C2" s="4">
        <f t="shared" ref="C2:C88" si="1">B2-A2</f>
        <v>1</v>
      </c>
      <c r="D2" s="5">
        <f t="shared" ref="D2:D88" si="2">(C2-$G$6)^2</f>
        <v>1.456599287</v>
      </c>
    </row>
    <row r="3">
      <c r="A3" s="4">
        <v>1.0</v>
      </c>
      <c r="B3" s="4">
        <v>4.0</v>
      </c>
      <c r="C3" s="4">
        <f t="shared" si="1"/>
        <v>3</v>
      </c>
      <c r="D3" s="5">
        <f t="shared" si="2"/>
        <v>0.6290130797</v>
      </c>
      <c r="F3" s="6" t="s">
        <v>3</v>
      </c>
      <c r="G3" s="6"/>
    </row>
    <row r="4">
      <c r="A4" s="4">
        <v>2.0</v>
      </c>
      <c r="B4" s="4">
        <v>5.0</v>
      </c>
      <c r="C4" s="4">
        <f t="shared" si="1"/>
        <v>3</v>
      </c>
      <c r="D4" s="5">
        <f t="shared" si="2"/>
        <v>0.6290130797</v>
      </c>
      <c r="F4" s="7" t="s">
        <v>4</v>
      </c>
      <c r="G4" s="7">
        <v>87.0</v>
      </c>
    </row>
    <row r="5">
      <c r="A5" s="4">
        <v>1.0</v>
      </c>
      <c r="B5" s="4">
        <v>3.0</v>
      </c>
      <c r="C5" s="4">
        <f t="shared" si="1"/>
        <v>2</v>
      </c>
      <c r="D5" s="5">
        <f t="shared" si="2"/>
        <v>0.04280618312</v>
      </c>
      <c r="F5" s="7" t="s">
        <v>5</v>
      </c>
      <c r="G5" s="7">
        <f>SUM(C:C)</f>
        <v>192</v>
      </c>
    </row>
    <row r="6">
      <c r="A6" s="4">
        <v>2.0</v>
      </c>
      <c r="B6" s="4">
        <v>5.0</v>
      </c>
      <c r="C6" s="4">
        <f t="shared" si="1"/>
        <v>3</v>
      </c>
      <c r="D6" s="5">
        <f t="shared" si="2"/>
        <v>0.6290130797</v>
      </c>
      <c r="F6" s="7" t="s">
        <v>6</v>
      </c>
      <c r="G6" s="7">
        <f>G5/G4</f>
        <v>2.206896552</v>
      </c>
    </row>
    <row r="7">
      <c r="A7" s="4">
        <v>1.0</v>
      </c>
      <c r="B7" s="4">
        <v>2.0</v>
      </c>
      <c r="C7" s="4">
        <f t="shared" si="1"/>
        <v>1</v>
      </c>
      <c r="D7" s="5">
        <f t="shared" si="2"/>
        <v>1.456599287</v>
      </c>
      <c r="F7" s="7" t="s">
        <v>7</v>
      </c>
      <c r="G7" s="7">
        <f>SUM(D:D)</f>
        <v>140.2758621</v>
      </c>
    </row>
    <row r="8">
      <c r="A8" s="4">
        <v>2.0</v>
      </c>
      <c r="B8" s="4">
        <v>3.0</v>
      </c>
      <c r="C8" s="4">
        <f t="shared" si="1"/>
        <v>1</v>
      </c>
      <c r="D8" s="5">
        <f t="shared" si="2"/>
        <v>1.456599287</v>
      </c>
      <c r="F8" s="7" t="s">
        <v>8</v>
      </c>
      <c r="G8" s="7">
        <f>SQRT(G7/(G4-1))</f>
        <v>1.277150999</v>
      </c>
    </row>
    <row r="9">
      <c r="A9" s="4">
        <v>1.0</v>
      </c>
      <c r="B9" s="4">
        <v>3.0</v>
      </c>
      <c r="C9" s="4">
        <f t="shared" si="1"/>
        <v>2</v>
      </c>
      <c r="D9" s="5">
        <f t="shared" si="2"/>
        <v>0.04280618312</v>
      </c>
    </row>
    <row r="10">
      <c r="A10" s="4">
        <v>2.0</v>
      </c>
      <c r="B10" s="4">
        <v>5.0</v>
      </c>
      <c r="C10" s="4">
        <f t="shared" si="1"/>
        <v>3</v>
      </c>
      <c r="D10" s="5">
        <f t="shared" si="2"/>
        <v>0.6290130797</v>
      </c>
    </row>
    <row r="11">
      <c r="A11" s="4">
        <v>1.0</v>
      </c>
      <c r="B11" s="4">
        <v>3.0</v>
      </c>
      <c r="C11" s="4">
        <f t="shared" si="1"/>
        <v>2</v>
      </c>
      <c r="D11" s="5">
        <f t="shared" si="2"/>
        <v>0.04280618312</v>
      </c>
    </row>
    <row r="12">
      <c r="A12" s="4">
        <v>2.0</v>
      </c>
      <c r="B12" s="4">
        <v>5.0</v>
      </c>
      <c r="C12" s="4">
        <f t="shared" si="1"/>
        <v>3</v>
      </c>
      <c r="D12" s="5">
        <f t="shared" si="2"/>
        <v>0.6290130797</v>
      </c>
      <c r="F12" s="7" t="s">
        <v>9</v>
      </c>
      <c r="G12" s="7">
        <f>G6/(G8/SQRT(G4))</f>
        <v>16.1175622</v>
      </c>
    </row>
    <row r="13">
      <c r="A13" s="4">
        <v>1.0</v>
      </c>
      <c r="B13" s="4">
        <v>3.0</v>
      </c>
      <c r="C13" s="4">
        <f t="shared" si="1"/>
        <v>2</v>
      </c>
      <c r="D13" s="5">
        <f t="shared" si="2"/>
        <v>0.04280618312</v>
      </c>
    </row>
    <row r="14">
      <c r="A14" s="4">
        <v>2.0</v>
      </c>
      <c r="B14" s="4">
        <v>4.0</v>
      </c>
      <c r="C14" s="4">
        <f t="shared" si="1"/>
        <v>2</v>
      </c>
      <c r="D14" s="5">
        <f t="shared" si="2"/>
        <v>0.04280618312</v>
      </c>
    </row>
    <row r="15">
      <c r="A15" s="4">
        <v>1.0</v>
      </c>
      <c r="B15" s="4">
        <v>5.0</v>
      </c>
      <c r="C15" s="4">
        <f t="shared" si="1"/>
        <v>4</v>
      </c>
      <c r="D15" s="5">
        <f t="shared" si="2"/>
        <v>3.215219976</v>
      </c>
    </row>
    <row r="16">
      <c r="A16" s="4">
        <v>2.0</v>
      </c>
      <c r="B16" s="4">
        <v>3.0</v>
      </c>
      <c r="C16" s="4">
        <f t="shared" si="1"/>
        <v>1</v>
      </c>
      <c r="D16" s="5">
        <f t="shared" si="2"/>
        <v>1.456599287</v>
      </c>
    </row>
    <row r="17">
      <c r="A17" s="4">
        <v>1.0</v>
      </c>
      <c r="B17" s="4">
        <v>4.0</v>
      </c>
      <c r="C17" s="4">
        <f t="shared" si="1"/>
        <v>3</v>
      </c>
      <c r="D17" s="5">
        <f t="shared" si="2"/>
        <v>0.6290130797</v>
      </c>
      <c r="F17" s="7" t="s">
        <v>10</v>
      </c>
      <c r="G17" s="7">
        <v>0.05</v>
      </c>
    </row>
    <row r="18">
      <c r="A18" s="4">
        <v>2.0</v>
      </c>
      <c r="B18" s="4">
        <v>4.0</v>
      </c>
      <c r="C18" s="4">
        <f t="shared" si="1"/>
        <v>2</v>
      </c>
      <c r="D18" s="5">
        <f t="shared" si="2"/>
        <v>0.04280618312</v>
      </c>
      <c r="F18" s="7" t="s">
        <v>11</v>
      </c>
      <c r="G18" s="7">
        <f>G4-1</f>
        <v>86</v>
      </c>
    </row>
    <row r="19">
      <c r="A19" s="4">
        <v>1.0</v>
      </c>
      <c r="B19" s="4">
        <v>4.0</v>
      </c>
      <c r="C19" s="4">
        <f t="shared" si="1"/>
        <v>3</v>
      </c>
      <c r="D19" s="5">
        <f t="shared" si="2"/>
        <v>0.6290130797</v>
      </c>
    </row>
    <row r="20">
      <c r="A20" s="4">
        <v>2.0</v>
      </c>
      <c r="B20" s="4">
        <v>3.0</v>
      </c>
      <c r="C20" s="4">
        <f t="shared" si="1"/>
        <v>1</v>
      </c>
      <c r="D20" s="5">
        <f t="shared" si="2"/>
        <v>1.456599287</v>
      </c>
    </row>
    <row r="21" ht="15.75" customHeight="1">
      <c r="A21" s="4">
        <v>1.0</v>
      </c>
      <c r="B21" s="4">
        <v>5.0</v>
      </c>
      <c r="C21" s="4">
        <f t="shared" si="1"/>
        <v>4</v>
      </c>
      <c r="D21" s="5">
        <f t="shared" si="2"/>
        <v>3.215219976</v>
      </c>
    </row>
    <row r="22" ht="15.75" customHeight="1">
      <c r="A22" s="4">
        <v>2.0</v>
      </c>
      <c r="B22" s="4">
        <v>4.0</v>
      </c>
      <c r="C22" s="4">
        <f t="shared" si="1"/>
        <v>2</v>
      </c>
      <c r="D22" s="5">
        <f t="shared" si="2"/>
        <v>0.04280618312</v>
      </c>
      <c r="F22" s="6" t="s">
        <v>12</v>
      </c>
      <c r="G22" s="6"/>
    </row>
    <row r="23" ht="15.75" customHeight="1">
      <c r="A23" s="4">
        <v>1.0</v>
      </c>
      <c r="B23" s="4">
        <v>5.0</v>
      </c>
      <c r="C23" s="4">
        <f t="shared" si="1"/>
        <v>4</v>
      </c>
      <c r="D23" s="5">
        <f t="shared" si="2"/>
        <v>3.215219976</v>
      </c>
      <c r="F23" s="7" t="s">
        <v>34</v>
      </c>
      <c r="G23" s="7">
        <f>_xlfn.T.INV.2T(G17,G18)</f>
        <v>1.987934206</v>
      </c>
    </row>
    <row r="24" ht="15.75" customHeight="1">
      <c r="A24" s="4">
        <v>2.0</v>
      </c>
      <c r="B24" s="4">
        <v>3.0</v>
      </c>
      <c r="C24" s="4">
        <f t="shared" si="1"/>
        <v>1</v>
      </c>
      <c r="D24" s="5">
        <f t="shared" si="2"/>
        <v>1.456599287</v>
      </c>
      <c r="F24" s="7" t="s">
        <v>35</v>
      </c>
      <c r="G24" s="7">
        <f>_xlfn.T.INV(G17,G18)</f>
        <v>-1.662765449</v>
      </c>
    </row>
    <row r="25" ht="15.75" customHeight="1">
      <c r="A25" s="4">
        <v>1.0</v>
      </c>
      <c r="B25" s="4">
        <v>3.0</v>
      </c>
      <c r="C25" s="4">
        <f t="shared" si="1"/>
        <v>2</v>
      </c>
      <c r="D25" s="5">
        <f t="shared" si="2"/>
        <v>0.04280618312</v>
      </c>
    </row>
    <row r="26" ht="15.75" customHeight="1">
      <c r="A26" s="4">
        <v>2.0</v>
      </c>
      <c r="B26" s="4">
        <v>5.0</v>
      </c>
      <c r="C26" s="4">
        <f t="shared" si="1"/>
        <v>3</v>
      </c>
      <c r="D26" s="5">
        <f t="shared" si="2"/>
        <v>0.6290130797</v>
      </c>
    </row>
    <row r="27" ht="15.75" customHeight="1">
      <c r="A27" s="4">
        <v>4.0</v>
      </c>
      <c r="B27" s="4">
        <v>4.0</v>
      </c>
      <c r="C27" s="4">
        <f t="shared" si="1"/>
        <v>0</v>
      </c>
      <c r="D27" s="5">
        <f t="shared" si="2"/>
        <v>4.87039239</v>
      </c>
    </row>
    <row r="28" ht="15.75" customHeight="1">
      <c r="A28" s="4">
        <v>2.0</v>
      </c>
      <c r="B28" s="4">
        <v>3.0</v>
      </c>
      <c r="C28" s="4">
        <f t="shared" si="1"/>
        <v>1</v>
      </c>
      <c r="D28" s="5">
        <f t="shared" si="2"/>
        <v>1.456599287</v>
      </c>
    </row>
    <row r="29" ht="15.75" customHeight="1">
      <c r="A29" s="4">
        <v>1.0</v>
      </c>
      <c r="B29" s="4">
        <v>5.0</v>
      </c>
      <c r="C29" s="4">
        <f t="shared" si="1"/>
        <v>4</v>
      </c>
      <c r="D29" s="5">
        <f t="shared" si="2"/>
        <v>3.215219976</v>
      </c>
    </row>
    <row r="30" ht="15.75" customHeight="1">
      <c r="A30" s="4">
        <v>2.0</v>
      </c>
      <c r="B30" s="4">
        <v>4.0</v>
      </c>
      <c r="C30" s="4">
        <f t="shared" si="1"/>
        <v>2</v>
      </c>
      <c r="D30" s="5">
        <f t="shared" si="2"/>
        <v>0.04280618312</v>
      </c>
    </row>
    <row r="31" ht="15.75" customHeight="1">
      <c r="A31" s="4">
        <v>1.0</v>
      </c>
      <c r="B31" s="4">
        <v>5.0</v>
      </c>
      <c r="C31" s="4">
        <f t="shared" si="1"/>
        <v>4</v>
      </c>
      <c r="D31" s="5">
        <f t="shared" si="2"/>
        <v>3.215219976</v>
      </c>
    </row>
    <row r="32" ht="15.75" customHeight="1">
      <c r="A32" s="4">
        <v>2.0</v>
      </c>
      <c r="B32" s="4">
        <v>5.0</v>
      </c>
      <c r="C32" s="4">
        <f t="shared" si="1"/>
        <v>3</v>
      </c>
      <c r="D32" s="5">
        <f t="shared" si="2"/>
        <v>0.6290130797</v>
      </c>
    </row>
    <row r="33" ht="15.75" customHeight="1">
      <c r="A33" s="4">
        <v>1.0</v>
      </c>
      <c r="B33" s="4">
        <v>5.0</v>
      </c>
      <c r="C33" s="4">
        <f t="shared" si="1"/>
        <v>4</v>
      </c>
      <c r="D33" s="5">
        <f t="shared" si="2"/>
        <v>3.215219976</v>
      </c>
    </row>
    <row r="34" ht="15.75" customHeight="1">
      <c r="A34" s="4">
        <v>2.0</v>
      </c>
      <c r="B34" s="4">
        <v>4.0</v>
      </c>
      <c r="C34" s="4">
        <f t="shared" si="1"/>
        <v>2</v>
      </c>
      <c r="D34" s="5">
        <f t="shared" si="2"/>
        <v>0.04280618312</v>
      </c>
      <c r="F34" s="7" t="s">
        <v>15</v>
      </c>
    </row>
    <row r="35" ht="15.75" customHeight="1">
      <c r="A35" s="4">
        <v>1.0</v>
      </c>
      <c r="B35" s="4">
        <v>4.0</v>
      </c>
      <c r="C35" s="4">
        <f t="shared" si="1"/>
        <v>3</v>
      </c>
      <c r="D35" s="5">
        <f t="shared" si="2"/>
        <v>0.6290130797</v>
      </c>
      <c r="F35" s="7" t="s">
        <v>16</v>
      </c>
    </row>
    <row r="36" ht="15.75" customHeight="1">
      <c r="A36" s="4">
        <v>4.0</v>
      </c>
      <c r="B36" s="4">
        <v>3.0</v>
      </c>
      <c r="C36" s="4">
        <f t="shared" si="1"/>
        <v>-1</v>
      </c>
      <c r="D36" s="5">
        <f t="shared" si="2"/>
        <v>10.28418549</v>
      </c>
    </row>
    <row r="37" ht="15.75" customHeight="1">
      <c r="A37" s="4">
        <v>1.0</v>
      </c>
      <c r="B37" s="4">
        <v>3.0</v>
      </c>
      <c r="C37" s="4">
        <f t="shared" si="1"/>
        <v>2</v>
      </c>
      <c r="D37" s="5">
        <f t="shared" si="2"/>
        <v>0.04280618312</v>
      </c>
    </row>
    <row r="38" ht="15.75" customHeight="1">
      <c r="A38" s="4">
        <v>2.0</v>
      </c>
      <c r="B38" s="4">
        <v>3.0</v>
      </c>
      <c r="C38" s="4">
        <f t="shared" si="1"/>
        <v>1</v>
      </c>
      <c r="D38" s="5">
        <f t="shared" si="2"/>
        <v>1.456599287</v>
      </c>
    </row>
    <row r="39" ht="15.75" customHeight="1">
      <c r="A39" s="4">
        <v>1.0</v>
      </c>
      <c r="B39" s="4">
        <v>5.0</v>
      </c>
      <c r="C39" s="4">
        <f t="shared" si="1"/>
        <v>4</v>
      </c>
      <c r="D39" s="5">
        <f t="shared" si="2"/>
        <v>3.215219976</v>
      </c>
      <c r="F39" s="6" t="s">
        <v>17</v>
      </c>
      <c r="G39" s="6"/>
    </row>
    <row r="40" ht="15.75" customHeight="1">
      <c r="A40" s="4">
        <v>2.0</v>
      </c>
      <c r="B40" s="4">
        <v>3.0</v>
      </c>
      <c r="C40" s="4">
        <f t="shared" si="1"/>
        <v>1</v>
      </c>
      <c r="D40" s="5">
        <f t="shared" si="2"/>
        <v>1.456599287</v>
      </c>
      <c r="F40" s="7" t="s">
        <v>17</v>
      </c>
    </row>
    <row r="41" ht="15.75" customHeight="1">
      <c r="A41" s="4">
        <v>3.0</v>
      </c>
      <c r="B41" s="4">
        <v>3.0</v>
      </c>
      <c r="C41" s="4">
        <f t="shared" si="1"/>
        <v>0</v>
      </c>
      <c r="D41" s="5">
        <f t="shared" si="2"/>
        <v>4.87039239</v>
      </c>
      <c r="F41" s="7" t="s">
        <v>36</v>
      </c>
      <c r="G41" s="7">
        <f>TTEST(A:A,B:B,2,1)</f>
        <v>0</v>
      </c>
    </row>
    <row r="42" ht="15.75" customHeight="1">
      <c r="A42" s="4">
        <v>2.0</v>
      </c>
      <c r="B42" s="4">
        <v>4.0</v>
      </c>
      <c r="C42" s="4">
        <f t="shared" si="1"/>
        <v>2</v>
      </c>
      <c r="D42" s="5">
        <f t="shared" si="2"/>
        <v>0.04280618312</v>
      </c>
      <c r="F42" s="7" t="s">
        <v>37</v>
      </c>
      <c r="G42" s="7">
        <f>TTEST(A:A,B:B,1,1)</f>
        <v>0</v>
      </c>
    </row>
    <row r="43" ht="15.75" customHeight="1">
      <c r="A43" s="4">
        <v>3.0</v>
      </c>
      <c r="B43" s="4">
        <v>3.0</v>
      </c>
      <c r="C43" s="4">
        <f t="shared" si="1"/>
        <v>0</v>
      </c>
      <c r="D43" s="5">
        <f t="shared" si="2"/>
        <v>4.87039239</v>
      </c>
    </row>
    <row r="44" ht="15.75" customHeight="1">
      <c r="A44" s="4">
        <v>2.0</v>
      </c>
      <c r="B44" s="4">
        <v>3.0</v>
      </c>
      <c r="C44" s="4">
        <f t="shared" si="1"/>
        <v>1</v>
      </c>
      <c r="D44" s="5">
        <f t="shared" si="2"/>
        <v>1.456599287</v>
      </c>
    </row>
    <row r="45" ht="15.75" customHeight="1">
      <c r="A45" s="4">
        <v>1.0</v>
      </c>
      <c r="B45" s="4">
        <v>5.0</v>
      </c>
      <c r="C45" s="4">
        <f t="shared" si="1"/>
        <v>4</v>
      </c>
      <c r="D45" s="5">
        <f t="shared" si="2"/>
        <v>3.215219976</v>
      </c>
      <c r="F45" s="6" t="s">
        <v>20</v>
      </c>
      <c r="G45" s="6"/>
    </row>
    <row r="46" ht="15.75" customHeight="1">
      <c r="A46" s="4">
        <v>2.0</v>
      </c>
      <c r="B46" s="4">
        <v>3.0</v>
      </c>
      <c r="C46" s="4">
        <f t="shared" si="1"/>
        <v>1</v>
      </c>
      <c r="D46" s="5">
        <f t="shared" si="2"/>
        <v>1.456599287</v>
      </c>
    </row>
    <row r="47" ht="15.75" customHeight="1">
      <c r="A47" s="4">
        <v>3.0</v>
      </c>
      <c r="B47" s="4">
        <v>3.0</v>
      </c>
      <c r="C47" s="4">
        <f t="shared" si="1"/>
        <v>0</v>
      </c>
      <c r="D47" s="5">
        <f t="shared" si="2"/>
        <v>4.87039239</v>
      </c>
      <c r="F47" s="7" t="s">
        <v>38</v>
      </c>
    </row>
    <row r="48" ht="15.75" customHeight="1">
      <c r="A48" s="4">
        <v>2.0</v>
      </c>
      <c r="B48" s="4">
        <v>3.0</v>
      </c>
      <c r="C48" s="4">
        <f t="shared" si="1"/>
        <v>1</v>
      </c>
      <c r="D48" s="5">
        <f t="shared" si="2"/>
        <v>1.456599287</v>
      </c>
      <c r="F48" s="7" t="s">
        <v>39</v>
      </c>
    </row>
    <row r="49" ht="15.75" customHeight="1">
      <c r="A49" s="4">
        <v>1.0</v>
      </c>
      <c r="B49" s="4">
        <v>4.0</v>
      </c>
      <c r="C49" s="4">
        <f t="shared" si="1"/>
        <v>3</v>
      </c>
      <c r="D49" s="5">
        <f t="shared" si="2"/>
        <v>0.6290130797</v>
      </c>
    </row>
    <row r="50" ht="15.75" customHeight="1">
      <c r="A50" s="4">
        <v>4.0</v>
      </c>
      <c r="B50" s="4">
        <v>3.0</v>
      </c>
      <c r="C50" s="4">
        <f t="shared" si="1"/>
        <v>-1</v>
      </c>
      <c r="D50" s="5">
        <f t="shared" si="2"/>
        <v>10.28418549</v>
      </c>
      <c r="F50" s="7" t="s">
        <v>23</v>
      </c>
    </row>
    <row r="51" ht="15.75" customHeight="1">
      <c r="A51" s="4">
        <v>1.0</v>
      </c>
      <c r="B51" s="4">
        <v>5.0</v>
      </c>
      <c r="C51" s="4">
        <f t="shared" si="1"/>
        <v>4</v>
      </c>
      <c r="D51" s="5">
        <f t="shared" si="2"/>
        <v>3.215219976</v>
      </c>
      <c r="F51" s="7" t="s">
        <v>24</v>
      </c>
    </row>
    <row r="52" ht="15.75" customHeight="1">
      <c r="A52" s="4">
        <v>2.0</v>
      </c>
      <c r="B52" s="4">
        <v>3.0</v>
      </c>
      <c r="C52" s="4">
        <f t="shared" si="1"/>
        <v>1</v>
      </c>
      <c r="D52" s="5">
        <f t="shared" si="2"/>
        <v>1.456599287</v>
      </c>
    </row>
    <row r="53" ht="15.75" customHeight="1">
      <c r="A53" s="4">
        <v>1.0</v>
      </c>
      <c r="B53" s="4">
        <v>3.0</v>
      </c>
      <c r="C53" s="4">
        <f t="shared" si="1"/>
        <v>2</v>
      </c>
      <c r="D53" s="5">
        <f t="shared" si="2"/>
        <v>0.04280618312</v>
      </c>
    </row>
    <row r="54" ht="15.75" customHeight="1">
      <c r="A54" s="4">
        <v>3.0</v>
      </c>
      <c r="B54" s="4">
        <v>5.0</v>
      </c>
      <c r="C54" s="4">
        <f t="shared" si="1"/>
        <v>2</v>
      </c>
      <c r="D54" s="5">
        <f t="shared" si="2"/>
        <v>0.04280618312</v>
      </c>
    </row>
    <row r="55" ht="15.75" customHeight="1">
      <c r="A55" s="4">
        <v>1.0</v>
      </c>
      <c r="B55" s="4">
        <v>5.0</v>
      </c>
      <c r="C55" s="4">
        <f t="shared" si="1"/>
        <v>4</v>
      </c>
      <c r="D55" s="5">
        <f t="shared" si="2"/>
        <v>3.215219976</v>
      </c>
    </row>
    <row r="56" ht="15.75" customHeight="1">
      <c r="A56" s="4">
        <v>2.0</v>
      </c>
      <c r="B56" s="4">
        <v>4.0</v>
      </c>
      <c r="C56" s="4">
        <f t="shared" si="1"/>
        <v>2</v>
      </c>
      <c r="D56" s="5">
        <f t="shared" si="2"/>
        <v>0.04280618312</v>
      </c>
      <c r="F56" s="6" t="s">
        <v>25</v>
      </c>
    </row>
    <row r="57" ht="15.75" customHeight="1">
      <c r="A57" s="4">
        <v>1.0</v>
      </c>
      <c r="B57" s="4">
        <v>3.0</v>
      </c>
      <c r="C57" s="4">
        <f t="shared" si="1"/>
        <v>2</v>
      </c>
      <c r="D57" s="5">
        <f t="shared" si="2"/>
        <v>0.04280618312</v>
      </c>
    </row>
    <row r="58" ht="15.75" customHeight="1">
      <c r="A58" s="4">
        <v>2.0</v>
      </c>
      <c r="B58" s="4">
        <v>3.0</v>
      </c>
      <c r="C58" s="4">
        <f t="shared" si="1"/>
        <v>1</v>
      </c>
      <c r="D58" s="5">
        <f t="shared" si="2"/>
        <v>1.456599287</v>
      </c>
      <c r="F58" s="7" t="s">
        <v>40</v>
      </c>
    </row>
    <row r="59" ht="15.75" customHeight="1">
      <c r="A59" s="4">
        <v>1.0</v>
      </c>
      <c r="B59" s="4">
        <v>5.0</v>
      </c>
      <c r="C59" s="4">
        <f t="shared" si="1"/>
        <v>4</v>
      </c>
      <c r="D59" s="5">
        <f t="shared" si="2"/>
        <v>3.215219976</v>
      </c>
      <c r="F59" s="7" t="s">
        <v>27</v>
      </c>
    </row>
    <row r="60" ht="15.75" customHeight="1">
      <c r="A60" s="4">
        <v>2.0</v>
      </c>
      <c r="B60" s="4">
        <v>3.0</v>
      </c>
      <c r="C60" s="4">
        <f t="shared" si="1"/>
        <v>1</v>
      </c>
      <c r="D60" s="5">
        <f t="shared" si="2"/>
        <v>1.456599287</v>
      </c>
      <c r="F60" s="7" t="s">
        <v>41</v>
      </c>
    </row>
    <row r="61" ht="15.75" customHeight="1">
      <c r="A61" s="4">
        <v>1.0</v>
      </c>
      <c r="B61" s="4">
        <v>5.0</v>
      </c>
      <c r="C61" s="4">
        <f t="shared" si="1"/>
        <v>4</v>
      </c>
      <c r="D61" s="5">
        <f t="shared" si="2"/>
        <v>3.215219976</v>
      </c>
    </row>
    <row r="62" ht="15.75" customHeight="1">
      <c r="A62" s="4">
        <v>2.0</v>
      </c>
      <c r="B62" s="4">
        <v>4.0</v>
      </c>
      <c r="C62" s="4">
        <f t="shared" si="1"/>
        <v>2</v>
      </c>
      <c r="D62" s="5">
        <f t="shared" si="2"/>
        <v>0.04280618312</v>
      </c>
    </row>
    <row r="63" ht="15.75" customHeight="1">
      <c r="A63" s="4">
        <v>1.0</v>
      </c>
      <c r="B63" s="4">
        <v>4.0</v>
      </c>
      <c r="C63" s="4">
        <f t="shared" si="1"/>
        <v>3</v>
      </c>
      <c r="D63" s="5">
        <f t="shared" si="2"/>
        <v>0.6290130797</v>
      </c>
    </row>
    <row r="64" ht="15.75" customHeight="1">
      <c r="A64" s="4">
        <v>2.0</v>
      </c>
      <c r="B64" s="4">
        <v>3.0</v>
      </c>
      <c r="C64" s="4">
        <f t="shared" si="1"/>
        <v>1</v>
      </c>
      <c r="D64" s="5">
        <f t="shared" si="2"/>
        <v>1.456599287</v>
      </c>
    </row>
    <row r="65" ht="15.75" customHeight="1">
      <c r="A65" s="4">
        <v>1.0</v>
      </c>
      <c r="B65" s="4">
        <v>2.0</v>
      </c>
      <c r="C65" s="4">
        <f t="shared" si="1"/>
        <v>1</v>
      </c>
      <c r="D65" s="5">
        <f t="shared" si="2"/>
        <v>1.456599287</v>
      </c>
      <c r="F65" s="6" t="s">
        <v>25</v>
      </c>
    </row>
    <row r="66" ht="15.75" customHeight="1">
      <c r="A66" s="4">
        <v>2.0</v>
      </c>
      <c r="B66" s="4">
        <v>3.0</v>
      </c>
      <c r="C66" s="4">
        <f t="shared" si="1"/>
        <v>1</v>
      </c>
      <c r="D66" s="5">
        <f t="shared" si="2"/>
        <v>1.456599287</v>
      </c>
    </row>
    <row r="67" ht="15.75" customHeight="1">
      <c r="A67" s="4">
        <v>1.0</v>
      </c>
      <c r="B67" s="4">
        <v>5.0</v>
      </c>
      <c r="C67" s="4">
        <f t="shared" si="1"/>
        <v>4</v>
      </c>
      <c r="D67" s="5">
        <f t="shared" si="2"/>
        <v>3.215219976</v>
      </c>
    </row>
    <row r="68" ht="15.75" customHeight="1">
      <c r="A68" s="4">
        <v>2.0</v>
      </c>
      <c r="B68" s="4">
        <v>4.0</v>
      </c>
      <c r="C68" s="4">
        <f t="shared" si="1"/>
        <v>2</v>
      </c>
      <c r="D68" s="5">
        <f t="shared" si="2"/>
        <v>0.04280618312</v>
      </c>
    </row>
    <row r="69" ht="15.75" customHeight="1">
      <c r="A69" s="4">
        <v>1.0</v>
      </c>
      <c r="B69" s="4">
        <v>3.0</v>
      </c>
      <c r="C69" s="4">
        <f t="shared" si="1"/>
        <v>2</v>
      </c>
      <c r="D69" s="5">
        <f t="shared" si="2"/>
        <v>0.04280618312</v>
      </c>
    </row>
    <row r="70" ht="15.75" customHeight="1">
      <c r="A70" s="4">
        <v>2.0</v>
      </c>
      <c r="B70" s="4">
        <v>4.0</v>
      </c>
      <c r="C70" s="4">
        <f t="shared" si="1"/>
        <v>2</v>
      </c>
      <c r="D70" s="5">
        <f t="shared" si="2"/>
        <v>0.04280618312</v>
      </c>
    </row>
    <row r="71" ht="15.75" customHeight="1">
      <c r="A71" s="4">
        <v>1.0</v>
      </c>
      <c r="B71" s="4">
        <v>3.0</v>
      </c>
      <c r="C71" s="4">
        <f t="shared" si="1"/>
        <v>2</v>
      </c>
      <c r="D71" s="5">
        <f t="shared" si="2"/>
        <v>0.04280618312</v>
      </c>
    </row>
    <row r="72" ht="15.75" customHeight="1">
      <c r="A72" s="4">
        <v>3.0</v>
      </c>
      <c r="B72" s="4">
        <v>4.0</v>
      </c>
      <c r="C72" s="4">
        <f t="shared" si="1"/>
        <v>1</v>
      </c>
      <c r="D72" s="5">
        <f t="shared" si="2"/>
        <v>1.456599287</v>
      </c>
      <c r="F72" s="7" t="s">
        <v>29</v>
      </c>
    </row>
    <row r="73" ht="15.75" customHeight="1">
      <c r="A73" s="4">
        <v>1.0</v>
      </c>
      <c r="B73" s="4">
        <v>5.0</v>
      </c>
      <c r="C73" s="4">
        <f t="shared" si="1"/>
        <v>4</v>
      </c>
      <c r="D73" s="5">
        <f t="shared" si="2"/>
        <v>3.215219976</v>
      </c>
      <c r="F73" s="7" t="s">
        <v>42</v>
      </c>
    </row>
    <row r="74" ht="15.75" customHeight="1">
      <c r="A74" s="4">
        <v>2.0</v>
      </c>
      <c r="B74" s="4">
        <v>3.0</v>
      </c>
      <c r="C74" s="4">
        <f t="shared" si="1"/>
        <v>1</v>
      </c>
      <c r="D74" s="5">
        <f t="shared" si="2"/>
        <v>1.456599287</v>
      </c>
      <c r="F74" s="7" t="s">
        <v>29</v>
      </c>
    </row>
    <row r="75" ht="15.75" customHeight="1">
      <c r="A75" s="4">
        <v>1.0</v>
      </c>
      <c r="B75" s="4">
        <v>5.0</v>
      </c>
      <c r="C75" s="4">
        <f t="shared" si="1"/>
        <v>4</v>
      </c>
      <c r="D75" s="5">
        <f t="shared" si="2"/>
        <v>3.215219976</v>
      </c>
      <c r="F75" s="7" t="s">
        <v>43</v>
      </c>
    </row>
    <row r="76" ht="15.75" customHeight="1">
      <c r="A76" s="4">
        <v>2.0</v>
      </c>
      <c r="B76" s="4">
        <v>3.0</v>
      </c>
      <c r="C76" s="4">
        <f t="shared" si="1"/>
        <v>1</v>
      </c>
      <c r="D76" s="5">
        <f t="shared" si="2"/>
        <v>1.456599287</v>
      </c>
    </row>
    <row r="77" ht="15.75" customHeight="1">
      <c r="A77" s="4">
        <v>1.0</v>
      </c>
      <c r="B77" s="4">
        <v>3.0</v>
      </c>
      <c r="C77" s="4">
        <f t="shared" si="1"/>
        <v>2</v>
      </c>
      <c r="D77" s="5">
        <f t="shared" si="2"/>
        <v>0.04280618312</v>
      </c>
    </row>
    <row r="78" ht="15.75" customHeight="1">
      <c r="A78" s="4">
        <v>2.0</v>
      </c>
      <c r="B78" s="4">
        <v>5.0</v>
      </c>
      <c r="C78" s="4">
        <f t="shared" si="1"/>
        <v>3</v>
      </c>
      <c r="D78" s="5">
        <f t="shared" si="2"/>
        <v>0.6290130797</v>
      </c>
    </row>
    <row r="79" ht="15.75" customHeight="1">
      <c r="A79" s="4">
        <v>1.0</v>
      </c>
      <c r="B79" s="4">
        <v>5.0</v>
      </c>
      <c r="C79" s="4">
        <f t="shared" si="1"/>
        <v>4</v>
      </c>
      <c r="D79" s="5">
        <f t="shared" si="2"/>
        <v>3.215219976</v>
      </c>
    </row>
    <row r="80" ht="15.75" customHeight="1">
      <c r="A80" s="4">
        <v>2.0</v>
      </c>
      <c r="B80" s="4">
        <v>5.0</v>
      </c>
      <c r="C80" s="4">
        <f t="shared" si="1"/>
        <v>3</v>
      </c>
      <c r="D80" s="5">
        <f t="shared" si="2"/>
        <v>0.6290130797</v>
      </c>
    </row>
    <row r="81" ht="15.75" customHeight="1">
      <c r="A81" s="4">
        <v>1.0</v>
      </c>
      <c r="B81" s="4">
        <v>4.0</v>
      </c>
      <c r="C81" s="4">
        <f t="shared" si="1"/>
        <v>3</v>
      </c>
      <c r="D81" s="5">
        <f t="shared" si="2"/>
        <v>0.6290130797</v>
      </c>
    </row>
    <row r="82" ht="15.75" customHeight="1">
      <c r="A82" s="4">
        <v>2.0</v>
      </c>
      <c r="B82" s="4">
        <v>5.0</v>
      </c>
      <c r="C82" s="4">
        <f t="shared" si="1"/>
        <v>3</v>
      </c>
      <c r="D82" s="5">
        <f t="shared" si="2"/>
        <v>0.6290130797</v>
      </c>
    </row>
    <row r="83" ht="15.75" customHeight="1">
      <c r="A83" s="4">
        <v>1.0</v>
      </c>
      <c r="B83" s="4">
        <v>4.0</v>
      </c>
      <c r="C83" s="4">
        <f t="shared" si="1"/>
        <v>3</v>
      </c>
      <c r="D83" s="5">
        <f t="shared" si="2"/>
        <v>0.6290130797</v>
      </c>
    </row>
    <row r="84" ht="15.75" customHeight="1">
      <c r="A84" s="4">
        <v>2.0</v>
      </c>
      <c r="B84" s="4">
        <v>3.0</v>
      </c>
      <c r="C84" s="4">
        <f t="shared" si="1"/>
        <v>1</v>
      </c>
      <c r="D84" s="5">
        <f t="shared" si="2"/>
        <v>1.456599287</v>
      </c>
    </row>
    <row r="85" ht="15.75" customHeight="1">
      <c r="A85" s="4">
        <v>1.0</v>
      </c>
      <c r="B85" s="4">
        <v>4.0</v>
      </c>
      <c r="C85" s="4">
        <f t="shared" si="1"/>
        <v>3</v>
      </c>
      <c r="D85" s="5">
        <f t="shared" si="2"/>
        <v>0.6290130797</v>
      </c>
    </row>
    <row r="86" ht="15.75" customHeight="1">
      <c r="A86" s="4">
        <v>2.0</v>
      </c>
      <c r="B86" s="4">
        <v>5.0</v>
      </c>
      <c r="C86" s="4">
        <f t="shared" si="1"/>
        <v>3</v>
      </c>
      <c r="D86" s="5">
        <f t="shared" si="2"/>
        <v>0.6290130797</v>
      </c>
    </row>
    <row r="87" ht="15.75" customHeight="1">
      <c r="A87" s="4">
        <v>1.0</v>
      </c>
      <c r="B87" s="4">
        <v>5.0</v>
      </c>
      <c r="C87" s="4">
        <f t="shared" si="1"/>
        <v>4</v>
      </c>
      <c r="D87" s="5">
        <f t="shared" si="2"/>
        <v>3.215219976</v>
      </c>
    </row>
    <row r="88" ht="15.75" customHeight="1">
      <c r="A88" s="4">
        <v>2.0</v>
      </c>
      <c r="B88" s="4">
        <v>5.0</v>
      </c>
      <c r="C88" s="4">
        <f t="shared" si="1"/>
        <v>3</v>
      </c>
      <c r="D88" s="5">
        <f t="shared" si="2"/>
        <v>0.6290130797</v>
      </c>
    </row>
    <row r="89" ht="15.75" customHeight="1"/>
    <row r="90" ht="15.75" customHeight="1"/>
    <row r="91" ht="15.75" customHeight="1"/>
    <row r="92" ht="15.75" customHeight="1"/>
    <row r="93" ht="15.75" customHeight="1">
      <c r="F93" s="8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3.43"/>
    <col customWidth="1" min="3" max="3" width="19.86"/>
    <col customWidth="1" min="4" max="4" width="23.14"/>
    <col customWidth="1" min="5" max="5" width="12.0"/>
    <col customWidth="1" min="6" max="6" width="39.0"/>
    <col customWidth="1" min="7" max="7" width="19.0"/>
    <col customWidth="1" min="8" max="26" width="9.14"/>
  </cols>
  <sheetData>
    <row r="1" ht="108.0" customHeight="1">
      <c r="A1" s="1" t="s">
        <v>44</v>
      </c>
      <c r="B1" s="2" t="s">
        <v>45</v>
      </c>
      <c r="C1" s="3" t="s">
        <v>2</v>
      </c>
      <c r="D1" s="3"/>
    </row>
    <row r="2">
      <c r="A2" s="4">
        <v>2.0</v>
      </c>
      <c r="B2" s="4">
        <v>3.0</v>
      </c>
      <c r="C2" s="4">
        <f t="shared" ref="C2:C88" si="1">B2-A2</f>
        <v>1</v>
      </c>
      <c r="D2" s="5">
        <f t="shared" ref="D2:D88" si="2">(C2-$G$6)^2</f>
        <v>1.966442066</v>
      </c>
    </row>
    <row r="3">
      <c r="A3" s="4">
        <v>1.0</v>
      </c>
      <c r="B3" s="4">
        <v>4.0</v>
      </c>
      <c r="C3" s="4">
        <f t="shared" si="1"/>
        <v>3</v>
      </c>
      <c r="D3" s="5">
        <f t="shared" si="2"/>
        <v>0.357246664</v>
      </c>
      <c r="F3" s="6" t="s">
        <v>3</v>
      </c>
      <c r="G3" s="6"/>
    </row>
    <row r="4">
      <c r="A4" s="4">
        <v>2.0</v>
      </c>
      <c r="B4" s="4">
        <v>5.0</v>
      </c>
      <c r="C4" s="4">
        <f t="shared" si="1"/>
        <v>3</v>
      </c>
      <c r="D4" s="5">
        <f t="shared" si="2"/>
        <v>0.357246664</v>
      </c>
      <c r="F4" s="7" t="s">
        <v>4</v>
      </c>
      <c r="G4" s="7">
        <v>87.0</v>
      </c>
    </row>
    <row r="5">
      <c r="A5" s="4">
        <v>3.0</v>
      </c>
      <c r="B5" s="4">
        <v>4.0</v>
      </c>
      <c r="C5" s="4">
        <f t="shared" si="1"/>
        <v>1</v>
      </c>
      <c r="D5" s="5">
        <f t="shared" si="2"/>
        <v>1.966442066</v>
      </c>
      <c r="F5" s="7" t="s">
        <v>5</v>
      </c>
      <c r="G5" s="7">
        <f>SUM(C:C)</f>
        <v>209</v>
      </c>
    </row>
    <row r="6">
      <c r="A6" s="4">
        <v>2.0</v>
      </c>
      <c r="B6" s="4">
        <v>3.0</v>
      </c>
      <c r="C6" s="4">
        <f t="shared" si="1"/>
        <v>1</v>
      </c>
      <c r="D6" s="5">
        <f t="shared" si="2"/>
        <v>1.966442066</v>
      </c>
      <c r="F6" s="7" t="s">
        <v>6</v>
      </c>
      <c r="G6" s="7">
        <f>G5/G4</f>
        <v>2.402298851</v>
      </c>
    </row>
    <row r="7">
      <c r="A7" s="4">
        <v>1.0</v>
      </c>
      <c r="B7" s="4">
        <v>3.0</v>
      </c>
      <c r="C7" s="4">
        <f t="shared" si="1"/>
        <v>2</v>
      </c>
      <c r="D7" s="5">
        <f t="shared" si="2"/>
        <v>0.1618443652</v>
      </c>
      <c r="F7" s="7" t="s">
        <v>7</v>
      </c>
      <c r="G7" s="7">
        <f>SUM(D:D)</f>
        <v>82.91954023</v>
      </c>
    </row>
    <row r="8">
      <c r="A8" s="4">
        <v>2.0</v>
      </c>
      <c r="B8" s="4">
        <v>5.0</v>
      </c>
      <c r="C8" s="4">
        <f t="shared" si="1"/>
        <v>3</v>
      </c>
      <c r="D8" s="5">
        <f t="shared" si="2"/>
        <v>0.357246664</v>
      </c>
      <c r="F8" s="7" t="s">
        <v>8</v>
      </c>
      <c r="G8" s="7">
        <f>SQRT(G7/(G4-1))</f>
        <v>0.9819270341</v>
      </c>
    </row>
    <row r="9">
      <c r="A9" s="4">
        <v>1.0</v>
      </c>
      <c r="B9" s="4">
        <v>3.0</v>
      </c>
      <c r="C9" s="4">
        <f t="shared" si="1"/>
        <v>2</v>
      </c>
      <c r="D9" s="5">
        <f t="shared" si="2"/>
        <v>0.1618443652</v>
      </c>
    </row>
    <row r="10">
      <c r="A10" s="4">
        <v>2.0</v>
      </c>
      <c r="B10" s="4">
        <v>3.0</v>
      </c>
      <c r="C10" s="4">
        <f t="shared" si="1"/>
        <v>1</v>
      </c>
      <c r="D10" s="5">
        <f t="shared" si="2"/>
        <v>1.966442066</v>
      </c>
    </row>
    <row r="11">
      <c r="A11" s="4">
        <v>1.0</v>
      </c>
      <c r="B11" s="4">
        <v>5.0</v>
      </c>
      <c r="C11" s="4">
        <f t="shared" si="1"/>
        <v>4</v>
      </c>
      <c r="D11" s="5">
        <f t="shared" si="2"/>
        <v>2.552648963</v>
      </c>
    </row>
    <row r="12">
      <c r="A12" s="4">
        <v>2.0</v>
      </c>
      <c r="B12" s="4">
        <v>3.0</v>
      </c>
      <c r="C12" s="4">
        <f t="shared" si="1"/>
        <v>1</v>
      </c>
      <c r="D12" s="5">
        <f t="shared" si="2"/>
        <v>1.966442066</v>
      </c>
      <c r="F12" s="7" t="s">
        <v>9</v>
      </c>
      <c r="G12" s="7">
        <f>G6/(G8/SQRT(G4))</f>
        <v>22.81956927</v>
      </c>
    </row>
    <row r="13">
      <c r="A13" s="4">
        <v>1.0</v>
      </c>
      <c r="B13" s="4">
        <v>3.0</v>
      </c>
      <c r="C13" s="4">
        <f t="shared" si="1"/>
        <v>2</v>
      </c>
      <c r="D13" s="5">
        <f t="shared" si="2"/>
        <v>0.1618443652</v>
      </c>
    </row>
    <row r="14">
      <c r="A14" s="4">
        <v>2.0</v>
      </c>
      <c r="B14" s="4">
        <v>4.0</v>
      </c>
      <c r="C14" s="4">
        <f t="shared" si="1"/>
        <v>2</v>
      </c>
      <c r="D14" s="5">
        <f t="shared" si="2"/>
        <v>0.1618443652</v>
      </c>
    </row>
    <row r="15">
      <c r="A15" s="4">
        <v>1.0</v>
      </c>
      <c r="B15" s="4">
        <v>3.0</v>
      </c>
      <c r="C15" s="4">
        <f t="shared" si="1"/>
        <v>2</v>
      </c>
      <c r="D15" s="5">
        <f t="shared" si="2"/>
        <v>0.1618443652</v>
      </c>
    </row>
    <row r="16">
      <c r="A16" s="4">
        <v>2.0</v>
      </c>
      <c r="B16" s="4">
        <v>5.0</v>
      </c>
      <c r="C16" s="4">
        <f t="shared" si="1"/>
        <v>3</v>
      </c>
      <c r="D16" s="5">
        <f t="shared" si="2"/>
        <v>0.357246664</v>
      </c>
    </row>
    <row r="17">
      <c r="A17" s="4">
        <v>1.0</v>
      </c>
      <c r="B17" s="4">
        <v>3.0</v>
      </c>
      <c r="C17" s="4">
        <f t="shared" si="1"/>
        <v>2</v>
      </c>
      <c r="D17" s="5">
        <f t="shared" si="2"/>
        <v>0.1618443652</v>
      </c>
      <c r="F17" s="7" t="s">
        <v>10</v>
      </c>
      <c r="G17" s="7">
        <v>0.05</v>
      </c>
    </row>
    <row r="18">
      <c r="A18" s="4">
        <v>2.0</v>
      </c>
      <c r="B18" s="4">
        <v>5.0</v>
      </c>
      <c r="C18" s="4">
        <f t="shared" si="1"/>
        <v>3</v>
      </c>
      <c r="D18" s="5">
        <f t="shared" si="2"/>
        <v>0.357246664</v>
      </c>
      <c r="F18" s="7" t="s">
        <v>11</v>
      </c>
      <c r="G18" s="7">
        <f>G4-1</f>
        <v>86</v>
      </c>
    </row>
    <row r="19">
      <c r="A19" s="4">
        <v>1.0</v>
      </c>
      <c r="B19" s="4">
        <v>4.0</v>
      </c>
      <c r="C19" s="4">
        <f t="shared" si="1"/>
        <v>3</v>
      </c>
      <c r="D19" s="5">
        <f t="shared" si="2"/>
        <v>0.357246664</v>
      </c>
    </row>
    <row r="20">
      <c r="A20" s="4">
        <v>2.0</v>
      </c>
      <c r="B20" s="4">
        <v>3.0</v>
      </c>
      <c r="C20" s="4">
        <f t="shared" si="1"/>
        <v>1</v>
      </c>
      <c r="D20" s="5">
        <f t="shared" si="2"/>
        <v>1.966442066</v>
      </c>
    </row>
    <row r="21" ht="15.75" customHeight="1">
      <c r="A21" s="4">
        <v>3.0</v>
      </c>
      <c r="B21" s="4">
        <v>4.0</v>
      </c>
      <c r="C21" s="4">
        <f t="shared" si="1"/>
        <v>1</v>
      </c>
      <c r="D21" s="5">
        <f t="shared" si="2"/>
        <v>1.966442066</v>
      </c>
    </row>
    <row r="22" ht="15.75" customHeight="1">
      <c r="A22" s="4">
        <v>2.0</v>
      </c>
      <c r="B22" s="4">
        <v>4.0</v>
      </c>
      <c r="C22" s="4">
        <f t="shared" si="1"/>
        <v>2</v>
      </c>
      <c r="D22" s="5">
        <f t="shared" si="2"/>
        <v>0.1618443652</v>
      </c>
      <c r="F22" s="6" t="s">
        <v>12</v>
      </c>
      <c r="G22" s="6"/>
    </row>
    <row r="23" ht="15.75" customHeight="1">
      <c r="A23" s="4">
        <v>1.0</v>
      </c>
      <c r="B23" s="4">
        <v>5.0</v>
      </c>
      <c r="C23" s="4">
        <f t="shared" si="1"/>
        <v>4</v>
      </c>
      <c r="D23" s="5">
        <f t="shared" si="2"/>
        <v>2.552648963</v>
      </c>
      <c r="F23" s="7" t="s">
        <v>46</v>
      </c>
      <c r="G23" s="7">
        <f>_xlfn.T.INV.2T(G17,G18)</f>
        <v>1.987934206</v>
      </c>
    </row>
    <row r="24" ht="15.75" customHeight="1">
      <c r="A24" s="4">
        <v>2.0</v>
      </c>
      <c r="B24" s="4">
        <v>5.0</v>
      </c>
      <c r="C24" s="4">
        <f t="shared" si="1"/>
        <v>3</v>
      </c>
      <c r="D24" s="5">
        <f t="shared" si="2"/>
        <v>0.357246664</v>
      </c>
      <c r="F24" s="7" t="s">
        <v>47</v>
      </c>
      <c r="G24" s="7">
        <f>_xlfn.T.INV(G17,G18)</f>
        <v>-1.662765449</v>
      </c>
    </row>
    <row r="25" ht="15.75" customHeight="1">
      <c r="A25" s="4">
        <v>1.0</v>
      </c>
      <c r="B25" s="4">
        <v>3.0</v>
      </c>
      <c r="C25" s="4">
        <f t="shared" si="1"/>
        <v>2</v>
      </c>
      <c r="D25" s="5">
        <f t="shared" si="2"/>
        <v>0.1618443652</v>
      </c>
    </row>
    <row r="26" ht="15.75" customHeight="1">
      <c r="A26" s="4">
        <v>2.0</v>
      </c>
      <c r="B26" s="4">
        <v>3.0</v>
      </c>
      <c r="C26" s="4">
        <f t="shared" si="1"/>
        <v>1</v>
      </c>
      <c r="D26" s="5">
        <f t="shared" si="2"/>
        <v>1.966442066</v>
      </c>
    </row>
    <row r="27" ht="15.75" customHeight="1">
      <c r="A27" s="4">
        <v>1.0</v>
      </c>
      <c r="B27" s="4">
        <v>5.0</v>
      </c>
      <c r="C27" s="4">
        <f t="shared" si="1"/>
        <v>4</v>
      </c>
      <c r="D27" s="5">
        <f t="shared" si="2"/>
        <v>2.552648963</v>
      </c>
    </row>
    <row r="28" ht="15.75" customHeight="1">
      <c r="A28" s="4">
        <v>2.0</v>
      </c>
      <c r="B28" s="4">
        <v>4.0</v>
      </c>
      <c r="C28" s="4">
        <f t="shared" si="1"/>
        <v>2</v>
      </c>
      <c r="D28" s="5">
        <f t="shared" si="2"/>
        <v>0.1618443652</v>
      </c>
    </row>
    <row r="29" ht="15.75" customHeight="1">
      <c r="A29" s="4">
        <v>1.0</v>
      </c>
      <c r="B29" s="4">
        <v>4.0</v>
      </c>
      <c r="C29" s="4">
        <f t="shared" si="1"/>
        <v>3</v>
      </c>
      <c r="D29" s="5">
        <f t="shared" si="2"/>
        <v>0.357246664</v>
      </c>
    </row>
    <row r="30" ht="15.75" customHeight="1">
      <c r="A30" s="4">
        <v>2.0</v>
      </c>
      <c r="B30" s="4">
        <v>3.0</v>
      </c>
      <c r="C30" s="4">
        <f t="shared" si="1"/>
        <v>1</v>
      </c>
      <c r="D30" s="5">
        <f t="shared" si="2"/>
        <v>1.966442066</v>
      </c>
    </row>
    <row r="31" ht="15.75" customHeight="1">
      <c r="A31" s="4">
        <v>1.0</v>
      </c>
      <c r="B31" s="4">
        <v>3.0</v>
      </c>
      <c r="C31" s="4">
        <f t="shared" si="1"/>
        <v>2</v>
      </c>
      <c r="D31" s="5">
        <f t="shared" si="2"/>
        <v>0.1618443652</v>
      </c>
    </row>
    <row r="32" ht="15.75" customHeight="1">
      <c r="A32" s="4">
        <v>2.0</v>
      </c>
      <c r="B32" s="4">
        <v>5.0</v>
      </c>
      <c r="C32" s="4">
        <f t="shared" si="1"/>
        <v>3</v>
      </c>
      <c r="D32" s="5">
        <f t="shared" si="2"/>
        <v>0.357246664</v>
      </c>
    </row>
    <row r="33" ht="15.75" customHeight="1">
      <c r="A33" s="4">
        <v>1.0</v>
      </c>
      <c r="B33" s="4">
        <v>5.0</v>
      </c>
      <c r="C33" s="4">
        <f t="shared" si="1"/>
        <v>4</v>
      </c>
      <c r="D33" s="5">
        <f t="shared" si="2"/>
        <v>2.552648963</v>
      </c>
    </row>
    <row r="34" ht="15.75" customHeight="1">
      <c r="A34" s="4">
        <v>3.0</v>
      </c>
      <c r="B34" s="4">
        <v>3.0</v>
      </c>
      <c r="C34" s="4">
        <f t="shared" si="1"/>
        <v>0</v>
      </c>
      <c r="D34" s="5">
        <f t="shared" si="2"/>
        <v>5.771039767</v>
      </c>
      <c r="F34" s="7" t="s">
        <v>15</v>
      </c>
    </row>
    <row r="35" ht="15.75" customHeight="1">
      <c r="A35" s="4">
        <v>1.0</v>
      </c>
      <c r="B35" s="4">
        <v>3.0</v>
      </c>
      <c r="C35" s="4">
        <f t="shared" si="1"/>
        <v>2</v>
      </c>
      <c r="D35" s="5">
        <f t="shared" si="2"/>
        <v>0.1618443652</v>
      </c>
      <c r="F35" s="7" t="s">
        <v>16</v>
      </c>
    </row>
    <row r="36" ht="15.75" customHeight="1">
      <c r="A36" s="4">
        <v>2.0</v>
      </c>
      <c r="B36" s="4">
        <v>5.0</v>
      </c>
      <c r="C36" s="4">
        <f t="shared" si="1"/>
        <v>3</v>
      </c>
      <c r="D36" s="5">
        <f t="shared" si="2"/>
        <v>0.357246664</v>
      </c>
    </row>
    <row r="37" ht="15.75" customHeight="1">
      <c r="A37" s="4">
        <v>1.0</v>
      </c>
      <c r="B37" s="4">
        <v>4.0</v>
      </c>
      <c r="C37" s="4">
        <f t="shared" si="1"/>
        <v>3</v>
      </c>
      <c r="D37" s="5">
        <f t="shared" si="2"/>
        <v>0.357246664</v>
      </c>
    </row>
    <row r="38" ht="15.75" customHeight="1">
      <c r="A38" s="4">
        <v>2.0</v>
      </c>
      <c r="B38" s="4">
        <v>4.0</v>
      </c>
      <c r="C38" s="4">
        <f t="shared" si="1"/>
        <v>2</v>
      </c>
      <c r="D38" s="5">
        <f t="shared" si="2"/>
        <v>0.1618443652</v>
      </c>
    </row>
    <row r="39" ht="15.75" customHeight="1">
      <c r="A39" s="4">
        <v>1.0</v>
      </c>
      <c r="B39" s="4">
        <v>3.0</v>
      </c>
      <c r="C39" s="4">
        <f t="shared" si="1"/>
        <v>2</v>
      </c>
      <c r="D39" s="5">
        <f t="shared" si="2"/>
        <v>0.1618443652</v>
      </c>
      <c r="F39" s="6" t="s">
        <v>17</v>
      </c>
      <c r="G39" s="6"/>
    </row>
    <row r="40" ht="15.75" customHeight="1">
      <c r="A40" s="4">
        <v>2.0</v>
      </c>
      <c r="B40" s="4">
        <v>5.0</v>
      </c>
      <c r="C40" s="4">
        <f t="shared" si="1"/>
        <v>3</v>
      </c>
      <c r="D40" s="5">
        <f t="shared" si="2"/>
        <v>0.357246664</v>
      </c>
      <c r="F40" s="7" t="s">
        <v>17</v>
      </c>
    </row>
    <row r="41" ht="15.75" customHeight="1">
      <c r="A41" s="4">
        <v>1.0</v>
      </c>
      <c r="B41" s="4">
        <v>4.0</v>
      </c>
      <c r="C41" s="4">
        <f t="shared" si="1"/>
        <v>3</v>
      </c>
      <c r="D41" s="5">
        <f t="shared" si="2"/>
        <v>0.357246664</v>
      </c>
      <c r="F41" s="7" t="s">
        <v>48</v>
      </c>
      <c r="G41" s="7">
        <f>TTEST(A:A,B:B,2,1)</f>
        <v>0</v>
      </c>
    </row>
    <row r="42" ht="15.75" customHeight="1">
      <c r="A42" s="4">
        <v>2.0</v>
      </c>
      <c r="B42" s="4">
        <v>4.0</v>
      </c>
      <c r="C42" s="4">
        <f t="shared" si="1"/>
        <v>2</v>
      </c>
      <c r="D42" s="5">
        <f t="shared" si="2"/>
        <v>0.1618443652</v>
      </c>
      <c r="F42" s="7" t="s">
        <v>49</v>
      </c>
      <c r="G42" s="7">
        <f>TTEST(A:A,B:B,1,1)</f>
        <v>0</v>
      </c>
    </row>
    <row r="43" ht="15.75" customHeight="1">
      <c r="A43" s="4">
        <v>1.0</v>
      </c>
      <c r="B43" s="4">
        <v>5.0</v>
      </c>
      <c r="C43" s="4">
        <f t="shared" si="1"/>
        <v>4</v>
      </c>
      <c r="D43" s="5">
        <f t="shared" si="2"/>
        <v>2.552648963</v>
      </c>
    </row>
    <row r="44" ht="15.75" customHeight="1">
      <c r="A44" s="4">
        <v>2.0</v>
      </c>
      <c r="B44" s="4">
        <v>5.0</v>
      </c>
      <c r="C44" s="4">
        <f t="shared" si="1"/>
        <v>3</v>
      </c>
      <c r="D44" s="5">
        <f t="shared" si="2"/>
        <v>0.357246664</v>
      </c>
    </row>
    <row r="45" ht="15.75" customHeight="1">
      <c r="A45" s="4">
        <v>1.0</v>
      </c>
      <c r="B45" s="4">
        <v>4.0</v>
      </c>
      <c r="C45" s="4">
        <f t="shared" si="1"/>
        <v>3</v>
      </c>
      <c r="D45" s="5">
        <f t="shared" si="2"/>
        <v>0.357246664</v>
      </c>
      <c r="F45" s="6" t="s">
        <v>20</v>
      </c>
      <c r="G45" s="6"/>
    </row>
    <row r="46" ht="15.75" customHeight="1">
      <c r="A46" s="4">
        <v>2.0</v>
      </c>
      <c r="B46" s="4">
        <v>5.0</v>
      </c>
      <c r="C46" s="4">
        <f t="shared" si="1"/>
        <v>3</v>
      </c>
      <c r="D46" s="5">
        <f t="shared" si="2"/>
        <v>0.357246664</v>
      </c>
    </row>
    <row r="47" ht="15.75" customHeight="1">
      <c r="A47" s="4">
        <v>1.0</v>
      </c>
      <c r="B47" s="4">
        <v>4.0</v>
      </c>
      <c r="C47" s="4">
        <f t="shared" si="1"/>
        <v>3</v>
      </c>
      <c r="D47" s="5">
        <f t="shared" si="2"/>
        <v>0.357246664</v>
      </c>
      <c r="F47" s="7" t="s">
        <v>50</v>
      </c>
    </row>
    <row r="48" ht="15.75" customHeight="1">
      <c r="A48" s="4">
        <v>2.0</v>
      </c>
      <c r="B48" s="4">
        <v>5.0</v>
      </c>
      <c r="C48" s="4">
        <f t="shared" si="1"/>
        <v>3</v>
      </c>
      <c r="D48" s="5">
        <f t="shared" si="2"/>
        <v>0.357246664</v>
      </c>
      <c r="F48" s="7" t="s">
        <v>51</v>
      </c>
    </row>
    <row r="49" ht="15.75" customHeight="1">
      <c r="A49" s="4">
        <v>3.0</v>
      </c>
      <c r="B49" s="4">
        <v>4.0</v>
      </c>
      <c r="C49" s="4">
        <f t="shared" si="1"/>
        <v>1</v>
      </c>
      <c r="D49" s="5">
        <f t="shared" si="2"/>
        <v>1.966442066</v>
      </c>
    </row>
    <row r="50" ht="15.75" customHeight="1">
      <c r="A50" s="4">
        <v>2.0</v>
      </c>
      <c r="B50" s="4">
        <v>5.0</v>
      </c>
      <c r="C50" s="4">
        <f t="shared" si="1"/>
        <v>3</v>
      </c>
      <c r="D50" s="5">
        <f t="shared" si="2"/>
        <v>0.357246664</v>
      </c>
      <c r="F50" s="7" t="s">
        <v>23</v>
      </c>
    </row>
    <row r="51" ht="15.75" customHeight="1">
      <c r="A51" s="4">
        <v>1.0</v>
      </c>
      <c r="B51" s="4">
        <v>3.0</v>
      </c>
      <c r="C51" s="4">
        <f t="shared" si="1"/>
        <v>2</v>
      </c>
      <c r="D51" s="5">
        <f t="shared" si="2"/>
        <v>0.1618443652</v>
      </c>
      <c r="F51" s="7" t="s">
        <v>24</v>
      </c>
    </row>
    <row r="52" ht="15.75" customHeight="1">
      <c r="A52" s="4">
        <v>2.0</v>
      </c>
      <c r="B52" s="4">
        <v>5.0</v>
      </c>
      <c r="C52" s="4">
        <f t="shared" si="1"/>
        <v>3</v>
      </c>
      <c r="D52" s="5">
        <f t="shared" si="2"/>
        <v>0.357246664</v>
      </c>
    </row>
    <row r="53" ht="15.75" customHeight="1">
      <c r="A53" s="4">
        <v>1.0</v>
      </c>
      <c r="B53" s="4">
        <v>5.0</v>
      </c>
      <c r="C53" s="4">
        <f t="shared" si="1"/>
        <v>4</v>
      </c>
      <c r="D53" s="5">
        <f t="shared" si="2"/>
        <v>2.552648963</v>
      </c>
    </row>
    <row r="54" ht="15.75" customHeight="1">
      <c r="A54" s="4">
        <v>2.0</v>
      </c>
      <c r="B54" s="4">
        <v>5.0</v>
      </c>
      <c r="C54" s="4">
        <f t="shared" si="1"/>
        <v>3</v>
      </c>
      <c r="D54" s="5">
        <f t="shared" si="2"/>
        <v>0.357246664</v>
      </c>
    </row>
    <row r="55" ht="15.75" customHeight="1">
      <c r="A55" s="4">
        <v>1.0</v>
      </c>
      <c r="B55" s="4">
        <v>4.0</v>
      </c>
      <c r="C55" s="4">
        <f t="shared" si="1"/>
        <v>3</v>
      </c>
      <c r="D55" s="5">
        <f t="shared" si="2"/>
        <v>0.357246664</v>
      </c>
    </row>
    <row r="56" ht="15.75" customHeight="1">
      <c r="A56" s="4">
        <v>2.0</v>
      </c>
      <c r="B56" s="4">
        <v>4.0</v>
      </c>
      <c r="C56" s="4">
        <f t="shared" si="1"/>
        <v>2</v>
      </c>
      <c r="D56" s="5">
        <f t="shared" si="2"/>
        <v>0.1618443652</v>
      </c>
      <c r="F56" s="6" t="s">
        <v>25</v>
      </c>
    </row>
    <row r="57" ht="15.75" customHeight="1">
      <c r="A57" s="4">
        <v>1.0</v>
      </c>
      <c r="B57" s="4">
        <v>4.0</v>
      </c>
      <c r="C57" s="4">
        <f t="shared" si="1"/>
        <v>3</v>
      </c>
      <c r="D57" s="5">
        <f t="shared" si="2"/>
        <v>0.357246664</v>
      </c>
    </row>
    <row r="58" ht="15.75" customHeight="1">
      <c r="A58" s="4">
        <v>2.0</v>
      </c>
      <c r="B58" s="4">
        <v>5.0</v>
      </c>
      <c r="C58" s="4">
        <f t="shared" si="1"/>
        <v>3</v>
      </c>
      <c r="D58" s="5">
        <f t="shared" si="2"/>
        <v>0.357246664</v>
      </c>
      <c r="F58" s="7" t="s">
        <v>52</v>
      </c>
    </row>
    <row r="59" ht="15.75" customHeight="1">
      <c r="A59" s="4">
        <v>1.0</v>
      </c>
      <c r="B59" s="4">
        <v>4.0</v>
      </c>
      <c r="C59" s="4">
        <f t="shared" si="1"/>
        <v>3</v>
      </c>
      <c r="D59" s="5">
        <f t="shared" si="2"/>
        <v>0.357246664</v>
      </c>
      <c r="F59" s="7" t="s">
        <v>27</v>
      </c>
    </row>
    <row r="60" ht="15.75" customHeight="1">
      <c r="A60" s="4">
        <v>2.0</v>
      </c>
      <c r="B60" s="4">
        <v>4.0</v>
      </c>
      <c r="C60" s="4">
        <f t="shared" si="1"/>
        <v>2</v>
      </c>
      <c r="D60" s="5">
        <f t="shared" si="2"/>
        <v>0.1618443652</v>
      </c>
      <c r="F60" s="7" t="s">
        <v>53</v>
      </c>
    </row>
    <row r="61" ht="15.75" customHeight="1">
      <c r="A61" s="4">
        <v>1.0</v>
      </c>
      <c r="B61" s="4">
        <v>3.0</v>
      </c>
      <c r="C61" s="4">
        <f t="shared" si="1"/>
        <v>2</v>
      </c>
      <c r="D61" s="5">
        <f t="shared" si="2"/>
        <v>0.1618443652</v>
      </c>
    </row>
    <row r="62" ht="15.75" customHeight="1">
      <c r="A62" s="4">
        <v>2.0</v>
      </c>
      <c r="B62" s="4">
        <v>4.0</v>
      </c>
      <c r="C62" s="4">
        <f t="shared" si="1"/>
        <v>2</v>
      </c>
      <c r="D62" s="5">
        <f t="shared" si="2"/>
        <v>0.1618443652</v>
      </c>
    </row>
    <row r="63" ht="15.75" customHeight="1">
      <c r="A63" s="4">
        <v>1.0</v>
      </c>
      <c r="B63" s="4">
        <v>3.0</v>
      </c>
      <c r="C63" s="4">
        <f t="shared" si="1"/>
        <v>2</v>
      </c>
      <c r="D63" s="5">
        <f t="shared" si="2"/>
        <v>0.1618443652</v>
      </c>
    </row>
    <row r="64" ht="15.75" customHeight="1">
      <c r="A64" s="4">
        <v>2.0</v>
      </c>
      <c r="B64" s="4">
        <v>5.0</v>
      </c>
      <c r="C64" s="4">
        <f t="shared" si="1"/>
        <v>3</v>
      </c>
      <c r="D64" s="5">
        <f t="shared" si="2"/>
        <v>0.357246664</v>
      </c>
    </row>
    <row r="65" ht="15.75" customHeight="1">
      <c r="A65" s="4">
        <v>1.0</v>
      </c>
      <c r="B65" s="4">
        <v>5.0</v>
      </c>
      <c r="C65" s="4">
        <f t="shared" si="1"/>
        <v>4</v>
      </c>
      <c r="D65" s="5">
        <f t="shared" si="2"/>
        <v>2.552648963</v>
      </c>
      <c r="F65" s="6" t="s">
        <v>25</v>
      </c>
    </row>
    <row r="66" ht="15.75" customHeight="1">
      <c r="A66" s="4">
        <v>2.0</v>
      </c>
      <c r="B66" s="4">
        <v>5.0</v>
      </c>
      <c r="C66" s="4">
        <f t="shared" si="1"/>
        <v>3</v>
      </c>
      <c r="D66" s="5">
        <f t="shared" si="2"/>
        <v>0.357246664</v>
      </c>
    </row>
    <row r="67" ht="15.75" customHeight="1">
      <c r="A67" s="4">
        <v>1.0</v>
      </c>
      <c r="B67" s="4">
        <v>5.0</v>
      </c>
      <c r="C67" s="4">
        <f t="shared" si="1"/>
        <v>4</v>
      </c>
      <c r="D67" s="5">
        <f t="shared" si="2"/>
        <v>2.552648963</v>
      </c>
    </row>
    <row r="68" ht="15.75" customHeight="1">
      <c r="A68" s="4">
        <v>2.0</v>
      </c>
      <c r="B68" s="4">
        <v>4.0</v>
      </c>
      <c r="C68" s="4">
        <f t="shared" si="1"/>
        <v>2</v>
      </c>
      <c r="D68" s="5">
        <f t="shared" si="2"/>
        <v>0.1618443652</v>
      </c>
    </row>
    <row r="69" ht="15.75" customHeight="1">
      <c r="A69" s="4">
        <v>3.0</v>
      </c>
      <c r="B69" s="4">
        <v>3.0</v>
      </c>
      <c r="C69" s="4">
        <f t="shared" si="1"/>
        <v>0</v>
      </c>
      <c r="D69" s="5">
        <f t="shared" si="2"/>
        <v>5.771039767</v>
      </c>
    </row>
    <row r="70" ht="15.75" customHeight="1">
      <c r="A70" s="4">
        <v>2.0</v>
      </c>
      <c r="B70" s="4">
        <v>5.0</v>
      </c>
      <c r="C70" s="4">
        <f t="shared" si="1"/>
        <v>3</v>
      </c>
      <c r="D70" s="5">
        <f t="shared" si="2"/>
        <v>0.357246664</v>
      </c>
    </row>
    <row r="71" ht="15.75" customHeight="1">
      <c r="A71" s="4">
        <v>1.0</v>
      </c>
      <c r="B71" s="4">
        <v>4.0</v>
      </c>
      <c r="C71" s="4">
        <f t="shared" si="1"/>
        <v>3</v>
      </c>
      <c r="D71" s="5">
        <f t="shared" si="2"/>
        <v>0.357246664</v>
      </c>
    </row>
    <row r="72" ht="15.75" customHeight="1">
      <c r="A72" s="4">
        <v>2.0</v>
      </c>
      <c r="B72" s="4">
        <v>4.0</v>
      </c>
      <c r="C72" s="4">
        <f t="shared" si="1"/>
        <v>2</v>
      </c>
      <c r="D72" s="5">
        <f t="shared" si="2"/>
        <v>0.1618443652</v>
      </c>
      <c r="F72" s="7" t="s">
        <v>29</v>
      </c>
    </row>
    <row r="73" ht="15.75" customHeight="1">
      <c r="A73" s="4">
        <v>1.0</v>
      </c>
      <c r="B73" s="4">
        <v>4.0</v>
      </c>
      <c r="C73" s="4">
        <f t="shared" si="1"/>
        <v>3</v>
      </c>
      <c r="D73" s="5">
        <f t="shared" si="2"/>
        <v>0.357246664</v>
      </c>
      <c r="F73" s="7" t="s">
        <v>54</v>
      </c>
    </row>
    <row r="74" ht="15.75" customHeight="1">
      <c r="A74" s="4">
        <v>2.0</v>
      </c>
      <c r="B74" s="4">
        <v>4.0</v>
      </c>
      <c r="C74" s="4">
        <f t="shared" si="1"/>
        <v>2</v>
      </c>
      <c r="D74" s="5">
        <f t="shared" si="2"/>
        <v>0.1618443652</v>
      </c>
      <c r="F74" s="7" t="s">
        <v>29</v>
      </c>
    </row>
    <row r="75" ht="15.75" customHeight="1">
      <c r="A75" s="4">
        <v>3.0</v>
      </c>
      <c r="B75" s="4">
        <v>4.0</v>
      </c>
      <c r="C75" s="4">
        <f t="shared" si="1"/>
        <v>1</v>
      </c>
      <c r="D75" s="5">
        <f t="shared" si="2"/>
        <v>1.966442066</v>
      </c>
      <c r="F75" s="7" t="s">
        <v>55</v>
      </c>
    </row>
    <row r="76" ht="15.75" customHeight="1">
      <c r="A76" s="4">
        <v>2.0</v>
      </c>
      <c r="B76" s="4">
        <v>5.0</v>
      </c>
      <c r="C76" s="4">
        <f t="shared" si="1"/>
        <v>3</v>
      </c>
      <c r="D76" s="5">
        <f t="shared" si="2"/>
        <v>0.357246664</v>
      </c>
    </row>
    <row r="77" ht="15.75" customHeight="1">
      <c r="A77" s="4">
        <v>1.0</v>
      </c>
      <c r="B77" s="4">
        <v>3.0</v>
      </c>
      <c r="C77" s="4">
        <f t="shared" si="1"/>
        <v>2</v>
      </c>
      <c r="D77" s="5">
        <f t="shared" si="2"/>
        <v>0.1618443652</v>
      </c>
    </row>
    <row r="78" ht="15.75" customHeight="1">
      <c r="A78" s="4">
        <v>2.0</v>
      </c>
      <c r="B78" s="4">
        <v>4.0</v>
      </c>
      <c r="C78" s="4">
        <f t="shared" si="1"/>
        <v>2</v>
      </c>
      <c r="D78" s="5">
        <f t="shared" si="2"/>
        <v>0.1618443652</v>
      </c>
    </row>
    <row r="79" ht="15.75" customHeight="1">
      <c r="A79" s="4">
        <v>3.0</v>
      </c>
      <c r="B79" s="4">
        <v>4.0</v>
      </c>
      <c r="C79" s="4">
        <f t="shared" si="1"/>
        <v>1</v>
      </c>
      <c r="D79" s="5">
        <f t="shared" si="2"/>
        <v>1.966442066</v>
      </c>
    </row>
    <row r="80" ht="15.75" customHeight="1">
      <c r="A80" s="4">
        <v>2.0</v>
      </c>
      <c r="B80" s="4">
        <v>3.0</v>
      </c>
      <c r="C80" s="4">
        <f t="shared" si="1"/>
        <v>1</v>
      </c>
      <c r="D80" s="5">
        <f t="shared" si="2"/>
        <v>1.966442066</v>
      </c>
    </row>
    <row r="81" ht="15.75" customHeight="1">
      <c r="A81" s="4">
        <v>1.0</v>
      </c>
      <c r="B81" s="4">
        <v>5.0</v>
      </c>
      <c r="C81" s="4">
        <f t="shared" si="1"/>
        <v>4</v>
      </c>
      <c r="D81" s="5">
        <f t="shared" si="2"/>
        <v>2.552648963</v>
      </c>
    </row>
    <row r="82" ht="15.75" customHeight="1">
      <c r="A82" s="4">
        <v>2.0</v>
      </c>
      <c r="B82" s="4">
        <v>4.0</v>
      </c>
      <c r="C82" s="4">
        <f t="shared" si="1"/>
        <v>2</v>
      </c>
      <c r="D82" s="5">
        <f t="shared" si="2"/>
        <v>0.1618443652</v>
      </c>
    </row>
    <row r="83" ht="15.75" customHeight="1">
      <c r="A83" s="4">
        <v>1.0</v>
      </c>
      <c r="B83" s="4">
        <v>4.0</v>
      </c>
      <c r="C83" s="4">
        <f t="shared" si="1"/>
        <v>3</v>
      </c>
      <c r="D83" s="5">
        <f t="shared" si="2"/>
        <v>0.357246664</v>
      </c>
    </row>
    <row r="84" ht="15.75" customHeight="1">
      <c r="A84" s="4">
        <v>2.0</v>
      </c>
      <c r="B84" s="4">
        <v>5.0</v>
      </c>
      <c r="C84" s="4">
        <f t="shared" si="1"/>
        <v>3</v>
      </c>
      <c r="D84" s="5">
        <f t="shared" si="2"/>
        <v>0.357246664</v>
      </c>
    </row>
    <row r="85" ht="15.75" customHeight="1">
      <c r="A85" s="4">
        <v>1.0</v>
      </c>
      <c r="B85" s="4">
        <v>5.0</v>
      </c>
      <c r="C85" s="4">
        <f t="shared" si="1"/>
        <v>4</v>
      </c>
      <c r="D85" s="5">
        <f t="shared" si="2"/>
        <v>2.552648963</v>
      </c>
    </row>
    <row r="86" ht="15.75" customHeight="1">
      <c r="A86" s="4">
        <v>2.0</v>
      </c>
      <c r="B86" s="4">
        <v>3.0</v>
      </c>
      <c r="C86" s="4">
        <f t="shared" si="1"/>
        <v>1</v>
      </c>
      <c r="D86" s="5">
        <f t="shared" si="2"/>
        <v>1.966442066</v>
      </c>
    </row>
    <row r="87" ht="15.75" customHeight="1">
      <c r="A87" s="4">
        <v>3.0</v>
      </c>
      <c r="B87" s="4">
        <v>4.0</v>
      </c>
      <c r="C87" s="4">
        <f t="shared" si="1"/>
        <v>1</v>
      </c>
      <c r="D87" s="5">
        <f t="shared" si="2"/>
        <v>1.966442066</v>
      </c>
    </row>
    <row r="88" ht="15.75" customHeight="1">
      <c r="A88" s="4">
        <v>2.0</v>
      </c>
      <c r="B88" s="4">
        <v>5.0</v>
      </c>
      <c r="C88" s="4">
        <f t="shared" si="1"/>
        <v>3</v>
      </c>
      <c r="D88" s="5">
        <f t="shared" si="2"/>
        <v>0.357246664</v>
      </c>
    </row>
    <row r="89" ht="15.75" customHeight="1"/>
    <row r="90" ht="15.75" customHeight="1"/>
    <row r="91" ht="15.75" customHeight="1"/>
    <row r="92" ht="15.75" customHeight="1"/>
    <row r="93" ht="15.75" customHeight="1">
      <c r="F93" s="8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3.43"/>
    <col customWidth="1" min="3" max="3" width="19.86"/>
    <col customWidth="1" min="4" max="4" width="23.14"/>
    <col customWidth="1" min="5" max="5" width="12.0"/>
    <col customWidth="1" min="6" max="6" width="39.0"/>
    <col customWidth="1" min="7" max="7" width="19.0"/>
    <col customWidth="1" min="8" max="26" width="9.14"/>
  </cols>
  <sheetData>
    <row r="1" ht="108.0" customHeight="1">
      <c r="A1" s="1" t="s">
        <v>56</v>
      </c>
      <c r="B1" s="2" t="s">
        <v>57</v>
      </c>
      <c r="C1" s="3" t="s">
        <v>2</v>
      </c>
      <c r="D1" s="3"/>
    </row>
    <row r="2">
      <c r="A2" s="4">
        <v>2.0</v>
      </c>
      <c r="B2" s="4">
        <v>5.0</v>
      </c>
      <c r="C2" s="4">
        <f t="shared" ref="C2:C88" si="1">B2-A2</f>
        <v>3</v>
      </c>
      <c r="D2" s="5">
        <f t="shared" ref="D2:D88" si="2">(C2-$G$6)^2</f>
        <v>0.6848989298</v>
      </c>
    </row>
    <row r="3">
      <c r="A3" s="4">
        <v>1.0</v>
      </c>
      <c r="B3" s="4">
        <v>3.0</v>
      </c>
      <c r="C3" s="4">
        <f t="shared" si="1"/>
        <v>2</v>
      </c>
      <c r="D3" s="5">
        <f t="shared" si="2"/>
        <v>0.02972651605</v>
      </c>
      <c r="F3" s="6" t="s">
        <v>3</v>
      </c>
      <c r="G3" s="6"/>
    </row>
    <row r="4">
      <c r="A4" s="4">
        <v>2.0</v>
      </c>
      <c r="B4" s="4">
        <v>3.0</v>
      </c>
      <c r="C4" s="4">
        <f t="shared" si="1"/>
        <v>1</v>
      </c>
      <c r="D4" s="5">
        <f t="shared" si="2"/>
        <v>1.374554102</v>
      </c>
      <c r="F4" s="7" t="s">
        <v>4</v>
      </c>
      <c r="G4" s="7">
        <v>87.0</v>
      </c>
    </row>
    <row r="5">
      <c r="A5" s="4">
        <v>3.0</v>
      </c>
      <c r="B5" s="4">
        <v>3.0</v>
      </c>
      <c r="C5" s="4">
        <f t="shared" si="1"/>
        <v>0</v>
      </c>
      <c r="D5" s="5">
        <f t="shared" si="2"/>
        <v>4.719381688</v>
      </c>
      <c r="F5" s="7" t="s">
        <v>5</v>
      </c>
      <c r="G5" s="7">
        <f>SUM(C:C)</f>
        <v>189</v>
      </c>
    </row>
    <row r="6">
      <c r="A6" s="4">
        <v>2.0</v>
      </c>
      <c r="B6" s="4">
        <v>5.0</v>
      </c>
      <c r="C6" s="4">
        <f t="shared" si="1"/>
        <v>3</v>
      </c>
      <c r="D6" s="5">
        <f t="shared" si="2"/>
        <v>0.6848989298</v>
      </c>
      <c r="F6" s="7" t="s">
        <v>6</v>
      </c>
      <c r="G6" s="7">
        <f>G5/G4</f>
        <v>2.172413793</v>
      </c>
    </row>
    <row r="7">
      <c r="A7" s="4">
        <v>1.0</v>
      </c>
      <c r="B7" s="4">
        <v>3.0</v>
      </c>
      <c r="C7" s="4">
        <f t="shared" si="1"/>
        <v>2</v>
      </c>
      <c r="D7" s="5">
        <f t="shared" si="2"/>
        <v>0.02972651605</v>
      </c>
      <c r="F7" s="7" t="s">
        <v>7</v>
      </c>
      <c r="G7" s="7">
        <f>SUM(D:D)</f>
        <v>102.4137931</v>
      </c>
    </row>
    <row r="8">
      <c r="A8" s="4">
        <v>2.0</v>
      </c>
      <c r="B8" s="4">
        <v>4.0</v>
      </c>
      <c r="C8" s="4">
        <f t="shared" si="1"/>
        <v>2</v>
      </c>
      <c r="D8" s="5">
        <f t="shared" si="2"/>
        <v>0.02972651605</v>
      </c>
      <c r="F8" s="7" t="s">
        <v>8</v>
      </c>
      <c r="G8" s="7">
        <f>SQRT(G7/(G4-1))</f>
        <v>1.091264431</v>
      </c>
    </row>
    <row r="9">
      <c r="A9" s="4">
        <v>1.0</v>
      </c>
      <c r="B9" s="4">
        <v>5.0</v>
      </c>
      <c r="C9" s="4">
        <f t="shared" si="1"/>
        <v>4</v>
      </c>
      <c r="D9" s="5">
        <f t="shared" si="2"/>
        <v>3.340071344</v>
      </c>
    </row>
    <row r="10">
      <c r="A10" s="4">
        <v>2.0</v>
      </c>
      <c r="B10" s="4">
        <v>5.0</v>
      </c>
      <c r="C10" s="4">
        <f t="shared" si="1"/>
        <v>3</v>
      </c>
      <c r="D10" s="5">
        <f t="shared" si="2"/>
        <v>0.6848989298</v>
      </c>
    </row>
    <row r="11">
      <c r="A11" s="4">
        <v>3.0</v>
      </c>
      <c r="B11" s="4">
        <v>3.0</v>
      </c>
      <c r="C11" s="4">
        <f t="shared" si="1"/>
        <v>0</v>
      </c>
      <c r="D11" s="5">
        <f t="shared" si="2"/>
        <v>4.719381688</v>
      </c>
    </row>
    <row r="12">
      <c r="A12" s="4">
        <v>2.0</v>
      </c>
      <c r="B12" s="4">
        <v>3.0</v>
      </c>
      <c r="C12" s="4">
        <f t="shared" si="1"/>
        <v>1</v>
      </c>
      <c r="D12" s="5">
        <f t="shared" si="2"/>
        <v>1.374554102</v>
      </c>
      <c r="F12" s="7" t="s">
        <v>9</v>
      </c>
      <c r="G12" s="7">
        <f>G6/(G8/SQRT(G4))</f>
        <v>18.56830144</v>
      </c>
    </row>
    <row r="13">
      <c r="A13" s="4">
        <v>3.0</v>
      </c>
      <c r="B13" s="4">
        <v>4.0</v>
      </c>
      <c r="C13" s="4">
        <f t="shared" si="1"/>
        <v>1</v>
      </c>
      <c r="D13" s="5">
        <f t="shared" si="2"/>
        <v>1.374554102</v>
      </c>
    </row>
    <row r="14">
      <c r="A14" s="4">
        <v>2.0</v>
      </c>
      <c r="B14" s="4">
        <v>3.0</v>
      </c>
      <c r="C14" s="4">
        <f t="shared" si="1"/>
        <v>1</v>
      </c>
      <c r="D14" s="5">
        <f t="shared" si="2"/>
        <v>1.374554102</v>
      </c>
    </row>
    <row r="15">
      <c r="A15" s="4">
        <v>1.0</v>
      </c>
      <c r="B15" s="4">
        <v>3.0</v>
      </c>
      <c r="C15" s="4">
        <f t="shared" si="1"/>
        <v>2</v>
      </c>
      <c r="D15" s="5">
        <f t="shared" si="2"/>
        <v>0.02972651605</v>
      </c>
    </row>
    <row r="16">
      <c r="A16" s="4">
        <v>2.0</v>
      </c>
      <c r="B16" s="4">
        <v>5.0</v>
      </c>
      <c r="C16" s="4">
        <f t="shared" si="1"/>
        <v>3</v>
      </c>
      <c r="D16" s="5">
        <f t="shared" si="2"/>
        <v>0.6848989298</v>
      </c>
    </row>
    <row r="17">
      <c r="A17" s="4">
        <v>1.0</v>
      </c>
      <c r="B17" s="4">
        <v>5.0</v>
      </c>
      <c r="C17" s="4">
        <f t="shared" si="1"/>
        <v>4</v>
      </c>
      <c r="D17" s="5">
        <f t="shared" si="2"/>
        <v>3.340071344</v>
      </c>
      <c r="F17" s="7" t="s">
        <v>10</v>
      </c>
      <c r="G17" s="7">
        <v>0.05</v>
      </c>
    </row>
    <row r="18">
      <c r="A18" s="4">
        <v>2.0</v>
      </c>
      <c r="B18" s="4">
        <v>3.0</v>
      </c>
      <c r="C18" s="4">
        <f t="shared" si="1"/>
        <v>1</v>
      </c>
      <c r="D18" s="5">
        <f t="shared" si="2"/>
        <v>1.374554102</v>
      </c>
      <c r="F18" s="7" t="s">
        <v>11</v>
      </c>
      <c r="G18" s="7">
        <f>G4-1</f>
        <v>86</v>
      </c>
    </row>
    <row r="19">
      <c r="A19" s="4">
        <v>1.0</v>
      </c>
      <c r="B19" s="4">
        <v>3.0</v>
      </c>
      <c r="C19" s="4">
        <f t="shared" si="1"/>
        <v>2</v>
      </c>
      <c r="D19" s="5">
        <f t="shared" si="2"/>
        <v>0.02972651605</v>
      </c>
    </row>
    <row r="20">
      <c r="A20" s="4">
        <v>2.0</v>
      </c>
      <c r="B20" s="4">
        <v>4.0</v>
      </c>
      <c r="C20" s="4">
        <f t="shared" si="1"/>
        <v>2</v>
      </c>
      <c r="D20" s="5">
        <f t="shared" si="2"/>
        <v>0.02972651605</v>
      </c>
    </row>
    <row r="21" ht="15.75" customHeight="1">
      <c r="A21" s="4">
        <v>1.0</v>
      </c>
      <c r="B21" s="4">
        <v>3.0</v>
      </c>
      <c r="C21" s="4">
        <f t="shared" si="1"/>
        <v>2</v>
      </c>
      <c r="D21" s="5">
        <f t="shared" si="2"/>
        <v>0.02972651605</v>
      </c>
    </row>
    <row r="22" ht="15.75" customHeight="1">
      <c r="A22" s="4">
        <v>2.0</v>
      </c>
      <c r="B22" s="4">
        <v>5.0</v>
      </c>
      <c r="C22" s="4">
        <f t="shared" si="1"/>
        <v>3</v>
      </c>
      <c r="D22" s="5">
        <f t="shared" si="2"/>
        <v>0.6848989298</v>
      </c>
      <c r="F22" s="6" t="s">
        <v>12</v>
      </c>
      <c r="G22" s="6"/>
    </row>
    <row r="23" ht="15.75" customHeight="1">
      <c r="A23" s="4">
        <v>1.0</v>
      </c>
      <c r="B23" s="4">
        <v>5.0</v>
      </c>
      <c r="C23" s="4">
        <f t="shared" si="1"/>
        <v>4</v>
      </c>
      <c r="D23" s="5">
        <f t="shared" si="2"/>
        <v>3.340071344</v>
      </c>
      <c r="F23" s="7" t="s">
        <v>58</v>
      </c>
      <c r="G23" s="7">
        <f>_xlfn.T.INV.2T(G17,G18)</f>
        <v>1.987934206</v>
      </c>
    </row>
    <row r="24" ht="15.75" customHeight="1">
      <c r="A24" s="4">
        <v>2.0</v>
      </c>
      <c r="B24" s="4">
        <v>3.0</v>
      </c>
      <c r="C24" s="4">
        <f t="shared" si="1"/>
        <v>1</v>
      </c>
      <c r="D24" s="5">
        <f t="shared" si="2"/>
        <v>1.374554102</v>
      </c>
      <c r="F24" s="7" t="s">
        <v>59</v>
      </c>
      <c r="G24" s="7">
        <f>_xlfn.T.INV(G17,G18)</f>
        <v>-1.662765449</v>
      </c>
    </row>
    <row r="25" ht="15.75" customHeight="1">
      <c r="A25" s="4">
        <v>1.0</v>
      </c>
      <c r="B25" s="4">
        <v>5.0</v>
      </c>
      <c r="C25" s="4">
        <f t="shared" si="1"/>
        <v>4</v>
      </c>
      <c r="D25" s="5">
        <f t="shared" si="2"/>
        <v>3.340071344</v>
      </c>
    </row>
    <row r="26" ht="15.75" customHeight="1">
      <c r="A26" s="4">
        <v>2.0</v>
      </c>
      <c r="B26" s="4">
        <v>5.0</v>
      </c>
      <c r="C26" s="4">
        <f t="shared" si="1"/>
        <v>3</v>
      </c>
      <c r="D26" s="5">
        <f t="shared" si="2"/>
        <v>0.6848989298</v>
      </c>
    </row>
    <row r="27" ht="15.75" customHeight="1">
      <c r="A27" s="4">
        <v>3.0</v>
      </c>
      <c r="B27" s="4">
        <v>5.0</v>
      </c>
      <c r="C27" s="4">
        <f t="shared" si="1"/>
        <v>2</v>
      </c>
      <c r="D27" s="5">
        <f t="shared" si="2"/>
        <v>0.02972651605</v>
      </c>
    </row>
    <row r="28" ht="15.75" customHeight="1">
      <c r="A28" s="4">
        <v>2.0</v>
      </c>
      <c r="B28" s="4">
        <v>5.0</v>
      </c>
      <c r="C28" s="4">
        <f t="shared" si="1"/>
        <v>3</v>
      </c>
      <c r="D28" s="5">
        <f t="shared" si="2"/>
        <v>0.6848989298</v>
      </c>
    </row>
    <row r="29" ht="15.75" customHeight="1">
      <c r="A29" s="4">
        <v>3.0</v>
      </c>
      <c r="B29" s="4">
        <v>4.0</v>
      </c>
      <c r="C29" s="4">
        <f t="shared" si="1"/>
        <v>1</v>
      </c>
      <c r="D29" s="5">
        <f t="shared" si="2"/>
        <v>1.374554102</v>
      </c>
    </row>
    <row r="30" ht="15.75" customHeight="1">
      <c r="A30" s="4">
        <v>2.0</v>
      </c>
      <c r="B30" s="4">
        <v>4.0</v>
      </c>
      <c r="C30" s="4">
        <f t="shared" si="1"/>
        <v>2</v>
      </c>
      <c r="D30" s="5">
        <f t="shared" si="2"/>
        <v>0.02972651605</v>
      </c>
    </row>
    <row r="31" ht="15.75" customHeight="1">
      <c r="A31" s="4">
        <v>1.0</v>
      </c>
      <c r="B31" s="4">
        <v>3.0</v>
      </c>
      <c r="C31" s="4">
        <f t="shared" si="1"/>
        <v>2</v>
      </c>
      <c r="D31" s="5">
        <f t="shared" si="2"/>
        <v>0.02972651605</v>
      </c>
    </row>
    <row r="32" ht="15.75" customHeight="1">
      <c r="A32" s="4">
        <v>2.0</v>
      </c>
      <c r="B32" s="4">
        <v>3.0</v>
      </c>
      <c r="C32" s="4">
        <f t="shared" si="1"/>
        <v>1</v>
      </c>
      <c r="D32" s="5">
        <f t="shared" si="2"/>
        <v>1.374554102</v>
      </c>
    </row>
    <row r="33" ht="15.75" customHeight="1">
      <c r="A33" s="4">
        <v>1.0</v>
      </c>
      <c r="B33" s="4">
        <v>5.0</v>
      </c>
      <c r="C33" s="4">
        <f t="shared" si="1"/>
        <v>4</v>
      </c>
      <c r="D33" s="5">
        <f t="shared" si="2"/>
        <v>3.340071344</v>
      </c>
    </row>
    <row r="34" ht="15.75" customHeight="1">
      <c r="A34" s="4">
        <v>2.0</v>
      </c>
      <c r="B34" s="4">
        <v>2.0</v>
      </c>
      <c r="C34" s="4">
        <f t="shared" si="1"/>
        <v>0</v>
      </c>
      <c r="D34" s="5">
        <f t="shared" si="2"/>
        <v>4.719381688</v>
      </c>
      <c r="F34" s="7" t="s">
        <v>15</v>
      </c>
    </row>
    <row r="35" ht="15.75" customHeight="1">
      <c r="A35" s="4">
        <v>1.0</v>
      </c>
      <c r="B35" s="4">
        <v>4.0</v>
      </c>
      <c r="C35" s="4">
        <f t="shared" si="1"/>
        <v>3</v>
      </c>
      <c r="D35" s="5">
        <f t="shared" si="2"/>
        <v>0.6848989298</v>
      </c>
      <c r="F35" s="7" t="s">
        <v>16</v>
      </c>
    </row>
    <row r="36" ht="15.75" customHeight="1">
      <c r="A36" s="4">
        <v>2.0</v>
      </c>
      <c r="B36" s="4">
        <v>4.0</v>
      </c>
      <c r="C36" s="4">
        <f t="shared" si="1"/>
        <v>2</v>
      </c>
      <c r="D36" s="5">
        <f t="shared" si="2"/>
        <v>0.02972651605</v>
      </c>
    </row>
    <row r="37" ht="15.75" customHeight="1">
      <c r="A37" s="4">
        <v>1.0</v>
      </c>
      <c r="B37" s="4">
        <v>3.0</v>
      </c>
      <c r="C37" s="4">
        <f t="shared" si="1"/>
        <v>2</v>
      </c>
      <c r="D37" s="5">
        <f t="shared" si="2"/>
        <v>0.02972651605</v>
      </c>
    </row>
    <row r="38" ht="15.75" customHeight="1">
      <c r="A38" s="4">
        <v>2.0</v>
      </c>
      <c r="B38" s="4">
        <v>5.0</v>
      </c>
      <c r="C38" s="4">
        <f t="shared" si="1"/>
        <v>3</v>
      </c>
      <c r="D38" s="5">
        <f t="shared" si="2"/>
        <v>0.6848989298</v>
      </c>
    </row>
    <row r="39" ht="15.75" customHeight="1">
      <c r="A39" s="4">
        <v>1.0</v>
      </c>
      <c r="B39" s="4">
        <v>3.0</v>
      </c>
      <c r="C39" s="4">
        <f t="shared" si="1"/>
        <v>2</v>
      </c>
      <c r="D39" s="5">
        <f t="shared" si="2"/>
        <v>0.02972651605</v>
      </c>
      <c r="F39" s="6" t="s">
        <v>17</v>
      </c>
      <c r="G39" s="6"/>
    </row>
    <row r="40" ht="15.75" customHeight="1">
      <c r="A40" s="4">
        <v>2.0</v>
      </c>
      <c r="B40" s="4">
        <v>4.0</v>
      </c>
      <c r="C40" s="4">
        <f t="shared" si="1"/>
        <v>2</v>
      </c>
      <c r="D40" s="5">
        <f t="shared" si="2"/>
        <v>0.02972651605</v>
      </c>
      <c r="F40" s="7" t="s">
        <v>17</v>
      </c>
    </row>
    <row r="41" ht="15.75" customHeight="1">
      <c r="A41" s="4">
        <v>3.0</v>
      </c>
      <c r="B41" s="4">
        <v>3.0</v>
      </c>
      <c r="C41" s="4">
        <f t="shared" si="1"/>
        <v>0</v>
      </c>
      <c r="D41" s="5">
        <f t="shared" si="2"/>
        <v>4.719381688</v>
      </c>
      <c r="F41" s="7" t="s">
        <v>60</v>
      </c>
      <c r="G41" s="7">
        <f>TTEST(A:A,B:B,2,1)</f>
        <v>0</v>
      </c>
    </row>
    <row r="42" ht="15.75" customHeight="1">
      <c r="A42" s="4">
        <v>2.0</v>
      </c>
      <c r="B42" s="4">
        <v>5.0</v>
      </c>
      <c r="C42" s="4">
        <f t="shared" si="1"/>
        <v>3</v>
      </c>
      <c r="D42" s="5">
        <f t="shared" si="2"/>
        <v>0.6848989298</v>
      </c>
      <c r="F42" s="7" t="s">
        <v>61</v>
      </c>
      <c r="G42" s="7">
        <f>TTEST(A:A,B:B,1,1)</f>
        <v>0</v>
      </c>
    </row>
    <row r="43" ht="15.75" customHeight="1">
      <c r="A43" s="4">
        <v>1.0</v>
      </c>
      <c r="B43" s="4">
        <v>3.0</v>
      </c>
      <c r="C43" s="4">
        <f t="shared" si="1"/>
        <v>2</v>
      </c>
      <c r="D43" s="5">
        <f t="shared" si="2"/>
        <v>0.02972651605</v>
      </c>
    </row>
    <row r="44" ht="15.75" customHeight="1">
      <c r="A44" s="4">
        <v>1.0</v>
      </c>
      <c r="B44" s="4">
        <v>5.0</v>
      </c>
      <c r="C44" s="4">
        <f t="shared" si="1"/>
        <v>4</v>
      </c>
      <c r="D44" s="5">
        <f t="shared" si="2"/>
        <v>3.340071344</v>
      </c>
    </row>
    <row r="45" ht="15.75" customHeight="1">
      <c r="A45" s="4">
        <v>1.0</v>
      </c>
      <c r="B45" s="4">
        <v>3.0</v>
      </c>
      <c r="C45" s="4">
        <f t="shared" si="1"/>
        <v>2</v>
      </c>
      <c r="D45" s="5">
        <f t="shared" si="2"/>
        <v>0.02972651605</v>
      </c>
      <c r="F45" s="6" t="s">
        <v>20</v>
      </c>
      <c r="G45" s="6"/>
    </row>
    <row r="46" ht="15.75" customHeight="1">
      <c r="A46" s="4">
        <v>2.0</v>
      </c>
      <c r="B46" s="4">
        <v>4.0</v>
      </c>
      <c r="C46" s="4">
        <f t="shared" si="1"/>
        <v>2</v>
      </c>
      <c r="D46" s="5">
        <f t="shared" si="2"/>
        <v>0.02972651605</v>
      </c>
    </row>
    <row r="47" ht="15.75" customHeight="1">
      <c r="A47" s="4">
        <v>1.0</v>
      </c>
      <c r="B47" s="4">
        <v>3.0</v>
      </c>
      <c r="C47" s="4">
        <f t="shared" si="1"/>
        <v>2</v>
      </c>
      <c r="D47" s="5">
        <f t="shared" si="2"/>
        <v>0.02972651605</v>
      </c>
      <c r="F47" s="7" t="s">
        <v>62</v>
      </c>
    </row>
    <row r="48" ht="15.75" customHeight="1">
      <c r="A48" s="4">
        <v>2.0</v>
      </c>
      <c r="B48" s="4">
        <v>4.0</v>
      </c>
      <c r="C48" s="4">
        <f t="shared" si="1"/>
        <v>2</v>
      </c>
      <c r="D48" s="5">
        <f t="shared" si="2"/>
        <v>0.02972651605</v>
      </c>
      <c r="F48" s="7" t="s">
        <v>63</v>
      </c>
    </row>
    <row r="49" ht="15.75" customHeight="1">
      <c r="A49" s="4">
        <v>1.0</v>
      </c>
      <c r="B49" s="4">
        <v>5.0</v>
      </c>
      <c r="C49" s="4">
        <f t="shared" si="1"/>
        <v>4</v>
      </c>
      <c r="D49" s="5">
        <f t="shared" si="2"/>
        <v>3.340071344</v>
      </c>
    </row>
    <row r="50" ht="15.75" customHeight="1">
      <c r="A50" s="4">
        <v>2.0</v>
      </c>
      <c r="B50" s="4">
        <v>5.0</v>
      </c>
      <c r="C50" s="4">
        <f t="shared" si="1"/>
        <v>3</v>
      </c>
      <c r="D50" s="5">
        <f t="shared" si="2"/>
        <v>0.6848989298</v>
      </c>
      <c r="F50" s="7" t="s">
        <v>23</v>
      </c>
    </row>
    <row r="51" ht="15.75" customHeight="1">
      <c r="A51" s="4">
        <v>2.0</v>
      </c>
      <c r="B51" s="4">
        <v>4.0</v>
      </c>
      <c r="C51" s="4">
        <f t="shared" si="1"/>
        <v>2</v>
      </c>
      <c r="D51" s="5">
        <f t="shared" si="2"/>
        <v>0.02972651605</v>
      </c>
      <c r="F51" s="7" t="s">
        <v>24</v>
      </c>
    </row>
    <row r="52" ht="15.75" customHeight="1">
      <c r="A52" s="4">
        <v>2.0</v>
      </c>
      <c r="B52" s="4">
        <v>5.0</v>
      </c>
      <c r="C52" s="4">
        <f t="shared" si="1"/>
        <v>3</v>
      </c>
      <c r="D52" s="5">
        <f t="shared" si="2"/>
        <v>0.6848989298</v>
      </c>
    </row>
    <row r="53" ht="15.75" customHeight="1">
      <c r="A53" s="4">
        <v>1.0</v>
      </c>
      <c r="B53" s="4">
        <v>4.0</v>
      </c>
      <c r="C53" s="4">
        <f t="shared" si="1"/>
        <v>3</v>
      </c>
      <c r="D53" s="5">
        <f t="shared" si="2"/>
        <v>0.6848989298</v>
      </c>
    </row>
    <row r="54" ht="15.75" customHeight="1">
      <c r="A54" s="4">
        <v>2.0</v>
      </c>
      <c r="B54" s="4">
        <v>3.0</v>
      </c>
      <c r="C54" s="4">
        <f t="shared" si="1"/>
        <v>1</v>
      </c>
      <c r="D54" s="5">
        <f t="shared" si="2"/>
        <v>1.374554102</v>
      </c>
    </row>
    <row r="55" ht="15.75" customHeight="1">
      <c r="A55" s="4">
        <v>1.0</v>
      </c>
      <c r="B55" s="4">
        <v>4.0</v>
      </c>
      <c r="C55" s="4">
        <f t="shared" si="1"/>
        <v>3</v>
      </c>
      <c r="D55" s="5">
        <f t="shared" si="2"/>
        <v>0.6848989298</v>
      </c>
    </row>
    <row r="56" ht="15.75" customHeight="1">
      <c r="A56" s="4">
        <v>2.0</v>
      </c>
      <c r="B56" s="4">
        <v>3.0</v>
      </c>
      <c r="C56" s="4">
        <f t="shared" si="1"/>
        <v>1</v>
      </c>
      <c r="D56" s="5">
        <f t="shared" si="2"/>
        <v>1.374554102</v>
      </c>
      <c r="F56" s="6" t="s">
        <v>25</v>
      </c>
    </row>
    <row r="57" ht="15.75" customHeight="1">
      <c r="A57" s="4">
        <v>1.0</v>
      </c>
      <c r="B57" s="4">
        <v>4.0</v>
      </c>
      <c r="C57" s="4">
        <f t="shared" si="1"/>
        <v>3</v>
      </c>
      <c r="D57" s="5">
        <f t="shared" si="2"/>
        <v>0.6848989298</v>
      </c>
    </row>
    <row r="58" ht="15.75" customHeight="1">
      <c r="A58" s="4">
        <v>2.0</v>
      </c>
      <c r="B58" s="4">
        <v>3.0</v>
      </c>
      <c r="C58" s="4">
        <f t="shared" si="1"/>
        <v>1</v>
      </c>
      <c r="D58" s="5">
        <f t="shared" si="2"/>
        <v>1.374554102</v>
      </c>
      <c r="F58" s="7" t="s">
        <v>64</v>
      </c>
    </row>
    <row r="59" ht="15.75" customHeight="1">
      <c r="A59" s="4">
        <v>1.0</v>
      </c>
      <c r="B59" s="4">
        <v>3.0</v>
      </c>
      <c r="C59" s="4">
        <f t="shared" si="1"/>
        <v>2</v>
      </c>
      <c r="D59" s="5">
        <f t="shared" si="2"/>
        <v>0.02972651605</v>
      </c>
      <c r="F59" s="7" t="s">
        <v>27</v>
      </c>
    </row>
    <row r="60" ht="15.75" customHeight="1">
      <c r="A60" s="4">
        <v>1.0</v>
      </c>
      <c r="B60" s="4">
        <v>5.0</v>
      </c>
      <c r="C60" s="4">
        <f t="shared" si="1"/>
        <v>4</v>
      </c>
      <c r="D60" s="5">
        <f t="shared" si="2"/>
        <v>3.340071344</v>
      </c>
      <c r="F60" s="7" t="s">
        <v>65</v>
      </c>
    </row>
    <row r="61" ht="15.75" customHeight="1">
      <c r="A61" s="4">
        <v>1.0</v>
      </c>
      <c r="B61" s="4">
        <v>5.0</v>
      </c>
      <c r="C61" s="4">
        <f t="shared" si="1"/>
        <v>4</v>
      </c>
      <c r="D61" s="5">
        <f t="shared" si="2"/>
        <v>3.340071344</v>
      </c>
    </row>
    <row r="62" ht="15.75" customHeight="1">
      <c r="A62" s="4">
        <v>2.0</v>
      </c>
      <c r="B62" s="4">
        <v>3.0</v>
      </c>
      <c r="C62" s="4">
        <f t="shared" si="1"/>
        <v>1</v>
      </c>
      <c r="D62" s="5">
        <f t="shared" si="2"/>
        <v>1.374554102</v>
      </c>
    </row>
    <row r="63" ht="15.75" customHeight="1">
      <c r="A63" s="4">
        <v>1.0</v>
      </c>
      <c r="B63" s="4">
        <v>3.0</v>
      </c>
      <c r="C63" s="4">
        <f t="shared" si="1"/>
        <v>2</v>
      </c>
      <c r="D63" s="5">
        <f t="shared" si="2"/>
        <v>0.02972651605</v>
      </c>
    </row>
    <row r="64" ht="15.75" customHeight="1">
      <c r="A64" s="4">
        <v>2.0</v>
      </c>
      <c r="B64" s="4">
        <v>3.0</v>
      </c>
      <c r="C64" s="4">
        <f t="shared" si="1"/>
        <v>1</v>
      </c>
      <c r="D64" s="5">
        <f t="shared" si="2"/>
        <v>1.374554102</v>
      </c>
    </row>
    <row r="65" ht="15.75" customHeight="1">
      <c r="A65" s="4">
        <v>1.0</v>
      </c>
      <c r="B65" s="4">
        <v>4.0</v>
      </c>
      <c r="C65" s="4">
        <f t="shared" si="1"/>
        <v>3</v>
      </c>
      <c r="D65" s="5">
        <f t="shared" si="2"/>
        <v>0.6848989298</v>
      </c>
      <c r="F65" s="6" t="s">
        <v>25</v>
      </c>
    </row>
    <row r="66" ht="15.75" customHeight="1">
      <c r="A66" s="4">
        <v>2.0</v>
      </c>
      <c r="B66" s="4">
        <v>5.0</v>
      </c>
      <c r="C66" s="4">
        <f t="shared" si="1"/>
        <v>3</v>
      </c>
      <c r="D66" s="5">
        <f t="shared" si="2"/>
        <v>0.6848989298</v>
      </c>
    </row>
    <row r="67" ht="15.75" customHeight="1">
      <c r="A67" s="4">
        <v>1.0</v>
      </c>
      <c r="B67" s="4">
        <v>4.0</v>
      </c>
      <c r="C67" s="4">
        <f t="shared" si="1"/>
        <v>3</v>
      </c>
      <c r="D67" s="5">
        <f t="shared" si="2"/>
        <v>0.6848989298</v>
      </c>
    </row>
    <row r="68" ht="15.75" customHeight="1">
      <c r="A68" s="4">
        <v>2.0</v>
      </c>
      <c r="B68" s="4">
        <v>2.0</v>
      </c>
      <c r="C68" s="4">
        <f t="shared" si="1"/>
        <v>0</v>
      </c>
      <c r="D68" s="5">
        <f t="shared" si="2"/>
        <v>4.719381688</v>
      </c>
    </row>
    <row r="69" ht="15.75" customHeight="1">
      <c r="A69" s="4">
        <v>1.0</v>
      </c>
      <c r="B69" s="4">
        <v>4.0</v>
      </c>
      <c r="C69" s="4">
        <f t="shared" si="1"/>
        <v>3</v>
      </c>
      <c r="D69" s="5">
        <f t="shared" si="2"/>
        <v>0.6848989298</v>
      </c>
    </row>
    <row r="70" ht="15.75" customHeight="1">
      <c r="A70" s="4">
        <v>2.0</v>
      </c>
      <c r="B70" s="4">
        <v>5.0</v>
      </c>
      <c r="C70" s="4">
        <f t="shared" si="1"/>
        <v>3</v>
      </c>
      <c r="D70" s="5">
        <f t="shared" si="2"/>
        <v>0.6848989298</v>
      </c>
    </row>
    <row r="71" ht="15.75" customHeight="1">
      <c r="A71" s="4">
        <v>1.0</v>
      </c>
      <c r="B71" s="4">
        <v>4.0</v>
      </c>
      <c r="C71" s="4">
        <f t="shared" si="1"/>
        <v>3</v>
      </c>
      <c r="D71" s="5">
        <f t="shared" si="2"/>
        <v>0.6848989298</v>
      </c>
    </row>
    <row r="72" ht="15.75" customHeight="1">
      <c r="A72" s="4">
        <v>2.0</v>
      </c>
      <c r="B72" s="4">
        <v>5.0</v>
      </c>
      <c r="C72" s="4">
        <f t="shared" si="1"/>
        <v>3</v>
      </c>
      <c r="D72" s="5">
        <f t="shared" si="2"/>
        <v>0.6848989298</v>
      </c>
      <c r="F72" s="7" t="s">
        <v>29</v>
      </c>
    </row>
    <row r="73" ht="15.75" customHeight="1">
      <c r="A73" s="4">
        <v>3.0</v>
      </c>
      <c r="B73" s="4">
        <v>3.0</v>
      </c>
      <c r="C73" s="4">
        <f t="shared" si="1"/>
        <v>0</v>
      </c>
      <c r="D73" s="5">
        <f t="shared" si="2"/>
        <v>4.719381688</v>
      </c>
      <c r="F73" s="7" t="s">
        <v>66</v>
      </c>
    </row>
    <row r="74" ht="15.75" customHeight="1">
      <c r="A74" s="4">
        <v>2.0</v>
      </c>
      <c r="B74" s="4">
        <v>5.0</v>
      </c>
      <c r="C74" s="4">
        <f t="shared" si="1"/>
        <v>3</v>
      </c>
      <c r="D74" s="5">
        <f t="shared" si="2"/>
        <v>0.6848989298</v>
      </c>
      <c r="F74" s="7" t="s">
        <v>29</v>
      </c>
    </row>
    <row r="75" ht="15.75" customHeight="1">
      <c r="A75" s="4">
        <v>1.0</v>
      </c>
      <c r="B75" s="4">
        <v>3.0</v>
      </c>
      <c r="C75" s="4">
        <f t="shared" si="1"/>
        <v>2</v>
      </c>
      <c r="D75" s="5">
        <f t="shared" si="2"/>
        <v>0.02972651605</v>
      </c>
      <c r="F75" s="7" t="s">
        <v>67</v>
      </c>
    </row>
    <row r="76" ht="15.75" customHeight="1">
      <c r="A76" s="4">
        <v>2.0</v>
      </c>
      <c r="B76" s="4">
        <v>5.0</v>
      </c>
      <c r="C76" s="4">
        <f t="shared" si="1"/>
        <v>3</v>
      </c>
      <c r="D76" s="5">
        <f t="shared" si="2"/>
        <v>0.6848989298</v>
      </c>
    </row>
    <row r="77" ht="15.75" customHeight="1">
      <c r="A77" s="4">
        <v>1.0</v>
      </c>
      <c r="B77" s="4">
        <v>3.0</v>
      </c>
      <c r="C77" s="4">
        <f t="shared" si="1"/>
        <v>2</v>
      </c>
      <c r="D77" s="5">
        <f t="shared" si="2"/>
        <v>0.02972651605</v>
      </c>
    </row>
    <row r="78" ht="15.75" customHeight="1">
      <c r="A78" s="4">
        <v>2.0</v>
      </c>
      <c r="B78" s="4">
        <v>4.0</v>
      </c>
      <c r="C78" s="4">
        <f t="shared" si="1"/>
        <v>2</v>
      </c>
      <c r="D78" s="5">
        <f t="shared" si="2"/>
        <v>0.02972651605</v>
      </c>
    </row>
    <row r="79" ht="15.75" customHeight="1">
      <c r="A79" s="4">
        <v>1.0</v>
      </c>
      <c r="B79" s="4">
        <v>4.0</v>
      </c>
      <c r="C79" s="4">
        <f t="shared" si="1"/>
        <v>3</v>
      </c>
      <c r="D79" s="5">
        <f t="shared" si="2"/>
        <v>0.6848989298</v>
      </c>
    </row>
    <row r="80" ht="15.75" customHeight="1">
      <c r="A80" s="4">
        <v>2.0</v>
      </c>
      <c r="B80" s="4">
        <v>3.0</v>
      </c>
      <c r="C80" s="4">
        <f t="shared" si="1"/>
        <v>1</v>
      </c>
      <c r="D80" s="5">
        <f t="shared" si="2"/>
        <v>1.374554102</v>
      </c>
    </row>
    <row r="81" ht="15.75" customHeight="1">
      <c r="A81" s="4">
        <v>1.0</v>
      </c>
      <c r="B81" s="4">
        <v>3.0</v>
      </c>
      <c r="C81" s="4">
        <f t="shared" si="1"/>
        <v>2</v>
      </c>
      <c r="D81" s="5">
        <f t="shared" si="2"/>
        <v>0.02972651605</v>
      </c>
    </row>
    <row r="82" ht="15.75" customHeight="1">
      <c r="A82" s="4">
        <v>2.0</v>
      </c>
      <c r="B82" s="4">
        <v>3.0</v>
      </c>
      <c r="C82" s="4">
        <f t="shared" si="1"/>
        <v>1</v>
      </c>
      <c r="D82" s="5">
        <f t="shared" si="2"/>
        <v>1.374554102</v>
      </c>
    </row>
    <row r="83" ht="15.75" customHeight="1">
      <c r="A83" s="4">
        <v>1.0</v>
      </c>
      <c r="B83" s="4">
        <v>4.0</v>
      </c>
      <c r="C83" s="4">
        <f t="shared" si="1"/>
        <v>3</v>
      </c>
      <c r="D83" s="5">
        <f t="shared" si="2"/>
        <v>0.6848989298</v>
      </c>
    </row>
    <row r="84" ht="15.75" customHeight="1">
      <c r="A84" s="4">
        <v>2.0</v>
      </c>
      <c r="B84" s="4">
        <v>3.0</v>
      </c>
      <c r="C84" s="4">
        <f t="shared" si="1"/>
        <v>1</v>
      </c>
      <c r="D84" s="5">
        <f t="shared" si="2"/>
        <v>1.374554102</v>
      </c>
    </row>
    <row r="85" ht="15.75" customHeight="1">
      <c r="A85" s="4">
        <v>1.0</v>
      </c>
      <c r="B85" s="4">
        <v>4.0</v>
      </c>
      <c r="C85" s="4">
        <f t="shared" si="1"/>
        <v>3</v>
      </c>
      <c r="D85" s="5">
        <f t="shared" si="2"/>
        <v>0.6848989298</v>
      </c>
    </row>
    <row r="86" ht="15.75" customHeight="1">
      <c r="A86" s="4">
        <v>2.0</v>
      </c>
      <c r="B86" s="4">
        <v>3.0</v>
      </c>
      <c r="C86" s="4">
        <f t="shared" si="1"/>
        <v>1</v>
      </c>
      <c r="D86" s="5">
        <f t="shared" si="2"/>
        <v>1.374554102</v>
      </c>
    </row>
    <row r="87" ht="15.75" customHeight="1">
      <c r="A87" s="4">
        <v>1.0</v>
      </c>
      <c r="B87" s="4">
        <v>3.0</v>
      </c>
      <c r="C87" s="4">
        <f t="shared" si="1"/>
        <v>2</v>
      </c>
      <c r="D87" s="5">
        <f t="shared" si="2"/>
        <v>0.02972651605</v>
      </c>
    </row>
    <row r="88" ht="15.75" customHeight="1">
      <c r="A88" s="4">
        <v>2.0</v>
      </c>
      <c r="B88" s="4">
        <v>3.0</v>
      </c>
      <c r="C88" s="4">
        <f t="shared" si="1"/>
        <v>1</v>
      </c>
      <c r="D88" s="5">
        <f t="shared" si="2"/>
        <v>1.374554102</v>
      </c>
    </row>
    <row r="89" ht="15.75" customHeight="1"/>
    <row r="90" ht="15.75" customHeight="1"/>
    <row r="91" ht="15.75" customHeight="1"/>
    <row r="92" ht="15.75" customHeight="1"/>
    <row r="93" ht="15.75" customHeight="1">
      <c r="F93" s="8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3.43"/>
    <col customWidth="1" min="3" max="3" width="19.86"/>
    <col customWidth="1" min="4" max="4" width="23.14"/>
    <col customWidth="1" min="5" max="5" width="12.0"/>
    <col customWidth="1" min="6" max="6" width="39.0"/>
    <col customWidth="1" min="7" max="7" width="19.0"/>
    <col customWidth="1" min="8" max="26" width="9.14"/>
  </cols>
  <sheetData>
    <row r="1" ht="108.0" customHeight="1">
      <c r="A1" s="1" t="s">
        <v>68</v>
      </c>
      <c r="B1" s="2" t="s">
        <v>69</v>
      </c>
      <c r="C1" s="3" t="s">
        <v>2</v>
      </c>
      <c r="D1" s="3"/>
    </row>
    <row r="2">
      <c r="A2" s="4">
        <v>1.0</v>
      </c>
      <c r="B2" s="4">
        <v>4.0</v>
      </c>
      <c r="C2" s="4">
        <f t="shared" ref="C2:C88" si="1">B2-A2</f>
        <v>3</v>
      </c>
      <c r="D2" s="5">
        <f t="shared" ref="D2:D88" si="2">(C2-$G$6)^2</f>
        <v>0.6473774607</v>
      </c>
    </row>
    <row r="3">
      <c r="A3" s="4">
        <v>2.0</v>
      </c>
      <c r="B3" s="4">
        <v>3.0</v>
      </c>
      <c r="C3" s="4">
        <f t="shared" si="1"/>
        <v>1</v>
      </c>
      <c r="D3" s="5">
        <f t="shared" si="2"/>
        <v>1.428986656</v>
      </c>
      <c r="F3" s="6" t="s">
        <v>3</v>
      </c>
      <c r="G3" s="6"/>
    </row>
    <row r="4">
      <c r="A4" s="4">
        <v>2.0</v>
      </c>
      <c r="B4" s="4">
        <v>5.0</v>
      </c>
      <c r="C4" s="4">
        <f t="shared" si="1"/>
        <v>3</v>
      </c>
      <c r="D4" s="5">
        <f t="shared" si="2"/>
        <v>0.6473774607</v>
      </c>
      <c r="F4" s="7" t="s">
        <v>4</v>
      </c>
      <c r="G4" s="7">
        <v>87.0</v>
      </c>
    </row>
    <row r="5">
      <c r="A5" s="4">
        <v>1.0</v>
      </c>
      <c r="B5" s="4">
        <v>4.0</v>
      </c>
      <c r="C5" s="4">
        <f t="shared" si="1"/>
        <v>3</v>
      </c>
      <c r="D5" s="5">
        <f t="shared" si="2"/>
        <v>0.6473774607</v>
      </c>
      <c r="F5" s="7" t="s">
        <v>5</v>
      </c>
      <c r="G5" s="7">
        <f>SUM(C:C)</f>
        <v>191</v>
      </c>
    </row>
    <row r="6">
      <c r="A6" s="4">
        <v>2.0</v>
      </c>
      <c r="B6" s="4">
        <v>4.0</v>
      </c>
      <c r="C6" s="4">
        <f t="shared" si="1"/>
        <v>2</v>
      </c>
      <c r="D6" s="5">
        <f t="shared" si="2"/>
        <v>0.0381820584</v>
      </c>
      <c r="F6" s="7" t="s">
        <v>6</v>
      </c>
      <c r="G6" s="7">
        <f>G5/G4</f>
        <v>2.195402299</v>
      </c>
    </row>
    <row r="7">
      <c r="A7" s="4">
        <v>4.0</v>
      </c>
      <c r="B7" s="4">
        <v>4.0</v>
      </c>
      <c r="C7" s="4">
        <f t="shared" si="1"/>
        <v>0</v>
      </c>
      <c r="D7" s="5">
        <f t="shared" si="2"/>
        <v>4.819791254</v>
      </c>
      <c r="F7" s="7" t="s">
        <v>7</v>
      </c>
      <c r="G7" s="7">
        <f>SUM(D:D)</f>
        <v>119.6781609</v>
      </c>
    </row>
    <row r="8">
      <c r="A8" s="4">
        <v>2.0</v>
      </c>
      <c r="B8" s="4">
        <v>5.0</v>
      </c>
      <c r="C8" s="4">
        <f t="shared" si="1"/>
        <v>3</v>
      </c>
      <c r="D8" s="5">
        <f t="shared" si="2"/>
        <v>0.6473774607</v>
      </c>
      <c r="F8" s="7" t="s">
        <v>8</v>
      </c>
      <c r="G8" s="7">
        <f>SQRT(G7/(G4-1))</f>
        <v>1.179663733</v>
      </c>
    </row>
    <row r="9">
      <c r="A9" s="4">
        <v>1.0</v>
      </c>
      <c r="B9" s="4">
        <v>4.0</v>
      </c>
      <c r="C9" s="4">
        <f t="shared" si="1"/>
        <v>3</v>
      </c>
      <c r="D9" s="5">
        <f t="shared" si="2"/>
        <v>0.6473774607</v>
      </c>
    </row>
    <row r="10">
      <c r="A10" s="4">
        <v>2.0</v>
      </c>
      <c r="B10" s="4">
        <v>5.0</v>
      </c>
      <c r="C10" s="4">
        <f t="shared" si="1"/>
        <v>3</v>
      </c>
      <c r="D10" s="5">
        <f t="shared" si="2"/>
        <v>0.6473774607</v>
      </c>
    </row>
    <row r="11">
      <c r="A11" s="4">
        <v>1.0</v>
      </c>
      <c r="B11" s="4">
        <v>3.0</v>
      </c>
      <c r="C11" s="4">
        <f t="shared" si="1"/>
        <v>2</v>
      </c>
      <c r="D11" s="5">
        <f t="shared" si="2"/>
        <v>0.0381820584</v>
      </c>
    </row>
    <row r="12">
      <c r="A12" s="4">
        <v>2.0</v>
      </c>
      <c r="B12" s="4">
        <v>3.0</v>
      </c>
      <c r="C12" s="4">
        <f t="shared" si="1"/>
        <v>1</v>
      </c>
      <c r="D12" s="5">
        <f t="shared" si="2"/>
        <v>1.428986656</v>
      </c>
      <c r="F12" s="7" t="s">
        <v>9</v>
      </c>
      <c r="G12" s="7">
        <f>G6/(G8/SQRT(G4))</f>
        <v>17.35863267</v>
      </c>
    </row>
    <row r="13">
      <c r="A13" s="4">
        <v>1.0</v>
      </c>
      <c r="B13" s="4">
        <v>4.0</v>
      </c>
      <c r="C13" s="4">
        <f t="shared" si="1"/>
        <v>3</v>
      </c>
      <c r="D13" s="5">
        <f t="shared" si="2"/>
        <v>0.6473774607</v>
      </c>
    </row>
    <row r="14">
      <c r="A14" s="4">
        <v>2.0</v>
      </c>
      <c r="B14" s="4">
        <v>5.0</v>
      </c>
      <c r="C14" s="4">
        <f t="shared" si="1"/>
        <v>3</v>
      </c>
      <c r="D14" s="5">
        <f t="shared" si="2"/>
        <v>0.6473774607</v>
      </c>
    </row>
    <row r="15">
      <c r="A15" s="4">
        <v>1.0</v>
      </c>
      <c r="B15" s="4">
        <v>4.0</v>
      </c>
      <c r="C15" s="4">
        <f t="shared" si="1"/>
        <v>3</v>
      </c>
      <c r="D15" s="5">
        <f t="shared" si="2"/>
        <v>0.6473774607</v>
      </c>
    </row>
    <row r="16">
      <c r="A16" s="4">
        <v>2.0</v>
      </c>
      <c r="B16" s="4">
        <v>3.0</v>
      </c>
      <c r="C16" s="4">
        <f t="shared" si="1"/>
        <v>1</v>
      </c>
      <c r="D16" s="5">
        <f t="shared" si="2"/>
        <v>1.428986656</v>
      </c>
    </row>
    <row r="17">
      <c r="A17" s="4">
        <v>1.0</v>
      </c>
      <c r="B17" s="4">
        <v>3.0</v>
      </c>
      <c r="C17" s="4">
        <f t="shared" si="1"/>
        <v>2</v>
      </c>
      <c r="D17" s="5">
        <f t="shared" si="2"/>
        <v>0.0381820584</v>
      </c>
      <c r="F17" s="7" t="s">
        <v>10</v>
      </c>
      <c r="G17" s="7">
        <v>0.05</v>
      </c>
    </row>
    <row r="18">
      <c r="A18" s="4">
        <v>2.0</v>
      </c>
      <c r="B18" s="4">
        <v>5.0</v>
      </c>
      <c r="C18" s="4">
        <f t="shared" si="1"/>
        <v>3</v>
      </c>
      <c r="D18" s="5">
        <f t="shared" si="2"/>
        <v>0.6473774607</v>
      </c>
      <c r="F18" s="7" t="s">
        <v>11</v>
      </c>
      <c r="G18" s="7">
        <f>G4-1</f>
        <v>86</v>
      </c>
    </row>
    <row r="19">
      <c r="A19" s="4">
        <v>1.0</v>
      </c>
      <c r="B19" s="4">
        <v>5.0</v>
      </c>
      <c r="C19" s="4">
        <f t="shared" si="1"/>
        <v>4</v>
      </c>
      <c r="D19" s="5">
        <f t="shared" si="2"/>
        <v>3.256572863</v>
      </c>
    </row>
    <row r="20">
      <c r="A20" s="4">
        <v>2.0</v>
      </c>
      <c r="B20" s="4">
        <v>4.0</v>
      </c>
      <c r="C20" s="4">
        <f t="shared" si="1"/>
        <v>2</v>
      </c>
      <c r="D20" s="5">
        <f t="shared" si="2"/>
        <v>0.0381820584</v>
      </c>
    </row>
    <row r="21" ht="15.75" customHeight="1">
      <c r="A21" s="4">
        <v>1.0</v>
      </c>
      <c r="B21" s="4">
        <v>3.0</v>
      </c>
      <c r="C21" s="4">
        <f t="shared" si="1"/>
        <v>2</v>
      </c>
      <c r="D21" s="5">
        <f t="shared" si="2"/>
        <v>0.0381820584</v>
      </c>
    </row>
    <row r="22" ht="15.75" customHeight="1">
      <c r="A22" s="4">
        <v>2.0</v>
      </c>
      <c r="B22" s="4">
        <v>4.0</v>
      </c>
      <c r="C22" s="4">
        <f t="shared" si="1"/>
        <v>2</v>
      </c>
      <c r="D22" s="5">
        <f t="shared" si="2"/>
        <v>0.0381820584</v>
      </c>
      <c r="F22" s="6" t="s">
        <v>12</v>
      </c>
      <c r="G22" s="6"/>
    </row>
    <row r="23" ht="15.75" customHeight="1">
      <c r="A23" s="4">
        <v>1.0</v>
      </c>
      <c r="B23" s="4">
        <v>2.0</v>
      </c>
      <c r="C23" s="4">
        <f t="shared" si="1"/>
        <v>1</v>
      </c>
      <c r="D23" s="5">
        <f t="shared" si="2"/>
        <v>1.428986656</v>
      </c>
      <c r="F23" s="7" t="s">
        <v>70</v>
      </c>
      <c r="G23" s="7">
        <f>_xlfn.T.INV.2T(G17,G18)</f>
        <v>1.987934206</v>
      </c>
    </row>
    <row r="24" ht="15.75" customHeight="1">
      <c r="A24" s="4">
        <v>2.0</v>
      </c>
      <c r="B24" s="4">
        <v>4.0</v>
      </c>
      <c r="C24" s="4">
        <f t="shared" si="1"/>
        <v>2</v>
      </c>
      <c r="D24" s="5">
        <f t="shared" si="2"/>
        <v>0.0381820584</v>
      </c>
      <c r="F24" s="7" t="s">
        <v>71</v>
      </c>
      <c r="G24" s="7">
        <f>_xlfn.T.INV(G17,G18)</f>
        <v>-1.662765449</v>
      </c>
    </row>
    <row r="25" ht="15.75" customHeight="1">
      <c r="A25" s="4">
        <v>1.0</v>
      </c>
      <c r="B25" s="4">
        <v>3.0</v>
      </c>
      <c r="C25" s="4">
        <f t="shared" si="1"/>
        <v>2</v>
      </c>
      <c r="D25" s="5">
        <f t="shared" si="2"/>
        <v>0.0381820584</v>
      </c>
    </row>
    <row r="26" ht="15.75" customHeight="1">
      <c r="A26" s="4">
        <v>2.0</v>
      </c>
      <c r="B26" s="4">
        <v>3.0</v>
      </c>
      <c r="C26" s="4">
        <f t="shared" si="1"/>
        <v>1</v>
      </c>
      <c r="D26" s="5">
        <f t="shared" si="2"/>
        <v>1.428986656</v>
      </c>
    </row>
    <row r="27" ht="15.75" customHeight="1">
      <c r="A27" s="4">
        <v>1.0</v>
      </c>
      <c r="B27" s="4">
        <v>4.0</v>
      </c>
      <c r="C27" s="4">
        <f t="shared" si="1"/>
        <v>3</v>
      </c>
      <c r="D27" s="5">
        <f t="shared" si="2"/>
        <v>0.6473774607</v>
      </c>
    </row>
    <row r="28" ht="15.75" customHeight="1">
      <c r="A28" s="4">
        <v>2.0</v>
      </c>
      <c r="B28" s="4">
        <v>3.0</v>
      </c>
      <c r="C28" s="4">
        <f t="shared" si="1"/>
        <v>1</v>
      </c>
      <c r="D28" s="5">
        <f t="shared" si="2"/>
        <v>1.428986656</v>
      </c>
    </row>
    <row r="29" ht="15.75" customHeight="1">
      <c r="A29" s="4">
        <v>1.0</v>
      </c>
      <c r="B29" s="4">
        <v>3.0</v>
      </c>
      <c r="C29" s="4">
        <f t="shared" si="1"/>
        <v>2</v>
      </c>
      <c r="D29" s="5">
        <f t="shared" si="2"/>
        <v>0.0381820584</v>
      </c>
    </row>
    <row r="30" ht="15.75" customHeight="1">
      <c r="A30" s="4">
        <v>2.0</v>
      </c>
      <c r="B30" s="4">
        <v>4.0</v>
      </c>
      <c r="C30" s="4">
        <f t="shared" si="1"/>
        <v>2</v>
      </c>
      <c r="D30" s="5">
        <f t="shared" si="2"/>
        <v>0.0381820584</v>
      </c>
    </row>
    <row r="31" ht="15.75" customHeight="1">
      <c r="A31" s="4">
        <v>1.0</v>
      </c>
      <c r="B31" s="4">
        <v>3.0</v>
      </c>
      <c r="C31" s="4">
        <f t="shared" si="1"/>
        <v>2</v>
      </c>
      <c r="D31" s="5">
        <f t="shared" si="2"/>
        <v>0.0381820584</v>
      </c>
    </row>
    <row r="32" ht="15.75" customHeight="1">
      <c r="A32" s="4">
        <v>2.0</v>
      </c>
      <c r="B32" s="4">
        <v>5.0</v>
      </c>
      <c r="C32" s="4">
        <f t="shared" si="1"/>
        <v>3</v>
      </c>
      <c r="D32" s="5">
        <f t="shared" si="2"/>
        <v>0.6473774607</v>
      </c>
    </row>
    <row r="33" ht="15.75" customHeight="1">
      <c r="A33" s="4">
        <v>1.0</v>
      </c>
      <c r="B33" s="4">
        <v>5.0</v>
      </c>
      <c r="C33" s="4">
        <f t="shared" si="1"/>
        <v>4</v>
      </c>
      <c r="D33" s="5">
        <f t="shared" si="2"/>
        <v>3.256572863</v>
      </c>
    </row>
    <row r="34" ht="15.75" customHeight="1">
      <c r="A34" s="4">
        <v>2.0</v>
      </c>
      <c r="B34" s="4">
        <v>4.0</v>
      </c>
      <c r="C34" s="4">
        <f t="shared" si="1"/>
        <v>2</v>
      </c>
      <c r="D34" s="5">
        <f t="shared" si="2"/>
        <v>0.0381820584</v>
      </c>
      <c r="F34" s="7" t="s">
        <v>15</v>
      </c>
    </row>
    <row r="35" ht="15.75" customHeight="1">
      <c r="A35" s="4">
        <v>1.0</v>
      </c>
      <c r="B35" s="4">
        <v>4.0</v>
      </c>
      <c r="C35" s="4">
        <f t="shared" si="1"/>
        <v>3</v>
      </c>
      <c r="D35" s="5">
        <f t="shared" si="2"/>
        <v>0.6473774607</v>
      </c>
      <c r="F35" s="7" t="s">
        <v>16</v>
      </c>
    </row>
    <row r="36" ht="15.75" customHeight="1">
      <c r="A36" s="4">
        <v>2.0</v>
      </c>
      <c r="B36" s="4">
        <v>5.0</v>
      </c>
      <c r="C36" s="4">
        <f t="shared" si="1"/>
        <v>3</v>
      </c>
      <c r="D36" s="5">
        <f t="shared" si="2"/>
        <v>0.6473774607</v>
      </c>
    </row>
    <row r="37" ht="15.75" customHeight="1">
      <c r="A37" s="4">
        <v>1.0</v>
      </c>
      <c r="B37" s="4">
        <v>3.0</v>
      </c>
      <c r="C37" s="4">
        <f t="shared" si="1"/>
        <v>2</v>
      </c>
      <c r="D37" s="5">
        <f t="shared" si="2"/>
        <v>0.0381820584</v>
      </c>
    </row>
    <row r="38" ht="15.75" customHeight="1">
      <c r="A38" s="4">
        <v>2.0</v>
      </c>
      <c r="B38" s="4">
        <v>5.0</v>
      </c>
      <c r="C38" s="4">
        <f t="shared" si="1"/>
        <v>3</v>
      </c>
      <c r="D38" s="5">
        <f t="shared" si="2"/>
        <v>0.6473774607</v>
      </c>
    </row>
    <row r="39" ht="15.75" customHeight="1">
      <c r="A39" s="4">
        <v>4.0</v>
      </c>
      <c r="B39" s="4">
        <v>4.0</v>
      </c>
      <c r="C39" s="4">
        <f t="shared" si="1"/>
        <v>0</v>
      </c>
      <c r="D39" s="5">
        <f t="shared" si="2"/>
        <v>4.819791254</v>
      </c>
      <c r="F39" s="6" t="s">
        <v>17</v>
      </c>
      <c r="G39" s="6"/>
    </row>
    <row r="40" ht="15.75" customHeight="1">
      <c r="A40" s="4">
        <v>4.0</v>
      </c>
      <c r="B40" s="4">
        <v>3.0</v>
      </c>
      <c r="C40" s="4">
        <f t="shared" si="1"/>
        <v>-1</v>
      </c>
      <c r="D40" s="5">
        <f t="shared" si="2"/>
        <v>10.21059585</v>
      </c>
      <c r="F40" s="7" t="s">
        <v>17</v>
      </c>
    </row>
    <row r="41" ht="15.75" customHeight="1">
      <c r="A41" s="4">
        <v>1.0</v>
      </c>
      <c r="B41" s="4">
        <v>3.0</v>
      </c>
      <c r="C41" s="4">
        <f t="shared" si="1"/>
        <v>2</v>
      </c>
      <c r="D41" s="5">
        <f t="shared" si="2"/>
        <v>0.0381820584</v>
      </c>
      <c r="F41" s="7" t="s">
        <v>72</v>
      </c>
      <c r="G41" s="7">
        <f>TTEST(A:A,B:B,2,1)</f>
        <v>0</v>
      </c>
    </row>
    <row r="42" ht="15.75" customHeight="1">
      <c r="A42" s="4">
        <v>2.0</v>
      </c>
      <c r="B42" s="4">
        <v>5.0</v>
      </c>
      <c r="C42" s="4">
        <f t="shared" si="1"/>
        <v>3</v>
      </c>
      <c r="D42" s="5">
        <f t="shared" si="2"/>
        <v>0.6473774607</v>
      </c>
      <c r="F42" s="7" t="s">
        <v>73</v>
      </c>
      <c r="G42" s="7">
        <f>TTEST(A:A,B:B,1,1)</f>
        <v>0</v>
      </c>
    </row>
    <row r="43" ht="15.75" customHeight="1">
      <c r="A43" s="4">
        <v>1.0</v>
      </c>
      <c r="B43" s="4">
        <v>4.0</v>
      </c>
      <c r="C43" s="4">
        <f t="shared" si="1"/>
        <v>3</v>
      </c>
      <c r="D43" s="5">
        <f t="shared" si="2"/>
        <v>0.6473774607</v>
      </c>
    </row>
    <row r="44" ht="15.75" customHeight="1">
      <c r="A44" s="4">
        <v>2.0</v>
      </c>
      <c r="B44" s="4">
        <v>5.0</v>
      </c>
      <c r="C44" s="4">
        <f t="shared" si="1"/>
        <v>3</v>
      </c>
      <c r="D44" s="5">
        <f t="shared" si="2"/>
        <v>0.6473774607</v>
      </c>
    </row>
    <row r="45" ht="15.75" customHeight="1">
      <c r="A45" s="4">
        <v>1.0</v>
      </c>
      <c r="B45" s="4">
        <v>5.0</v>
      </c>
      <c r="C45" s="4">
        <f t="shared" si="1"/>
        <v>4</v>
      </c>
      <c r="D45" s="5">
        <f t="shared" si="2"/>
        <v>3.256572863</v>
      </c>
      <c r="F45" s="6" t="s">
        <v>20</v>
      </c>
      <c r="G45" s="6"/>
    </row>
    <row r="46" ht="15.75" customHeight="1">
      <c r="A46" s="4">
        <v>2.0</v>
      </c>
      <c r="B46" s="4">
        <v>3.0</v>
      </c>
      <c r="C46" s="4">
        <f t="shared" si="1"/>
        <v>1</v>
      </c>
      <c r="D46" s="5">
        <f t="shared" si="2"/>
        <v>1.428986656</v>
      </c>
    </row>
    <row r="47" ht="15.75" customHeight="1">
      <c r="A47" s="4">
        <v>1.0</v>
      </c>
      <c r="B47" s="4">
        <v>3.0</v>
      </c>
      <c r="C47" s="4">
        <f t="shared" si="1"/>
        <v>2</v>
      </c>
      <c r="D47" s="5">
        <f t="shared" si="2"/>
        <v>0.0381820584</v>
      </c>
      <c r="F47" s="7" t="s">
        <v>74</v>
      </c>
    </row>
    <row r="48" ht="15.75" customHeight="1">
      <c r="A48" s="4">
        <v>4.0</v>
      </c>
      <c r="B48" s="4">
        <v>3.0</v>
      </c>
      <c r="C48" s="4">
        <f t="shared" si="1"/>
        <v>-1</v>
      </c>
      <c r="D48" s="5">
        <f t="shared" si="2"/>
        <v>10.21059585</v>
      </c>
      <c r="F48" s="7" t="s">
        <v>75</v>
      </c>
    </row>
    <row r="49" ht="15.75" customHeight="1">
      <c r="A49" s="4">
        <v>1.0</v>
      </c>
      <c r="B49" s="4">
        <v>3.0</v>
      </c>
      <c r="C49" s="4">
        <f t="shared" si="1"/>
        <v>2</v>
      </c>
      <c r="D49" s="5">
        <f t="shared" si="2"/>
        <v>0.0381820584</v>
      </c>
    </row>
    <row r="50" ht="15.75" customHeight="1">
      <c r="A50" s="4">
        <v>2.0</v>
      </c>
      <c r="B50" s="4">
        <v>3.0</v>
      </c>
      <c r="C50" s="4">
        <f t="shared" si="1"/>
        <v>1</v>
      </c>
      <c r="D50" s="5">
        <f t="shared" si="2"/>
        <v>1.428986656</v>
      </c>
      <c r="F50" s="7" t="s">
        <v>23</v>
      </c>
    </row>
    <row r="51" ht="15.75" customHeight="1">
      <c r="A51" s="4">
        <v>1.0</v>
      </c>
      <c r="B51" s="4">
        <v>3.0</v>
      </c>
      <c r="C51" s="4">
        <f t="shared" si="1"/>
        <v>2</v>
      </c>
      <c r="D51" s="5">
        <f t="shared" si="2"/>
        <v>0.0381820584</v>
      </c>
      <c r="F51" s="7" t="s">
        <v>24</v>
      </c>
    </row>
    <row r="52" ht="15.75" customHeight="1">
      <c r="A52" s="4">
        <v>2.0</v>
      </c>
      <c r="B52" s="4">
        <v>5.0</v>
      </c>
      <c r="C52" s="4">
        <f t="shared" si="1"/>
        <v>3</v>
      </c>
      <c r="D52" s="5">
        <f t="shared" si="2"/>
        <v>0.6473774607</v>
      </c>
    </row>
    <row r="53" ht="15.75" customHeight="1">
      <c r="A53" s="4">
        <v>1.0</v>
      </c>
      <c r="B53" s="4">
        <v>4.0</v>
      </c>
      <c r="C53" s="4">
        <f t="shared" si="1"/>
        <v>3</v>
      </c>
      <c r="D53" s="5">
        <f t="shared" si="2"/>
        <v>0.6473774607</v>
      </c>
    </row>
    <row r="54" ht="15.75" customHeight="1">
      <c r="A54" s="4">
        <v>2.0</v>
      </c>
      <c r="B54" s="4">
        <v>3.0</v>
      </c>
      <c r="C54" s="4">
        <f t="shared" si="1"/>
        <v>1</v>
      </c>
      <c r="D54" s="5">
        <f t="shared" si="2"/>
        <v>1.428986656</v>
      </c>
    </row>
    <row r="55" ht="15.75" customHeight="1">
      <c r="A55" s="4">
        <v>4.0</v>
      </c>
      <c r="B55" s="4">
        <v>3.0</v>
      </c>
      <c r="C55" s="4">
        <f t="shared" si="1"/>
        <v>-1</v>
      </c>
      <c r="D55" s="5">
        <f t="shared" si="2"/>
        <v>10.21059585</v>
      </c>
    </row>
    <row r="56" ht="15.75" customHeight="1">
      <c r="A56" s="4">
        <v>2.0</v>
      </c>
      <c r="B56" s="4">
        <v>2.0</v>
      </c>
      <c r="C56" s="4">
        <f t="shared" si="1"/>
        <v>0</v>
      </c>
      <c r="D56" s="5">
        <f t="shared" si="2"/>
        <v>4.819791254</v>
      </c>
      <c r="F56" s="6" t="s">
        <v>25</v>
      </c>
    </row>
    <row r="57" ht="15.75" customHeight="1">
      <c r="A57" s="4">
        <v>1.0</v>
      </c>
      <c r="B57" s="4">
        <v>3.0</v>
      </c>
      <c r="C57" s="4">
        <f t="shared" si="1"/>
        <v>2</v>
      </c>
      <c r="D57" s="5">
        <f t="shared" si="2"/>
        <v>0.0381820584</v>
      </c>
    </row>
    <row r="58" ht="15.75" customHeight="1">
      <c r="A58" s="4">
        <v>2.0</v>
      </c>
      <c r="B58" s="4">
        <v>3.0</v>
      </c>
      <c r="C58" s="4">
        <f t="shared" si="1"/>
        <v>1</v>
      </c>
      <c r="D58" s="5">
        <f t="shared" si="2"/>
        <v>1.428986656</v>
      </c>
      <c r="F58" s="7" t="s">
        <v>76</v>
      </c>
    </row>
    <row r="59" ht="15.75" customHeight="1">
      <c r="A59" s="4">
        <v>1.0</v>
      </c>
      <c r="B59" s="4">
        <v>5.0</v>
      </c>
      <c r="C59" s="4">
        <f t="shared" si="1"/>
        <v>4</v>
      </c>
      <c r="D59" s="5">
        <f t="shared" si="2"/>
        <v>3.256572863</v>
      </c>
      <c r="F59" s="7" t="s">
        <v>27</v>
      </c>
    </row>
    <row r="60" ht="15.75" customHeight="1">
      <c r="A60" s="4">
        <v>2.0</v>
      </c>
      <c r="B60" s="4">
        <v>5.0</v>
      </c>
      <c r="C60" s="4">
        <f t="shared" si="1"/>
        <v>3</v>
      </c>
      <c r="D60" s="5">
        <f t="shared" si="2"/>
        <v>0.6473774607</v>
      </c>
      <c r="F60" s="7" t="s">
        <v>77</v>
      </c>
    </row>
    <row r="61" ht="15.75" customHeight="1">
      <c r="A61" s="4">
        <v>1.0</v>
      </c>
      <c r="B61" s="4">
        <v>5.0</v>
      </c>
      <c r="C61" s="4">
        <f t="shared" si="1"/>
        <v>4</v>
      </c>
      <c r="D61" s="5">
        <f t="shared" si="2"/>
        <v>3.256572863</v>
      </c>
    </row>
    <row r="62" ht="15.75" customHeight="1">
      <c r="A62" s="4">
        <v>2.0</v>
      </c>
      <c r="B62" s="4">
        <v>4.0</v>
      </c>
      <c r="C62" s="4">
        <f t="shared" si="1"/>
        <v>2</v>
      </c>
      <c r="D62" s="5">
        <f t="shared" si="2"/>
        <v>0.0381820584</v>
      </c>
    </row>
    <row r="63" ht="15.75" customHeight="1">
      <c r="A63" s="4">
        <v>1.0</v>
      </c>
      <c r="B63" s="4">
        <v>5.0</v>
      </c>
      <c r="C63" s="4">
        <f t="shared" si="1"/>
        <v>4</v>
      </c>
      <c r="D63" s="5">
        <f t="shared" si="2"/>
        <v>3.256572863</v>
      </c>
    </row>
    <row r="64" ht="15.75" customHeight="1">
      <c r="A64" s="4">
        <v>2.0</v>
      </c>
      <c r="B64" s="4">
        <v>3.0</v>
      </c>
      <c r="C64" s="4">
        <f t="shared" si="1"/>
        <v>1</v>
      </c>
      <c r="D64" s="5">
        <f t="shared" si="2"/>
        <v>1.428986656</v>
      </c>
    </row>
    <row r="65" ht="15.75" customHeight="1">
      <c r="A65" s="4">
        <v>1.0</v>
      </c>
      <c r="B65" s="4">
        <v>4.0</v>
      </c>
      <c r="C65" s="4">
        <f t="shared" si="1"/>
        <v>3</v>
      </c>
      <c r="D65" s="5">
        <f t="shared" si="2"/>
        <v>0.6473774607</v>
      </c>
      <c r="F65" s="6" t="s">
        <v>25</v>
      </c>
    </row>
    <row r="66" ht="15.75" customHeight="1">
      <c r="A66" s="4">
        <v>2.0</v>
      </c>
      <c r="B66" s="4">
        <v>4.0</v>
      </c>
      <c r="C66" s="4">
        <f t="shared" si="1"/>
        <v>2</v>
      </c>
      <c r="D66" s="5">
        <f t="shared" si="2"/>
        <v>0.0381820584</v>
      </c>
    </row>
    <row r="67" ht="15.75" customHeight="1">
      <c r="A67" s="4">
        <v>1.0</v>
      </c>
      <c r="B67" s="4">
        <v>4.0</v>
      </c>
      <c r="C67" s="4">
        <f t="shared" si="1"/>
        <v>3</v>
      </c>
      <c r="D67" s="5">
        <f t="shared" si="2"/>
        <v>0.6473774607</v>
      </c>
    </row>
    <row r="68" ht="15.75" customHeight="1">
      <c r="A68" s="4">
        <v>2.0</v>
      </c>
      <c r="B68" s="4">
        <v>4.0</v>
      </c>
      <c r="C68" s="4">
        <f t="shared" si="1"/>
        <v>2</v>
      </c>
      <c r="D68" s="5">
        <f t="shared" si="2"/>
        <v>0.0381820584</v>
      </c>
    </row>
    <row r="69" ht="15.75" customHeight="1">
      <c r="A69" s="4">
        <v>1.0</v>
      </c>
      <c r="B69" s="4">
        <v>4.0</v>
      </c>
      <c r="C69" s="4">
        <f t="shared" si="1"/>
        <v>3</v>
      </c>
      <c r="D69" s="5">
        <f t="shared" si="2"/>
        <v>0.6473774607</v>
      </c>
    </row>
    <row r="70" ht="15.75" customHeight="1">
      <c r="A70" s="4">
        <v>2.0</v>
      </c>
      <c r="B70" s="4">
        <v>3.0</v>
      </c>
      <c r="C70" s="4">
        <f t="shared" si="1"/>
        <v>1</v>
      </c>
      <c r="D70" s="5">
        <f t="shared" si="2"/>
        <v>1.428986656</v>
      </c>
    </row>
    <row r="71" ht="15.75" customHeight="1">
      <c r="A71" s="4">
        <v>1.0</v>
      </c>
      <c r="B71" s="4">
        <v>5.0</v>
      </c>
      <c r="C71" s="4">
        <f t="shared" si="1"/>
        <v>4</v>
      </c>
      <c r="D71" s="5">
        <f t="shared" si="2"/>
        <v>3.256572863</v>
      </c>
    </row>
    <row r="72" ht="15.75" customHeight="1">
      <c r="A72" s="4">
        <v>2.0</v>
      </c>
      <c r="B72" s="4">
        <v>5.0</v>
      </c>
      <c r="C72" s="4">
        <f t="shared" si="1"/>
        <v>3</v>
      </c>
      <c r="D72" s="5">
        <f t="shared" si="2"/>
        <v>0.6473774607</v>
      </c>
      <c r="F72" s="7" t="s">
        <v>29</v>
      </c>
    </row>
    <row r="73" ht="15.75" customHeight="1">
      <c r="A73" s="4">
        <v>1.0</v>
      </c>
      <c r="B73" s="4">
        <v>5.0</v>
      </c>
      <c r="C73" s="4">
        <f t="shared" si="1"/>
        <v>4</v>
      </c>
      <c r="D73" s="5">
        <f t="shared" si="2"/>
        <v>3.256572863</v>
      </c>
      <c r="F73" s="7" t="s">
        <v>78</v>
      </c>
    </row>
    <row r="74" ht="15.75" customHeight="1">
      <c r="A74" s="4">
        <v>2.0</v>
      </c>
      <c r="B74" s="4">
        <v>3.0</v>
      </c>
      <c r="C74" s="4">
        <f t="shared" si="1"/>
        <v>1</v>
      </c>
      <c r="D74" s="5">
        <f t="shared" si="2"/>
        <v>1.428986656</v>
      </c>
      <c r="F74" s="7" t="s">
        <v>29</v>
      </c>
    </row>
    <row r="75" ht="15.75" customHeight="1">
      <c r="A75" s="4">
        <v>1.0</v>
      </c>
      <c r="B75" s="4">
        <v>4.0</v>
      </c>
      <c r="C75" s="4">
        <f t="shared" si="1"/>
        <v>3</v>
      </c>
      <c r="D75" s="5">
        <f t="shared" si="2"/>
        <v>0.6473774607</v>
      </c>
      <c r="F75" s="7" t="s">
        <v>79</v>
      </c>
    </row>
    <row r="76" ht="15.75" customHeight="1">
      <c r="A76" s="4">
        <v>2.0</v>
      </c>
      <c r="B76" s="4">
        <v>3.0</v>
      </c>
      <c r="C76" s="4">
        <f t="shared" si="1"/>
        <v>1</v>
      </c>
      <c r="D76" s="5">
        <f t="shared" si="2"/>
        <v>1.428986656</v>
      </c>
    </row>
    <row r="77" ht="15.75" customHeight="1">
      <c r="A77" s="4">
        <v>1.0</v>
      </c>
      <c r="B77" s="4">
        <v>5.0</v>
      </c>
      <c r="C77" s="4">
        <f t="shared" si="1"/>
        <v>4</v>
      </c>
      <c r="D77" s="5">
        <f t="shared" si="2"/>
        <v>3.256572863</v>
      </c>
    </row>
    <row r="78" ht="15.75" customHeight="1">
      <c r="A78" s="4">
        <v>2.0</v>
      </c>
      <c r="B78" s="4">
        <v>4.0</v>
      </c>
      <c r="C78" s="4">
        <f t="shared" si="1"/>
        <v>2</v>
      </c>
      <c r="D78" s="5">
        <f t="shared" si="2"/>
        <v>0.0381820584</v>
      </c>
    </row>
    <row r="79" ht="15.75" customHeight="1">
      <c r="A79" s="4">
        <v>1.0</v>
      </c>
      <c r="B79" s="4">
        <v>3.0</v>
      </c>
      <c r="C79" s="4">
        <f t="shared" si="1"/>
        <v>2</v>
      </c>
      <c r="D79" s="5">
        <f t="shared" si="2"/>
        <v>0.0381820584</v>
      </c>
    </row>
    <row r="80" ht="15.75" customHeight="1">
      <c r="A80" s="4">
        <v>2.0</v>
      </c>
      <c r="B80" s="4">
        <v>3.0</v>
      </c>
      <c r="C80" s="4">
        <f t="shared" si="1"/>
        <v>1</v>
      </c>
      <c r="D80" s="5">
        <f t="shared" si="2"/>
        <v>1.428986656</v>
      </c>
    </row>
    <row r="81" ht="15.75" customHeight="1">
      <c r="A81" s="4">
        <v>1.0</v>
      </c>
      <c r="B81" s="4">
        <v>5.0</v>
      </c>
      <c r="C81" s="4">
        <f t="shared" si="1"/>
        <v>4</v>
      </c>
      <c r="D81" s="5">
        <f t="shared" si="2"/>
        <v>3.256572863</v>
      </c>
    </row>
    <row r="82" ht="15.75" customHeight="1">
      <c r="A82" s="4">
        <v>2.0</v>
      </c>
      <c r="B82" s="4">
        <v>4.0</v>
      </c>
      <c r="C82" s="4">
        <f t="shared" si="1"/>
        <v>2</v>
      </c>
      <c r="D82" s="5">
        <f t="shared" si="2"/>
        <v>0.0381820584</v>
      </c>
    </row>
    <row r="83" ht="15.75" customHeight="1">
      <c r="A83" s="4">
        <v>1.0</v>
      </c>
      <c r="B83" s="4">
        <v>3.0</v>
      </c>
      <c r="C83" s="4">
        <f t="shared" si="1"/>
        <v>2</v>
      </c>
      <c r="D83" s="5">
        <f t="shared" si="2"/>
        <v>0.0381820584</v>
      </c>
    </row>
    <row r="84" ht="15.75" customHeight="1">
      <c r="A84" s="4">
        <v>2.0</v>
      </c>
      <c r="B84" s="4">
        <v>4.0</v>
      </c>
      <c r="C84" s="4">
        <f t="shared" si="1"/>
        <v>2</v>
      </c>
      <c r="D84" s="5">
        <f t="shared" si="2"/>
        <v>0.0381820584</v>
      </c>
    </row>
    <row r="85" ht="15.75" customHeight="1">
      <c r="A85" s="4">
        <v>1.0</v>
      </c>
      <c r="B85" s="4">
        <v>3.0</v>
      </c>
      <c r="C85" s="4">
        <f t="shared" si="1"/>
        <v>2</v>
      </c>
      <c r="D85" s="5">
        <f t="shared" si="2"/>
        <v>0.0381820584</v>
      </c>
    </row>
    <row r="86" ht="15.75" customHeight="1">
      <c r="A86" s="4">
        <v>2.0</v>
      </c>
      <c r="B86" s="4">
        <v>3.0</v>
      </c>
      <c r="C86" s="4">
        <f t="shared" si="1"/>
        <v>1</v>
      </c>
      <c r="D86" s="5">
        <f t="shared" si="2"/>
        <v>1.428986656</v>
      </c>
    </row>
    <row r="87" ht="15.75" customHeight="1">
      <c r="A87" s="4">
        <v>1.0</v>
      </c>
      <c r="B87" s="4">
        <v>4.0</v>
      </c>
      <c r="C87" s="4">
        <f t="shared" si="1"/>
        <v>3</v>
      </c>
      <c r="D87" s="5">
        <f t="shared" si="2"/>
        <v>0.6473774607</v>
      </c>
    </row>
    <row r="88" ht="15.75" customHeight="1">
      <c r="A88" s="4">
        <v>2.0</v>
      </c>
      <c r="B88" s="4">
        <v>5.0</v>
      </c>
      <c r="C88" s="4">
        <f t="shared" si="1"/>
        <v>3</v>
      </c>
      <c r="D88" s="5">
        <f t="shared" si="2"/>
        <v>0.6473774607</v>
      </c>
    </row>
    <row r="89" ht="15.75" customHeight="1"/>
    <row r="90" ht="15.75" customHeight="1"/>
    <row r="91" ht="15.75" customHeight="1"/>
    <row r="92" ht="15.75" customHeight="1"/>
    <row r="93" ht="15.75" customHeight="1">
      <c r="F93" s="8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3.43"/>
    <col customWidth="1" min="3" max="3" width="19.86"/>
    <col customWidth="1" min="4" max="4" width="23.14"/>
    <col customWidth="1" min="5" max="5" width="12.0"/>
    <col customWidth="1" min="6" max="6" width="39.0"/>
    <col customWidth="1" min="7" max="7" width="19.0"/>
    <col customWidth="1" min="8" max="26" width="9.14"/>
  </cols>
  <sheetData>
    <row r="1" ht="108.0" customHeight="1">
      <c r="A1" s="1" t="s">
        <v>80</v>
      </c>
      <c r="B1" s="2" t="s">
        <v>81</v>
      </c>
      <c r="C1" s="3" t="s">
        <v>2</v>
      </c>
      <c r="D1" s="3"/>
    </row>
    <row r="2">
      <c r="A2" s="4">
        <v>1.0</v>
      </c>
      <c r="B2" s="4">
        <v>4.0</v>
      </c>
      <c r="C2" s="4">
        <f t="shared" ref="C2:C88" si="1">B2-A2</f>
        <v>3</v>
      </c>
      <c r="D2" s="5">
        <f t="shared" ref="D2:D88" si="2">(C2-$G$6)^2</f>
        <v>0.4756242568</v>
      </c>
    </row>
    <row r="3">
      <c r="A3" s="4">
        <v>2.0</v>
      </c>
      <c r="B3" s="4">
        <v>4.0</v>
      </c>
      <c r="C3" s="4">
        <f t="shared" si="1"/>
        <v>2</v>
      </c>
      <c r="D3" s="5">
        <f t="shared" si="2"/>
        <v>0.09631391201</v>
      </c>
      <c r="F3" s="6" t="s">
        <v>3</v>
      </c>
      <c r="G3" s="6"/>
    </row>
    <row r="4">
      <c r="A4" s="4">
        <v>2.0</v>
      </c>
      <c r="B4" s="4">
        <v>3.0</v>
      </c>
      <c r="C4" s="4">
        <f t="shared" si="1"/>
        <v>1</v>
      </c>
      <c r="D4" s="5">
        <f t="shared" si="2"/>
        <v>1.717003567</v>
      </c>
      <c r="F4" s="7" t="s">
        <v>4</v>
      </c>
      <c r="G4" s="7">
        <v>87.0</v>
      </c>
    </row>
    <row r="5">
      <c r="A5" s="4">
        <v>3.0</v>
      </c>
      <c r="B5" s="4">
        <v>4.0</v>
      </c>
      <c r="C5" s="4">
        <f t="shared" si="1"/>
        <v>1</v>
      </c>
      <c r="D5" s="5">
        <f t="shared" si="2"/>
        <v>1.717003567</v>
      </c>
      <c r="F5" s="7" t="s">
        <v>5</v>
      </c>
      <c r="G5" s="7">
        <f>SUM(C:C)</f>
        <v>201</v>
      </c>
    </row>
    <row r="6">
      <c r="A6" s="4">
        <v>2.0</v>
      </c>
      <c r="B6" s="4">
        <v>4.0</v>
      </c>
      <c r="C6" s="4">
        <f t="shared" si="1"/>
        <v>2</v>
      </c>
      <c r="D6" s="5">
        <f t="shared" si="2"/>
        <v>0.09631391201</v>
      </c>
      <c r="F6" s="7" t="s">
        <v>6</v>
      </c>
      <c r="G6" s="7">
        <f>G5/G4</f>
        <v>2.310344828</v>
      </c>
    </row>
    <row r="7">
      <c r="A7" s="4">
        <v>1.0</v>
      </c>
      <c r="B7" s="4">
        <v>5.0</v>
      </c>
      <c r="C7" s="4">
        <f t="shared" si="1"/>
        <v>4</v>
      </c>
      <c r="D7" s="5">
        <f t="shared" si="2"/>
        <v>2.854934602</v>
      </c>
      <c r="F7" s="7" t="s">
        <v>7</v>
      </c>
      <c r="G7" s="7">
        <f>SUM(D:D)</f>
        <v>118.6206897</v>
      </c>
    </row>
    <row r="8">
      <c r="A8" s="4">
        <v>2.0</v>
      </c>
      <c r="B8" s="4">
        <v>3.0</v>
      </c>
      <c r="C8" s="4">
        <f t="shared" si="1"/>
        <v>1</v>
      </c>
      <c r="D8" s="5">
        <f t="shared" si="2"/>
        <v>1.717003567</v>
      </c>
      <c r="F8" s="7" t="s">
        <v>8</v>
      </c>
      <c r="G8" s="7">
        <f>SQRT(G7/(G4-1))</f>
        <v>1.174440439</v>
      </c>
    </row>
    <row r="9">
      <c r="A9" s="4">
        <v>1.0</v>
      </c>
      <c r="B9" s="4">
        <v>5.0</v>
      </c>
      <c r="C9" s="4">
        <f t="shared" si="1"/>
        <v>4</v>
      </c>
      <c r="D9" s="5">
        <f t="shared" si="2"/>
        <v>2.854934602</v>
      </c>
    </row>
    <row r="10">
      <c r="A10" s="4">
        <v>2.0</v>
      </c>
      <c r="B10" s="4">
        <v>5.0</v>
      </c>
      <c r="C10" s="4">
        <f t="shared" si="1"/>
        <v>3</v>
      </c>
      <c r="D10" s="5">
        <f t="shared" si="2"/>
        <v>0.4756242568</v>
      </c>
    </row>
    <row r="11">
      <c r="A11" s="4">
        <v>2.0</v>
      </c>
      <c r="B11" s="4">
        <v>3.0</v>
      </c>
      <c r="C11" s="4">
        <f t="shared" si="1"/>
        <v>1</v>
      </c>
      <c r="D11" s="5">
        <f t="shared" si="2"/>
        <v>1.717003567</v>
      </c>
    </row>
    <row r="12">
      <c r="A12" s="4">
        <v>2.0</v>
      </c>
      <c r="B12" s="4">
        <v>4.0</v>
      </c>
      <c r="C12" s="4">
        <f t="shared" si="1"/>
        <v>2</v>
      </c>
      <c r="D12" s="5">
        <f t="shared" si="2"/>
        <v>0.09631391201</v>
      </c>
      <c r="F12" s="7" t="s">
        <v>9</v>
      </c>
      <c r="G12" s="7">
        <f>G6/(G8/SQRT(G4))</f>
        <v>18.34870568</v>
      </c>
    </row>
    <row r="13">
      <c r="A13" s="4">
        <v>1.0</v>
      </c>
      <c r="B13" s="4">
        <v>4.0</v>
      </c>
      <c r="C13" s="4">
        <f t="shared" si="1"/>
        <v>3</v>
      </c>
      <c r="D13" s="5">
        <f t="shared" si="2"/>
        <v>0.4756242568</v>
      </c>
    </row>
    <row r="14">
      <c r="A14" s="4">
        <v>2.0</v>
      </c>
      <c r="B14" s="4">
        <v>5.0</v>
      </c>
      <c r="C14" s="4">
        <f t="shared" si="1"/>
        <v>3</v>
      </c>
      <c r="D14" s="5">
        <f t="shared" si="2"/>
        <v>0.4756242568</v>
      </c>
    </row>
    <row r="15">
      <c r="A15" s="4">
        <v>1.0</v>
      </c>
      <c r="B15" s="4">
        <v>5.0</v>
      </c>
      <c r="C15" s="4">
        <f t="shared" si="1"/>
        <v>4</v>
      </c>
      <c r="D15" s="5">
        <f t="shared" si="2"/>
        <v>2.854934602</v>
      </c>
    </row>
    <row r="16">
      <c r="A16" s="4">
        <v>2.0</v>
      </c>
      <c r="B16" s="4">
        <v>5.0</v>
      </c>
      <c r="C16" s="4">
        <f t="shared" si="1"/>
        <v>3</v>
      </c>
      <c r="D16" s="5">
        <f t="shared" si="2"/>
        <v>0.4756242568</v>
      </c>
    </row>
    <row r="17">
      <c r="A17" s="4">
        <v>1.0</v>
      </c>
      <c r="B17" s="4">
        <v>5.0</v>
      </c>
      <c r="C17" s="4">
        <f t="shared" si="1"/>
        <v>4</v>
      </c>
      <c r="D17" s="5">
        <f t="shared" si="2"/>
        <v>2.854934602</v>
      </c>
      <c r="F17" s="7" t="s">
        <v>10</v>
      </c>
      <c r="G17" s="7">
        <v>0.05</v>
      </c>
    </row>
    <row r="18">
      <c r="A18" s="4">
        <v>2.0</v>
      </c>
      <c r="B18" s="4">
        <v>4.0</v>
      </c>
      <c r="C18" s="4">
        <f t="shared" si="1"/>
        <v>2</v>
      </c>
      <c r="D18" s="5">
        <f t="shared" si="2"/>
        <v>0.09631391201</v>
      </c>
      <c r="F18" s="7" t="s">
        <v>11</v>
      </c>
      <c r="G18" s="7">
        <f>G4-1</f>
        <v>86</v>
      </c>
    </row>
    <row r="19">
      <c r="A19" s="4">
        <v>1.0</v>
      </c>
      <c r="B19" s="4">
        <v>2.0</v>
      </c>
      <c r="C19" s="4">
        <f t="shared" si="1"/>
        <v>1</v>
      </c>
      <c r="D19" s="5">
        <f t="shared" si="2"/>
        <v>1.717003567</v>
      </c>
    </row>
    <row r="20">
      <c r="A20" s="4">
        <v>2.0</v>
      </c>
      <c r="B20" s="4">
        <v>4.0</v>
      </c>
      <c r="C20" s="4">
        <f t="shared" si="1"/>
        <v>2</v>
      </c>
      <c r="D20" s="5">
        <f t="shared" si="2"/>
        <v>0.09631391201</v>
      </c>
    </row>
    <row r="21" ht="15.75" customHeight="1">
      <c r="A21" s="4">
        <v>1.0</v>
      </c>
      <c r="B21" s="4">
        <v>5.0</v>
      </c>
      <c r="C21" s="4">
        <f t="shared" si="1"/>
        <v>4</v>
      </c>
      <c r="D21" s="5">
        <f t="shared" si="2"/>
        <v>2.854934602</v>
      </c>
    </row>
    <row r="22" ht="15.75" customHeight="1">
      <c r="A22" s="4">
        <v>2.0</v>
      </c>
      <c r="B22" s="4">
        <v>3.0</v>
      </c>
      <c r="C22" s="4">
        <f t="shared" si="1"/>
        <v>1</v>
      </c>
      <c r="D22" s="5">
        <f t="shared" si="2"/>
        <v>1.717003567</v>
      </c>
      <c r="F22" s="6" t="s">
        <v>12</v>
      </c>
      <c r="G22" s="6"/>
    </row>
    <row r="23" ht="15.75" customHeight="1">
      <c r="A23" s="4">
        <v>1.0</v>
      </c>
      <c r="B23" s="4">
        <v>4.0</v>
      </c>
      <c r="C23" s="4">
        <f t="shared" si="1"/>
        <v>3</v>
      </c>
      <c r="D23" s="5">
        <f t="shared" si="2"/>
        <v>0.4756242568</v>
      </c>
      <c r="F23" s="7" t="s">
        <v>82</v>
      </c>
      <c r="G23" s="7">
        <f>_xlfn.T.INV.2T(G17,G18)</f>
        <v>1.987934206</v>
      </c>
    </row>
    <row r="24" ht="15.75" customHeight="1">
      <c r="A24" s="4">
        <v>2.0</v>
      </c>
      <c r="B24" s="4">
        <v>5.0</v>
      </c>
      <c r="C24" s="4">
        <f t="shared" si="1"/>
        <v>3</v>
      </c>
      <c r="D24" s="5">
        <f t="shared" si="2"/>
        <v>0.4756242568</v>
      </c>
      <c r="F24" s="7" t="s">
        <v>83</v>
      </c>
      <c r="G24" s="7">
        <f>_xlfn.T.INV(G17,G18)</f>
        <v>-1.662765449</v>
      </c>
    </row>
    <row r="25" ht="15.75" customHeight="1">
      <c r="A25" s="4">
        <v>1.0</v>
      </c>
      <c r="B25" s="4">
        <v>5.0</v>
      </c>
      <c r="C25" s="4">
        <f t="shared" si="1"/>
        <v>4</v>
      </c>
      <c r="D25" s="5">
        <f t="shared" si="2"/>
        <v>2.854934602</v>
      </c>
    </row>
    <row r="26" ht="15.75" customHeight="1">
      <c r="A26" s="4">
        <v>2.0</v>
      </c>
      <c r="B26" s="4">
        <v>5.0</v>
      </c>
      <c r="C26" s="4">
        <f t="shared" si="1"/>
        <v>3</v>
      </c>
      <c r="D26" s="5">
        <f t="shared" si="2"/>
        <v>0.4756242568</v>
      </c>
    </row>
    <row r="27" ht="15.75" customHeight="1">
      <c r="A27" s="4">
        <v>1.0</v>
      </c>
      <c r="B27" s="4">
        <v>4.0</v>
      </c>
      <c r="C27" s="4">
        <f t="shared" si="1"/>
        <v>3</v>
      </c>
      <c r="D27" s="5">
        <f t="shared" si="2"/>
        <v>0.4756242568</v>
      </c>
    </row>
    <row r="28" ht="15.75" customHeight="1">
      <c r="A28" s="4">
        <v>2.0</v>
      </c>
      <c r="B28" s="4">
        <v>3.0</v>
      </c>
      <c r="C28" s="4">
        <f t="shared" si="1"/>
        <v>1</v>
      </c>
      <c r="D28" s="5">
        <f t="shared" si="2"/>
        <v>1.717003567</v>
      </c>
    </row>
    <row r="29" ht="15.75" customHeight="1">
      <c r="A29" s="4">
        <v>3.0</v>
      </c>
      <c r="B29" s="4">
        <v>5.0</v>
      </c>
      <c r="C29" s="4">
        <f t="shared" si="1"/>
        <v>2</v>
      </c>
      <c r="D29" s="5">
        <f t="shared" si="2"/>
        <v>0.09631391201</v>
      </c>
    </row>
    <row r="30" ht="15.75" customHeight="1">
      <c r="A30" s="4">
        <v>2.0</v>
      </c>
      <c r="B30" s="4">
        <v>4.0</v>
      </c>
      <c r="C30" s="4">
        <f t="shared" si="1"/>
        <v>2</v>
      </c>
      <c r="D30" s="5">
        <f t="shared" si="2"/>
        <v>0.09631391201</v>
      </c>
    </row>
    <row r="31" ht="15.75" customHeight="1">
      <c r="A31" s="4">
        <v>1.0</v>
      </c>
      <c r="B31" s="4">
        <v>3.0</v>
      </c>
      <c r="C31" s="4">
        <f t="shared" si="1"/>
        <v>2</v>
      </c>
      <c r="D31" s="5">
        <f t="shared" si="2"/>
        <v>0.09631391201</v>
      </c>
    </row>
    <row r="32" ht="15.75" customHeight="1">
      <c r="A32" s="4">
        <v>2.0</v>
      </c>
      <c r="B32" s="4">
        <v>3.0</v>
      </c>
      <c r="C32" s="4">
        <f t="shared" si="1"/>
        <v>1</v>
      </c>
      <c r="D32" s="5">
        <f t="shared" si="2"/>
        <v>1.717003567</v>
      </c>
    </row>
    <row r="33" ht="15.75" customHeight="1">
      <c r="A33" s="4">
        <v>1.0</v>
      </c>
      <c r="B33" s="4">
        <v>3.0</v>
      </c>
      <c r="C33" s="4">
        <f t="shared" si="1"/>
        <v>2</v>
      </c>
      <c r="D33" s="5">
        <f t="shared" si="2"/>
        <v>0.09631391201</v>
      </c>
    </row>
    <row r="34" ht="15.75" customHeight="1">
      <c r="A34" s="4">
        <v>2.0</v>
      </c>
      <c r="B34" s="4">
        <v>4.0</v>
      </c>
      <c r="C34" s="4">
        <f t="shared" si="1"/>
        <v>2</v>
      </c>
      <c r="D34" s="5">
        <f t="shared" si="2"/>
        <v>0.09631391201</v>
      </c>
      <c r="F34" s="7" t="s">
        <v>15</v>
      </c>
    </row>
    <row r="35" ht="15.75" customHeight="1">
      <c r="A35" s="4">
        <v>1.0</v>
      </c>
      <c r="B35" s="4">
        <v>5.0</v>
      </c>
      <c r="C35" s="4">
        <f t="shared" si="1"/>
        <v>4</v>
      </c>
      <c r="D35" s="5">
        <f t="shared" si="2"/>
        <v>2.854934602</v>
      </c>
      <c r="F35" s="7" t="s">
        <v>16</v>
      </c>
    </row>
    <row r="36" ht="15.75" customHeight="1">
      <c r="A36" s="4">
        <v>3.0</v>
      </c>
      <c r="B36" s="4">
        <v>4.0</v>
      </c>
      <c r="C36" s="4">
        <f t="shared" si="1"/>
        <v>1</v>
      </c>
      <c r="D36" s="5">
        <f t="shared" si="2"/>
        <v>1.717003567</v>
      </c>
    </row>
    <row r="37" ht="15.75" customHeight="1">
      <c r="A37" s="4">
        <v>1.0</v>
      </c>
      <c r="B37" s="4">
        <v>4.0</v>
      </c>
      <c r="C37" s="4">
        <f t="shared" si="1"/>
        <v>3</v>
      </c>
      <c r="D37" s="5">
        <f t="shared" si="2"/>
        <v>0.4756242568</v>
      </c>
    </row>
    <row r="38" ht="15.75" customHeight="1">
      <c r="A38" s="4">
        <v>2.0</v>
      </c>
      <c r="B38" s="4">
        <v>3.0</v>
      </c>
      <c r="C38" s="4">
        <f t="shared" si="1"/>
        <v>1</v>
      </c>
      <c r="D38" s="5">
        <f t="shared" si="2"/>
        <v>1.717003567</v>
      </c>
    </row>
    <row r="39" ht="15.75" customHeight="1">
      <c r="A39" s="4">
        <v>1.0</v>
      </c>
      <c r="B39" s="4">
        <v>4.0</v>
      </c>
      <c r="C39" s="4">
        <f t="shared" si="1"/>
        <v>3</v>
      </c>
      <c r="D39" s="5">
        <f t="shared" si="2"/>
        <v>0.4756242568</v>
      </c>
      <c r="F39" s="6" t="s">
        <v>17</v>
      </c>
      <c r="G39" s="6"/>
    </row>
    <row r="40" ht="15.75" customHeight="1">
      <c r="A40" s="4">
        <v>2.0</v>
      </c>
      <c r="B40" s="4">
        <v>5.0</v>
      </c>
      <c r="C40" s="4">
        <f t="shared" si="1"/>
        <v>3</v>
      </c>
      <c r="D40" s="5">
        <f t="shared" si="2"/>
        <v>0.4756242568</v>
      </c>
      <c r="F40" s="7" t="s">
        <v>17</v>
      </c>
    </row>
    <row r="41" ht="15.75" customHeight="1">
      <c r="A41" s="4">
        <v>1.0</v>
      </c>
      <c r="B41" s="4">
        <v>4.0</v>
      </c>
      <c r="C41" s="4">
        <f t="shared" si="1"/>
        <v>3</v>
      </c>
      <c r="D41" s="5">
        <f t="shared" si="2"/>
        <v>0.4756242568</v>
      </c>
      <c r="F41" s="7" t="s">
        <v>84</v>
      </c>
      <c r="G41" s="7">
        <f>TTEST(A:A,B:B,2,1)</f>
        <v>0</v>
      </c>
    </row>
    <row r="42" ht="15.75" customHeight="1">
      <c r="A42" s="4">
        <v>2.0</v>
      </c>
      <c r="B42" s="4">
        <v>4.0</v>
      </c>
      <c r="C42" s="4">
        <f t="shared" si="1"/>
        <v>2</v>
      </c>
      <c r="D42" s="5">
        <f t="shared" si="2"/>
        <v>0.09631391201</v>
      </c>
      <c r="F42" s="7" t="s">
        <v>85</v>
      </c>
      <c r="G42" s="7">
        <f>TTEST(A:A,B:B,1,1)</f>
        <v>0</v>
      </c>
    </row>
    <row r="43" ht="15.75" customHeight="1">
      <c r="A43" s="4">
        <v>3.0</v>
      </c>
      <c r="B43" s="4">
        <v>5.0</v>
      </c>
      <c r="C43" s="4">
        <f t="shared" si="1"/>
        <v>2</v>
      </c>
      <c r="D43" s="5">
        <f t="shared" si="2"/>
        <v>0.09631391201</v>
      </c>
    </row>
    <row r="44" ht="15.75" customHeight="1">
      <c r="A44" s="4">
        <v>2.0</v>
      </c>
      <c r="B44" s="4">
        <v>3.0</v>
      </c>
      <c r="C44" s="4">
        <f t="shared" si="1"/>
        <v>1</v>
      </c>
      <c r="D44" s="5">
        <f t="shared" si="2"/>
        <v>1.717003567</v>
      </c>
    </row>
    <row r="45" ht="15.75" customHeight="1">
      <c r="A45" s="4">
        <v>1.0</v>
      </c>
      <c r="B45" s="4">
        <v>5.0</v>
      </c>
      <c r="C45" s="4">
        <f t="shared" si="1"/>
        <v>4</v>
      </c>
      <c r="D45" s="5">
        <f t="shared" si="2"/>
        <v>2.854934602</v>
      </c>
      <c r="F45" s="6" t="s">
        <v>20</v>
      </c>
      <c r="G45" s="6"/>
    </row>
    <row r="46" ht="15.75" customHeight="1">
      <c r="A46" s="4">
        <v>2.0</v>
      </c>
      <c r="B46" s="4">
        <v>4.0</v>
      </c>
      <c r="C46" s="4">
        <f t="shared" si="1"/>
        <v>2</v>
      </c>
      <c r="D46" s="5">
        <f t="shared" si="2"/>
        <v>0.09631391201</v>
      </c>
    </row>
    <row r="47" ht="15.75" customHeight="1">
      <c r="A47" s="4">
        <v>1.0</v>
      </c>
      <c r="B47" s="4">
        <v>5.0</v>
      </c>
      <c r="C47" s="4">
        <f t="shared" si="1"/>
        <v>4</v>
      </c>
      <c r="D47" s="5">
        <f t="shared" si="2"/>
        <v>2.854934602</v>
      </c>
      <c r="F47" s="7" t="s">
        <v>86</v>
      </c>
    </row>
    <row r="48" ht="15.75" customHeight="1">
      <c r="A48" s="4">
        <v>2.0</v>
      </c>
      <c r="B48" s="4">
        <v>2.0</v>
      </c>
      <c r="C48" s="4">
        <f t="shared" si="1"/>
        <v>0</v>
      </c>
      <c r="D48" s="5">
        <f t="shared" si="2"/>
        <v>5.337693222</v>
      </c>
      <c r="F48" s="7" t="s">
        <v>87</v>
      </c>
    </row>
    <row r="49" ht="15.75" customHeight="1">
      <c r="A49" s="4">
        <v>1.0</v>
      </c>
      <c r="B49" s="4">
        <v>4.0</v>
      </c>
      <c r="C49" s="4">
        <f t="shared" si="1"/>
        <v>3</v>
      </c>
      <c r="D49" s="5">
        <f t="shared" si="2"/>
        <v>0.4756242568</v>
      </c>
    </row>
    <row r="50" ht="15.75" customHeight="1">
      <c r="A50" s="4">
        <v>2.0</v>
      </c>
      <c r="B50" s="4">
        <v>3.0</v>
      </c>
      <c r="C50" s="4">
        <f t="shared" si="1"/>
        <v>1</v>
      </c>
      <c r="D50" s="5">
        <f t="shared" si="2"/>
        <v>1.717003567</v>
      </c>
      <c r="F50" s="7" t="s">
        <v>23</v>
      </c>
    </row>
    <row r="51" ht="15.75" customHeight="1">
      <c r="A51" s="4">
        <v>1.0</v>
      </c>
      <c r="B51" s="4">
        <v>3.0</v>
      </c>
      <c r="C51" s="4">
        <f t="shared" si="1"/>
        <v>2</v>
      </c>
      <c r="D51" s="5">
        <f t="shared" si="2"/>
        <v>0.09631391201</v>
      </c>
      <c r="F51" s="7" t="s">
        <v>24</v>
      </c>
    </row>
    <row r="52" ht="15.75" customHeight="1">
      <c r="A52" s="4">
        <v>2.0</v>
      </c>
      <c r="B52" s="4">
        <v>4.0</v>
      </c>
      <c r="C52" s="4">
        <f t="shared" si="1"/>
        <v>2</v>
      </c>
      <c r="D52" s="5">
        <f t="shared" si="2"/>
        <v>0.09631391201</v>
      </c>
    </row>
    <row r="53" ht="15.75" customHeight="1">
      <c r="A53" s="4">
        <v>1.0</v>
      </c>
      <c r="B53" s="4">
        <v>5.0</v>
      </c>
      <c r="C53" s="4">
        <f t="shared" si="1"/>
        <v>4</v>
      </c>
      <c r="D53" s="5">
        <f t="shared" si="2"/>
        <v>2.854934602</v>
      </c>
    </row>
    <row r="54" ht="15.75" customHeight="1">
      <c r="A54" s="4">
        <v>2.0</v>
      </c>
      <c r="B54" s="4">
        <v>5.0</v>
      </c>
      <c r="C54" s="4">
        <f t="shared" si="1"/>
        <v>3</v>
      </c>
      <c r="D54" s="5">
        <f t="shared" si="2"/>
        <v>0.4756242568</v>
      </c>
    </row>
    <row r="55" ht="15.75" customHeight="1">
      <c r="A55" s="4">
        <v>1.0</v>
      </c>
      <c r="B55" s="4">
        <v>5.0</v>
      </c>
      <c r="C55" s="4">
        <f t="shared" si="1"/>
        <v>4</v>
      </c>
      <c r="D55" s="5">
        <f t="shared" si="2"/>
        <v>2.854934602</v>
      </c>
    </row>
    <row r="56" ht="15.75" customHeight="1">
      <c r="A56" s="4">
        <v>2.0</v>
      </c>
      <c r="B56" s="4">
        <v>4.0</v>
      </c>
      <c r="C56" s="4">
        <f t="shared" si="1"/>
        <v>2</v>
      </c>
      <c r="D56" s="5">
        <f t="shared" si="2"/>
        <v>0.09631391201</v>
      </c>
      <c r="F56" s="6" t="s">
        <v>25</v>
      </c>
    </row>
    <row r="57" ht="15.75" customHeight="1">
      <c r="A57" s="4">
        <v>1.0</v>
      </c>
      <c r="B57" s="4">
        <v>5.0</v>
      </c>
      <c r="C57" s="4">
        <f t="shared" si="1"/>
        <v>4</v>
      </c>
      <c r="D57" s="5">
        <f t="shared" si="2"/>
        <v>2.854934602</v>
      </c>
    </row>
    <row r="58" ht="15.75" customHeight="1">
      <c r="A58" s="4">
        <v>2.0</v>
      </c>
      <c r="B58" s="4">
        <v>5.0</v>
      </c>
      <c r="C58" s="4">
        <f t="shared" si="1"/>
        <v>3</v>
      </c>
      <c r="D58" s="5">
        <f t="shared" si="2"/>
        <v>0.4756242568</v>
      </c>
      <c r="F58" s="7" t="s">
        <v>88</v>
      </c>
    </row>
    <row r="59" ht="15.75" customHeight="1">
      <c r="A59" s="4">
        <v>1.0</v>
      </c>
      <c r="B59" s="4">
        <v>4.0</v>
      </c>
      <c r="C59" s="4">
        <f t="shared" si="1"/>
        <v>3</v>
      </c>
      <c r="D59" s="5">
        <f t="shared" si="2"/>
        <v>0.4756242568</v>
      </c>
      <c r="F59" s="7" t="s">
        <v>27</v>
      </c>
    </row>
    <row r="60" ht="15.75" customHeight="1">
      <c r="A60" s="4">
        <v>2.0</v>
      </c>
      <c r="B60" s="4">
        <v>5.0</v>
      </c>
      <c r="C60" s="4">
        <f t="shared" si="1"/>
        <v>3</v>
      </c>
      <c r="D60" s="5">
        <f t="shared" si="2"/>
        <v>0.4756242568</v>
      </c>
      <c r="F60" s="7" t="s">
        <v>89</v>
      </c>
    </row>
    <row r="61" ht="15.75" customHeight="1">
      <c r="A61" s="4">
        <v>1.0</v>
      </c>
      <c r="B61" s="4">
        <v>5.0</v>
      </c>
      <c r="C61" s="4">
        <f t="shared" si="1"/>
        <v>4</v>
      </c>
      <c r="D61" s="5">
        <f t="shared" si="2"/>
        <v>2.854934602</v>
      </c>
    </row>
    <row r="62" ht="15.75" customHeight="1">
      <c r="A62" s="4">
        <v>2.0</v>
      </c>
      <c r="B62" s="4">
        <v>3.0</v>
      </c>
      <c r="C62" s="4">
        <f t="shared" si="1"/>
        <v>1</v>
      </c>
      <c r="D62" s="5">
        <f t="shared" si="2"/>
        <v>1.717003567</v>
      </c>
    </row>
    <row r="63" ht="15.75" customHeight="1">
      <c r="A63" s="4">
        <v>1.0</v>
      </c>
      <c r="B63" s="4">
        <v>3.0</v>
      </c>
      <c r="C63" s="4">
        <f t="shared" si="1"/>
        <v>2</v>
      </c>
      <c r="D63" s="5">
        <f t="shared" si="2"/>
        <v>0.09631391201</v>
      </c>
    </row>
    <row r="64" ht="15.75" customHeight="1">
      <c r="A64" s="4">
        <v>2.0</v>
      </c>
      <c r="B64" s="4">
        <v>5.0</v>
      </c>
      <c r="C64" s="4">
        <f t="shared" si="1"/>
        <v>3</v>
      </c>
      <c r="D64" s="5">
        <f t="shared" si="2"/>
        <v>0.4756242568</v>
      </c>
    </row>
    <row r="65" ht="15.75" customHeight="1">
      <c r="A65" s="4">
        <v>1.0</v>
      </c>
      <c r="B65" s="4">
        <v>5.0</v>
      </c>
      <c r="C65" s="4">
        <f t="shared" si="1"/>
        <v>4</v>
      </c>
      <c r="D65" s="5">
        <f t="shared" si="2"/>
        <v>2.854934602</v>
      </c>
      <c r="F65" s="6" t="s">
        <v>25</v>
      </c>
    </row>
    <row r="66" ht="15.75" customHeight="1">
      <c r="A66" s="4">
        <v>2.0</v>
      </c>
      <c r="B66" s="4">
        <v>5.0</v>
      </c>
      <c r="C66" s="4">
        <f t="shared" si="1"/>
        <v>3</v>
      </c>
      <c r="D66" s="5">
        <f t="shared" si="2"/>
        <v>0.4756242568</v>
      </c>
    </row>
    <row r="67" ht="15.75" customHeight="1">
      <c r="A67" s="4">
        <v>1.0</v>
      </c>
      <c r="B67" s="4">
        <v>5.0</v>
      </c>
      <c r="C67" s="4">
        <f t="shared" si="1"/>
        <v>4</v>
      </c>
      <c r="D67" s="5">
        <f t="shared" si="2"/>
        <v>2.854934602</v>
      </c>
    </row>
    <row r="68" ht="15.75" customHeight="1">
      <c r="A68" s="4">
        <v>2.0</v>
      </c>
      <c r="B68" s="4">
        <v>3.0</v>
      </c>
      <c r="C68" s="4">
        <f t="shared" si="1"/>
        <v>1</v>
      </c>
      <c r="D68" s="5">
        <f t="shared" si="2"/>
        <v>1.717003567</v>
      </c>
    </row>
    <row r="69" ht="15.75" customHeight="1">
      <c r="A69" s="4">
        <v>1.0</v>
      </c>
      <c r="B69" s="4">
        <v>3.0</v>
      </c>
      <c r="C69" s="4">
        <f t="shared" si="1"/>
        <v>2</v>
      </c>
      <c r="D69" s="5">
        <f t="shared" si="2"/>
        <v>0.09631391201</v>
      </c>
    </row>
    <row r="70" ht="15.75" customHeight="1">
      <c r="A70" s="4">
        <v>2.0</v>
      </c>
      <c r="B70" s="4">
        <v>3.0</v>
      </c>
      <c r="C70" s="4">
        <f t="shared" si="1"/>
        <v>1</v>
      </c>
      <c r="D70" s="5">
        <f t="shared" si="2"/>
        <v>1.717003567</v>
      </c>
    </row>
    <row r="71" ht="15.75" customHeight="1">
      <c r="A71" s="4">
        <v>1.0</v>
      </c>
      <c r="B71" s="4">
        <v>4.0</v>
      </c>
      <c r="C71" s="4">
        <f t="shared" si="1"/>
        <v>3</v>
      </c>
      <c r="D71" s="5">
        <f t="shared" si="2"/>
        <v>0.4756242568</v>
      </c>
    </row>
    <row r="72" ht="15.75" customHeight="1">
      <c r="A72" s="4">
        <v>2.0</v>
      </c>
      <c r="B72" s="4">
        <v>2.0</v>
      </c>
      <c r="C72" s="4">
        <f t="shared" si="1"/>
        <v>0</v>
      </c>
      <c r="D72" s="5">
        <f t="shared" si="2"/>
        <v>5.337693222</v>
      </c>
      <c r="F72" s="7" t="s">
        <v>29</v>
      </c>
    </row>
    <row r="73" ht="15.75" customHeight="1">
      <c r="A73" s="4">
        <v>1.0</v>
      </c>
      <c r="B73" s="4">
        <v>3.0</v>
      </c>
      <c r="C73" s="4">
        <f t="shared" si="1"/>
        <v>2</v>
      </c>
      <c r="D73" s="5">
        <f t="shared" si="2"/>
        <v>0.09631391201</v>
      </c>
      <c r="F73" s="7" t="s">
        <v>90</v>
      </c>
    </row>
    <row r="74" ht="15.75" customHeight="1">
      <c r="A74" s="4">
        <v>2.0</v>
      </c>
      <c r="B74" s="4">
        <v>3.0</v>
      </c>
      <c r="C74" s="4">
        <f t="shared" si="1"/>
        <v>1</v>
      </c>
      <c r="D74" s="5">
        <f t="shared" si="2"/>
        <v>1.717003567</v>
      </c>
      <c r="F74" s="7" t="s">
        <v>29</v>
      </c>
    </row>
    <row r="75" ht="15.75" customHeight="1">
      <c r="A75" s="4">
        <v>1.0</v>
      </c>
      <c r="B75" s="4">
        <v>5.0</v>
      </c>
      <c r="C75" s="4">
        <f t="shared" si="1"/>
        <v>4</v>
      </c>
      <c r="D75" s="5">
        <f t="shared" si="2"/>
        <v>2.854934602</v>
      </c>
      <c r="F75" s="7" t="s">
        <v>91</v>
      </c>
    </row>
    <row r="76" ht="15.75" customHeight="1">
      <c r="A76" s="4">
        <v>2.0</v>
      </c>
      <c r="B76" s="4">
        <v>3.0</v>
      </c>
      <c r="C76" s="4">
        <f t="shared" si="1"/>
        <v>1</v>
      </c>
      <c r="D76" s="5">
        <f t="shared" si="2"/>
        <v>1.717003567</v>
      </c>
    </row>
    <row r="77" ht="15.75" customHeight="1">
      <c r="A77" s="4">
        <v>1.0</v>
      </c>
      <c r="B77" s="4">
        <v>3.0</v>
      </c>
      <c r="C77" s="4">
        <f t="shared" si="1"/>
        <v>2</v>
      </c>
      <c r="D77" s="5">
        <f t="shared" si="2"/>
        <v>0.09631391201</v>
      </c>
    </row>
    <row r="78" ht="15.75" customHeight="1">
      <c r="A78" s="4">
        <v>2.0</v>
      </c>
      <c r="B78" s="4">
        <v>1.0</v>
      </c>
      <c r="C78" s="4">
        <f t="shared" si="1"/>
        <v>-1</v>
      </c>
      <c r="D78" s="5">
        <f t="shared" si="2"/>
        <v>10.95838288</v>
      </c>
    </row>
    <row r="79" ht="15.75" customHeight="1">
      <c r="A79" s="4">
        <v>1.0</v>
      </c>
      <c r="B79" s="4">
        <v>3.0</v>
      </c>
      <c r="C79" s="4">
        <f t="shared" si="1"/>
        <v>2</v>
      </c>
      <c r="D79" s="5">
        <f t="shared" si="2"/>
        <v>0.09631391201</v>
      </c>
    </row>
    <row r="80" ht="15.75" customHeight="1">
      <c r="A80" s="4">
        <v>2.0</v>
      </c>
      <c r="B80" s="4">
        <v>4.0</v>
      </c>
      <c r="C80" s="4">
        <f t="shared" si="1"/>
        <v>2</v>
      </c>
      <c r="D80" s="5">
        <f t="shared" si="2"/>
        <v>0.09631391201</v>
      </c>
    </row>
    <row r="81" ht="15.75" customHeight="1">
      <c r="A81" s="4">
        <v>1.0</v>
      </c>
      <c r="B81" s="4">
        <v>4.0</v>
      </c>
      <c r="C81" s="4">
        <f t="shared" si="1"/>
        <v>3</v>
      </c>
      <c r="D81" s="5">
        <f t="shared" si="2"/>
        <v>0.4756242568</v>
      </c>
    </row>
    <row r="82" ht="15.75" customHeight="1">
      <c r="A82" s="4">
        <v>2.0</v>
      </c>
      <c r="B82" s="4">
        <v>2.0</v>
      </c>
      <c r="C82" s="4">
        <f t="shared" si="1"/>
        <v>0</v>
      </c>
      <c r="D82" s="5">
        <f t="shared" si="2"/>
        <v>5.337693222</v>
      </c>
    </row>
    <row r="83" ht="15.75" customHeight="1">
      <c r="A83" s="4">
        <v>1.0</v>
      </c>
      <c r="B83" s="4">
        <v>4.0</v>
      </c>
      <c r="C83" s="4">
        <f t="shared" si="1"/>
        <v>3</v>
      </c>
      <c r="D83" s="5">
        <f t="shared" si="2"/>
        <v>0.4756242568</v>
      </c>
    </row>
    <row r="84" ht="15.75" customHeight="1">
      <c r="A84" s="4">
        <v>2.0</v>
      </c>
      <c r="B84" s="4">
        <v>3.0</v>
      </c>
      <c r="C84" s="4">
        <f t="shared" si="1"/>
        <v>1</v>
      </c>
      <c r="D84" s="5">
        <f t="shared" si="2"/>
        <v>1.717003567</v>
      </c>
    </row>
    <row r="85" ht="15.75" customHeight="1">
      <c r="A85" s="4">
        <v>1.0</v>
      </c>
      <c r="B85" s="4">
        <v>3.0</v>
      </c>
      <c r="C85" s="4">
        <f t="shared" si="1"/>
        <v>2</v>
      </c>
      <c r="D85" s="5">
        <f t="shared" si="2"/>
        <v>0.09631391201</v>
      </c>
    </row>
    <row r="86" ht="15.75" customHeight="1">
      <c r="A86" s="4">
        <v>2.0</v>
      </c>
      <c r="B86" s="4">
        <v>4.0</v>
      </c>
      <c r="C86" s="4">
        <f t="shared" si="1"/>
        <v>2</v>
      </c>
      <c r="D86" s="5">
        <f t="shared" si="2"/>
        <v>0.09631391201</v>
      </c>
    </row>
    <row r="87" ht="15.75" customHeight="1">
      <c r="A87" s="4">
        <v>1.0</v>
      </c>
      <c r="B87" s="4">
        <v>3.0</v>
      </c>
      <c r="C87" s="4">
        <f t="shared" si="1"/>
        <v>2</v>
      </c>
      <c r="D87" s="5">
        <f t="shared" si="2"/>
        <v>0.09631391201</v>
      </c>
    </row>
    <row r="88" ht="15.75" customHeight="1">
      <c r="A88" s="4">
        <v>2.0</v>
      </c>
      <c r="B88" s="4">
        <v>3.0</v>
      </c>
      <c r="C88" s="4">
        <f t="shared" si="1"/>
        <v>1</v>
      </c>
      <c r="D88" s="5">
        <f t="shared" si="2"/>
        <v>1.717003567</v>
      </c>
    </row>
    <row r="89" ht="15.75" customHeight="1"/>
    <row r="90" ht="15.75" customHeight="1"/>
    <row r="91" ht="15.75" customHeight="1"/>
    <row r="92" ht="15.75" customHeight="1"/>
    <row r="93" ht="15.75" customHeight="1">
      <c r="F93" s="8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3.43"/>
    <col customWidth="1" min="3" max="3" width="19.86"/>
    <col customWidth="1" min="4" max="4" width="23.14"/>
    <col customWidth="1" min="5" max="5" width="12.0"/>
    <col customWidth="1" min="6" max="6" width="39.0"/>
    <col customWidth="1" min="7" max="7" width="19.0"/>
    <col customWidth="1" min="8" max="26" width="9.14"/>
  </cols>
  <sheetData>
    <row r="1" ht="108.0" customHeight="1">
      <c r="A1" s="1" t="s">
        <v>92</v>
      </c>
      <c r="B1" s="2" t="s">
        <v>93</v>
      </c>
      <c r="C1" s="3" t="s">
        <v>2</v>
      </c>
      <c r="D1" s="3"/>
    </row>
    <row r="2">
      <c r="A2" s="4">
        <v>1.0</v>
      </c>
      <c r="B2" s="4">
        <v>3.0</v>
      </c>
      <c r="C2" s="4">
        <f t="shared" ref="C2:C88" si="1">B2-A2</f>
        <v>2</v>
      </c>
      <c r="D2" s="5">
        <f t="shared" ref="D2:D88" si="2">(C2-$G$6)^2</f>
        <v>0.04280618312</v>
      </c>
    </row>
    <row r="3">
      <c r="A3" s="4">
        <v>2.0</v>
      </c>
      <c r="B3" s="4">
        <v>5.0</v>
      </c>
      <c r="C3" s="4">
        <f t="shared" si="1"/>
        <v>3</v>
      </c>
      <c r="D3" s="5">
        <f t="shared" si="2"/>
        <v>0.6290130797</v>
      </c>
      <c r="F3" s="6" t="s">
        <v>3</v>
      </c>
      <c r="G3" s="6"/>
    </row>
    <row r="4">
      <c r="A4" s="4">
        <v>2.0</v>
      </c>
      <c r="B4" s="4">
        <v>4.0</v>
      </c>
      <c r="C4" s="4">
        <f t="shared" si="1"/>
        <v>2</v>
      </c>
      <c r="D4" s="5">
        <f t="shared" si="2"/>
        <v>0.04280618312</v>
      </c>
      <c r="F4" s="7" t="s">
        <v>4</v>
      </c>
      <c r="G4" s="7">
        <v>87.0</v>
      </c>
    </row>
    <row r="5">
      <c r="A5" s="4">
        <v>1.0</v>
      </c>
      <c r="B5" s="4">
        <v>3.0</v>
      </c>
      <c r="C5" s="4">
        <f t="shared" si="1"/>
        <v>2</v>
      </c>
      <c r="D5" s="5">
        <f t="shared" si="2"/>
        <v>0.04280618312</v>
      </c>
      <c r="F5" s="7" t="s">
        <v>5</v>
      </c>
      <c r="G5" s="7">
        <f>SUM(C:C)</f>
        <v>192</v>
      </c>
    </row>
    <row r="6">
      <c r="A6" s="4">
        <v>2.0</v>
      </c>
      <c r="B6" s="4">
        <v>3.0</v>
      </c>
      <c r="C6" s="4">
        <f t="shared" si="1"/>
        <v>1</v>
      </c>
      <c r="D6" s="5">
        <f t="shared" si="2"/>
        <v>1.456599287</v>
      </c>
      <c r="F6" s="7" t="s">
        <v>6</v>
      </c>
      <c r="G6" s="7">
        <f>G5/G4</f>
        <v>2.206896552</v>
      </c>
    </row>
    <row r="7">
      <c r="A7" s="4">
        <v>1.0</v>
      </c>
      <c r="B7" s="4">
        <v>4.0</v>
      </c>
      <c r="C7" s="4">
        <f t="shared" si="1"/>
        <v>3</v>
      </c>
      <c r="D7" s="5">
        <f t="shared" si="2"/>
        <v>0.6290130797</v>
      </c>
      <c r="F7" s="7" t="s">
        <v>7</v>
      </c>
      <c r="G7" s="7">
        <f>SUM(D:D)</f>
        <v>96.27586207</v>
      </c>
    </row>
    <row r="8">
      <c r="A8" s="4">
        <v>2.0</v>
      </c>
      <c r="B8" s="4">
        <v>5.0</v>
      </c>
      <c r="C8" s="4">
        <f t="shared" si="1"/>
        <v>3</v>
      </c>
      <c r="D8" s="5">
        <f t="shared" si="2"/>
        <v>0.6290130797</v>
      </c>
      <c r="F8" s="7" t="s">
        <v>8</v>
      </c>
      <c r="G8" s="7">
        <f>SQRT(G7/(G4-1))</f>
        <v>1.058058017</v>
      </c>
    </row>
    <row r="9">
      <c r="A9" s="4">
        <v>3.0</v>
      </c>
      <c r="B9" s="4">
        <v>4.0</v>
      </c>
      <c r="C9" s="4">
        <f t="shared" si="1"/>
        <v>1</v>
      </c>
      <c r="D9" s="5">
        <f t="shared" si="2"/>
        <v>1.456599287</v>
      </c>
    </row>
    <row r="10">
      <c r="A10" s="4">
        <v>3.0</v>
      </c>
      <c r="B10" s="4">
        <v>3.0</v>
      </c>
      <c r="C10" s="4">
        <f t="shared" si="1"/>
        <v>0</v>
      </c>
      <c r="D10" s="5">
        <f t="shared" si="2"/>
        <v>4.87039239</v>
      </c>
    </row>
    <row r="11">
      <c r="A11" s="4">
        <v>1.0</v>
      </c>
      <c r="B11" s="4">
        <v>5.0</v>
      </c>
      <c r="C11" s="4">
        <f t="shared" si="1"/>
        <v>4</v>
      </c>
      <c r="D11" s="5">
        <f t="shared" si="2"/>
        <v>3.215219976</v>
      </c>
    </row>
    <row r="12">
      <c r="A12" s="4">
        <v>2.0</v>
      </c>
      <c r="B12" s="4">
        <v>4.0</v>
      </c>
      <c r="C12" s="4">
        <f t="shared" si="1"/>
        <v>2</v>
      </c>
      <c r="D12" s="5">
        <f t="shared" si="2"/>
        <v>0.04280618312</v>
      </c>
      <c r="F12" s="7" t="s">
        <v>9</v>
      </c>
      <c r="G12" s="7">
        <f>G6/(G8/SQRT(G4))</f>
        <v>19.45503964</v>
      </c>
    </row>
    <row r="13">
      <c r="A13" s="4">
        <v>1.0</v>
      </c>
      <c r="B13" s="4">
        <v>4.0</v>
      </c>
      <c r="C13" s="4">
        <f t="shared" si="1"/>
        <v>3</v>
      </c>
      <c r="D13" s="5">
        <f t="shared" si="2"/>
        <v>0.6290130797</v>
      </c>
    </row>
    <row r="14">
      <c r="A14" s="4">
        <v>2.0</v>
      </c>
      <c r="B14" s="4">
        <v>4.0</v>
      </c>
      <c r="C14" s="4">
        <f t="shared" si="1"/>
        <v>2</v>
      </c>
      <c r="D14" s="5">
        <f t="shared" si="2"/>
        <v>0.04280618312</v>
      </c>
    </row>
    <row r="15">
      <c r="A15" s="4">
        <v>1.0</v>
      </c>
      <c r="B15" s="4">
        <v>4.0</v>
      </c>
      <c r="C15" s="4">
        <f t="shared" si="1"/>
        <v>3</v>
      </c>
      <c r="D15" s="5">
        <f t="shared" si="2"/>
        <v>0.6290130797</v>
      </c>
    </row>
    <row r="16">
      <c r="A16" s="4">
        <v>2.0</v>
      </c>
      <c r="B16" s="4">
        <v>3.0</v>
      </c>
      <c r="C16" s="4">
        <f t="shared" si="1"/>
        <v>1</v>
      </c>
      <c r="D16" s="5">
        <f t="shared" si="2"/>
        <v>1.456599287</v>
      </c>
    </row>
    <row r="17">
      <c r="A17" s="4">
        <v>1.0</v>
      </c>
      <c r="B17" s="4">
        <v>4.0</v>
      </c>
      <c r="C17" s="4">
        <f t="shared" si="1"/>
        <v>3</v>
      </c>
      <c r="D17" s="5">
        <f t="shared" si="2"/>
        <v>0.6290130797</v>
      </c>
      <c r="F17" s="7" t="s">
        <v>10</v>
      </c>
      <c r="G17" s="7">
        <v>0.05</v>
      </c>
    </row>
    <row r="18">
      <c r="A18" s="4">
        <v>2.0</v>
      </c>
      <c r="B18" s="4">
        <v>3.0</v>
      </c>
      <c r="C18" s="4">
        <f t="shared" si="1"/>
        <v>1</v>
      </c>
      <c r="D18" s="5">
        <f t="shared" si="2"/>
        <v>1.456599287</v>
      </c>
      <c r="F18" s="7" t="s">
        <v>11</v>
      </c>
      <c r="G18" s="7">
        <f>G4-1</f>
        <v>86</v>
      </c>
    </row>
    <row r="19">
      <c r="A19" s="4">
        <v>1.0</v>
      </c>
      <c r="B19" s="4">
        <v>4.0</v>
      </c>
      <c r="C19" s="4">
        <f t="shared" si="1"/>
        <v>3</v>
      </c>
      <c r="D19" s="5">
        <f t="shared" si="2"/>
        <v>0.6290130797</v>
      </c>
    </row>
    <row r="20">
      <c r="A20" s="4">
        <v>2.0</v>
      </c>
      <c r="B20" s="4">
        <v>4.0</v>
      </c>
      <c r="C20" s="4">
        <f t="shared" si="1"/>
        <v>2</v>
      </c>
      <c r="D20" s="5">
        <f t="shared" si="2"/>
        <v>0.04280618312</v>
      </c>
    </row>
    <row r="21" ht="15.75" customHeight="1">
      <c r="A21" s="4">
        <v>1.0</v>
      </c>
      <c r="B21" s="4">
        <v>5.0</v>
      </c>
      <c r="C21" s="4">
        <f t="shared" si="1"/>
        <v>4</v>
      </c>
      <c r="D21" s="5">
        <f t="shared" si="2"/>
        <v>3.215219976</v>
      </c>
    </row>
    <row r="22" ht="15.75" customHeight="1">
      <c r="A22" s="4">
        <v>2.0</v>
      </c>
      <c r="B22" s="4">
        <v>4.0</v>
      </c>
      <c r="C22" s="4">
        <f t="shared" si="1"/>
        <v>2</v>
      </c>
      <c r="D22" s="5">
        <f t="shared" si="2"/>
        <v>0.04280618312</v>
      </c>
      <c r="F22" s="6" t="s">
        <v>12</v>
      </c>
      <c r="G22" s="6"/>
    </row>
    <row r="23" ht="15.75" customHeight="1">
      <c r="A23" s="4">
        <v>1.0</v>
      </c>
      <c r="B23" s="4">
        <v>2.0</v>
      </c>
      <c r="C23" s="4">
        <f t="shared" si="1"/>
        <v>1</v>
      </c>
      <c r="D23" s="5">
        <f t="shared" si="2"/>
        <v>1.456599287</v>
      </c>
      <c r="F23" s="7" t="s">
        <v>94</v>
      </c>
      <c r="G23" s="7">
        <f>_xlfn.T.INV.2T(G17,G18)</f>
        <v>1.987934206</v>
      </c>
    </row>
    <row r="24" ht="15.75" customHeight="1">
      <c r="A24" s="4">
        <v>2.0</v>
      </c>
      <c r="B24" s="4">
        <v>4.0</v>
      </c>
      <c r="C24" s="4">
        <f t="shared" si="1"/>
        <v>2</v>
      </c>
      <c r="D24" s="5">
        <f t="shared" si="2"/>
        <v>0.04280618312</v>
      </c>
      <c r="F24" s="7" t="s">
        <v>95</v>
      </c>
      <c r="G24" s="7">
        <f>_xlfn.T.INV(G17,G18)</f>
        <v>-1.662765449</v>
      </c>
    </row>
    <row r="25" ht="15.75" customHeight="1">
      <c r="A25" s="4">
        <v>1.0</v>
      </c>
      <c r="B25" s="4">
        <v>4.0</v>
      </c>
      <c r="C25" s="4">
        <f t="shared" si="1"/>
        <v>3</v>
      </c>
      <c r="D25" s="5">
        <f t="shared" si="2"/>
        <v>0.6290130797</v>
      </c>
    </row>
    <row r="26" ht="15.75" customHeight="1">
      <c r="A26" s="4">
        <v>2.0</v>
      </c>
      <c r="B26" s="4">
        <v>5.0</v>
      </c>
      <c r="C26" s="4">
        <f t="shared" si="1"/>
        <v>3</v>
      </c>
      <c r="D26" s="5">
        <f t="shared" si="2"/>
        <v>0.6290130797</v>
      </c>
    </row>
    <row r="27" ht="15.75" customHeight="1">
      <c r="A27" s="4">
        <v>1.0</v>
      </c>
      <c r="B27" s="4">
        <v>5.0</v>
      </c>
      <c r="C27" s="4">
        <f t="shared" si="1"/>
        <v>4</v>
      </c>
      <c r="D27" s="5">
        <f t="shared" si="2"/>
        <v>3.215219976</v>
      </c>
    </row>
    <row r="28" ht="15.75" customHeight="1">
      <c r="A28" s="4">
        <v>2.0</v>
      </c>
      <c r="B28" s="4">
        <v>5.0</v>
      </c>
      <c r="C28" s="4">
        <f t="shared" si="1"/>
        <v>3</v>
      </c>
      <c r="D28" s="5">
        <f t="shared" si="2"/>
        <v>0.6290130797</v>
      </c>
    </row>
    <row r="29" ht="15.75" customHeight="1">
      <c r="A29" s="4">
        <v>1.0</v>
      </c>
      <c r="B29" s="4">
        <v>5.0</v>
      </c>
      <c r="C29" s="4">
        <f t="shared" si="1"/>
        <v>4</v>
      </c>
      <c r="D29" s="5">
        <f t="shared" si="2"/>
        <v>3.215219976</v>
      </c>
    </row>
    <row r="30" ht="15.75" customHeight="1">
      <c r="A30" s="4">
        <v>2.0</v>
      </c>
      <c r="B30" s="4">
        <v>5.0</v>
      </c>
      <c r="C30" s="4">
        <f t="shared" si="1"/>
        <v>3</v>
      </c>
      <c r="D30" s="5">
        <f t="shared" si="2"/>
        <v>0.6290130797</v>
      </c>
    </row>
    <row r="31" ht="15.75" customHeight="1">
      <c r="A31" s="4">
        <v>1.0</v>
      </c>
      <c r="B31" s="4">
        <v>5.0</v>
      </c>
      <c r="C31" s="4">
        <f t="shared" si="1"/>
        <v>4</v>
      </c>
      <c r="D31" s="5">
        <f t="shared" si="2"/>
        <v>3.215219976</v>
      </c>
    </row>
    <row r="32" ht="15.75" customHeight="1">
      <c r="A32" s="4">
        <v>2.0</v>
      </c>
      <c r="B32" s="4">
        <v>3.0</v>
      </c>
      <c r="C32" s="4">
        <f t="shared" si="1"/>
        <v>1</v>
      </c>
      <c r="D32" s="5">
        <f t="shared" si="2"/>
        <v>1.456599287</v>
      </c>
    </row>
    <row r="33" ht="15.75" customHeight="1">
      <c r="A33" s="4">
        <v>4.0</v>
      </c>
      <c r="B33" s="4">
        <v>5.0</v>
      </c>
      <c r="C33" s="4">
        <f t="shared" si="1"/>
        <v>1</v>
      </c>
      <c r="D33" s="5">
        <f t="shared" si="2"/>
        <v>1.456599287</v>
      </c>
    </row>
    <row r="34" ht="15.75" customHeight="1">
      <c r="A34" s="4">
        <v>2.0</v>
      </c>
      <c r="B34" s="4">
        <v>4.0</v>
      </c>
      <c r="C34" s="4">
        <f t="shared" si="1"/>
        <v>2</v>
      </c>
      <c r="D34" s="5">
        <f t="shared" si="2"/>
        <v>0.04280618312</v>
      </c>
      <c r="F34" s="7" t="s">
        <v>15</v>
      </c>
    </row>
    <row r="35" ht="15.75" customHeight="1">
      <c r="A35" s="4">
        <v>1.0</v>
      </c>
      <c r="B35" s="4">
        <v>5.0</v>
      </c>
      <c r="C35" s="4">
        <f t="shared" si="1"/>
        <v>4</v>
      </c>
      <c r="D35" s="5">
        <f t="shared" si="2"/>
        <v>3.215219976</v>
      </c>
      <c r="F35" s="7" t="s">
        <v>16</v>
      </c>
    </row>
    <row r="36" ht="15.75" customHeight="1">
      <c r="A36" s="4">
        <v>3.0</v>
      </c>
      <c r="B36" s="4">
        <v>4.0</v>
      </c>
      <c r="C36" s="4">
        <f t="shared" si="1"/>
        <v>1</v>
      </c>
      <c r="D36" s="5">
        <f t="shared" si="2"/>
        <v>1.456599287</v>
      </c>
    </row>
    <row r="37" ht="15.75" customHeight="1">
      <c r="A37" s="4">
        <v>1.0</v>
      </c>
      <c r="B37" s="4">
        <v>5.0</v>
      </c>
      <c r="C37" s="4">
        <f t="shared" si="1"/>
        <v>4</v>
      </c>
      <c r="D37" s="5">
        <f t="shared" si="2"/>
        <v>3.215219976</v>
      </c>
    </row>
    <row r="38" ht="15.75" customHeight="1">
      <c r="A38" s="4">
        <v>2.0</v>
      </c>
      <c r="B38" s="4">
        <v>5.0</v>
      </c>
      <c r="C38" s="4">
        <f t="shared" si="1"/>
        <v>3</v>
      </c>
      <c r="D38" s="5">
        <f t="shared" si="2"/>
        <v>0.6290130797</v>
      </c>
    </row>
    <row r="39" ht="15.75" customHeight="1">
      <c r="A39" s="4">
        <v>3.0</v>
      </c>
      <c r="B39" s="4">
        <v>4.0</v>
      </c>
      <c r="C39" s="4">
        <f t="shared" si="1"/>
        <v>1</v>
      </c>
      <c r="D39" s="5">
        <f t="shared" si="2"/>
        <v>1.456599287</v>
      </c>
      <c r="F39" s="6" t="s">
        <v>17</v>
      </c>
      <c r="G39" s="6"/>
    </row>
    <row r="40" ht="15.75" customHeight="1">
      <c r="A40" s="4">
        <v>3.0</v>
      </c>
      <c r="B40" s="4">
        <v>5.0</v>
      </c>
      <c r="C40" s="4">
        <f t="shared" si="1"/>
        <v>2</v>
      </c>
      <c r="D40" s="5">
        <f t="shared" si="2"/>
        <v>0.04280618312</v>
      </c>
      <c r="F40" s="7" t="s">
        <v>17</v>
      </c>
    </row>
    <row r="41" ht="15.75" customHeight="1">
      <c r="A41" s="4">
        <v>1.0</v>
      </c>
      <c r="B41" s="4">
        <v>3.0</v>
      </c>
      <c r="C41" s="4">
        <f t="shared" si="1"/>
        <v>2</v>
      </c>
      <c r="D41" s="5">
        <f t="shared" si="2"/>
        <v>0.04280618312</v>
      </c>
      <c r="F41" s="7" t="s">
        <v>96</v>
      </c>
      <c r="G41" s="7">
        <f>TTEST(A:A,B:B,2,1)</f>
        <v>0</v>
      </c>
    </row>
    <row r="42" ht="15.75" customHeight="1">
      <c r="A42" s="4">
        <v>3.0</v>
      </c>
      <c r="B42" s="4">
        <v>4.0</v>
      </c>
      <c r="C42" s="4">
        <f t="shared" si="1"/>
        <v>1</v>
      </c>
      <c r="D42" s="5">
        <f t="shared" si="2"/>
        <v>1.456599287</v>
      </c>
      <c r="F42" s="7" t="s">
        <v>97</v>
      </c>
      <c r="G42" s="7">
        <f>TTEST(A:A,B:B,1,1)</f>
        <v>0</v>
      </c>
    </row>
    <row r="43" ht="15.75" customHeight="1">
      <c r="A43" s="4">
        <v>1.0</v>
      </c>
      <c r="B43" s="4">
        <v>4.0</v>
      </c>
      <c r="C43" s="4">
        <f t="shared" si="1"/>
        <v>3</v>
      </c>
      <c r="D43" s="5">
        <f t="shared" si="2"/>
        <v>0.6290130797</v>
      </c>
    </row>
    <row r="44" ht="15.75" customHeight="1">
      <c r="A44" s="4">
        <v>2.0</v>
      </c>
      <c r="B44" s="4">
        <v>4.0</v>
      </c>
      <c r="C44" s="4">
        <f t="shared" si="1"/>
        <v>2</v>
      </c>
      <c r="D44" s="5">
        <f t="shared" si="2"/>
        <v>0.04280618312</v>
      </c>
    </row>
    <row r="45" ht="15.75" customHeight="1">
      <c r="A45" s="4">
        <v>1.0</v>
      </c>
      <c r="B45" s="4">
        <v>3.0</v>
      </c>
      <c r="C45" s="4">
        <f t="shared" si="1"/>
        <v>2</v>
      </c>
      <c r="D45" s="5">
        <f t="shared" si="2"/>
        <v>0.04280618312</v>
      </c>
      <c r="F45" s="6" t="s">
        <v>20</v>
      </c>
      <c r="G45" s="6"/>
    </row>
    <row r="46" ht="15.75" customHeight="1">
      <c r="A46" s="4">
        <v>2.0</v>
      </c>
      <c r="B46" s="4">
        <v>4.0</v>
      </c>
      <c r="C46" s="4">
        <f t="shared" si="1"/>
        <v>2</v>
      </c>
      <c r="D46" s="5">
        <f t="shared" si="2"/>
        <v>0.04280618312</v>
      </c>
    </row>
    <row r="47" ht="15.75" customHeight="1">
      <c r="A47" s="4">
        <v>1.0</v>
      </c>
      <c r="B47" s="4">
        <v>5.0</v>
      </c>
      <c r="C47" s="4">
        <f t="shared" si="1"/>
        <v>4</v>
      </c>
      <c r="D47" s="5">
        <f t="shared" si="2"/>
        <v>3.215219976</v>
      </c>
      <c r="F47" s="7" t="s">
        <v>98</v>
      </c>
    </row>
    <row r="48" ht="15.75" customHeight="1">
      <c r="A48" s="4">
        <v>2.0</v>
      </c>
      <c r="B48" s="4">
        <v>3.0</v>
      </c>
      <c r="C48" s="4">
        <f t="shared" si="1"/>
        <v>1</v>
      </c>
      <c r="D48" s="5">
        <f t="shared" si="2"/>
        <v>1.456599287</v>
      </c>
      <c r="F48" s="7" t="s">
        <v>99</v>
      </c>
    </row>
    <row r="49" ht="15.75" customHeight="1">
      <c r="A49" s="4">
        <v>1.0</v>
      </c>
      <c r="B49" s="4">
        <v>3.0</v>
      </c>
      <c r="C49" s="4">
        <f t="shared" si="1"/>
        <v>2</v>
      </c>
      <c r="D49" s="5">
        <f t="shared" si="2"/>
        <v>0.04280618312</v>
      </c>
    </row>
    <row r="50" ht="15.75" customHeight="1">
      <c r="A50" s="4">
        <v>2.0</v>
      </c>
      <c r="B50" s="4">
        <v>4.0</v>
      </c>
      <c r="C50" s="4">
        <f t="shared" si="1"/>
        <v>2</v>
      </c>
      <c r="D50" s="5">
        <f t="shared" si="2"/>
        <v>0.04280618312</v>
      </c>
      <c r="F50" s="7" t="s">
        <v>23</v>
      </c>
    </row>
    <row r="51" ht="15.75" customHeight="1">
      <c r="A51" s="4">
        <v>1.0</v>
      </c>
      <c r="B51" s="4">
        <v>3.0</v>
      </c>
      <c r="C51" s="4">
        <f t="shared" si="1"/>
        <v>2</v>
      </c>
      <c r="D51" s="5">
        <f t="shared" si="2"/>
        <v>0.04280618312</v>
      </c>
      <c r="F51" s="7" t="s">
        <v>24</v>
      </c>
    </row>
    <row r="52" ht="15.75" customHeight="1">
      <c r="A52" s="4">
        <v>2.0</v>
      </c>
      <c r="B52" s="4">
        <v>5.0</v>
      </c>
      <c r="C52" s="4">
        <f t="shared" si="1"/>
        <v>3</v>
      </c>
      <c r="D52" s="5">
        <f t="shared" si="2"/>
        <v>0.6290130797</v>
      </c>
    </row>
    <row r="53" ht="15.75" customHeight="1">
      <c r="A53" s="4">
        <v>1.0</v>
      </c>
      <c r="B53" s="4">
        <v>3.0</v>
      </c>
      <c r="C53" s="4">
        <f t="shared" si="1"/>
        <v>2</v>
      </c>
      <c r="D53" s="5">
        <f t="shared" si="2"/>
        <v>0.04280618312</v>
      </c>
    </row>
    <row r="54" ht="15.75" customHeight="1">
      <c r="A54" s="4">
        <v>2.0</v>
      </c>
      <c r="B54" s="4">
        <v>5.0</v>
      </c>
      <c r="C54" s="4">
        <f t="shared" si="1"/>
        <v>3</v>
      </c>
      <c r="D54" s="5">
        <f t="shared" si="2"/>
        <v>0.6290130797</v>
      </c>
    </row>
    <row r="55" ht="15.75" customHeight="1">
      <c r="A55" s="4">
        <v>1.0</v>
      </c>
      <c r="B55" s="4">
        <v>2.0</v>
      </c>
      <c r="C55" s="4">
        <f t="shared" si="1"/>
        <v>1</v>
      </c>
      <c r="D55" s="5">
        <f t="shared" si="2"/>
        <v>1.456599287</v>
      </c>
    </row>
    <row r="56" ht="15.75" customHeight="1">
      <c r="A56" s="4">
        <v>2.0</v>
      </c>
      <c r="B56" s="4">
        <v>4.0</v>
      </c>
      <c r="C56" s="4">
        <f t="shared" si="1"/>
        <v>2</v>
      </c>
      <c r="D56" s="5">
        <f t="shared" si="2"/>
        <v>0.04280618312</v>
      </c>
      <c r="F56" s="6" t="s">
        <v>25</v>
      </c>
    </row>
    <row r="57" ht="15.75" customHeight="1">
      <c r="A57" s="4">
        <v>3.0</v>
      </c>
      <c r="B57" s="4">
        <v>5.0</v>
      </c>
      <c r="C57" s="4">
        <f t="shared" si="1"/>
        <v>2</v>
      </c>
      <c r="D57" s="5">
        <f t="shared" si="2"/>
        <v>0.04280618312</v>
      </c>
    </row>
    <row r="58" ht="15.75" customHeight="1">
      <c r="A58" s="4">
        <v>2.0</v>
      </c>
      <c r="B58" s="4">
        <v>5.0</v>
      </c>
      <c r="C58" s="4">
        <f t="shared" si="1"/>
        <v>3</v>
      </c>
      <c r="D58" s="5">
        <f t="shared" si="2"/>
        <v>0.6290130797</v>
      </c>
      <c r="F58" s="7" t="s">
        <v>100</v>
      </c>
    </row>
    <row r="59" ht="15.75" customHeight="1">
      <c r="A59" s="4">
        <v>1.0</v>
      </c>
      <c r="B59" s="4">
        <v>3.0</v>
      </c>
      <c r="C59" s="4">
        <f t="shared" si="1"/>
        <v>2</v>
      </c>
      <c r="D59" s="5">
        <f t="shared" si="2"/>
        <v>0.04280618312</v>
      </c>
      <c r="F59" s="7" t="s">
        <v>27</v>
      </c>
    </row>
    <row r="60" ht="15.75" customHeight="1">
      <c r="A60" s="4">
        <v>2.0</v>
      </c>
      <c r="B60" s="4">
        <v>5.0</v>
      </c>
      <c r="C60" s="4">
        <f t="shared" si="1"/>
        <v>3</v>
      </c>
      <c r="D60" s="5">
        <f t="shared" si="2"/>
        <v>0.6290130797</v>
      </c>
      <c r="F60" s="7" t="s">
        <v>101</v>
      </c>
    </row>
    <row r="61" ht="15.75" customHeight="1">
      <c r="A61" s="4">
        <v>2.0</v>
      </c>
      <c r="B61" s="4">
        <v>3.0</v>
      </c>
      <c r="C61" s="4">
        <f t="shared" si="1"/>
        <v>1</v>
      </c>
      <c r="D61" s="5">
        <f t="shared" si="2"/>
        <v>1.456599287</v>
      </c>
    </row>
    <row r="62" ht="15.75" customHeight="1">
      <c r="A62" s="4">
        <v>4.0</v>
      </c>
      <c r="B62" s="4">
        <v>4.0</v>
      </c>
      <c r="C62" s="4">
        <f t="shared" si="1"/>
        <v>0</v>
      </c>
      <c r="D62" s="5">
        <f t="shared" si="2"/>
        <v>4.87039239</v>
      </c>
    </row>
    <row r="63" ht="15.75" customHeight="1">
      <c r="A63" s="4">
        <v>1.0</v>
      </c>
      <c r="B63" s="4">
        <v>5.0</v>
      </c>
      <c r="C63" s="4">
        <f t="shared" si="1"/>
        <v>4</v>
      </c>
      <c r="D63" s="5">
        <f t="shared" si="2"/>
        <v>3.215219976</v>
      </c>
    </row>
    <row r="64" ht="15.75" customHeight="1">
      <c r="A64" s="4">
        <v>2.0</v>
      </c>
      <c r="B64" s="4">
        <v>3.0</v>
      </c>
      <c r="C64" s="4">
        <f t="shared" si="1"/>
        <v>1</v>
      </c>
      <c r="D64" s="5">
        <f t="shared" si="2"/>
        <v>1.456599287</v>
      </c>
    </row>
    <row r="65" ht="15.75" customHeight="1">
      <c r="A65" s="4">
        <v>1.0</v>
      </c>
      <c r="B65" s="4">
        <v>3.0</v>
      </c>
      <c r="C65" s="4">
        <f t="shared" si="1"/>
        <v>2</v>
      </c>
      <c r="D65" s="5">
        <f t="shared" si="2"/>
        <v>0.04280618312</v>
      </c>
      <c r="F65" s="6" t="s">
        <v>25</v>
      </c>
    </row>
    <row r="66" ht="15.75" customHeight="1">
      <c r="A66" s="4">
        <v>2.0</v>
      </c>
      <c r="B66" s="4">
        <v>4.0</v>
      </c>
      <c r="C66" s="4">
        <f t="shared" si="1"/>
        <v>2</v>
      </c>
      <c r="D66" s="5">
        <f t="shared" si="2"/>
        <v>0.04280618312</v>
      </c>
    </row>
    <row r="67" ht="15.75" customHeight="1">
      <c r="A67" s="4">
        <v>3.0</v>
      </c>
      <c r="B67" s="4">
        <v>4.0</v>
      </c>
      <c r="C67" s="4">
        <f t="shared" si="1"/>
        <v>1</v>
      </c>
      <c r="D67" s="5">
        <f t="shared" si="2"/>
        <v>1.456599287</v>
      </c>
    </row>
    <row r="68" ht="15.75" customHeight="1">
      <c r="A68" s="4">
        <v>2.0</v>
      </c>
      <c r="B68" s="4">
        <v>5.0</v>
      </c>
      <c r="C68" s="4">
        <f t="shared" si="1"/>
        <v>3</v>
      </c>
      <c r="D68" s="5">
        <f t="shared" si="2"/>
        <v>0.6290130797</v>
      </c>
    </row>
    <row r="69" ht="15.75" customHeight="1">
      <c r="A69" s="4">
        <v>1.0</v>
      </c>
      <c r="B69" s="4">
        <v>4.0</v>
      </c>
      <c r="C69" s="4">
        <f t="shared" si="1"/>
        <v>3</v>
      </c>
      <c r="D69" s="5">
        <f t="shared" si="2"/>
        <v>0.6290130797</v>
      </c>
    </row>
    <row r="70" ht="15.75" customHeight="1">
      <c r="A70" s="4">
        <v>2.0</v>
      </c>
      <c r="B70" s="4">
        <v>3.0</v>
      </c>
      <c r="C70" s="4">
        <f t="shared" si="1"/>
        <v>1</v>
      </c>
      <c r="D70" s="5">
        <f t="shared" si="2"/>
        <v>1.456599287</v>
      </c>
    </row>
    <row r="71" ht="15.75" customHeight="1">
      <c r="A71" s="4">
        <v>1.0</v>
      </c>
      <c r="B71" s="4">
        <v>3.0</v>
      </c>
      <c r="C71" s="4">
        <f t="shared" si="1"/>
        <v>2</v>
      </c>
      <c r="D71" s="5">
        <f t="shared" si="2"/>
        <v>0.04280618312</v>
      </c>
    </row>
    <row r="72" ht="15.75" customHeight="1">
      <c r="A72" s="4">
        <v>2.0</v>
      </c>
      <c r="B72" s="4">
        <v>3.0</v>
      </c>
      <c r="C72" s="4">
        <f t="shared" si="1"/>
        <v>1</v>
      </c>
      <c r="D72" s="5">
        <f t="shared" si="2"/>
        <v>1.456599287</v>
      </c>
      <c r="F72" s="7" t="s">
        <v>29</v>
      </c>
    </row>
    <row r="73" ht="15.75" customHeight="1">
      <c r="A73" s="4">
        <v>4.0</v>
      </c>
      <c r="B73" s="4">
        <v>5.0</v>
      </c>
      <c r="C73" s="4">
        <f t="shared" si="1"/>
        <v>1</v>
      </c>
      <c r="D73" s="5">
        <f t="shared" si="2"/>
        <v>1.456599287</v>
      </c>
      <c r="F73" s="7" t="s">
        <v>102</v>
      </c>
    </row>
    <row r="74" ht="15.75" customHeight="1">
      <c r="A74" s="4">
        <v>2.0</v>
      </c>
      <c r="B74" s="4">
        <v>3.0</v>
      </c>
      <c r="C74" s="4">
        <f t="shared" si="1"/>
        <v>1</v>
      </c>
      <c r="D74" s="5">
        <f t="shared" si="2"/>
        <v>1.456599287</v>
      </c>
      <c r="F74" s="7" t="s">
        <v>29</v>
      </c>
    </row>
    <row r="75" ht="15.75" customHeight="1">
      <c r="A75" s="4">
        <v>1.0</v>
      </c>
      <c r="B75" s="4">
        <v>5.0</v>
      </c>
      <c r="C75" s="4">
        <f t="shared" si="1"/>
        <v>4</v>
      </c>
      <c r="D75" s="5">
        <f t="shared" si="2"/>
        <v>3.215219976</v>
      </c>
      <c r="F75" s="7" t="s">
        <v>103</v>
      </c>
    </row>
    <row r="76" ht="15.75" customHeight="1">
      <c r="A76" s="4">
        <v>2.0</v>
      </c>
      <c r="B76" s="4">
        <v>3.0</v>
      </c>
      <c r="C76" s="4">
        <f t="shared" si="1"/>
        <v>1</v>
      </c>
      <c r="D76" s="5">
        <f t="shared" si="2"/>
        <v>1.456599287</v>
      </c>
    </row>
    <row r="77" ht="15.75" customHeight="1">
      <c r="A77" s="4">
        <v>1.0</v>
      </c>
      <c r="B77" s="4">
        <v>4.0</v>
      </c>
      <c r="C77" s="4">
        <f t="shared" si="1"/>
        <v>3</v>
      </c>
      <c r="D77" s="5">
        <f t="shared" si="2"/>
        <v>0.6290130797</v>
      </c>
    </row>
    <row r="78" ht="15.75" customHeight="1">
      <c r="A78" s="4">
        <v>2.0</v>
      </c>
      <c r="B78" s="4">
        <v>3.0</v>
      </c>
      <c r="C78" s="4">
        <f t="shared" si="1"/>
        <v>1</v>
      </c>
      <c r="D78" s="5">
        <f t="shared" si="2"/>
        <v>1.456599287</v>
      </c>
    </row>
    <row r="79" ht="15.75" customHeight="1">
      <c r="A79" s="4">
        <v>1.0</v>
      </c>
      <c r="B79" s="4">
        <v>4.0</v>
      </c>
      <c r="C79" s="4">
        <f t="shared" si="1"/>
        <v>3</v>
      </c>
      <c r="D79" s="5">
        <f t="shared" si="2"/>
        <v>0.6290130797</v>
      </c>
    </row>
    <row r="80" ht="15.75" customHeight="1">
      <c r="A80" s="4">
        <v>2.0</v>
      </c>
      <c r="B80" s="4">
        <v>5.0</v>
      </c>
      <c r="C80" s="4">
        <f t="shared" si="1"/>
        <v>3</v>
      </c>
      <c r="D80" s="5">
        <f t="shared" si="2"/>
        <v>0.6290130797</v>
      </c>
    </row>
    <row r="81" ht="15.75" customHeight="1">
      <c r="A81" s="4">
        <v>1.0</v>
      </c>
      <c r="B81" s="4">
        <v>4.0</v>
      </c>
      <c r="C81" s="4">
        <f t="shared" si="1"/>
        <v>3</v>
      </c>
      <c r="D81" s="5">
        <f t="shared" si="2"/>
        <v>0.6290130797</v>
      </c>
    </row>
    <row r="82" ht="15.75" customHeight="1">
      <c r="A82" s="4">
        <v>2.0</v>
      </c>
      <c r="B82" s="4">
        <v>3.0</v>
      </c>
      <c r="C82" s="4">
        <f t="shared" si="1"/>
        <v>1</v>
      </c>
      <c r="D82" s="5">
        <f t="shared" si="2"/>
        <v>1.456599287</v>
      </c>
    </row>
    <row r="83" ht="15.75" customHeight="1">
      <c r="A83" s="4">
        <v>1.0</v>
      </c>
      <c r="B83" s="4">
        <v>4.0</v>
      </c>
      <c r="C83" s="4">
        <f t="shared" si="1"/>
        <v>3</v>
      </c>
      <c r="D83" s="5">
        <f t="shared" si="2"/>
        <v>0.6290130797</v>
      </c>
    </row>
    <row r="84" ht="15.75" customHeight="1">
      <c r="A84" s="4">
        <v>2.0</v>
      </c>
      <c r="B84" s="4">
        <v>3.0</v>
      </c>
      <c r="C84" s="4">
        <f t="shared" si="1"/>
        <v>1</v>
      </c>
      <c r="D84" s="5">
        <f t="shared" si="2"/>
        <v>1.456599287</v>
      </c>
    </row>
    <row r="85" ht="15.75" customHeight="1">
      <c r="A85" s="4">
        <v>1.0</v>
      </c>
      <c r="B85" s="4">
        <v>5.0</v>
      </c>
      <c r="C85" s="4">
        <f t="shared" si="1"/>
        <v>4</v>
      </c>
      <c r="D85" s="5">
        <f t="shared" si="2"/>
        <v>3.215219976</v>
      </c>
    </row>
    <row r="86" ht="15.75" customHeight="1">
      <c r="A86" s="4">
        <v>2.0</v>
      </c>
      <c r="B86" s="4">
        <v>3.0</v>
      </c>
      <c r="C86" s="4">
        <f t="shared" si="1"/>
        <v>1</v>
      </c>
      <c r="D86" s="5">
        <f t="shared" si="2"/>
        <v>1.456599287</v>
      </c>
    </row>
    <row r="87" ht="15.75" customHeight="1">
      <c r="A87" s="4">
        <v>1.0</v>
      </c>
      <c r="B87" s="4">
        <v>3.0</v>
      </c>
      <c r="C87" s="4">
        <f t="shared" si="1"/>
        <v>2</v>
      </c>
      <c r="D87" s="5">
        <f t="shared" si="2"/>
        <v>0.04280618312</v>
      </c>
    </row>
    <row r="88" ht="15.75" customHeight="1">
      <c r="A88" s="4">
        <v>2.0</v>
      </c>
      <c r="B88" s="4">
        <v>4.0</v>
      </c>
      <c r="C88" s="4">
        <f t="shared" si="1"/>
        <v>2</v>
      </c>
      <c r="D88" s="5">
        <f t="shared" si="2"/>
        <v>0.04280618312</v>
      </c>
    </row>
    <row r="89" ht="15.75" customHeight="1"/>
    <row r="90" ht="15.75" customHeight="1"/>
    <row r="91" ht="15.75" customHeight="1"/>
    <row r="92" ht="15.75" customHeight="1"/>
    <row r="93" ht="15.75" customHeight="1">
      <c r="F93" s="8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3.43"/>
    <col customWidth="1" min="3" max="3" width="19.86"/>
    <col customWidth="1" min="4" max="4" width="23.14"/>
    <col customWidth="1" min="5" max="5" width="12.0"/>
    <col customWidth="1" min="6" max="6" width="39.0"/>
    <col customWidth="1" min="7" max="7" width="19.0"/>
    <col customWidth="1" min="8" max="26" width="9.14"/>
  </cols>
  <sheetData>
    <row r="1" ht="108.0" customHeight="1">
      <c r="A1" s="1" t="s">
        <v>104</v>
      </c>
      <c r="B1" s="2" t="s">
        <v>105</v>
      </c>
      <c r="C1" s="3" t="s">
        <v>2</v>
      </c>
      <c r="D1" s="3"/>
    </row>
    <row r="2">
      <c r="A2" s="4">
        <v>1.0</v>
      </c>
      <c r="B2" s="4">
        <v>5.0</v>
      </c>
      <c r="C2" s="4">
        <f t="shared" ref="C2:C88" si="1">B2-A2</f>
        <v>4</v>
      </c>
      <c r="D2" s="5">
        <f t="shared" ref="D2:D88" si="2">(C2-$G$6)^2</f>
        <v>2.443651737</v>
      </c>
    </row>
    <row r="3">
      <c r="A3" s="4">
        <v>2.0</v>
      </c>
      <c r="B3" s="4">
        <v>3.0</v>
      </c>
      <c r="C3" s="4">
        <f t="shared" si="1"/>
        <v>1</v>
      </c>
      <c r="D3" s="5">
        <f t="shared" si="2"/>
        <v>2.064341393</v>
      </c>
      <c r="F3" s="6" t="s">
        <v>3</v>
      </c>
      <c r="G3" s="6"/>
    </row>
    <row r="4">
      <c r="A4" s="4">
        <v>2.0</v>
      </c>
      <c r="B4" s="4">
        <v>3.0</v>
      </c>
      <c r="C4" s="4">
        <f t="shared" si="1"/>
        <v>1</v>
      </c>
      <c r="D4" s="5">
        <f t="shared" si="2"/>
        <v>2.064341393</v>
      </c>
      <c r="F4" s="7" t="s">
        <v>4</v>
      </c>
      <c r="G4" s="7">
        <v>87.0</v>
      </c>
    </row>
    <row r="5">
      <c r="A5" s="4">
        <v>1.0</v>
      </c>
      <c r="B5" s="4">
        <v>4.0</v>
      </c>
      <c r="C5" s="4">
        <f t="shared" si="1"/>
        <v>3</v>
      </c>
      <c r="D5" s="5">
        <f t="shared" si="2"/>
        <v>0.3172149557</v>
      </c>
      <c r="F5" s="7" t="s">
        <v>5</v>
      </c>
      <c r="G5" s="7">
        <f>SUM(C:C)</f>
        <v>212</v>
      </c>
    </row>
    <row r="6">
      <c r="A6" s="4">
        <v>2.0</v>
      </c>
      <c r="B6" s="4">
        <v>4.0</v>
      </c>
      <c r="C6" s="4">
        <f t="shared" si="1"/>
        <v>2</v>
      </c>
      <c r="D6" s="5">
        <f t="shared" si="2"/>
        <v>0.1907781741</v>
      </c>
      <c r="F6" s="7" t="s">
        <v>6</v>
      </c>
      <c r="G6" s="7">
        <f>G5/G4</f>
        <v>2.436781609</v>
      </c>
    </row>
    <row r="7">
      <c r="A7" s="4">
        <v>1.0</v>
      </c>
      <c r="B7" s="4">
        <v>4.0</v>
      </c>
      <c r="C7" s="4">
        <f t="shared" si="1"/>
        <v>3</v>
      </c>
      <c r="D7" s="5">
        <f t="shared" si="2"/>
        <v>0.3172149557</v>
      </c>
      <c r="F7" s="7" t="s">
        <v>7</v>
      </c>
      <c r="G7" s="7">
        <f>SUM(D:D)</f>
        <v>95.40229885</v>
      </c>
    </row>
    <row r="8">
      <c r="A8" s="4">
        <v>2.0</v>
      </c>
      <c r="B8" s="4">
        <v>5.0</v>
      </c>
      <c r="C8" s="4">
        <f t="shared" si="1"/>
        <v>3</v>
      </c>
      <c r="D8" s="5">
        <f t="shared" si="2"/>
        <v>0.3172149557</v>
      </c>
      <c r="F8" s="7" t="s">
        <v>8</v>
      </c>
      <c r="G8" s="7">
        <f>SQRT(G7/(G4-1))</f>
        <v>1.053246911</v>
      </c>
    </row>
    <row r="9">
      <c r="A9" s="4">
        <v>1.0</v>
      </c>
      <c r="B9" s="4">
        <v>5.0</v>
      </c>
      <c r="C9" s="4">
        <f t="shared" si="1"/>
        <v>4</v>
      </c>
      <c r="D9" s="5">
        <f t="shared" si="2"/>
        <v>2.443651737</v>
      </c>
    </row>
    <row r="10">
      <c r="A10" s="4">
        <v>3.0</v>
      </c>
      <c r="B10" s="4">
        <v>5.0</v>
      </c>
      <c r="C10" s="4">
        <f t="shared" si="1"/>
        <v>2</v>
      </c>
      <c r="D10" s="5">
        <f t="shared" si="2"/>
        <v>0.1907781741</v>
      </c>
    </row>
    <row r="11">
      <c r="A11" s="4">
        <v>1.0</v>
      </c>
      <c r="B11" s="4">
        <v>3.0</v>
      </c>
      <c r="C11" s="4">
        <f t="shared" si="1"/>
        <v>2</v>
      </c>
      <c r="D11" s="5">
        <f t="shared" si="2"/>
        <v>0.1907781741</v>
      </c>
    </row>
    <row r="12">
      <c r="A12" s="4">
        <v>2.0</v>
      </c>
      <c r="B12" s="4">
        <v>4.0</v>
      </c>
      <c r="C12" s="4">
        <f t="shared" si="1"/>
        <v>2</v>
      </c>
      <c r="D12" s="5">
        <f t="shared" si="2"/>
        <v>0.1907781741</v>
      </c>
      <c r="F12" s="7" t="s">
        <v>9</v>
      </c>
      <c r="G12" s="7">
        <f>G6/(G8/SQRT(G4))</f>
        <v>21.57973168</v>
      </c>
    </row>
    <row r="13">
      <c r="A13" s="4">
        <v>1.0</v>
      </c>
      <c r="B13" s="4">
        <v>3.0</v>
      </c>
      <c r="C13" s="4">
        <f t="shared" si="1"/>
        <v>2</v>
      </c>
      <c r="D13" s="5">
        <f t="shared" si="2"/>
        <v>0.1907781741</v>
      </c>
    </row>
    <row r="14">
      <c r="A14" s="4">
        <v>2.0</v>
      </c>
      <c r="B14" s="4">
        <v>4.0</v>
      </c>
      <c r="C14" s="4">
        <f t="shared" si="1"/>
        <v>2</v>
      </c>
      <c r="D14" s="5">
        <f t="shared" si="2"/>
        <v>0.1907781741</v>
      </c>
    </row>
    <row r="15">
      <c r="A15" s="4">
        <v>1.0</v>
      </c>
      <c r="B15" s="4">
        <v>3.0</v>
      </c>
      <c r="C15" s="4">
        <f t="shared" si="1"/>
        <v>2</v>
      </c>
      <c r="D15" s="5">
        <f t="shared" si="2"/>
        <v>0.1907781741</v>
      </c>
    </row>
    <row r="16">
      <c r="A16" s="4">
        <v>2.0</v>
      </c>
      <c r="B16" s="4">
        <v>4.0</v>
      </c>
      <c r="C16" s="4">
        <f t="shared" si="1"/>
        <v>2</v>
      </c>
      <c r="D16" s="5">
        <f t="shared" si="2"/>
        <v>0.1907781741</v>
      </c>
    </row>
    <row r="17">
      <c r="A17" s="4">
        <v>1.0</v>
      </c>
      <c r="B17" s="4">
        <v>4.0</v>
      </c>
      <c r="C17" s="4">
        <f t="shared" si="1"/>
        <v>3</v>
      </c>
      <c r="D17" s="5">
        <f t="shared" si="2"/>
        <v>0.3172149557</v>
      </c>
      <c r="F17" s="7" t="s">
        <v>10</v>
      </c>
      <c r="G17" s="7">
        <v>0.05</v>
      </c>
    </row>
    <row r="18">
      <c r="A18" s="4">
        <v>4.0</v>
      </c>
      <c r="B18" s="4">
        <v>5.0</v>
      </c>
      <c r="C18" s="4">
        <f t="shared" si="1"/>
        <v>1</v>
      </c>
      <c r="D18" s="5">
        <f t="shared" si="2"/>
        <v>2.064341393</v>
      </c>
      <c r="F18" s="7" t="s">
        <v>11</v>
      </c>
      <c r="G18" s="7">
        <f>G4-1</f>
        <v>86</v>
      </c>
    </row>
    <row r="19">
      <c r="A19" s="4">
        <v>1.0</v>
      </c>
      <c r="B19" s="4">
        <v>5.0</v>
      </c>
      <c r="C19" s="4">
        <f t="shared" si="1"/>
        <v>4</v>
      </c>
      <c r="D19" s="5">
        <f t="shared" si="2"/>
        <v>2.443651737</v>
      </c>
    </row>
    <row r="20">
      <c r="A20" s="4">
        <v>2.0</v>
      </c>
      <c r="B20" s="4">
        <v>5.0</v>
      </c>
      <c r="C20" s="4">
        <f t="shared" si="1"/>
        <v>3</v>
      </c>
      <c r="D20" s="5">
        <f t="shared" si="2"/>
        <v>0.3172149557</v>
      </c>
    </row>
    <row r="21" ht="15.75" customHeight="1">
      <c r="A21" s="4">
        <v>1.0</v>
      </c>
      <c r="B21" s="4">
        <v>5.0</v>
      </c>
      <c r="C21" s="4">
        <f t="shared" si="1"/>
        <v>4</v>
      </c>
      <c r="D21" s="5">
        <f t="shared" si="2"/>
        <v>2.443651737</v>
      </c>
    </row>
    <row r="22" ht="15.75" customHeight="1">
      <c r="A22" s="4">
        <v>2.0</v>
      </c>
      <c r="B22" s="4">
        <v>3.0</v>
      </c>
      <c r="C22" s="4">
        <f t="shared" si="1"/>
        <v>1</v>
      </c>
      <c r="D22" s="5">
        <f t="shared" si="2"/>
        <v>2.064341393</v>
      </c>
      <c r="F22" s="6" t="s">
        <v>12</v>
      </c>
      <c r="G22" s="6"/>
    </row>
    <row r="23" ht="15.75" customHeight="1">
      <c r="A23" s="4">
        <v>1.0</v>
      </c>
      <c r="B23" s="4">
        <v>5.0</v>
      </c>
      <c r="C23" s="4">
        <f t="shared" si="1"/>
        <v>4</v>
      </c>
      <c r="D23" s="5">
        <f t="shared" si="2"/>
        <v>2.443651737</v>
      </c>
      <c r="F23" s="7" t="s">
        <v>106</v>
      </c>
      <c r="G23" s="7">
        <f>_xlfn.T.INV.2T(G17,G18)</f>
        <v>1.987934206</v>
      </c>
    </row>
    <row r="24" ht="15.75" customHeight="1">
      <c r="A24" s="4">
        <v>2.0</v>
      </c>
      <c r="B24" s="4">
        <v>3.0</v>
      </c>
      <c r="C24" s="4">
        <f t="shared" si="1"/>
        <v>1</v>
      </c>
      <c r="D24" s="5">
        <f t="shared" si="2"/>
        <v>2.064341393</v>
      </c>
      <c r="F24" s="7" t="s">
        <v>107</v>
      </c>
      <c r="G24" s="7">
        <f>_xlfn.T.INV(G17,G18)</f>
        <v>-1.662765449</v>
      </c>
    </row>
    <row r="25" ht="15.75" customHeight="1">
      <c r="A25" s="4">
        <v>1.0</v>
      </c>
      <c r="B25" s="4">
        <v>4.0</v>
      </c>
      <c r="C25" s="4">
        <f t="shared" si="1"/>
        <v>3</v>
      </c>
      <c r="D25" s="5">
        <f t="shared" si="2"/>
        <v>0.3172149557</v>
      </c>
    </row>
    <row r="26" ht="15.75" customHeight="1">
      <c r="A26" s="4">
        <v>2.0</v>
      </c>
      <c r="B26" s="4">
        <v>3.0</v>
      </c>
      <c r="C26" s="4">
        <f t="shared" si="1"/>
        <v>1</v>
      </c>
      <c r="D26" s="5">
        <f t="shared" si="2"/>
        <v>2.064341393</v>
      </c>
    </row>
    <row r="27" ht="15.75" customHeight="1">
      <c r="A27" s="4">
        <v>1.0</v>
      </c>
      <c r="B27" s="4">
        <v>5.0</v>
      </c>
      <c r="C27" s="4">
        <f t="shared" si="1"/>
        <v>4</v>
      </c>
      <c r="D27" s="5">
        <f t="shared" si="2"/>
        <v>2.443651737</v>
      </c>
    </row>
    <row r="28" ht="15.75" customHeight="1">
      <c r="A28" s="4">
        <v>2.0</v>
      </c>
      <c r="B28" s="4">
        <v>3.0</v>
      </c>
      <c r="C28" s="4">
        <f t="shared" si="1"/>
        <v>1</v>
      </c>
      <c r="D28" s="5">
        <f t="shared" si="2"/>
        <v>2.064341393</v>
      </c>
    </row>
    <row r="29" ht="15.75" customHeight="1">
      <c r="A29" s="4">
        <v>1.0</v>
      </c>
      <c r="B29" s="4">
        <v>5.0</v>
      </c>
      <c r="C29" s="4">
        <f t="shared" si="1"/>
        <v>4</v>
      </c>
      <c r="D29" s="5">
        <f t="shared" si="2"/>
        <v>2.443651737</v>
      </c>
    </row>
    <row r="30" ht="15.75" customHeight="1">
      <c r="A30" s="4">
        <v>2.0</v>
      </c>
      <c r="B30" s="4">
        <v>3.0</v>
      </c>
      <c r="C30" s="4">
        <f t="shared" si="1"/>
        <v>1</v>
      </c>
      <c r="D30" s="5">
        <f t="shared" si="2"/>
        <v>2.064341393</v>
      </c>
    </row>
    <row r="31" ht="15.75" customHeight="1">
      <c r="A31" s="4">
        <v>1.0</v>
      </c>
      <c r="B31" s="4">
        <v>3.0</v>
      </c>
      <c r="C31" s="4">
        <f t="shared" si="1"/>
        <v>2</v>
      </c>
      <c r="D31" s="5">
        <f t="shared" si="2"/>
        <v>0.1907781741</v>
      </c>
    </row>
    <row r="32" ht="15.75" customHeight="1">
      <c r="A32" s="4">
        <v>2.0</v>
      </c>
      <c r="B32" s="4">
        <v>5.0</v>
      </c>
      <c r="C32" s="4">
        <f t="shared" si="1"/>
        <v>3</v>
      </c>
      <c r="D32" s="5">
        <f t="shared" si="2"/>
        <v>0.3172149557</v>
      </c>
    </row>
    <row r="33" ht="15.75" customHeight="1">
      <c r="A33" s="4">
        <v>1.0</v>
      </c>
      <c r="B33" s="4">
        <v>5.0</v>
      </c>
      <c r="C33" s="4">
        <f t="shared" si="1"/>
        <v>4</v>
      </c>
      <c r="D33" s="5">
        <f t="shared" si="2"/>
        <v>2.443651737</v>
      </c>
    </row>
    <row r="34" ht="15.75" customHeight="1">
      <c r="A34" s="4">
        <v>2.0</v>
      </c>
      <c r="B34" s="4">
        <v>4.0</v>
      </c>
      <c r="C34" s="4">
        <f t="shared" si="1"/>
        <v>2</v>
      </c>
      <c r="D34" s="5">
        <f t="shared" si="2"/>
        <v>0.1907781741</v>
      </c>
      <c r="F34" s="7" t="s">
        <v>15</v>
      </c>
    </row>
    <row r="35" ht="15.75" customHeight="1">
      <c r="A35" s="4">
        <v>1.0</v>
      </c>
      <c r="B35" s="4">
        <v>5.0</v>
      </c>
      <c r="C35" s="4">
        <f t="shared" si="1"/>
        <v>4</v>
      </c>
      <c r="D35" s="5">
        <f t="shared" si="2"/>
        <v>2.443651737</v>
      </c>
      <c r="F35" s="7" t="s">
        <v>16</v>
      </c>
    </row>
    <row r="36" ht="15.75" customHeight="1">
      <c r="A36" s="4">
        <v>2.0</v>
      </c>
      <c r="B36" s="4">
        <v>4.0</v>
      </c>
      <c r="C36" s="4">
        <f t="shared" si="1"/>
        <v>2</v>
      </c>
      <c r="D36" s="5">
        <f t="shared" si="2"/>
        <v>0.1907781741</v>
      </c>
    </row>
    <row r="37" ht="15.75" customHeight="1">
      <c r="A37" s="4">
        <v>1.0</v>
      </c>
      <c r="B37" s="4">
        <v>4.0</v>
      </c>
      <c r="C37" s="4">
        <f t="shared" si="1"/>
        <v>3</v>
      </c>
      <c r="D37" s="5">
        <f t="shared" si="2"/>
        <v>0.3172149557</v>
      </c>
    </row>
    <row r="38" ht="15.75" customHeight="1">
      <c r="A38" s="4">
        <v>2.0</v>
      </c>
      <c r="B38" s="4">
        <v>3.0</v>
      </c>
      <c r="C38" s="4">
        <f t="shared" si="1"/>
        <v>1</v>
      </c>
      <c r="D38" s="5">
        <f t="shared" si="2"/>
        <v>2.064341393</v>
      </c>
    </row>
    <row r="39" ht="15.75" customHeight="1">
      <c r="A39" s="4">
        <v>1.0</v>
      </c>
      <c r="B39" s="4">
        <v>5.0</v>
      </c>
      <c r="C39" s="4">
        <f t="shared" si="1"/>
        <v>4</v>
      </c>
      <c r="D39" s="5">
        <f t="shared" si="2"/>
        <v>2.443651737</v>
      </c>
      <c r="F39" s="6" t="s">
        <v>17</v>
      </c>
      <c r="G39" s="6"/>
    </row>
    <row r="40" ht="15.75" customHeight="1">
      <c r="A40" s="4">
        <v>3.0</v>
      </c>
      <c r="B40" s="4">
        <v>3.0</v>
      </c>
      <c r="C40" s="4">
        <f t="shared" si="1"/>
        <v>0</v>
      </c>
      <c r="D40" s="5">
        <f t="shared" si="2"/>
        <v>5.937904611</v>
      </c>
      <c r="F40" s="7" t="s">
        <v>17</v>
      </c>
    </row>
    <row r="41" ht="15.75" customHeight="1">
      <c r="A41" s="4">
        <v>1.0</v>
      </c>
      <c r="B41" s="4">
        <v>4.0</v>
      </c>
      <c r="C41" s="4">
        <f t="shared" si="1"/>
        <v>3</v>
      </c>
      <c r="D41" s="5">
        <f t="shared" si="2"/>
        <v>0.3172149557</v>
      </c>
      <c r="F41" s="7" t="s">
        <v>108</v>
      </c>
      <c r="G41" s="7">
        <f>TTEST(A:A,B:B,2,1)</f>
        <v>0</v>
      </c>
    </row>
    <row r="42" ht="15.75" customHeight="1">
      <c r="A42" s="4">
        <v>2.0</v>
      </c>
      <c r="B42" s="4">
        <v>3.0</v>
      </c>
      <c r="C42" s="4">
        <f t="shared" si="1"/>
        <v>1</v>
      </c>
      <c r="D42" s="5">
        <f t="shared" si="2"/>
        <v>2.064341393</v>
      </c>
      <c r="F42" s="7" t="s">
        <v>109</v>
      </c>
      <c r="G42" s="7">
        <f>TTEST(A:A,B:B,1,1)</f>
        <v>0</v>
      </c>
    </row>
    <row r="43" ht="15.75" customHeight="1">
      <c r="A43" s="4">
        <v>1.0</v>
      </c>
      <c r="B43" s="4">
        <v>2.0</v>
      </c>
      <c r="C43" s="4">
        <f t="shared" si="1"/>
        <v>1</v>
      </c>
      <c r="D43" s="5">
        <f t="shared" si="2"/>
        <v>2.064341393</v>
      </c>
    </row>
    <row r="44" ht="15.75" customHeight="1">
      <c r="A44" s="4">
        <v>2.0</v>
      </c>
      <c r="B44" s="4">
        <v>3.0</v>
      </c>
      <c r="C44" s="4">
        <f t="shared" si="1"/>
        <v>1</v>
      </c>
      <c r="D44" s="5">
        <f t="shared" si="2"/>
        <v>2.064341393</v>
      </c>
    </row>
    <row r="45" ht="15.75" customHeight="1">
      <c r="A45" s="4">
        <v>1.0</v>
      </c>
      <c r="B45" s="4">
        <v>4.0</v>
      </c>
      <c r="C45" s="4">
        <f t="shared" si="1"/>
        <v>3</v>
      </c>
      <c r="D45" s="5">
        <f t="shared" si="2"/>
        <v>0.3172149557</v>
      </c>
      <c r="F45" s="6" t="s">
        <v>20</v>
      </c>
      <c r="G45" s="6"/>
    </row>
    <row r="46" ht="15.75" customHeight="1">
      <c r="A46" s="4">
        <v>3.0</v>
      </c>
      <c r="B46" s="4">
        <v>5.0</v>
      </c>
      <c r="C46" s="4">
        <f t="shared" si="1"/>
        <v>2</v>
      </c>
      <c r="D46" s="5">
        <f t="shared" si="2"/>
        <v>0.1907781741</v>
      </c>
    </row>
    <row r="47" ht="15.75" customHeight="1">
      <c r="A47" s="4">
        <v>1.0</v>
      </c>
      <c r="B47" s="4">
        <v>5.0</v>
      </c>
      <c r="C47" s="4">
        <f t="shared" si="1"/>
        <v>4</v>
      </c>
      <c r="D47" s="5">
        <f t="shared" si="2"/>
        <v>2.443651737</v>
      </c>
      <c r="F47" s="7" t="s">
        <v>110</v>
      </c>
    </row>
    <row r="48" ht="15.75" customHeight="1">
      <c r="A48" s="4">
        <v>2.0</v>
      </c>
      <c r="B48" s="4">
        <v>5.0</v>
      </c>
      <c r="C48" s="4">
        <f t="shared" si="1"/>
        <v>3</v>
      </c>
      <c r="D48" s="5">
        <f t="shared" si="2"/>
        <v>0.3172149557</v>
      </c>
      <c r="F48" s="7" t="s">
        <v>111</v>
      </c>
    </row>
    <row r="49" ht="15.75" customHeight="1">
      <c r="A49" s="4">
        <v>1.0</v>
      </c>
      <c r="B49" s="4">
        <v>3.0</v>
      </c>
      <c r="C49" s="4">
        <f t="shared" si="1"/>
        <v>2</v>
      </c>
      <c r="D49" s="5">
        <f t="shared" si="2"/>
        <v>0.1907781741</v>
      </c>
    </row>
    <row r="50" ht="15.75" customHeight="1">
      <c r="A50" s="4">
        <v>1.0</v>
      </c>
      <c r="B50" s="4">
        <v>4.0</v>
      </c>
      <c r="C50" s="4">
        <f t="shared" si="1"/>
        <v>3</v>
      </c>
      <c r="D50" s="5">
        <f t="shared" si="2"/>
        <v>0.3172149557</v>
      </c>
      <c r="F50" s="7" t="s">
        <v>23</v>
      </c>
    </row>
    <row r="51" ht="15.75" customHeight="1">
      <c r="A51" s="4">
        <v>1.0</v>
      </c>
      <c r="B51" s="4">
        <v>4.0</v>
      </c>
      <c r="C51" s="4">
        <f t="shared" si="1"/>
        <v>3</v>
      </c>
      <c r="D51" s="5">
        <f t="shared" si="2"/>
        <v>0.3172149557</v>
      </c>
      <c r="F51" s="7" t="s">
        <v>24</v>
      </c>
    </row>
    <row r="52" ht="15.75" customHeight="1">
      <c r="A52" s="4">
        <v>2.0</v>
      </c>
      <c r="B52" s="4">
        <v>5.0</v>
      </c>
      <c r="C52" s="4">
        <f t="shared" si="1"/>
        <v>3</v>
      </c>
      <c r="D52" s="5">
        <f t="shared" si="2"/>
        <v>0.3172149557</v>
      </c>
    </row>
    <row r="53" ht="15.75" customHeight="1">
      <c r="A53" s="4">
        <v>1.0</v>
      </c>
      <c r="B53" s="4">
        <v>4.0</v>
      </c>
      <c r="C53" s="4">
        <f t="shared" si="1"/>
        <v>3</v>
      </c>
      <c r="D53" s="5">
        <f t="shared" si="2"/>
        <v>0.3172149557</v>
      </c>
    </row>
    <row r="54" ht="15.75" customHeight="1">
      <c r="A54" s="4">
        <v>2.0</v>
      </c>
      <c r="B54" s="4">
        <v>4.0</v>
      </c>
      <c r="C54" s="4">
        <f t="shared" si="1"/>
        <v>2</v>
      </c>
      <c r="D54" s="5">
        <f t="shared" si="2"/>
        <v>0.1907781741</v>
      </c>
    </row>
    <row r="55" ht="15.75" customHeight="1">
      <c r="A55" s="4">
        <v>1.0</v>
      </c>
      <c r="B55" s="4">
        <v>3.0</v>
      </c>
      <c r="C55" s="4">
        <f t="shared" si="1"/>
        <v>2</v>
      </c>
      <c r="D55" s="5">
        <f t="shared" si="2"/>
        <v>0.1907781741</v>
      </c>
    </row>
    <row r="56" ht="15.75" customHeight="1">
      <c r="A56" s="4">
        <v>2.0</v>
      </c>
      <c r="B56" s="4">
        <v>4.0</v>
      </c>
      <c r="C56" s="4">
        <f t="shared" si="1"/>
        <v>2</v>
      </c>
      <c r="D56" s="5">
        <f t="shared" si="2"/>
        <v>0.1907781741</v>
      </c>
      <c r="F56" s="6" t="s">
        <v>25</v>
      </c>
    </row>
    <row r="57" ht="15.75" customHeight="1">
      <c r="A57" s="4">
        <v>1.0</v>
      </c>
      <c r="B57" s="4">
        <v>4.0</v>
      </c>
      <c r="C57" s="4">
        <f t="shared" si="1"/>
        <v>3</v>
      </c>
      <c r="D57" s="5">
        <f t="shared" si="2"/>
        <v>0.3172149557</v>
      </c>
    </row>
    <row r="58" ht="15.75" customHeight="1">
      <c r="A58" s="4">
        <v>2.0</v>
      </c>
      <c r="B58" s="4">
        <v>5.0</v>
      </c>
      <c r="C58" s="4">
        <f t="shared" si="1"/>
        <v>3</v>
      </c>
      <c r="D58" s="5">
        <f t="shared" si="2"/>
        <v>0.3172149557</v>
      </c>
      <c r="F58" s="7" t="s">
        <v>112</v>
      </c>
    </row>
    <row r="59" ht="15.75" customHeight="1">
      <c r="A59" s="4">
        <v>2.0</v>
      </c>
      <c r="B59" s="4">
        <v>5.0</v>
      </c>
      <c r="C59" s="4">
        <f t="shared" si="1"/>
        <v>3</v>
      </c>
      <c r="D59" s="5">
        <f t="shared" si="2"/>
        <v>0.3172149557</v>
      </c>
      <c r="F59" s="7" t="s">
        <v>27</v>
      </c>
    </row>
    <row r="60" ht="15.75" customHeight="1">
      <c r="A60" s="4">
        <v>2.0</v>
      </c>
      <c r="B60" s="4">
        <v>3.0</v>
      </c>
      <c r="C60" s="4">
        <f t="shared" si="1"/>
        <v>1</v>
      </c>
      <c r="D60" s="5">
        <f t="shared" si="2"/>
        <v>2.064341393</v>
      </c>
      <c r="F60" s="7" t="s">
        <v>113</v>
      </c>
    </row>
    <row r="61" ht="15.75" customHeight="1">
      <c r="A61" s="4">
        <v>1.0</v>
      </c>
      <c r="B61" s="4">
        <v>4.0</v>
      </c>
      <c r="C61" s="4">
        <f t="shared" si="1"/>
        <v>3</v>
      </c>
      <c r="D61" s="5">
        <f t="shared" si="2"/>
        <v>0.3172149557</v>
      </c>
    </row>
    <row r="62" ht="15.75" customHeight="1">
      <c r="A62" s="4">
        <v>2.0</v>
      </c>
      <c r="B62" s="4">
        <v>5.0</v>
      </c>
      <c r="C62" s="4">
        <f t="shared" si="1"/>
        <v>3</v>
      </c>
      <c r="D62" s="5">
        <f t="shared" si="2"/>
        <v>0.3172149557</v>
      </c>
    </row>
    <row r="63" ht="15.75" customHeight="1">
      <c r="A63" s="4">
        <v>1.0</v>
      </c>
      <c r="B63" s="4">
        <v>5.0</v>
      </c>
      <c r="C63" s="4">
        <f t="shared" si="1"/>
        <v>4</v>
      </c>
      <c r="D63" s="5">
        <f t="shared" si="2"/>
        <v>2.443651737</v>
      </c>
    </row>
    <row r="64" ht="15.75" customHeight="1">
      <c r="A64" s="4">
        <v>2.0</v>
      </c>
      <c r="B64" s="4">
        <v>3.0</v>
      </c>
      <c r="C64" s="4">
        <f t="shared" si="1"/>
        <v>1</v>
      </c>
      <c r="D64" s="5">
        <f t="shared" si="2"/>
        <v>2.064341393</v>
      </c>
    </row>
    <row r="65" ht="15.75" customHeight="1">
      <c r="A65" s="4">
        <v>1.0</v>
      </c>
      <c r="B65" s="4">
        <v>3.0</v>
      </c>
      <c r="C65" s="4">
        <f t="shared" si="1"/>
        <v>2</v>
      </c>
      <c r="D65" s="5">
        <f t="shared" si="2"/>
        <v>0.1907781741</v>
      </c>
      <c r="F65" s="6" t="s">
        <v>25</v>
      </c>
    </row>
    <row r="66" ht="15.75" customHeight="1">
      <c r="A66" s="4">
        <v>2.0</v>
      </c>
      <c r="B66" s="4">
        <v>5.0</v>
      </c>
      <c r="C66" s="4">
        <f t="shared" si="1"/>
        <v>3</v>
      </c>
      <c r="D66" s="5">
        <f t="shared" si="2"/>
        <v>0.3172149557</v>
      </c>
    </row>
    <row r="67" ht="15.75" customHeight="1">
      <c r="A67" s="4">
        <v>1.0</v>
      </c>
      <c r="B67" s="4">
        <v>4.0</v>
      </c>
      <c r="C67" s="4">
        <f t="shared" si="1"/>
        <v>3</v>
      </c>
      <c r="D67" s="5">
        <f t="shared" si="2"/>
        <v>0.3172149557</v>
      </c>
    </row>
    <row r="68" ht="15.75" customHeight="1">
      <c r="A68" s="4">
        <v>2.0</v>
      </c>
      <c r="B68" s="4">
        <v>3.0</v>
      </c>
      <c r="C68" s="4">
        <f t="shared" si="1"/>
        <v>1</v>
      </c>
      <c r="D68" s="5">
        <f t="shared" si="2"/>
        <v>2.064341393</v>
      </c>
    </row>
    <row r="69" ht="15.75" customHeight="1">
      <c r="A69" s="4">
        <v>1.0</v>
      </c>
      <c r="B69" s="4">
        <v>4.0</v>
      </c>
      <c r="C69" s="4">
        <f t="shared" si="1"/>
        <v>3</v>
      </c>
      <c r="D69" s="5">
        <f t="shared" si="2"/>
        <v>0.3172149557</v>
      </c>
    </row>
    <row r="70" ht="15.75" customHeight="1">
      <c r="A70" s="4">
        <v>2.0</v>
      </c>
      <c r="B70" s="4">
        <v>5.0</v>
      </c>
      <c r="C70" s="4">
        <f t="shared" si="1"/>
        <v>3</v>
      </c>
      <c r="D70" s="5">
        <f t="shared" si="2"/>
        <v>0.3172149557</v>
      </c>
    </row>
    <row r="71" ht="15.75" customHeight="1">
      <c r="A71" s="4">
        <v>1.0</v>
      </c>
      <c r="B71" s="4">
        <v>4.0</v>
      </c>
      <c r="C71" s="4">
        <f t="shared" si="1"/>
        <v>3</v>
      </c>
      <c r="D71" s="5">
        <f t="shared" si="2"/>
        <v>0.3172149557</v>
      </c>
    </row>
    <row r="72" ht="15.75" customHeight="1">
      <c r="A72" s="4">
        <v>2.0</v>
      </c>
      <c r="B72" s="4">
        <v>5.0</v>
      </c>
      <c r="C72" s="4">
        <f t="shared" si="1"/>
        <v>3</v>
      </c>
      <c r="D72" s="5">
        <f t="shared" si="2"/>
        <v>0.3172149557</v>
      </c>
      <c r="F72" s="7" t="s">
        <v>29</v>
      </c>
    </row>
    <row r="73" ht="15.75" customHeight="1">
      <c r="A73" s="4">
        <v>1.0</v>
      </c>
      <c r="B73" s="4">
        <v>4.0</v>
      </c>
      <c r="C73" s="4">
        <f t="shared" si="1"/>
        <v>3</v>
      </c>
      <c r="D73" s="5">
        <f t="shared" si="2"/>
        <v>0.3172149557</v>
      </c>
      <c r="F73" s="7" t="s">
        <v>114</v>
      </c>
    </row>
    <row r="74" ht="15.75" customHeight="1">
      <c r="A74" s="4">
        <v>2.0</v>
      </c>
      <c r="B74" s="4">
        <v>5.0</v>
      </c>
      <c r="C74" s="4">
        <f t="shared" si="1"/>
        <v>3</v>
      </c>
      <c r="D74" s="5">
        <f t="shared" si="2"/>
        <v>0.3172149557</v>
      </c>
      <c r="F74" s="7" t="s">
        <v>29</v>
      </c>
    </row>
    <row r="75" ht="15.75" customHeight="1">
      <c r="A75" s="4">
        <v>1.0</v>
      </c>
      <c r="B75" s="4">
        <v>4.0</v>
      </c>
      <c r="C75" s="4">
        <f t="shared" si="1"/>
        <v>3</v>
      </c>
      <c r="D75" s="5">
        <f t="shared" si="2"/>
        <v>0.3172149557</v>
      </c>
      <c r="F75" s="7" t="s">
        <v>115</v>
      </c>
    </row>
    <row r="76" ht="15.75" customHeight="1">
      <c r="A76" s="4">
        <v>2.0</v>
      </c>
      <c r="B76" s="4">
        <v>4.0</v>
      </c>
      <c r="C76" s="4">
        <f t="shared" si="1"/>
        <v>2</v>
      </c>
      <c r="D76" s="5">
        <f t="shared" si="2"/>
        <v>0.1907781741</v>
      </c>
    </row>
    <row r="77" ht="15.75" customHeight="1">
      <c r="A77" s="4">
        <v>1.0</v>
      </c>
      <c r="B77" s="4">
        <v>3.0</v>
      </c>
      <c r="C77" s="4">
        <f t="shared" si="1"/>
        <v>2</v>
      </c>
      <c r="D77" s="5">
        <f t="shared" si="2"/>
        <v>0.1907781741</v>
      </c>
    </row>
    <row r="78" ht="15.75" customHeight="1">
      <c r="A78" s="4">
        <v>2.0</v>
      </c>
      <c r="B78" s="4">
        <v>2.0</v>
      </c>
      <c r="C78" s="4">
        <f t="shared" si="1"/>
        <v>0</v>
      </c>
      <c r="D78" s="5">
        <f t="shared" si="2"/>
        <v>5.937904611</v>
      </c>
    </row>
    <row r="79" ht="15.75" customHeight="1">
      <c r="A79" s="4">
        <v>1.0</v>
      </c>
      <c r="B79" s="4">
        <v>3.0</v>
      </c>
      <c r="C79" s="4">
        <f t="shared" si="1"/>
        <v>2</v>
      </c>
      <c r="D79" s="5">
        <f t="shared" si="2"/>
        <v>0.1907781741</v>
      </c>
    </row>
    <row r="80" ht="15.75" customHeight="1">
      <c r="A80" s="4">
        <v>2.0</v>
      </c>
      <c r="B80" s="4">
        <v>4.0</v>
      </c>
      <c r="C80" s="4">
        <f t="shared" si="1"/>
        <v>2</v>
      </c>
      <c r="D80" s="5">
        <f t="shared" si="2"/>
        <v>0.1907781741</v>
      </c>
    </row>
    <row r="81" ht="15.75" customHeight="1">
      <c r="A81" s="4">
        <v>2.0</v>
      </c>
      <c r="B81" s="4">
        <v>3.0</v>
      </c>
      <c r="C81" s="4">
        <f t="shared" si="1"/>
        <v>1</v>
      </c>
      <c r="D81" s="5">
        <f t="shared" si="2"/>
        <v>2.064341393</v>
      </c>
    </row>
    <row r="82" ht="15.75" customHeight="1">
      <c r="A82" s="4">
        <v>2.0</v>
      </c>
      <c r="B82" s="4">
        <v>4.0</v>
      </c>
      <c r="C82" s="4">
        <f t="shared" si="1"/>
        <v>2</v>
      </c>
      <c r="D82" s="5">
        <f t="shared" si="2"/>
        <v>0.1907781741</v>
      </c>
    </row>
    <row r="83" ht="15.75" customHeight="1">
      <c r="A83" s="4">
        <v>1.0</v>
      </c>
      <c r="B83" s="4">
        <v>4.0</v>
      </c>
      <c r="C83" s="4">
        <f t="shared" si="1"/>
        <v>3</v>
      </c>
      <c r="D83" s="5">
        <f t="shared" si="2"/>
        <v>0.3172149557</v>
      </c>
    </row>
    <row r="84" ht="15.75" customHeight="1">
      <c r="A84" s="4">
        <v>2.0</v>
      </c>
      <c r="B84" s="4">
        <v>3.0</v>
      </c>
      <c r="C84" s="4">
        <f t="shared" si="1"/>
        <v>1</v>
      </c>
      <c r="D84" s="5">
        <f t="shared" si="2"/>
        <v>2.064341393</v>
      </c>
    </row>
    <row r="85" ht="15.75" customHeight="1">
      <c r="A85" s="4">
        <v>1.0</v>
      </c>
      <c r="B85" s="4">
        <v>4.0</v>
      </c>
      <c r="C85" s="4">
        <f t="shared" si="1"/>
        <v>3</v>
      </c>
      <c r="D85" s="5">
        <f t="shared" si="2"/>
        <v>0.3172149557</v>
      </c>
    </row>
    <row r="86" ht="15.75" customHeight="1">
      <c r="A86" s="4">
        <v>1.0</v>
      </c>
      <c r="B86" s="4">
        <v>3.0</v>
      </c>
      <c r="C86" s="4">
        <f t="shared" si="1"/>
        <v>2</v>
      </c>
      <c r="D86" s="5">
        <f t="shared" si="2"/>
        <v>0.1907781741</v>
      </c>
    </row>
    <row r="87" ht="15.75" customHeight="1">
      <c r="A87" s="4">
        <v>1.0</v>
      </c>
      <c r="B87" s="4">
        <v>5.0</v>
      </c>
      <c r="C87" s="4">
        <f t="shared" si="1"/>
        <v>4</v>
      </c>
      <c r="D87" s="5">
        <f t="shared" si="2"/>
        <v>2.443651737</v>
      </c>
    </row>
    <row r="88" ht="15.75" customHeight="1">
      <c r="A88" s="4">
        <v>1.0</v>
      </c>
      <c r="B88" s="4">
        <v>5.0</v>
      </c>
      <c r="C88" s="4">
        <f t="shared" si="1"/>
        <v>4</v>
      </c>
      <c r="D88" s="5">
        <f t="shared" si="2"/>
        <v>2.443651737</v>
      </c>
    </row>
    <row r="89" ht="15.75" customHeight="1"/>
    <row r="90" ht="15.75" customHeight="1"/>
    <row r="91" ht="15.75" customHeight="1"/>
    <row r="92" ht="15.75" customHeight="1"/>
    <row r="93" ht="15.75" customHeight="1">
      <c r="F93" s="8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3.43"/>
    <col customWidth="1" min="3" max="3" width="19.86"/>
    <col customWidth="1" min="4" max="4" width="23.14"/>
    <col customWidth="1" min="5" max="5" width="12.0"/>
    <col customWidth="1" min="6" max="6" width="39.0"/>
    <col customWidth="1" min="7" max="7" width="19.0"/>
    <col customWidth="1" min="8" max="26" width="9.14"/>
  </cols>
  <sheetData>
    <row r="1" ht="108.0" customHeight="1">
      <c r="A1" s="1" t="s">
        <v>116</v>
      </c>
      <c r="B1" s="2" t="s">
        <v>117</v>
      </c>
      <c r="C1" s="3" t="s">
        <v>2</v>
      </c>
      <c r="D1" s="3"/>
    </row>
    <row r="2">
      <c r="A2" s="4">
        <v>2.0</v>
      </c>
      <c r="B2" s="4">
        <v>5.0</v>
      </c>
      <c r="C2" s="4">
        <f t="shared" ref="C2:C88" si="1">B2-A2</f>
        <v>3</v>
      </c>
      <c r="D2" s="5">
        <f t="shared" ref="D2:D88" si="2">(C2-$G$6)^2</f>
        <v>0.704056018</v>
      </c>
    </row>
    <row r="3">
      <c r="A3" s="4">
        <v>4.0</v>
      </c>
      <c r="B3" s="4">
        <v>5.0</v>
      </c>
      <c r="C3" s="4">
        <f t="shared" si="1"/>
        <v>1</v>
      </c>
      <c r="D3" s="5">
        <f t="shared" si="2"/>
        <v>1.347734179</v>
      </c>
      <c r="F3" s="6" t="s">
        <v>3</v>
      </c>
      <c r="G3" s="6"/>
    </row>
    <row r="4">
      <c r="A4" s="4">
        <v>4.0</v>
      </c>
      <c r="B4" s="4">
        <v>3.0</v>
      </c>
      <c r="C4" s="4">
        <f t="shared" si="1"/>
        <v>-1</v>
      </c>
      <c r="D4" s="5">
        <f t="shared" si="2"/>
        <v>9.99141234</v>
      </c>
      <c r="F4" s="7" t="s">
        <v>4</v>
      </c>
      <c r="G4" s="7">
        <v>87.0</v>
      </c>
    </row>
    <row r="5">
      <c r="A5" s="4">
        <v>1.0</v>
      </c>
      <c r="B5" s="4">
        <v>4.0</v>
      </c>
      <c r="C5" s="4">
        <f t="shared" si="1"/>
        <v>3</v>
      </c>
      <c r="D5" s="5">
        <f t="shared" si="2"/>
        <v>0.704056018</v>
      </c>
      <c r="F5" s="7" t="s">
        <v>5</v>
      </c>
      <c r="G5" s="7">
        <f>SUM(C:C)</f>
        <v>188</v>
      </c>
    </row>
    <row r="6">
      <c r="A6" s="4">
        <v>2.0</v>
      </c>
      <c r="B6" s="4">
        <v>4.0</v>
      </c>
      <c r="C6" s="4">
        <f t="shared" si="1"/>
        <v>2</v>
      </c>
      <c r="D6" s="5">
        <f t="shared" si="2"/>
        <v>0.02589509843</v>
      </c>
      <c r="F6" s="7" t="s">
        <v>6</v>
      </c>
      <c r="G6" s="7">
        <f>G5/G4</f>
        <v>2.16091954</v>
      </c>
    </row>
    <row r="7">
      <c r="A7" s="4">
        <v>1.0</v>
      </c>
      <c r="B7" s="4">
        <v>4.0</v>
      </c>
      <c r="C7" s="4">
        <f t="shared" si="1"/>
        <v>3</v>
      </c>
      <c r="D7" s="5">
        <f t="shared" si="2"/>
        <v>0.704056018</v>
      </c>
      <c r="F7" s="7" t="s">
        <v>7</v>
      </c>
      <c r="G7" s="7">
        <f>SUM(D:D)</f>
        <v>131.7471264</v>
      </c>
    </row>
    <row r="8">
      <c r="A8" s="4">
        <v>2.0</v>
      </c>
      <c r="B8" s="4">
        <v>4.0</v>
      </c>
      <c r="C8" s="4">
        <f t="shared" si="1"/>
        <v>2</v>
      </c>
      <c r="D8" s="5">
        <f t="shared" si="2"/>
        <v>0.02589509843</v>
      </c>
      <c r="F8" s="7" t="s">
        <v>8</v>
      </c>
      <c r="G8" s="7">
        <f>SQRT(G7/(G4-1))</f>
        <v>1.237716983</v>
      </c>
    </row>
    <row r="9">
      <c r="A9" s="4">
        <v>1.0</v>
      </c>
      <c r="B9" s="4">
        <v>4.0</v>
      </c>
      <c r="C9" s="4">
        <f t="shared" si="1"/>
        <v>3</v>
      </c>
      <c r="D9" s="5">
        <f t="shared" si="2"/>
        <v>0.704056018</v>
      </c>
    </row>
    <row r="10">
      <c r="A10" s="4">
        <v>2.0</v>
      </c>
      <c r="B10" s="4">
        <v>4.0</v>
      </c>
      <c r="C10" s="4">
        <f t="shared" si="1"/>
        <v>2</v>
      </c>
      <c r="D10" s="5">
        <f t="shared" si="2"/>
        <v>0.02589509843</v>
      </c>
    </row>
    <row r="11">
      <c r="A11" s="4">
        <v>1.0</v>
      </c>
      <c r="B11" s="4">
        <v>4.0</v>
      </c>
      <c r="C11" s="4">
        <f t="shared" si="1"/>
        <v>3</v>
      </c>
      <c r="D11" s="5">
        <f t="shared" si="2"/>
        <v>0.704056018</v>
      </c>
    </row>
    <row r="12">
      <c r="A12" s="4">
        <v>2.0</v>
      </c>
      <c r="B12" s="4">
        <v>4.0</v>
      </c>
      <c r="C12" s="4">
        <f t="shared" si="1"/>
        <v>2</v>
      </c>
      <c r="D12" s="5">
        <f t="shared" si="2"/>
        <v>0.02589509843</v>
      </c>
      <c r="F12" s="7" t="s">
        <v>9</v>
      </c>
      <c r="G12" s="7">
        <f>G6/(G8/SQRT(G4))</f>
        <v>16.28459165</v>
      </c>
    </row>
    <row r="13">
      <c r="A13" s="4">
        <v>1.0</v>
      </c>
      <c r="B13" s="4">
        <v>3.0</v>
      </c>
      <c r="C13" s="4">
        <f t="shared" si="1"/>
        <v>2</v>
      </c>
      <c r="D13" s="5">
        <f t="shared" si="2"/>
        <v>0.02589509843</v>
      </c>
    </row>
    <row r="14">
      <c r="A14" s="4">
        <v>2.0</v>
      </c>
      <c r="B14" s="4">
        <v>3.0</v>
      </c>
      <c r="C14" s="4">
        <f t="shared" si="1"/>
        <v>1</v>
      </c>
      <c r="D14" s="5">
        <f t="shared" si="2"/>
        <v>1.347734179</v>
      </c>
    </row>
    <row r="15">
      <c r="A15" s="4">
        <v>1.0</v>
      </c>
      <c r="B15" s="4">
        <v>3.0</v>
      </c>
      <c r="C15" s="4">
        <f t="shared" si="1"/>
        <v>2</v>
      </c>
      <c r="D15" s="5">
        <f t="shared" si="2"/>
        <v>0.02589509843</v>
      </c>
    </row>
    <row r="16">
      <c r="A16" s="4">
        <v>2.0</v>
      </c>
      <c r="B16" s="4">
        <v>4.0</v>
      </c>
      <c r="C16" s="4">
        <f t="shared" si="1"/>
        <v>2</v>
      </c>
      <c r="D16" s="5">
        <f t="shared" si="2"/>
        <v>0.02589509843</v>
      </c>
    </row>
    <row r="17">
      <c r="A17" s="4">
        <v>1.0</v>
      </c>
      <c r="B17" s="4">
        <v>3.0</v>
      </c>
      <c r="C17" s="4">
        <f t="shared" si="1"/>
        <v>2</v>
      </c>
      <c r="D17" s="5">
        <f t="shared" si="2"/>
        <v>0.02589509843</v>
      </c>
      <c r="F17" s="7" t="s">
        <v>10</v>
      </c>
      <c r="G17" s="7">
        <v>0.05</v>
      </c>
    </row>
    <row r="18">
      <c r="A18" s="4">
        <v>2.0</v>
      </c>
      <c r="B18" s="4">
        <v>3.0</v>
      </c>
      <c r="C18" s="4">
        <f t="shared" si="1"/>
        <v>1</v>
      </c>
      <c r="D18" s="5">
        <f t="shared" si="2"/>
        <v>1.347734179</v>
      </c>
      <c r="F18" s="7" t="s">
        <v>11</v>
      </c>
      <c r="G18" s="7">
        <f>G4-1</f>
        <v>86</v>
      </c>
    </row>
    <row r="19">
      <c r="A19" s="4">
        <v>1.0</v>
      </c>
      <c r="B19" s="4">
        <v>3.0</v>
      </c>
      <c r="C19" s="4">
        <f t="shared" si="1"/>
        <v>2</v>
      </c>
      <c r="D19" s="5">
        <f t="shared" si="2"/>
        <v>0.02589509843</v>
      </c>
    </row>
    <row r="20">
      <c r="A20" s="4">
        <v>2.0</v>
      </c>
      <c r="B20" s="4">
        <v>3.0</v>
      </c>
      <c r="C20" s="4">
        <f t="shared" si="1"/>
        <v>1</v>
      </c>
      <c r="D20" s="5">
        <f t="shared" si="2"/>
        <v>1.347734179</v>
      </c>
    </row>
    <row r="21" ht="15.75" customHeight="1">
      <c r="A21" s="4">
        <v>1.0</v>
      </c>
      <c r="B21" s="4">
        <v>3.0</v>
      </c>
      <c r="C21" s="4">
        <f t="shared" si="1"/>
        <v>2</v>
      </c>
      <c r="D21" s="5">
        <f t="shared" si="2"/>
        <v>0.02589509843</v>
      </c>
    </row>
    <row r="22" ht="15.75" customHeight="1">
      <c r="A22" s="4">
        <v>2.0</v>
      </c>
      <c r="B22" s="4">
        <v>4.0</v>
      </c>
      <c r="C22" s="4">
        <f t="shared" si="1"/>
        <v>2</v>
      </c>
      <c r="D22" s="5">
        <f t="shared" si="2"/>
        <v>0.02589509843</v>
      </c>
      <c r="F22" s="6" t="s">
        <v>12</v>
      </c>
      <c r="G22" s="6"/>
    </row>
    <row r="23" ht="15.75" customHeight="1">
      <c r="A23" s="4">
        <v>1.0</v>
      </c>
      <c r="B23" s="4">
        <v>5.0</v>
      </c>
      <c r="C23" s="4">
        <f t="shared" si="1"/>
        <v>4</v>
      </c>
      <c r="D23" s="5">
        <f t="shared" si="2"/>
        <v>3.382216938</v>
      </c>
      <c r="F23" s="7" t="s">
        <v>118</v>
      </c>
      <c r="G23" s="7">
        <f>_xlfn.T.INV.2T(G17,G18)</f>
        <v>1.987934206</v>
      </c>
    </row>
    <row r="24" ht="15.75" customHeight="1">
      <c r="A24" s="4">
        <v>2.0</v>
      </c>
      <c r="B24" s="4">
        <v>4.0</v>
      </c>
      <c r="C24" s="4">
        <f t="shared" si="1"/>
        <v>2</v>
      </c>
      <c r="D24" s="5">
        <f t="shared" si="2"/>
        <v>0.02589509843</v>
      </c>
      <c r="F24" s="7" t="s">
        <v>119</v>
      </c>
      <c r="G24" s="7">
        <f>_xlfn.T.INV(G17,G18)</f>
        <v>-1.662765449</v>
      </c>
    </row>
    <row r="25" ht="15.75" customHeight="1">
      <c r="A25" s="4">
        <v>1.0</v>
      </c>
      <c r="B25" s="4">
        <v>3.0</v>
      </c>
      <c r="C25" s="4">
        <f t="shared" si="1"/>
        <v>2</v>
      </c>
      <c r="D25" s="5">
        <f t="shared" si="2"/>
        <v>0.02589509843</v>
      </c>
    </row>
    <row r="26" ht="15.75" customHeight="1">
      <c r="A26" s="4">
        <v>2.0</v>
      </c>
      <c r="B26" s="4">
        <v>5.0</v>
      </c>
      <c r="C26" s="4">
        <f t="shared" si="1"/>
        <v>3</v>
      </c>
      <c r="D26" s="5">
        <f t="shared" si="2"/>
        <v>0.704056018</v>
      </c>
    </row>
    <row r="27" ht="15.75" customHeight="1">
      <c r="A27" s="4">
        <v>1.0</v>
      </c>
      <c r="B27" s="4">
        <v>5.0</v>
      </c>
      <c r="C27" s="4">
        <f t="shared" si="1"/>
        <v>4</v>
      </c>
      <c r="D27" s="5">
        <f t="shared" si="2"/>
        <v>3.382216938</v>
      </c>
    </row>
    <row r="28" ht="15.75" customHeight="1">
      <c r="A28" s="4">
        <v>2.0</v>
      </c>
      <c r="B28" s="4">
        <v>5.0</v>
      </c>
      <c r="C28" s="4">
        <f t="shared" si="1"/>
        <v>3</v>
      </c>
      <c r="D28" s="5">
        <f t="shared" si="2"/>
        <v>0.704056018</v>
      </c>
    </row>
    <row r="29" ht="15.75" customHeight="1">
      <c r="A29" s="4">
        <v>1.0</v>
      </c>
      <c r="B29" s="4">
        <v>5.0</v>
      </c>
      <c r="C29" s="4">
        <f t="shared" si="1"/>
        <v>4</v>
      </c>
      <c r="D29" s="5">
        <f t="shared" si="2"/>
        <v>3.382216938</v>
      </c>
    </row>
    <row r="30" ht="15.75" customHeight="1">
      <c r="A30" s="4">
        <v>2.0</v>
      </c>
      <c r="B30" s="4">
        <v>4.0</v>
      </c>
      <c r="C30" s="4">
        <f t="shared" si="1"/>
        <v>2</v>
      </c>
      <c r="D30" s="5">
        <f t="shared" si="2"/>
        <v>0.02589509843</v>
      </c>
    </row>
    <row r="31" ht="15.75" customHeight="1">
      <c r="A31" s="4">
        <v>1.0</v>
      </c>
      <c r="B31" s="4">
        <v>5.0</v>
      </c>
      <c r="C31" s="4">
        <f t="shared" si="1"/>
        <v>4</v>
      </c>
      <c r="D31" s="5">
        <f t="shared" si="2"/>
        <v>3.382216938</v>
      </c>
    </row>
    <row r="32" ht="15.75" customHeight="1">
      <c r="A32" s="4">
        <v>2.0</v>
      </c>
      <c r="B32" s="4">
        <v>3.0</v>
      </c>
      <c r="C32" s="4">
        <f t="shared" si="1"/>
        <v>1</v>
      </c>
      <c r="D32" s="5">
        <f t="shared" si="2"/>
        <v>1.347734179</v>
      </c>
    </row>
    <row r="33" ht="15.75" customHeight="1">
      <c r="A33" s="4">
        <v>1.0</v>
      </c>
      <c r="B33" s="4">
        <v>4.0</v>
      </c>
      <c r="C33" s="4">
        <f t="shared" si="1"/>
        <v>3</v>
      </c>
      <c r="D33" s="5">
        <f t="shared" si="2"/>
        <v>0.704056018</v>
      </c>
    </row>
    <row r="34" ht="15.75" customHeight="1">
      <c r="A34" s="4">
        <v>2.0</v>
      </c>
      <c r="B34" s="4">
        <v>3.0</v>
      </c>
      <c r="C34" s="4">
        <f t="shared" si="1"/>
        <v>1</v>
      </c>
      <c r="D34" s="5">
        <f t="shared" si="2"/>
        <v>1.347734179</v>
      </c>
      <c r="F34" s="7" t="s">
        <v>15</v>
      </c>
    </row>
    <row r="35" ht="15.75" customHeight="1">
      <c r="A35" s="4">
        <v>1.0</v>
      </c>
      <c r="B35" s="4">
        <v>5.0</v>
      </c>
      <c r="C35" s="4">
        <f t="shared" si="1"/>
        <v>4</v>
      </c>
      <c r="D35" s="5">
        <f t="shared" si="2"/>
        <v>3.382216938</v>
      </c>
      <c r="F35" s="7" t="s">
        <v>16</v>
      </c>
    </row>
    <row r="36" ht="15.75" customHeight="1">
      <c r="A36" s="4">
        <v>2.0</v>
      </c>
      <c r="B36" s="4">
        <v>5.0</v>
      </c>
      <c r="C36" s="4">
        <f t="shared" si="1"/>
        <v>3</v>
      </c>
      <c r="D36" s="5">
        <f t="shared" si="2"/>
        <v>0.704056018</v>
      </c>
    </row>
    <row r="37" ht="15.75" customHeight="1">
      <c r="A37" s="4">
        <v>4.0</v>
      </c>
      <c r="B37" s="4">
        <v>5.0</v>
      </c>
      <c r="C37" s="4">
        <f t="shared" si="1"/>
        <v>1</v>
      </c>
      <c r="D37" s="5">
        <f t="shared" si="2"/>
        <v>1.347734179</v>
      </c>
    </row>
    <row r="38" ht="15.75" customHeight="1">
      <c r="A38" s="4">
        <v>2.0</v>
      </c>
      <c r="B38" s="4">
        <v>5.0</v>
      </c>
      <c r="C38" s="4">
        <f t="shared" si="1"/>
        <v>3</v>
      </c>
      <c r="D38" s="5">
        <f t="shared" si="2"/>
        <v>0.704056018</v>
      </c>
    </row>
    <row r="39" ht="15.75" customHeight="1">
      <c r="A39" s="4">
        <v>1.0</v>
      </c>
      <c r="B39" s="4">
        <v>5.0</v>
      </c>
      <c r="C39" s="4">
        <f t="shared" si="1"/>
        <v>4</v>
      </c>
      <c r="D39" s="5">
        <f t="shared" si="2"/>
        <v>3.382216938</v>
      </c>
      <c r="F39" s="6" t="s">
        <v>17</v>
      </c>
      <c r="G39" s="6"/>
    </row>
    <row r="40" ht="15.75" customHeight="1">
      <c r="A40" s="4">
        <v>2.0</v>
      </c>
      <c r="B40" s="4">
        <v>5.0</v>
      </c>
      <c r="C40" s="4">
        <f t="shared" si="1"/>
        <v>3</v>
      </c>
      <c r="D40" s="5">
        <f t="shared" si="2"/>
        <v>0.704056018</v>
      </c>
      <c r="F40" s="7" t="s">
        <v>17</v>
      </c>
    </row>
    <row r="41" ht="15.75" customHeight="1">
      <c r="A41" s="4">
        <v>1.0</v>
      </c>
      <c r="B41" s="4">
        <v>4.0</v>
      </c>
      <c r="C41" s="4">
        <f t="shared" si="1"/>
        <v>3</v>
      </c>
      <c r="D41" s="5">
        <f t="shared" si="2"/>
        <v>0.704056018</v>
      </c>
      <c r="F41" s="7" t="s">
        <v>120</v>
      </c>
      <c r="G41" s="7">
        <f>TTEST(A:A,B:B,2,1)</f>
        <v>0</v>
      </c>
    </row>
    <row r="42" ht="15.75" customHeight="1">
      <c r="A42" s="4">
        <v>2.0</v>
      </c>
      <c r="B42" s="4">
        <v>3.0</v>
      </c>
      <c r="C42" s="4">
        <f t="shared" si="1"/>
        <v>1</v>
      </c>
      <c r="D42" s="5">
        <f t="shared" si="2"/>
        <v>1.347734179</v>
      </c>
      <c r="F42" s="7" t="s">
        <v>121</v>
      </c>
      <c r="G42" s="7">
        <f>TTEST(A:A,B:B,1,1)</f>
        <v>0</v>
      </c>
    </row>
    <row r="43" ht="15.75" customHeight="1">
      <c r="A43" s="4">
        <v>5.0</v>
      </c>
      <c r="B43" s="4">
        <v>4.0</v>
      </c>
      <c r="C43" s="4">
        <f t="shared" si="1"/>
        <v>-1</v>
      </c>
      <c r="D43" s="5">
        <f t="shared" si="2"/>
        <v>9.99141234</v>
      </c>
    </row>
    <row r="44" ht="15.75" customHeight="1">
      <c r="A44" s="4">
        <v>2.0</v>
      </c>
      <c r="B44" s="4">
        <v>5.0</v>
      </c>
      <c r="C44" s="4">
        <f t="shared" si="1"/>
        <v>3</v>
      </c>
      <c r="D44" s="5">
        <f t="shared" si="2"/>
        <v>0.704056018</v>
      </c>
    </row>
    <row r="45" ht="15.75" customHeight="1">
      <c r="A45" s="4">
        <v>4.0</v>
      </c>
      <c r="B45" s="4">
        <v>5.0</v>
      </c>
      <c r="C45" s="4">
        <f t="shared" si="1"/>
        <v>1</v>
      </c>
      <c r="D45" s="5">
        <f t="shared" si="2"/>
        <v>1.347734179</v>
      </c>
      <c r="F45" s="6" t="s">
        <v>20</v>
      </c>
      <c r="G45" s="6"/>
    </row>
    <row r="46" ht="15.75" customHeight="1">
      <c r="A46" s="4">
        <v>2.0</v>
      </c>
      <c r="B46" s="4">
        <v>5.0</v>
      </c>
      <c r="C46" s="4">
        <f t="shared" si="1"/>
        <v>3</v>
      </c>
      <c r="D46" s="5">
        <f t="shared" si="2"/>
        <v>0.704056018</v>
      </c>
    </row>
    <row r="47" ht="15.75" customHeight="1">
      <c r="A47" s="4">
        <v>4.0</v>
      </c>
      <c r="B47" s="4">
        <v>3.0</v>
      </c>
      <c r="C47" s="4">
        <f t="shared" si="1"/>
        <v>-1</v>
      </c>
      <c r="D47" s="5">
        <f t="shared" si="2"/>
        <v>9.99141234</v>
      </c>
      <c r="F47" s="7" t="s">
        <v>122</v>
      </c>
    </row>
    <row r="48" ht="15.75" customHeight="1">
      <c r="A48" s="4">
        <v>2.0</v>
      </c>
      <c r="B48" s="4">
        <v>5.0</v>
      </c>
      <c r="C48" s="4">
        <f t="shared" si="1"/>
        <v>3</v>
      </c>
      <c r="D48" s="5">
        <f t="shared" si="2"/>
        <v>0.704056018</v>
      </c>
      <c r="F48" s="7" t="s">
        <v>123</v>
      </c>
    </row>
    <row r="49" ht="15.75" customHeight="1">
      <c r="A49" s="4">
        <v>1.0</v>
      </c>
      <c r="B49" s="4">
        <v>5.0</v>
      </c>
      <c r="C49" s="4">
        <f t="shared" si="1"/>
        <v>4</v>
      </c>
      <c r="D49" s="5">
        <f t="shared" si="2"/>
        <v>3.382216938</v>
      </c>
    </row>
    <row r="50" ht="15.75" customHeight="1">
      <c r="A50" s="4">
        <v>2.0</v>
      </c>
      <c r="B50" s="4">
        <v>4.0</v>
      </c>
      <c r="C50" s="4">
        <f t="shared" si="1"/>
        <v>2</v>
      </c>
      <c r="D50" s="5">
        <f t="shared" si="2"/>
        <v>0.02589509843</v>
      </c>
      <c r="F50" s="7" t="s">
        <v>23</v>
      </c>
    </row>
    <row r="51" ht="15.75" customHeight="1">
      <c r="A51" s="4">
        <v>1.0</v>
      </c>
      <c r="B51" s="4">
        <v>3.0</v>
      </c>
      <c r="C51" s="4">
        <f t="shared" si="1"/>
        <v>2</v>
      </c>
      <c r="D51" s="5">
        <f t="shared" si="2"/>
        <v>0.02589509843</v>
      </c>
      <c r="F51" s="7" t="s">
        <v>24</v>
      </c>
    </row>
    <row r="52" ht="15.75" customHeight="1">
      <c r="A52" s="4">
        <v>2.0</v>
      </c>
      <c r="B52" s="4">
        <v>5.0</v>
      </c>
      <c r="C52" s="4">
        <f t="shared" si="1"/>
        <v>3</v>
      </c>
      <c r="D52" s="5">
        <f t="shared" si="2"/>
        <v>0.704056018</v>
      </c>
    </row>
    <row r="53" ht="15.75" customHeight="1">
      <c r="A53" s="4">
        <v>1.0</v>
      </c>
      <c r="B53" s="4">
        <v>3.0</v>
      </c>
      <c r="C53" s="4">
        <f t="shared" si="1"/>
        <v>2</v>
      </c>
      <c r="D53" s="5">
        <f t="shared" si="2"/>
        <v>0.02589509843</v>
      </c>
    </row>
    <row r="54" ht="15.75" customHeight="1">
      <c r="A54" s="4">
        <v>2.0</v>
      </c>
      <c r="B54" s="4">
        <v>5.0</v>
      </c>
      <c r="C54" s="4">
        <f t="shared" si="1"/>
        <v>3</v>
      </c>
      <c r="D54" s="5">
        <f t="shared" si="2"/>
        <v>0.704056018</v>
      </c>
    </row>
    <row r="55" ht="15.75" customHeight="1">
      <c r="A55" s="4">
        <v>1.0</v>
      </c>
      <c r="B55" s="4">
        <v>3.0</v>
      </c>
      <c r="C55" s="4">
        <f t="shared" si="1"/>
        <v>2</v>
      </c>
      <c r="D55" s="5">
        <f t="shared" si="2"/>
        <v>0.02589509843</v>
      </c>
    </row>
    <row r="56" ht="15.75" customHeight="1">
      <c r="A56" s="4">
        <v>2.0</v>
      </c>
      <c r="B56" s="4">
        <v>3.0</v>
      </c>
      <c r="C56" s="4">
        <f t="shared" si="1"/>
        <v>1</v>
      </c>
      <c r="D56" s="5">
        <f t="shared" si="2"/>
        <v>1.347734179</v>
      </c>
      <c r="F56" s="6" t="s">
        <v>25</v>
      </c>
    </row>
    <row r="57" ht="15.75" customHeight="1">
      <c r="A57" s="4">
        <v>1.0</v>
      </c>
      <c r="B57" s="4">
        <v>3.0</v>
      </c>
      <c r="C57" s="4">
        <f t="shared" si="1"/>
        <v>2</v>
      </c>
      <c r="D57" s="5">
        <f t="shared" si="2"/>
        <v>0.02589509843</v>
      </c>
    </row>
    <row r="58" ht="15.75" customHeight="1">
      <c r="A58" s="4">
        <v>2.0</v>
      </c>
      <c r="B58" s="4">
        <v>5.0</v>
      </c>
      <c r="C58" s="4">
        <f t="shared" si="1"/>
        <v>3</v>
      </c>
      <c r="D58" s="5">
        <f t="shared" si="2"/>
        <v>0.704056018</v>
      </c>
      <c r="F58" s="7" t="s">
        <v>124</v>
      </c>
    </row>
    <row r="59" ht="15.75" customHeight="1">
      <c r="A59" s="4">
        <v>1.0</v>
      </c>
      <c r="B59" s="4">
        <v>3.0</v>
      </c>
      <c r="C59" s="4">
        <f t="shared" si="1"/>
        <v>2</v>
      </c>
      <c r="D59" s="5">
        <f t="shared" si="2"/>
        <v>0.02589509843</v>
      </c>
      <c r="F59" s="7" t="s">
        <v>27</v>
      </c>
    </row>
    <row r="60" ht="15.75" customHeight="1">
      <c r="A60" s="4">
        <v>2.0</v>
      </c>
      <c r="B60" s="4">
        <v>3.0</v>
      </c>
      <c r="C60" s="4">
        <f t="shared" si="1"/>
        <v>1</v>
      </c>
      <c r="D60" s="5">
        <f t="shared" si="2"/>
        <v>1.347734179</v>
      </c>
      <c r="F60" s="7" t="s">
        <v>125</v>
      </c>
    </row>
    <row r="61" ht="15.75" customHeight="1">
      <c r="A61" s="4">
        <v>1.0</v>
      </c>
      <c r="B61" s="4">
        <v>5.0</v>
      </c>
      <c r="C61" s="4">
        <f t="shared" si="1"/>
        <v>4</v>
      </c>
      <c r="D61" s="5">
        <f t="shared" si="2"/>
        <v>3.382216938</v>
      </c>
    </row>
    <row r="62" ht="15.75" customHeight="1">
      <c r="A62" s="4">
        <v>2.0</v>
      </c>
      <c r="B62" s="4">
        <v>3.0</v>
      </c>
      <c r="C62" s="4">
        <f t="shared" si="1"/>
        <v>1</v>
      </c>
      <c r="D62" s="5">
        <f t="shared" si="2"/>
        <v>1.347734179</v>
      </c>
    </row>
    <row r="63" ht="15.75" customHeight="1">
      <c r="A63" s="4">
        <v>1.0</v>
      </c>
      <c r="B63" s="4">
        <v>3.0</v>
      </c>
      <c r="C63" s="4">
        <f t="shared" si="1"/>
        <v>2</v>
      </c>
      <c r="D63" s="5">
        <f t="shared" si="2"/>
        <v>0.02589509843</v>
      </c>
    </row>
    <row r="64" ht="15.75" customHeight="1">
      <c r="A64" s="4">
        <v>2.0</v>
      </c>
      <c r="B64" s="4">
        <v>3.0</v>
      </c>
      <c r="C64" s="4">
        <f t="shared" si="1"/>
        <v>1</v>
      </c>
      <c r="D64" s="5">
        <f t="shared" si="2"/>
        <v>1.347734179</v>
      </c>
    </row>
    <row r="65" ht="15.75" customHeight="1">
      <c r="A65" s="4">
        <v>1.0</v>
      </c>
      <c r="B65" s="4">
        <v>5.0</v>
      </c>
      <c r="C65" s="4">
        <f t="shared" si="1"/>
        <v>4</v>
      </c>
      <c r="D65" s="5">
        <f t="shared" si="2"/>
        <v>3.382216938</v>
      </c>
      <c r="F65" s="6" t="s">
        <v>25</v>
      </c>
    </row>
    <row r="66" ht="15.75" customHeight="1">
      <c r="A66" s="4">
        <v>2.0</v>
      </c>
      <c r="B66" s="4">
        <v>3.0</v>
      </c>
      <c r="C66" s="4">
        <f t="shared" si="1"/>
        <v>1</v>
      </c>
      <c r="D66" s="5">
        <f t="shared" si="2"/>
        <v>1.347734179</v>
      </c>
    </row>
    <row r="67" ht="15.75" customHeight="1">
      <c r="A67" s="4">
        <v>1.0</v>
      </c>
      <c r="B67" s="4">
        <v>4.0</v>
      </c>
      <c r="C67" s="4">
        <f t="shared" si="1"/>
        <v>3</v>
      </c>
      <c r="D67" s="5">
        <f t="shared" si="2"/>
        <v>0.704056018</v>
      </c>
    </row>
    <row r="68" ht="15.75" customHeight="1">
      <c r="A68" s="4">
        <v>2.0</v>
      </c>
      <c r="B68" s="4">
        <v>5.0</v>
      </c>
      <c r="C68" s="4">
        <f t="shared" si="1"/>
        <v>3</v>
      </c>
      <c r="D68" s="5">
        <f t="shared" si="2"/>
        <v>0.704056018</v>
      </c>
    </row>
    <row r="69" ht="15.75" customHeight="1">
      <c r="A69" s="4">
        <v>1.0</v>
      </c>
      <c r="B69" s="4">
        <v>3.0</v>
      </c>
      <c r="C69" s="4">
        <f t="shared" si="1"/>
        <v>2</v>
      </c>
      <c r="D69" s="5">
        <f t="shared" si="2"/>
        <v>0.02589509843</v>
      </c>
    </row>
    <row r="70" ht="15.75" customHeight="1">
      <c r="A70" s="4">
        <v>2.0</v>
      </c>
      <c r="B70" s="4">
        <v>3.0</v>
      </c>
      <c r="C70" s="4">
        <f t="shared" si="1"/>
        <v>1</v>
      </c>
      <c r="D70" s="5">
        <f t="shared" si="2"/>
        <v>1.347734179</v>
      </c>
    </row>
    <row r="71" ht="15.75" customHeight="1">
      <c r="A71" s="4">
        <v>1.0</v>
      </c>
      <c r="B71" s="4">
        <v>3.0</v>
      </c>
      <c r="C71" s="4">
        <f t="shared" si="1"/>
        <v>2</v>
      </c>
      <c r="D71" s="5">
        <f t="shared" si="2"/>
        <v>0.02589509843</v>
      </c>
    </row>
    <row r="72" ht="15.75" customHeight="1">
      <c r="A72" s="4">
        <v>2.0</v>
      </c>
      <c r="B72" s="4">
        <v>4.0</v>
      </c>
      <c r="C72" s="4">
        <f t="shared" si="1"/>
        <v>2</v>
      </c>
      <c r="D72" s="5">
        <f t="shared" si="2"/>
        <v>0.02589509843</v>
      </c>
      <c r="F72" s="7" t="s">
        <v>29</v>
      </c>
    </row>
    <row r="73" ht="15.75" customHeight="1">
      <c r="A73" s="4">
        <v>1.0</v>
      </c>
      <c r="B73" s="4">
        <v>3.0</v>
      </c>
      <c r="C73" s="4">
        <f t="shared" si="1"/>
        <v>2</v>
      </c>
      <c r="D73" s="5">
        <f t="shared" si="2"/>
        <v>0.02589509843</v>
      </c>
      <c r="F73" s="7" t="s">
        <v>126</v>
      </c>
    </row>
    <row r="74" ht="15.75" customHeight="1">
      <c r="A74" s="4">
        <v>2.0</v>
      </c>
      <c r="B74" s="4">
        <v>3.0</v>
      </c>
      <c r="C74" s="4">
        <f t="shared" si="1"/>
        <v>1</v>
      </c>
      <c r="D74" s="5">
        <f t="shared" si="2"/>
        <v>1.347734179</v>
      </c>
      <c r="F74" s="7" t="s">
        <v>29</v>
      </c>
    </row>
    <row r="75" ht="15.75" customHeight="1">
      <c r="A75" s="4">
        <v>1.0</v>
      </c>
      <c r="B75" s="4">
        <v>3.0</v>
      </c>
      <c r="C75" s="4">
        <f t="shared" si="1"/>
        <v>2</v>
      </c>
      <c r="D75" s="5">
        <f t="shared" si="2"/>
        <v>0.02589509843</v>
      </c>
      <c r="F75" s="7" t="s">
        <v>127</v>
      </c>
    </row>
    <row r="76" ht="15.75" customHeight="1">
      <c r="A76" s="4">
        <v>2.0</v>
      </c>
      <c r="B76" s="4">
        <v>3.0</v>
      </c>
      <c r="C76" s="4">
        <f t="shared" si="1"/>
        <v>1</v>
      </c>
      <c r="D76" s="5">
        <f t="shared" si="2"/>
        <v>1.347734179</v>
      </c>
    </row>
    <row r="77" ht="15.75" customHeight="1">
      <c r="A77" s="4">
        <v>1.0</v>
      </c>
      <c r="B77" s="4">
        <v>3.0</v>
      </c>
      <c r="C77" s="4">
        <f t="shared" si="1"/>
        <v>2</v>
      </c>
      <c r="D77" s="5">
        <f t="shared" si="2"/>
        <v>0.02589509843</v>
      </c>
    </row>
    <row r="78" ht="15.75" customHeight="1">
      <c r="A78" s="4">
        <v>5.0</v>
      </c>
      <c r="B78" s="4">
        <v>3.0</v>
      </c>
      <c r="C78" s="4">
        <f t="shared" si="1"/>
        <v>-2</v>
      </c>
      <c r="D78" s="5">
        <f t="shared" si="2"/>
        <v>17.31325142</v>
      </c>
    </row>
    <row r="79" ht="15.75" customHeight="1">
      <c r="A79" s="4">
        <v>1.0</v>
      </c>
      <c r="B79" s="4">
        <v>5.0</v>
      </c>
      <c r="C79" s="4">
        <f t="shared" si="1"/>
        <v>4</v>
      </c>
      <c r="D79" s="5">
        <f t="shared" si="2"/>
        <v>3.382216938</v>
      </c>
    </row>
    <row r="80" ht="15.75" customHeight="1">
      <c r="A80" s="4">
        <v>2.0</v>
      </c>
      <c r="B80" s="4">
        <v>4.0</v>
      </c>
      <c r="C80" s="4">
        <f t="shared" si="1"/>
        <v>2</v>
      </c>
      <c r="D80" s="5">
        <f t="shared" si="2"/>
        <v>0.02589509843</v>
      </c>
    </row>
    <row r="81" ht="15.75" customHeight="1">
      <c r="A81" s="4">
        <v>1.0</v>
      </c>
      <c r="B81" s="4">
        <v>4.0</v>
      </c>
      <c r="C81" s="4">
        <f t="shared" si="1"/>
        <v>3</v>
      </c>
      <c r="D81" s="5">
        <f t="shared" si="2"/>
        <v>0.704056018</v>
      </c>
    </row>
    <row r="82" ht="15.75" customHeight="1">
      <c r="A82" s="4">
        <v>2.0</v>
      </c>
      <c r="B82" s="4">
        <v>3.0</v>
      </c>
      <c r="C82" s="4">
        <f t="shared" si="1"/>
        <v>1</v>
      </c>
      <c r="D82" s="5">
        <f t="shared" si="2"/>
        <v>1.347734179</v>
      </c>
    </row>
    <row r="83" ht="15.75" customHeight="1">
      <c r="A83" s="4">
        <v>1.0</v>
      </c>
      <c r="B83" s="4">
        <v>5.0</v>
      </c>
      <c r="C83" s="4">
        <f t="shared" si="1"/>
        <v>4</v>
      </c>
      <c r="D83" s="5">
        <f t="shared" si="2"/>
        <v>3.382216938</v>
      </c>
    </row>
    <row r="84" ht="15.75" customHeight="1">
      <c r="A84" s="4">
        <v>2.0</v>
      </c>
      <c r="B84" s="4">
        <v>3.0</v>
      </c>
      <c r="C84" s="4">
        <f t="shared" si="1"/>
        <v>1</v>
      </c>
      <c r="D84" s="5">
        <f t="shared" si="2"/>
        <v>1.347734179</v>
      </c>
    </row>
    <row r="85" ht="15.75" customHeight="1">
      <c r="A85" s="4">
        <v>1.0</v>
      </c>
      <c r="B85" s="4">
        <v>5.0</v>
      </c>
      <c r="C85" s="4">
        <f t="shared" si="1"/>
        <v>4</v>
      </c>
      <c r="D85" s="5">
        <f t="shared" si="2"/>
        <v>3.382216938</v>
      </c>
    </row>
    <row r="86" ht="15.75" customHeight="1">
      <c r="A86" s="4">
        <v>2.0</v>
      </c>
      <c r="B86" s="4">
        <v>5.0</v>
      </c>
      <c r="C86" s="4">
        <f t="shared" si="1"/>
        <v>3</v>
      </c>
      <c r="D86" s="5">
        <f t="shared" si="2"/>
        <v>0.704056018</v>
      </c>
    </row>
    <row r="87" ht="15.75" customHeight="1">
      <c r="A87" s="4">
        <v>1.0</v>
      </c>
      <c r="B87" s="4">
        <v>4.0</v>
      </c>
      <c r="C87" s="4">
        <f t="shared" si="1"/>
        <v>3</v>
      </c>
      <c r="D87" s="5">
        <f t="shared" si="2"/>
        <v>0.704056018</v>
      </c>
    </row>
    <row r="88" ht="15.75" customHeight="1">
      <c r="A88" s="4">
        <v>2.0</v>
      </c>
      <c r="B88" s="4">
        <v>3.0</v>
      </c>
      <c r="C88" s="4">
        <f t="shared" si="1"/>
        <v>1</v>
      </c>
      <c r="D88" s="5">
        <f t="shared" si="2"/>
        <v>1.347734179</v>
      </c>
    </row>
    <row r="89" ht="15.75" customHeight="1"/>
    <row r="90" ht="15.75" customHeight="1"/>
    <row r="91" ht="15.75" customHeight="1"/>
    <row r="92" ht="15.75" customHeight="1"/>
    <row r="93" ht="15.75" customHeight="1">
      <c r="F93" s="8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3.43"/>
    <col customWidth="1" min="3" max="3" width="19.86"/>
    <col customWidth="1" min="4" max="4" width="23.14"/>
    <col customWidth="1" min="5" max="5" width="12.0"/>
    <col customWidth="1" min="6" max="6" width="39.0"/>
    <col customWidth="1" min="7" max="7" width="19.0"/>
    <col customWidth="1" min="8" max="26" width="9.14"/>
  </cols>
  <sheetData>
    <row r="1" ht="108.0" customHeight="1">
      <c r="A1" s="1" t="s">
        <v>128</v>
      </c>
      <c r="B1" s="2" t="s">
        <v>129</v>
      </c>
      <c r="C1" s="3" t="s">
        <v>2</v>
      </c>
      <c r="D1" s="3"/>
    </row>
    <row r="2">
      <c r="A2" s="4">
        <v>2.0</v>
      </c>
      <c r="B2" s="4">
        <v>5.0</v>
      </c>
      <c r="C2" s="4">
        <f t="shared" ref="C2:C88" si="1">B2-A2</f>
        <v>3</v>
      </c>
      <c r="D2" s="5">
        <f t="shared" ref="D2:D88" si="2">(C2-$G$6)^2</f>
        <v>0.1712247325</v>
      </c>
    </row>
    <row r="3">
      <c r="A3" s="4">
        <v>3.0</v>
      </c>
      <c r="B3" s="4">
        <v>4.0</v>
      </c>
      <c r="C3" s="4">
        <f t="shared" si="1"/>
        <v>1</v>
      </c>
      <c r="D3" s="5">
        <f t="shared" si="2"/>
        <v>2.516052319</v>
      </c>
      <c r="F3" s="6" t="s">
        <v>3</v>
      </c>
      <c r="G3" s="6"/>
    </row>
    <row r="4">
      <c r="A4" s="4">
        <v>3.0</v>
      </c>
      <c r="B4" s="4">
        <v>5.0</v>
      </c>
      <c r="C4" s="4">
        <f t="shared" si="1"/>
        <v>2</v>
      </c>
      <c r="D4" s="5">
        <f t="shared" si="2"/>
        <v>0.3436385256</v>
      </c>
      <c r="F4" s="7" t="s">
        <v>4</v>
      </c>
      <c r="G4" s="7">
        <v>87.0</v>
      </c>
    </row>
    <row r="5">
      <c r="A5" s="4">
        <v>1.0</v>
      </c>
      <c r="B5" s="4">
        <v>4.0</v>
      </c>
      <c r="C5" s="4">
        <f t="shared" si="1"/>
        <v>3</v>
      </c>
      <c r="D5" s="5">
        <f t="shared" si="2"/>
        <v>0.1712247325</v>
      </c>
      <c r="F5" s="7" t="s">
        <v>5</v>
      </c>
      <c r="G5" s="7">
        <f>SUM(C:C)</f>
        <v>225</v>
      </c>
    </row>
    <row r="6">
      <c r="A6" s="4">
        <v>2.0</v>
      </c>
      <c r="B6" s="4">
        <v>5.0</v>
      </c>
      <c r="C6" s="4">
        <f t="shared" si="1"/>
        <v>3</v>
      </c>
      <c r="D6" s="5">
        <f t="shared" si="2"/>
        <v>0.1712247325</v>
      </c>
      <c r="F6" s="7" t="s">
        <v>6</v>
      </c>
      <c r="G6" s="7">
        <f>G5/G4</f>
        <v>2.586206897</v>
      </c>
    </row>
    <row r="7">
      <c r="A7" s="4">
        <v>1.0</v>
      </c>
      <c r="B7" s="4">
        <v>5.0</v>
      </c>
      <c r="C7" s="4">
        <f t="shared" si="1"/>
        <v>4</v>
      </c>
      <c r="D7" s="5">
        <f t="shared" si="2"/>
        <v>1.998810939</v>
      </c>
      <c r="F7" s="7" t="s">
        <v>7</v>
      </c>
      <c r="G7" s="7">
        <f>SUM(D:D)</f>
        <v>99.10344828</v>
      </c>
    </row>
    <row r="8">
      <c r="A8" s="4">
        <v>2.0</v>
      </c>
      <c r="B8" s="4">
        <v>2.0</v>
      </c>
      <c r="C8" s="4">
        <f t="shared" si="1"/>
        <v>0</v>
      </c>
      <c r="D8" s="5">
        <f t="shared" si="2"/>
        <v>6.688466112</v>
      </c>
      <c r="F8" s="7" t="s">
        <v>8</v>
      </c>
      <c r="G8" s="7">
        <f>SQRT(G7/(G4-1))</f>
        <v>1.073482966</v>
      </c>
    </row>
    <row r="9">
      <c r="A9" s="4">
        <v>1.0</v>
      </c>
      <c r="B9" s="4">
        <v>4.0</v>
      </c>
      <c r="C9" s="4">
        <f t="shared" si="1"/>
        <v>3</v>
      </c>
      <c r="D9" s="5">
        <f t="shared" si="2"/>
        <v>0.1712247325</v>
      </c>
    </row>
    <row r="10">
      <c r="A10" s="4">
        <v>2.0</v>
      </c>
      <c r="B10" s="4">
        <v>4.0</v>
      </c>
      <c r="C10" s="4">
        <f t="shared" si="1"/>
        <v>2</v>
      </c>
      <c r="D10" s="5">
        <f t="shared" si="2"/>
        <v>0.3436385256</v>
      </c>
    </row>
    <row r="11">
      <c r="A11" s="4">
        <v>1.0</v>
      </c>
      <c r="B11" s="4">
        <v>4.0</v>
      </c>
      <c r="C11" s="4">
        <f t="shared" si="1"/>
        <v>3</v>
      </c>
      <c r="D11" s="5">
        <f t="shared" si="2"/>
        <v>0.1712247325</v>
      </c>
    </row>
    <row r="12">
      <c r="A12" s="4">
        <v>2.0</v>
      </c>
      <c r="B12" s="4">
        <v>4.0</v>
      </c>
      <c r="C12" s="4">
        <f t="shared" si="1"/>
        <v>2</v>
      </c>
      <c r="D12" s="5">
        <f t="shared" si="2"/>
        <v>0.3436385256</v>
      </c>
      <c r="F12" s="7" t="s">
        <v>9</v>
      </c>
      <c r="G12" s="7">
        <f>G6/(G8/SQRT(G4))</f>
        <v>22.47127603</v>
      </c>
    </row>
    <row r="13">
      <c r="A13" s="4">
        <v>1.0</v>
      </c>
      <c r="B13" s="4">
        <v>5.0</v>
      </c>
      <c r="C13" s="4">
        <f t="shared" si="1"/>
        <v>4</v>
      </c>
      <c r="D13" s="5">
        <f t="shared" si="2"/>
        <v>1.998810939</v>
      </c>
    </row>
    <row r="14">
      <c r="A14" s="4">
        <v>2.0</v>
      </c>
      <c r="B14" s="4">
        <v>4.0</v>
      </c>
      <c r="C14" s="4">
        <f t="shared" si="1"/>
        <v>2</v>
      </c>
      <c r="D14" s="5">
        <f t="shared" si="2"/>
        <v>0.3436385256</v>
      </c>
    </row>
    <row r="15">
      <c r="A15" s="4">
        <v>1.0</v>
      </c>
      <c r="B15" s="4">
        <v>5.0</v>
      </c>
      <c r="C15" s="4">
        <f t="shared" si="1"/>
        <v>4</v>
      </c>
      <c r="D15" s="5">
        <f t="shared" si="2"/>
        <v>1.998810939</v>
      </c>
    </row>
    <row r="16">
      <c r="A16" s="4">
        <v>2.0</v>
      </c>
      <c r="B16" s="4">
        <v>4.0</v>
      </c>
      <c r="C16" s="4">
        <f t="shared" si="1"/>
        <v>2</v>
      </c>
      <c r="D16" s="5">
        <f t="shared" si="2"/>
        <v>0.3436385256</v>
      </c>
    </row>
    <row r="17">
      <c r="A17" s="4">
        <v>1.0</v>
      </c>
      <c r="B17" s="4">
        <v>5.0</v>
      </c>
      <c r="C17" s="4">
        <f t="shared" si="1"/>
        <v>4</v>
      </c>
      <c r="D17" s="5">
        <f t="shared" si="2"/>
        <v>1.998810939</v>
      </c>
      <c r="F17" s="7" t="s">
        <v>10</v>
      </c>
      <c r="G17" s="7">
        <v>0.05</v>
      </c>
    </row>
    <row r="18">
      <c r="A18" s="4">
        <v>2.0</v>
      </c>
      <c r="B18" s="4">
        <v>3.0</v>
      </c>
      <c r="C18" s="4">
        <f t="shared" si="1"/>
        <v>1</v>
      </c>
      <c r="D18" s="5">
        <f t="shared" si="2"/>
        <v>2.516052319</v>
      </c>
      <c r="F18" s="7" t="s">
        <v>11</v>
      </c>
      <c r="G18" s="7">
        <f>G4-1</f>
        <v>86</v>
      </c>
    </row>
    <row r="19">
      <c r="A19" s="4">
        <v>1.0</v>
      </c>
      <c r="B19" s="4">
        <v>4.0</v>
      </c>
      <c r="C19" s="4">
        <f t="shared" si="1"/>
        <v>3</v>
      </c>
      <c r="D19" s="5">
        <f t="shared" si="2"/>
        <v>0.1712247325</v>
      </c>
    </row>
    <row r="20">
      <c r="A20" s="4">
        <v>2.0</v>
      </c>
      <c r="B20" s="4">
        <v>3.0</v>
      </c>
      <c r="C20" s="4">
        <f t="shared" si="1"/>
        <v>1</v>
      </c>
      <c r="D20" s="5">
        <f t="shared" si="2"/>
        <v>2.516052319</v>
      </c>
    </row>
    <row r="21" ht="15.75" customHeight="1">
      <c r="A21" s="4">
        <v>1.0</v>
      </c>
      <c r="B21" s="4">
        <v>4.0</v>
      </c>
      <c r="C21" s="4">
        <f t="shared" si="1"/>
        <v>3</v>
      </c>
      <c r="D21" s="5">
        <f t="shared" si="2"/>
        <v>0.1712247325</v>
      </c>
    </row>
    <row r="22" ht="15.75" customHeight="1">
      <c r="A22" s="4">
        <v>2.0</v>
      </c>
      <c r="B22" s="4">
        <v>4.0</v>
      </c>
      <c r="C22" s="4">
        <f t="shared" si="1"/>
        <v>2</v>
      </c>
      <c r="D22" s="5">
        <f t="shared" si="2"/>
        <v>0.3436385256</v>
      </c>
      <c r="F22" s="6" t="s">
        <v>12</v>
      </c>
      <c r="G22" s="6"/>
    </row>
    <row r="23" ht="15.75" customHeight="1">
      <c r="A23" s="4">
        <v>1.0</v>
      </c>
      <c r="B23" s="4">
        <v>3.0</v>
      </c>
      <c r="C23" s="4">
        <f t="shared" si="1"/>
        <v>2</v>
      </c>
      <c r="D23" s="5">
        <f t="shared" si="2"/>
        <v>0.3436385256</v>
      </c>
      <c r="F23" s="7" t="s">
        <v>130</v>
      </c>
      <c r="G23" s="7">
        <f>_xlfn.T.INV.2T(G17,G18)</f>
        <v>1.987934206</v>
      </c>
    </row>
    <row r="24" ht="15.75" customHeight="1">
      <c r="A24" s="4">
        <v>2.0</v>
      </c>
      <c r="B24" s="4">
        <v>5.0</v>
      </c>
      <c r="C24" s="4">
        <f t="shared" si="1"/>
        <v>3</v>
      </c>
      <c r="D24" s="5">
        <f t="shared" si="2"/>
        <v>0.1712247325</v>
      </c>
      <c r="F24" s="7" t="s">
        <v>131</v>
      </c>
      <c r="G24" s="7">
        <f>_xlfn.T.INV(G17,G18)</f>
        <v>-1.662765449</v>
      </c>
    </row>
    <row r="25" ht="15.75" customHeight="1">
      <c r="A25" s="4">
        <v>1.0</v>
      </c>
      <c r="B25" s="4">
        <v>5.0</v>
      </c>
      <c r="C25" s="4">
        <f t="shared" si="1"/>
        <v>4</v>
      </c>
      <c r="D25" s="5">
        <f t="shared" si="2"/>
        <v>1.998810939</v>
      </c>
    </row>
    <row r="26" ht="15.75" customHeight="1">
      <c r="A26" s="4">
        <v>2.0</v>
      </c>
      <c r="B26" s="4">
        <v>2.0</v>
      </c>
      <c r="C26" s="4">
        <f t="shared" si="1"/>
        <v>0</v>
      </c>
      <c r="D26" s="5">
        <f t="shared" si="2"/>
        <v>6.688466112</v>
      </c>
    </row>
    <row r="27" ht="15.75" customHeight="1">
      <c r="A27" s="4">
        <v>1.0</v>
      </c>
      <c r="B27" s="4">
        <v>3.0</v>
      </c>
      <c r="C27" s="4">
        <f t="shared" si="1"/>
        <v>2</v>
      </c>
      <c r="D27" s="5">
        <f t="shared" si="2"/>
        <v>0.3436385256</v>
      </c>
    </row>
    <row r="28" ht="15.75" customHeight="1">
      <c r="A28" s="4">
        <v>2.0</v>
      </c>
      <c r="B28" s="4">
        <v>4.0</v>
      </c>
      <c r="C28" s="4">
        <f t="shared" si="1"/>
        <v>2</v>
      </c>
      <c r="D28" s="5">
        <f t="shared" si="2"/>
        <v>0.3436385256</v>
      </c>
    </row>
    <row r="29" ht="15.75" customHeight="1">
      <c r="A29" s="4">
        <v>1.0</v>
      </c>
      <c r="B29" s="4">
        <v>4.0</v>
      </c>
      <c r="C29" s="4">
        <f t="shared" si="1"/>
        <v>3</v>
      </c>
      <c r="D29" s="5">
        <f t="shared" si="2"/>
        <v>0.1712247325</v>
      </c>
    </row>
    <row r="30" ht="15.75" customHeight="1">
      <c r="A30" s="4">
        <v>2.0</v>
      </c>
      <c r="B30" s="4">
        <v>5.0</v>
      </c>
      <c r="C30" s="4">
        <f t="shared" si="1"/>
        <v>3</v>
      </c>
      <c r="D30" s="5">
        <f t="shared" si="2"/>
        <v>0.1712247325</v>
      </c>
    </row>
    <row r="31" ht="15.75" customHeight="1">
      <c r="A31" s="4">
        <v>1.0</v>
      </c>
      <c r="B31" s="4">
        <v>4.0</v>
      </c>
      <c r="C31" s="4">
        <f t="shared" si="1"/>
        <v>3</v>
      </c>
      <c r="D31" s="5">
        <f t="shared" si="2"/>
        <v>0.1712247325</v>
      </c>
    </row>
    <row r="32" ht="15.75" customHeight="1">
      <c r="A32" s="4">
        <v>2.0</v>
      </c>
      <c r="B32" s="4">
        <v>4.0</v>
      </c>
      <c r="C32" s="4">
        <f t="shared" si="1"/>
        <v>2</v>
      </c>
      <c r="D32" s="5">
        <f t="shared" si="2"/>
        <v>0.3436385256</v>
      </c>
    </row>
    <row r="33" ht="15.75" customHeight="1">
      <c r="A33" s="4">
        <v>1.0</v>
      </c>
      <c r="B33" s="4">
        <v>5.0</v>
      </c>
      <c r="C33" s="4">
        <f t="shared" si="1"/>
        <v>4</v>
      </c>
      <c r="D33" s="5">
        <f t="shared" si="2"/>
        <v>1.998810939</v>
      </c>
    </row>
    <row r="34" ht="15.75" customHeight="1">
      <c r="A34" s="4">
        <v>2.0</v>
      </c>
      <c r="B34" s="4">
        <v>4.0</v>
      </c>
      <c r="C34" s="4">
        <f t="shared" si="1"/>
        <v>2</v>
      </c>
      <c r="D34" s="5">
        <f t="shared" si="2"/>
        <v>0.3436385256</v>
      </c>
      <c r="F34" s="7" t="s">
        <v>15</v>
      </c>
    </row>
    <row r="35" ht="15.75" customHeight="1">
      <c r="A35" s="4">
        <v>1.0</v>
      </c>
      <c r="B35" s="4">
        <v>4.0</v>
      </c>
      <c r="C35" s="4">
        <f t="shared" si="1"/>
        <v>3</v>
      </c>
      <c r="D35" s="5">
        <f t="shared" si="2"/>
        <v>0.1712247325</v>
      </c>
      <c r="F35" s="7" t="s">
        <v>16</v>
      </c>
    </row>
    <row r="36" ht="15.75" customHeight="1">
      <c r="A36" s="4">
        <v>2.0</v>
      </c>
      <c r="B36" s="4">
        <v>2.0</v>
      </c>
      <c r="C36" s="4">
        <f t="shared" si="1"/>
        <v>0</v>
      </c>
      <c r="D36" s="5">
        <f t="shared" si="2"/>
        <v>6.688466112</v>
      </c>
    </row>
    <row r="37" ht="15.75" customHeight="1">
      <c r="A37" s="4">
        <v>1.0</v>
      </c>
      <c r="B37" s="4">
        <v>5.0</v>
      </c>
      <c r="C37" s="4">
        <f t="shared" si="1"/>
        <v>4</v>
      </c>
      <c r="D37" s="5">
        <f t="shared" si="2"/>
        <v>1.998810939</v>
      </c>
    </row>
    <row r="38" ht="15.75" customHeight="1">
      <c r="A38" s="4">
        <v>2.0</v>
      </c>
      <c r="B38" s="4">
        <v>5.0</v>
      </c>
      <c r="C38" s="4">
        <f t="shared" si="1"/>
        <v>3</v>
      </c>
      <c r="D38" s="5">
        <f t="shared" si="2"/>
        <v>0.1712247325</v>
      </c>
    </row>
    <row r="39" ht="15.75" customHeight="1">
      <c r="A39" s="4">
        <v>1.0</v>
      </c>
      <c r="B39" s="4">
        <v>4.0</v>
      </c>
      <c r="C39" s="4">
        <f t="shared" si="1"/>
        <v>3</v>
      </c>
      <c r="D39" s="5">
        <f t="shared" si="2"/>
        <v>0.1712247325</v>
      </c>
      <c r="F39" s="6" t="s">
        <v>17</v>
      </c>
      <c r="G39" s="6"/>
    </row>
    <row r="40" ht="15.75" customHeight="1">
      <c r="A40" s="4">
        <v>2.0</v>
      </c>
      <c r="B40" s="4">
        <v>4.0</v>
      </c>
      <c r="C40" s="4">
        <f t="shared" si="1"/>
        <v>2</v>
      </c>
      <c r="D40" s="5">
        <f t="shared" si="2"/>
        <v>0.3436385256</v>
      </c>
      <c r="F40" s="7" t="s">
        <v>17</v>
      </c>
    </row>
    <row r="41" ht="15.75" customHeight="1">
      <c r="A41" s="4">
        <v>1.0</v>
      </c>
      <c r="B41" s="4">
        <v>4.0</v>
      </c>
      <c r="C41" s="4">
        <f t="shared" si="1"/>
        <v>3</v>
      </c>
      <c r="D41" s="5">
        <f t="shared" si="2"/>
        <v>0.1712247325</v>
      </c>
      <c r="F41" s="7" t="s">
        <v>132</v>
      </c>
      <c r="G41" s="7">
        <f>TTEST(A:A,B:B,2,1)</f>
        <v>0</v>
      </c>
    </row>
    <row r="42" ht="15.75" customHeight="1">
      <c r="A42" s="4">
        <v>2.0</v>
      </c>
      <c r="B42" s="4">
        <v>5.0</v>
      </c>
      <c r="C42" s="4">
        <f t="shared" si="1"/>
        <v>3</v>
      </c>
      <c r="D42" s="5">
        <f t="shared" si="2"/>
        <v>0.1712247325</v>
      </c>
      <c r="F42" s="7" t="s">
        <v>133</v>
      </c>
      <c r="G42" s="7">
        <f>TTEST(A:A,B:B,1,1)</f>
        <v>0</v>
      </c>
    </row>
    <row r="43" ht="15.75" customHeight="1">
      <c r="A43" s="4">
        <v>1.0</v>
      </c>
      <c r="B43" s="4">
        <v>5.0</v>
      </c>
      <c r="C43" s="4">
        <f t="shared" si="1"/>
        <v>4</v>
      </c>
      <c r="D43" s="5">
        <f t="shared" si="2"/>
        <v>1.998810939</v>
      </c>
    </row>
    <row r="44" ht="15.75" customHeight="1">
      <c r="A44" s="4">
        <v>3.0</v>
      </c>
      <c r="B44" s="4">
        <v>4.0</v>
      </c>
      <c r="C44" s="4">
        <f t="shared" si="1"/>
        <v>1</v>
      </c>
      <c r="D44" s="5">
        <f t="shared" si="2"/>
        <v>2.516052319</v>
      </c>
    </row>
    <row r="45" ht="15.75" customHeight="1">
      <c r="A45" s="4">
        <v>1.0</v>
      </c>
      <c r="B45" s="4">
        <v>5.0</v>
      </c>
      <c r="C45" s="4">
        <f t="shared" si="1"/>
        <v>4</v>
      </c>
      <c r="D45" s="5">
        <f t="shared" si="2"/>
        <v>1.998810939</v>
      </c>
      <c r="F45" s="6" t="s">
        <v>20</v>
      </c>
      <c r="G45" s="6"/>
    </row>
    <row r="46" ht="15.75" customHeight="1">
      <c r="A46" s="4">
        <v>2.0</v>
      </c>
      <c r="B46" s="4">
        <v>5.0</v>
      </c>
      <c r="C46" s="4">
        <f t="shared" si="1"/>
        <v>3</v>
      </c>
      <c r="D46" s="5">
        <f t="shared" si="2"/>
        <v>0.1712247325</v>
      </c>
    </row>
    <row r="47" ht="15.75" customHeight="1">
      <c r="A47" s="4">
        <v>1.0</v>
      </c>
      <c r="B47" s="4">
        <v>4.0</v>
      </c>
      <c r="C47" s="4">
        <f t="shared" si="1"/>
        <v>3</v>
      </c>
      <c r="D47" s="5">
        <f t="shared" si="2"/>
        <v>0.1712247325</v>
      </c>
      <c r="F47" s="7" t="s">
        <v>134</v>
      </c>
    </row>
    <row r="48" ht="15.75" customHeight="1">
      <c r="A48" s="4">
        <v>3.0</v>
      </c>
      <c r="B48" s="4">
        <v>4.0</v>
      </c>
      <c r="C48" s="4">
        <f t="shared" si="1"/>
        <v>1</v>
      </c>
      <c r="D48" s="5">
        <f t="shared" si="2"/>
        <v>2.516052319</v>
      </c>
      <c r="F48" s="7" t="s">
        <v>135</v>
      </c>
    </row>
    <row r="49" ht="15.75" customHeight="1">
      <c r="A49" s="4">
        <v>1.0</v>
      </c>
      <c r="B49" s="4">
        <v>4.0</v>
      </c>
      <c r="C49" s="4">
        <f t="shared" si="1"/>
        <v>3</v>
      </c>
      <c r="D49" s="5">
        <f t="shared" si="2"/>
        <v>0.1712247325</v>
      </c>
    </row>
    <row r="50" ht="15.75" customHeight="1">
      <c r="A50" s="4">
        <v>2.0</v>
      </c>
      <c r="B50" s="4">
        <v>5.0</v>
      </c>
      <c r="C50" s="4">
        <f t="shared" si="1"/>
        <v>3</v>
      </c>
      <c r="D50" s="5">
        <f t="shared" si="2"/>
        <v>0.1712247325</v>
      </c>
      <c r="F50" s="7" t="s">
        <v>23</v>
      </c>
    </row>
    <row r="51" ht="15.75" customHeight="1">
      <c r="A51" s="4">
        <v>1.0</v>
      </c>
      <c r="B51" s="4">
        <v>5.0</v>
      </c>
      <c r="C51" s="4">
        <f t="shared" si="1"/>
        <v>4</v>
      </c>
      <c r="D51" s="5">
        <f t="shared" si="2"/>
        <v>1.998810939</v>
      </c>
      <c r="F51" s="7" t="s">
        <v>24</v>
      </c>
    </row>
    <row r="52" ht="15.75" customHeight="1">
      <c r="A52" s="4">
        <v>2.0</v>
      </c>
      <c r="B52" s="4">
        <v>5.0</v>
      </c>
      <c r="C52" s="4">
        <f t="shared" si="1"/>
        <v>3</v>
      </c>
      <c r="D52" s="5">
        <f t="shared" si="2"/>
        <v>0.1712247325</v>
      </c>
    </row>
    <row r="53" ht="15.75" customHeight="1">
      <c r="A53" s="4">
        <v>1.0</v>
      </c>
      <c r="B53" s="4">
        <v>4.0</v>
      </c>
      <c r="C53" s="4">
        <f t="shared" si="1"/>
        <v>3</v>
      </c>
      <c r="D53" s="5">
        <f t="shared" si="2"/>
        <v>0.1712247325</v>
      </c>
    </row>
    <row r="54" ht="15.75" customHeight="1">
      <c r="A54" s="4">
        <v>2.0</v>
      </c>
      <c r="B54" s="4">
        <v>5.0</v>
      </c>
      <c r="C54" s="4">
        <f t="shared" si="1"/>
        <v>3</v>
      </c>
      <c r="D54" s="5">
        <f t="shared" si="2"/>
        <v>0.1712247325</v>
      </c>
    </row>
    <row r="55" ht="15.75" customHeight="1">
      <c r="A55" s="4">
        <v>1.0</v>
      </c>
      <c r="B55" s="4">
        <v>4.0</v>
      </c>
      <c r="C55" s="4">
        <f t="shared" si="1"/>
        <v>3</v>
      </c>
      <c r="D55" s="5">
        <f t="shared" si="2"/>
        <v>0.1712247325</v>
      </c>
    </row>
    <row r="56" ht="15.75" customHeight="1">
      <c r="A56" s="4">
        <v>2.0</v>
      </c>
      <c r="B56" s="4">
        <v>2.0</v>
      </c>
      <c r="C56" s="4">
        <f t="shared" si="1"/>
        <v>0</v>
      </c>
      <c r="D56" s="5">
        <f t="shared" si="2"/>
        <v>6.688466112</v>
      </c>
      <c r="F56" s="6" t="s">
        <v>25</v>
      </c>
    </row>
    <row r="57" ht="15.75" customHeight="1">
      <c r="A57" s="4">
        <v>1.0</v>
      </c>
      <c r="B57" s="4">
        <v>5.0</v>
      </c>
      <c r="C57" s="4">
        <f t="shared" si="1"/>
        <v>4</v>
      </c>
      <c r="D57" s="5">
        <f t="shared" si="2"/>
        <v>1.998810939</v>
      </c>
    </row>
    <row r="58" ht="15.75" customHeight="1">
      <c r="A58" s="4">
        <v>2.0</v>
      </c>
      <c r="B58" s="4">
        <v>5.0</v>
      </c>
      <c r="C58" s="4">
        <f t="shared" si="1"/>
        <v>3</v>
      </c>
      <c r="D58" s="5">
        <f t="shared" si="2"/>
        <v>0.1712247325</v>
      </c>
      <c r="F58" s="7" t="s">
        <v>136</v>
      </c>
    </row>
    <row r="59" ht="15.75" customHeight="1">
      <c r="A59" s="4">
        <v>1.0</v>
      </c>
      <c r="B59" s="4">
        <v>4.0</v>
      </c>
      <c r="C59" s="4">
        <f t="shared" si="1"/>
        <v>3</v>
      </c>
      <c r="D59" s="5">
        <f t="shared" si="2"/>
        <v>0.1712247325</v>
      </c>
      <c r="F59" s="7" t="s">
        <v>27</v>
      </c>
    </row>
    <row r="60" ht="15.75" customHeight="1">
      <c r="A60" s="4">
        <v>2.0</v>
      </c>
      <c r="B60" s="4">
        <v>5.0</v>
      </c>
      <c r="C60" s="4">
        <f t="shared" si="1"/>
        <v>3</v>
      </c>
      <c r="D60" s="5">
        <f t="shared" si="2"/>
        <v>0.1712247325</v>
      </c>
      <c r="F60" s="7" t="s">
        <v>137</v>
      </c>
    </row>
    <row r="61" ht="15.75" customHeight="1">
      <c r="A61" s="4">
        <v>1.0</v>
      </c>
      <c r="B61" s="4">
        <v>4.0</v>
      </c>
      <c r="C61" s="4">
        <f t="shared" si="1"/>
        <v>3</v>
      </c>
      <c r="D61" s="5">
        <f t="shared" si="2"/>
        <v>0.1712247325</v>
      </c>
    </row>
    <row r="62" ht="15.75" customHeight="1">
      <c r="A62" s="4">
        <v>2.0</v>
      </c>
      <c r="B62" s="4">
        <v>5.0</v>
      </c>
      <c r="C62" s="4">
        <f t="shared" si="1"/>
        <v>3</v>
      </c>
      <c r="D62" s="5">
        <f t="shared" si="2"/>
        <v>0.1712247325</v>
      </c>
    </row>
    <row r="63" ht="15.75" customHeight="1">
      <c r="A63" s="4">
        <v>1.0</v>
      </c>
      <c r="B63" s="4">
        <v>5.0</v>
      </c>
      <c r="C63" s="4">
        <f t="shared" si="1"/>
        <v>4</v>
      </c>
      <c r="D63" s="5">
        <f t="shared" si="2"/>
        <v>1.998810939</v>
      </c>
    </row>
    <row r="64" ht="15.75" customHeight="1">
      <c r="A64" s="4">
        <v>2.0</v>
      </c>
      <c r="B64" s="4">
        <v>5.0</v>
      </c>
      <c r="C64" s="4">
        <f t="shared" si="1"/>
        <v>3</v>
      </c>
      <c r="D64" s="5">
        <f t="shared" si="2"/>
        <v>0.1712247325</v>
      </c>
    </row>
    <row r="65" ht="15.75" customHeight="1">
      <c r="A65" s="4">
        <v>1.0</v>
      </c>
      <c r="B65" s="4">
        <v>4.0</v>
      </c>
      <c r="C65" s="4">
        <f t="shared" si="1"/>
        <v>3</v>
      </c>
      <c r="D65" s="5">
        <f t="shared" si="2"/>
        <v>0.1712247325</v>
      </c>
      <c r="F65" s="6" t="s">
        <v>25</v>
      </c>
    </row>
    <row r="66" ht="15.75" customHeight="1">
      <c r="A66" s="4">
        <v>2.0</v>
      </c>
      <c r="B66" s="4">
        <v>4.0</v>
      </c>
      <c r="C66" s="4">
        <f t="shared" si="1"/>
        <v>2</v>
      </c>
      <c r="D66" s="5">
        <f t="shared" si="2"/>
        <v>0.3436385256</v>
      </c>
    </row>
    <row r="67" ht="15.75" customHeight="1">
      <c r="A67" s="4">
        <v>1.0</v>
      </c>
      <c r="B67" s="4">
        <v>2.0</v>
      </c>
      <c r="C67" s="4">
        <f t="shared" si="1"/>
        <v>1</v>
      </c>
      <c r="D67" s="5">
        <f t="shared" si="2"/>
        <v>2.516052319</v>
      </c>
    </row>
    <row r="68" ht="15.75" customHeight="1">
      <c r="A68" s="4">
        <v>2.0</v>
      </c>
      <c r="B68" s="4">
        <v>3.0</v>
      </c>
      <c r="C68" s="4">
        <f t="shared" si="1"/>
        <v>1</v>
      </c>
      <c r="D68" s="5">
        <f t="shared" si="2"/>
        <v>2.516052319</v>
      </c>
    </row>
    <row r="69" ht="15.75" customHeight="1">
      <c r="A69" s="4">
        <v>1.0</v>
      </c>
      <c r="B69" s="4">
        <v>3.0</v>
      </c>
      <c r="C69" s="4">
        <f t="shared" si="1"/>
        <v>2</v>
      </c>
      <c r="D69" s="5">
        <f t="shared" si="2"/>
        <v>0.3436385256</v>
      </c>
    </row>
    <row r="70" ht="15.75" customHeight="1">
      <c r="A70" s="4">
        <v>2.0</v>
      </c>
      <c r="B70" s="4">
        <v>5.0</v>
      </c>
      <c r="C70" s="4">
        <f t="shared" si="1"/>
        <v>3</v>
      </c>
      <c r="D70" s="5">
        <f t="shared" si="2"/>
        <v>0.1712247325</v>
      </c>
    </row>
    <row r="71" ht="15.75" customHeight="1">
      <c r="A71" s="4">
        <v>1.0</v>
      </c>
      <c r="B71" s="4">
        <v>5.0</v>
      </c>
      <c r="C71" s="4">
        <f t="shared" si="1"/>
        <v>4</v>
      </c>
      <c r="D71" s="5">
        <f t="shared" si="2"/>
        <v>1.998810939</v>
      </c>
    </row>
    <row r="72" ht="15.75" customHeight="1">
      <c r="A72" s="4">
        <v>2.0</v>
      </c>
      <c r="B72" s="4">
        <v>4.0</v>
      </c>
      <c r="C72" s="4">
        <f t="shared" si="1"/>
        <v>2</v>
      </c>
      <c r="D72" s="5">
        <f t="shared" si="2"/>
        <v>0.3436385256</v>
      </c>
      <c r="F72" s="7" t="s">
        <v>29</v>
      </c>
    </row>
    <row r="73" ht="15.75" customHeight="1">
      <c r="A73" s="4">
        <v>1.0</v>
      </c>
      <c r="B73" s="4">
        <v>2.0</v>
      </c>
      <c r="C73" s="4">
        <f t="shared" si="1"/>
        <v>1</v>
      </c>
      <c r="D73" s="5">
        <f t="shared" si="2"/>
        <v>2.516052319</v>
      </c>
      <c r="F73" s="7" t="s">
        <v>138</v>
      </c>
    </row>
    <row r="74" ht="15.75" customHeight="1">
      <c r="A74" s="4">
        <v>2.0</v>
      </c>
      <c r="B74" s="4">
        <v>5.0</v>
      </c>
      <c r="C74" s="4">
        <f t="shared" si="1"/>
        <v>3</v>
      </c>
      <c r="D74" s="5">
        <f t="shared" si="2"/>
        <v>0.1712247325</v>
      </c>
      <c r="F74" s="7" t="s">
        <v>29</v>
      </c>
    </row>
    <row r="75" ht="15.75" customHeight="1">
      <c r="A75" s="4">
        <v>1.0</v>
      </c>
      <c r="B75" s="4">
        <v>5.0</v>
      </c>
      <c r="C75" s="4">
        <f t="shared" si="1"/>
        <v>4</v>
      </c>
      <c r="D75" s="5">
        <f t="shared" si="2"/>
        <v>1.998810939</v>
      </c>
      <c r="F75" s="7" t="s">
        <v>139</v>
      </c>
    </row>
    <row r="76" ht="15.75" customHeight="1">
      <c r="A76" s="4">
        <v>2.0</v>
      </c>
      <c r="B76" s="4">
        <v>3.0</v>
      </c>
      <c r="C76" s="4">
        <f t="shared" si="1"/>
        <v>1</v>
      </c>
      <c r="D76" s="5">
        <f t="shared" si="2"/>
        <v>2.516052319</v>
      </c>
    </row>
    <row r="77" ht="15.75" customHeight="1">
      <c r="A77" s="4">
        <v>1.0</v>
      </c>
      <c r="B77" s="4">
        <v>4.0</v>
      </c>
      <c r="C77" s="4">
        <f t="shared" si="1"/>
        <v>3</v>
      </c>
      <c r="D77" s="5">
        <f t="shared" si="2"/>
        <v>0.1712247325</v>
      </c>
    </row>
    <row r="78" ht="15.75" customHeight="1">
      <c r="A78" s="4">
        <v>2.0</v>
      </c>
      <c r="B78" s="4">
        <v>4.0</v>
      </c>
      <c r="C78" s="4">
        <f t="shared" si="1"/>
        <v>2</v>
      </c>
      <c r="D78" s="5">
        <f t="shared" si="2"/>
        <v>0.3436385256</v>
      </c>
    </row>
    <row r="79" ht="15.75" customHeight="1">
      <c r="A79" s="4">
        <v>1.0</v>
      </c>
      <c r="B79" s="4">
        <v>4.0</v>
      </c>
      <c r="C79" s="4">
        <f t="shared" si="1"/>
        <v>3</v>
      </c>
      <c r="D79" s="5">
        <f t="shared" si="2"/>
        <v>0.1712247325</v>
      </c>
    </row>
    <row r="80" ht="15.75" customHeight="1">
      <c r="A80" s="4">
        <v>2.0</v>
      </c>
      <c r="B80" s="4">
        <v>5.0</v>
      </c>
      <c r="C80" s="4">
        <f t="shared" si="1"/>
        <v>3</v>
      </c>
      <c r="D80" s="5">
        <f t="shared" si="2"/>
        <v>0.1712247325</v>
      </c>
    </row>
    <row r="81" ht="15.75" customHeight="1">
      <c r="A81" s="4">
        <v>3.0</v>
      </c>
      <c r="B81" s="4">
        <v>3.0</v>
      </c>
      <c r="C81" s="4">
        <f t="shared" si="1"/>
        <v>0</v>
      </c>
      <c r="D81" s="5">
        <f t="shared" si="2"/>
        <v>6.688466112</v>
      </c>
    </row>
    <row r="82" ht="15.75" customHeight="1">
      <c r="A82" s="4">
        <v>2.0</v>
      </c>
      <c r="B82" s="4">
        <v>4.0</v>
      </c>
      <c r="C82" s="4">
        <f t="shared" si="1"/>
        <v>2</v>
      </c>
      <c r="D82" s="5">
        <f t="shared" si="2"/>
        <v>0.3436385256</v>
      </c>
    </row>
    <row r="83" ht="15.75" customHeight="1">
      <c r="A83" s="4">
        <v>1.0</v>
      </c>
      <c r="B83" s="4">
        <v>5.0</v>
      </c>
      <c r="C83" s="4">
        <f t="shared" si="1"/>
        <v>4</v>
      </c>
      <c r="D83" s="5">
        <f t="shared" si="2"/>
        <v>1.998810939</v>
      </c>
    </row>
    <row r="84" ht="15.75" customHeight="1">
      <c r="A84" s="4">
        <v>3.0</v>
      </c>
      <c r="B84" s="4">
        <v>5.0</v>
      </c>
      <c r="C84" s="4">
        <f t="shared" si="1"/>
        <v>2</v>
      </c>
      <c r="D84" s="5">
        <f t="shared" si="2"/>
        <v>0.3436385256</v>
      </c>
    </row>
    <row r="85" ht="15.75" customHeight="1">
      <c r="A85" s="4">
        <v>1.0</v>
      </c>
      <c r="B85" s="4">
        <v>4.0</v>
      </c>
      <c r="C85" s="4">
        <f t="shared" si="1"/>
        <v>3</v>
      </c>
      <c r="D85" s="5">
        <f t="shared" si="2"/>
        <v>0.1712247325</v>
      </c>
    </row>
    <row r="86" ht="15.75" customHeight="1">
      <c r="A86" s="4">
        <v>2.0</v>
      </c>
      <c r="B86" s="4">
        <v>5.0</v>
      </c>
      <c r="C86" s="4">
        <f t="shared" si="1"/>
        <v>3</v>
      </c>
      <c r="D86" s="5">
        <f t="shared" si="2"/>
        <v>0.1712247325</v>
      </c>
    </row>
    <row r="87" ht="15.75" customHeight="1">
      <c r="A87" s="4">
        <v>1.0</v>
      </c>
      <c r="B87" s="4">
        <v>4.0</v>
      </c>
      <c r="C87" s="4">
        <f t="shared" si="1"/>
        <v>3</v>
      </c>
      <c r="D87" s="5">
        <f t="shared" si="2"/>
        <v>0.1712247325</v>
      </c>
    </row>
    <row r="88" ht="15.75" customHeight="1">
      <c r="A88" s="4">
        <v>2.0</v>
      </c>
      <c r="B88" s="4">
        <v>5.0</v>
      </c>
      <c r="C88" s="4">
        <f t="shared" si="1"/>
        <v>3</v>
      </c>
      <c r="D88" s="5">
        <f t="shared" si="2"/>
        <v>0.1712247325</v>
      </c>
    </row>
    <row r="89" ht="15.75" customHeight="1"/>
    <row r="90" ht="15.75" customHeight="1"/>
    <row r="91" ht="15.75" customHeight="1"/>
    <row r="92" ht="15.75" customHeight="1"/>
    <row r="93" ht="15.75" customHeight="1">
      <c r="F93" s="8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3.43"/>
    <col customWidth="1" min="3" max="3" width="19.86"/>
    <col customWidth="1" min="4" max="4" width="23.14"/>
    <col customWidth="1" min="5" max="5" width="12.0"/>
    <col customWidth="1" min="6" max="6" width="39.0"/>
    <col customWidth="1" min="7" max="7" width="19.0"/>
    <col customWidth="1" min="8" max="26" width="9.14"/>
  </cols>
  <sheetData>
    <row r="1" ht="108.0" customHeight="1">
      <c r="A1" s="1" t="s">
        <v>140</v>
      </c>
      <c r="B1" s="2" t="s">
        <v>141</v>
      </c>
      <c r="C1" s="3" t="s">
        <v>2</v>
      </c>
      <c r="D1" s="3"/>
    </row>
    <row r="2">
      <c r="A2" s="4">
        <v>2.0</v>
      </c>
      <c r="B2" s="4">
        <v>4.0</v>
      </c>
      <c r="C2" s="4">
        <f t="shared" ref="C2:C88" si="1">B2-A2</f>
        <v>2</v>
      </c>
      <c r="D2" s="5">
        <f t="shared" ref="D2:D88" si="2">(C2-$G$6)^2</f>
        <v>0.002113885586</v>
      </c>
    </row>
    <row r="3">
      <c r="A3" s="4">
        <v>1.0</v>
      </c>
      <c r="B3" s="4">
        <v>5.0</v>
      </c>
      <c r="C3" s="4">
        <f t="shared" si="1"/>
        <v>4</v>
      </c>
      <c r="D3" s="5">
        <f t="shared" si="2"/>
        <v>4.186021932</v>
      </c>
      <c r="F3" s="6" t="s">
        <v>3</v>
      </c>
      <c r="G3" s="6"/>
    </row>
    <row r="4">
      <c r="A4" s="4">
        <v>2.0</v>
      </c>
      <c r="B4" s="4">
        <v>3.0</v>
      </c>
      <c r="C4" s="4">
        <f t="shared" si="1"/>
        <v>1</v>
      </c>
      <c r="D4" s="5">
        <f t="shared" si="2"/>
        <v>0.9101598626</v>
      </c>
      <c r="F4" s="7" t="s">
        <v>4</v>
      </c>
      <c r="G4" s="7">
        <v>87.0</v>
      </c>
    </row>
    <row r="5">
      <c r="A5" s="4">
        <v>1.0</v>
      </c>
      <c r="B5" s="4">
        <v>5.0</v>
      </c>
      <c r="C5" s="4">
        <f t="shared" si="1"/>
        <v>4</v>
      </c>
      <c r="D5" s="5">
        <f t="shared" si="2"/>
        <v>4.186021932</v>
      </c>
      <c r="F5" s="7" t="s">
        <v>5</v>
      </c>
      <c r="G5" s="7">
        <f>SUM(C:C)</f>
        <v>170</v>
      </c>
    </row>
    <row r="6">
      <c r="A6" s="4">
        <v>2.0</v>
      </c>
      <c r="B6" s="4">
        <v>2.0</v>
      </c>
      <c r="C6" s="4">
        <f t="shared" si="1"/>
        <v>0</v>
      </c>
      <c r="D6" s="5">
        <f t="shared" si="2"/>
        <v>3.81820584</v>
      </c>
      <c r="F6" s="7" t="s">
        <v>6</v>
      </c>
      <c r="G6" s="7">
        <f>G5/G4</f>
        <v>1.954022989</v>
      </c>
    </row>
    <row r="7">
      <c r="A7" s="4">
        <v>3.0</v>
      </c>
      <c r="B7" s="4">
        <v>3.0</v>
      </c>
      <c r="C7" s="4">
        <f t="shared" si="1"/>
        <v>0</v>
      </c>
      <c r="D7" s="5">
        <f t="shared" si="2"/>
        <v>3.81820584</v>
      </c>
      <c r="F7" s="7" t="s">
        <v>7</v>
      </c>
      <c r="G7" s="7">
        <f>SUM(D:D)</f>
        <v>133.816092</v>
      </c>
    </row>
    <row r="8">
      <c r="A8" s="4">
        <v>2.0</v>
      </c>
      <c r="B8" s="4">
        <v>4.0</v>
      </c>
      <c r="C8" s="4">
        <f t="shared" si="1"/>
        <v>2</v>
      </c>
      <c r="D8" s="5">
        <f t="shared" si="2"/>
        <v>0.002113885586</v>
      </c>
      <c r="F8" s="7" t="s">
        <v>8</v>
      </c>
      <c r="G8" s="7">
        <f>SQRT(G7/(G4-1))</f>
        <v>1.247397719</v>
      </c>
    </row>
    <row r="9">
      <c r="A9" s="4">
        <v>1.0</v>
      </c>
      <c r="B9" s="4">
        <v>4.0</v>
      </c>
      <c r="C9" s="4">
        <f t="shared" si="1"/>
        <v>3</v>
      </c>
      <c r="D9" s="5">
        <f t="shared" si="2"/>
        <v>1.094067909</v>
      </c>
    </row>
    <row r="10">
      <c r="A10" s="4">
        <v>3.0</v>
      </c>
      <c r="B10" s="4">
        <v>3.0</v>
      </c>
      <c r="C10" s="4">
        <f t="shared" si="1"/>
        <v>0</v>
      </c>
      <c r="D10" s="5">
        <f t="shared" si="2"/>
        <v>3.81820584</v>
      </c>
    </row>
    <row r="11">
      <c r="A11" s="4">
        <v>3.0</v>
      </c>
      <c r="B11" s="4">
        <v>5.0</v>
      </c>
      <c r="C11" s="4">
        <f t="shared" si="1"/>
        <v>2</v>
      </c>
      <c r="D11" s="5">
        <f t="shared" si="2"/>
        <v>0.002113885586</v>
      </c>
    </row>
    <row r="12">
      <c r="A12" s="4">
        <v>2.0</v>
      </c>
      <c r="B12" s="4">
        <v>3.0</v>
      </c>
      <c r="C12" s="4">
        <f t="shared" si="1"/>
        <v>1</v>
      </c>
      <c r="D12" s="5">
        <f t="shared" si="2"/>
        <v>0.9101598626</v>
      </c>
      <c r="F12" s="7" t="s">
        <v>9</v>
      </c>
      <c r="G12" s="7">
        <f>G6/(G8/SQRT(G4))</f>
        <v>14.61114833</v>
      </c>
    </row>
    <row r="13">
      <c r="A13" s="4">
        <v>1.0</v>
      </c>
      <c r="B13" s="4">
        <v>4.0</v>
      </c>
      <c r="C13" s="4">
        <f t="shared" si="1"/>
        <v>3</v>
      </c>
      <c r="D13" s="5">
        <f t="shared" si="2"/>
        <v>1.094067909</v>
      </c>
    </row>
    <row r="14">
      <c r="A14" s="4">
        <v>2.0</v>
      </c>
      <c r="B14" s="4">
        <v>5.0</v>
      </c>
      <c r="C14" s="4">
        <f t="shared" si="1"/>
        <v>3</v>
      </c>
      <c r="D14" s="5">
        <f t="shared" si="2"/>
        <v>1.094067909</v>
      </c>
    </row>
    <row r="15">
      <c r="A15" s="4">
        <v>1.0</v>
      </c>
      <c r="B15" s="4">
        <v>4.0</v>
      </c>
      <c r="C15" s="4">
        <f t="shared" si="1"/>
        <v>3</v>
      </c>
      <c r="D15" s="5">
        <f t="shared" si="2"/>
        <v>1.094067909</v>
      </c>
    </row>
    <row r="16">
      <c r="A16" s="4">
        <v>2.0</v>
      </c>
      <c r="B16" s="4">
        <v>5.0</v>
      </c>
      <c r="C16" s="4">
        <f t="shared" si="1"/>
        <v>3</v>
      </c>
      <c r="D16" s="5">
        <f t="shared" si="2"/>
        <v>1.094067909</v>
      </c>
    </row>
    <row r="17">
      <c r="A17" s="4">
        <v>1.0</v>
      </c>
      <c r="B17" s="4">
        <v>3.0</v>
      </c>
      <c r="C17" s="4">
        <f t="shared" si="1"/>
        <v>2</v>
      </c>
      <c r="D17" s="5">
        <f t="shared" si="2"/>
        <v>0.002113885586</v>
      </c>
      <c r="F17" s="7" t="s">
        <v>10</v>
      </c>
      <c r="G17" s="7">
        <v>0.05</v>
      </c>
    </row>
    <row r="18">
      <c r="A18" s="4">
        <v>2.0</v>
      </c>
      <c r="B18" s="4">
        <v>3.0</v>
      </c>
      <c r="C18" s="4">
        <f t="shared" si="1"/>
        <v>1</v>
      </c>
      <c r="D18" s="5">
        <f t="shared" si="2"/>
        <v>0.9101598626</v>
      </c>
      <c r="F18" s="7" t="s">
        <v>11</v>
      </c>
      <c r="G18" s="7">
        <f>G4-1</f>
        <v>86</v>
      </c>
    </row>
    <row r="19">
      <c r="A19" s="4">
        <v>1.0</v>
      </c>
      <c r="B19" s="4">
        <v>4.0</v>
      </c>
      <c r="C19" s="4">
        <f t="shared" si="1"/>
        <v>3</v>
      </c>
      <c r="D19" s="5">
        <f t="shared" si="2"/>
        <v>1.094067909</v>
      </c>
    </row>
    <row r="20">
      <c r="A20" s="4">
        <v>2.0</v>
      </c>
      <c r="B20" s="4">
        <v>4.0</v>
      </c>
      <c r="C20" s="4">
        <f t="shared" si="1"/>
        <v>2</v>
      </c>
      <c r="D20" s="5">
        <f t="shared" si="2"/>
        <v>0.002113885586</v>
      </c>
    </row>
    <row r="21" ht="15.75" customHeight="1">
      <c r="A21" s="4">
        <v>1.0</v>
      </c>
      <c r="B21" s="4">
        <v>3.0</v>
      </c>
      <c r="C21" s="4">
        <f t="shared" si="1"/>
        <v>2</v>
      </c>
      <c r="D21" s="5">
        <f t="shared" si="2"/>
        <v>0.002113885586</v>
      </c>
    </row>
    <row r="22" ht="15.75" customHeight="1">
      <c r="A22" s="4">
        <v>2.0</v>
      </c>
      <c r="B22" s="4">
        <v>4.0</v>
      </c>
      <c r="C22" s="4">
        <f t="shared" si="1"/>
        <v>2</v>
      </c>
      <c r="D22" s="5">
        <f t="shared" si="2"/>
        <v>0.002113885586</v>
      </c>
      <c r="F22" s="6" t="s">
        <v>12</v>
      </c>
      <c r="G22" s="6"/>
    </row>
    <row r="23" ht="15.75" customHeight="1">
      <c r="A23" s="4">
        <v>1.0</v>
      </c>
      <c r="B23" s="4">
        <v>5.0</v>
      </c>
      <c r="C23" s="4">
        <f t="shared" si="1"/>
        <v>4</v>
      </c>
      <c r="D23" s="5">
        <f t="shared" si="2"/>
        <v>4.186021932</v>
      </c>
      <c r="F23" s="7" t="s">
        <v>142</v>
      </c>
      <c r="G23" s="7">
        <f>_xlfn.T.INV.2T(G17,G18)</f>
        <v>1.987934206</v>
      </c>
    </row>
    <row r="24" ht="15.75" customHeight="1">
      <c r="A24" s="4">
        <v>2.0</v>
      </c>
      <c r="B24" s="4">
        <v>5.0</v>
      </c>
      <c r="C24" s="4">
        <f t="shared" si="1"/>
        <v>3</v>
      </c>
      <c r="D24" s="5">
        <f t="shared" si="2"/>
        <v>1.094067909</v>
      </c>
      <c r="F24" s="7" t="s">
        <v>143</v>
      </c>
      <c r="G24" s="7">
        <f>_xlfn.T.INV(G17,G18)</f>
        <v>-1.662765449</v>
      </c>
    </row>
    <row r="25" ht="15.75" customHeight="1">
      <c r="A25" s="4">
        <v>1.0</v>
      </c>
      <c r="B25" s="4">
        <v>2.0</v>
      </c>
      <c r="C25" s="4">
        <f t="shared" si="1"/>
        <v>1</v>
      </c>
      <c r="D25" s="5">
        <f t="shared" si="2"/>
        <v>0.9101598626</v>
      </c>
    </row>
    <row r="26" ht="15.75" customHeight="1">
      <c r="A26" s="4">
        <v>2.0</v>
      </c>
      <c r="B26" s="4">
        <v>5.0</v>
      </c>
      <c r="C26" s="4">
        <f t="shared" si="1"/>
        <v>3</v>
      </c>
      <c r="D26" s="5">
        <f t="shared" si="2"/>
        <v>1.094067909</v>
      </c>
    </row>
    <row r="27" ht="15.75" customHeight="1">
      <c r="A27" s="4">
        <v>1.0</v>
      </c>
      <c r="B27" s="4">
        <v>3.0</v>
      </c>
      <c r="C27" s="4">
        <f t="shared" si="1"/>
        <v>2</v>
      </c>
      <c r="D27" s="5">
        <f t="shared" si="2"/>
        <v>0.002113885586</v>
      </c>
    </row>
    <row r="28" ht="15.75" customHeight="1">
      <c r="A28" s="4">
        <v>2.0</v>
      </c>
      <c r="B28" s="4">
        <v>3.0</v>
      </c>
      <c r="C28" s="4">
        <f t="shared" si="1"/>
        <v>1</v>
      </c>
      <c r="D28" s="5">
        <f t="shared" si="2"/>
        <v>0.9101598626</v>
      </c>
    </row>
    <row r="29" ht="15.75" customHeight="1">
      <c r="A29" s="4">
        <v>1.0</v>
      </c>
      <c r="B29" s="4">
        <v>4.0</v>
      </c>
      <c r="C29" s="4">
        <f t="shared" si="1"/>
        <v>3</v>
      </c>
      <c r="D29" s="5">
        <f t="shared" si="2"/>
        <v>1.094067909</v>
      </c>
    </row>
    <row r="30" ht="15.75" customHeight="1">
      <c r="A30" s="4">
        <v>2.0</v>
      </c>
      <c r="B30" s="4">
        <v>3.0</v>
      </c>
      <c r="C30" s="4">
        <f t="shared" si="1"/>
        <v>1</v>
      </c>
      <c r="D30" s="5">
        <f t="shared" si="2"/>
        <v>0.9101598626</v>
      </c>
    </row>
    <row r="31" ht="15.75" customHeight="1">
      <c r="A31" s="4">
        <v>1.0</v>
      </c>
      <c r="B31" s="4">
        <v>3.0</v>
      </c>
      <c r="C31" s="4">
        <f t="shared" si="1"/>
        <v>2</v>
      </c>
      <c r="D31" s="5">
        <f t="shared" si="2"/>
        <v>0.002113885586</v>
      </c>
    </row>
    <row r="32" ht="15.75" customHeight="1">
      <c r="A32" s="4">
        <v>2.0</v>
      </c>
      <c r="B32" s="4">
        <v>5.0</v>
      </c>
      <c r="C32" s="4">
        <f t="shared" si="1"/>
        <v>3</v>
      </c>
      <c r="D32" s="5">
        <f t="shared" si="2"/>
        <v>1.094067909</v>
      </c>
    </row>
    <row r="33" ht="15.75" customHeight="1">
      <c r="A33" s="4">
        <v>3.0</v>
      </c>
      <c r="B33" s="4">
        <v>5.0</v>
      </c>
      <c r="C33" s="4">
        <f t="shared" si="1"/>
        <v>2</v>
      </c>
      <c r="D33" s="5">
        <f t="shared" si="2"/>
        <v>0.002113885586</v>
      </c>
    </row>
    <row r="34" ht="15.75" customHeight="1">
      <c r="A34" s="4">
        <v>2.0</v>
      </c>
      <c r="B34" s="4">
        <v>3.0</v>
      </c>
      <c r="C34" s="4">
        <f t="shared" si="1"/>
        <v>1</v>
      </c>
      <c r="D34" s="5">
        <f t="shared" si="2"/>
        <v>0.9101598626</v>
      </c>
      <c r="F34" s="7" t="s">
        <v>15</v>
      </c>
    </row>
    <row r="35" ht="15.75" customHeight="1">
      <c r="A35" s="4">
        <v>1.0</v>
      </c>
      <c r="B35" s="4">
        <v>4.0</v>
      </c>
      <c r="C35" s="4">
        <f t="shared" si="1"/>
        <v>3</v>
      </c>
      <c r="D35" s="5">
        <f t="shared" si="2"/>
        <v>1.094067909</v>
      </c>
      <c r="F35" s="7" t="s">
        <v>16</v>
      </c>
    </row>
    <row r="36" ht="15.75" customHeight="1">
      <c r="A36" s="4">
        <v>2.0</v>
      </c>
      <c r="B36" s="4">
        <v>5.0</v>
      </c>
      <c r="C36" s="4">
        <f t="shared" si="1"/>
        <v>3</v>
      </c>
      <c r="D36" s="5">
        <f t="shared" si="2"/>
        <v>1.094067909</v>
      </c>
    </row>
    <row r="37" ht="15.75" customHeight="1">
      <c r="A37" s="4">
        <v>1.0</v>
      </c>
      <c r="B37" s="4">
        <v>3.0</v>
      </c>
      <c r="C37" s="4">
        <f t="shared" si="1"/>
        <v>2</v>
      </c>
      <c r="D37" s="5">
        <f t="shared" si="2"/>
        <v>0.002113885586</v>
      </c>
    </row>
    <row r="38" ht="15.75" customHeight="1">
      <c r="A38" s="4">
        <v>2.0</v>
      </c>
      <c r="B38" s="4">
        <v>3.0</v>
      </c>
      <c r="C38" s="4">
        <f t="shared" si="1"/>
        <v>1</v>
      </c>
      <c r="D38" s="5">
        <f t="shared" si="2"/>
        <v>0.9101598626</v>
      </c>
    </row>
    <row r="39" ht="15.75" customHeight="1">
      <c r="A39" s="4">
        <v>1.0</v>
      </c>
      <c r="B39" s="4">
        <v>3.0</v>
      </c>
      <c r="C39" s="4">
        <f t="shared" si="1"/>
        <v>2</v>
      </c>
      <c r="D39" s="5">
        <f t="shared" si="2"/>
        <v>0.002113885586</v>
      </c>
      <c r="F39" s="6" t="s">
        <v>17</v>
      </c>
      <c r="G39" s="6"/>
    </row>
    <row r="40" ht="15.75" customHeight="1">
      <c r="A40" s="4">
        <v>2.0</v>
      </c>
      <c r="B40" s="4">
        <v>5.0</v>
      </c>
      <c r="C40" s="4">
        <f t="shared" si="1"/>
        <v>3</v>
      </c>
      <c r="D40" s="5">
        <f t="shared" si="2"/>
        <v>1.094067909</v>
      </c>
      <c r="F40" s="7" t="s">
        <v>17</v>
      </c>
    </row>
    <row r="41" ht="15.75" customHeight="1">
      <c r="A41" s="4">
        <v>1.0</v>
      </c>
      <c r="B41" s="4">
        <v>3.0</v>
      </c>
      <c r="C41" s="4">
        <f t="shared" si="1"/>
        <v>2</v>
      </c>
      <c r="D41" s="5">
        <f t="shared" si="2"/>
        <v>0.002113885586</v>
      </c>
      <c r="F41" s="7" t="s">
        <v>144</v>
      </c>
      <c r="G41" s="7">
        <f>TTEST(A:A,B:B,2,1)</f>
        <v>0</v>
      </c>
    </row>
    <row r="42" ht="15.75" customHeight="1">
      <c r="A42" s="4">
        <v>2.0</v>
      </c>
      <c r="B42" s="4">
        <v>3.0</v>
      </c>
      <c r="C42" s="4">
        <f t="shared" si="1"/>
        <v>1</v>
      </c>
      <c r="D42" s="5">
        <f t="shared" si="2"/>
        <v>0.9101598626</v>
      </c>
      <c r="F42" s="7" t="s">
        <v>145</v>
      </c>
      <c r="G42" s="7">
        <f>TTEST(A:A,B:B,1,1)</f>
        <v>0</v>
      </c>
    </row>
    <row r="43" ht="15.75" customHeight="1">
      <c r="A43" s="4">
        <v>3.0</v>
      </c>
      <c r="B43" s="4">
        <v>4.0</v>
      </c>
      <c r="C43" s="4">
        <f t="shared" si="1"/>
        <v>1</v>
      </c>
      <c r="D43" s="5">
        <f t="shared" si="2"/>
        <v>0.9101598626</v>
      </c>
    </row>
    <row r="44" ht="15.75" customHeight="1">
      <c r="A44" s="4">
        <v>2.0</v>
      </c>
      <c r="B44" s="4">
        <v>5.0</v>
      </c>
      <c r="C44" s="4">
        <f t="shared" si="1"/>
        <v>3</v>
      </c>
      <c r="D44" s="5">
        <f t="shared" si="2"/>
        <v>1.094067909</v>
      </c>
    </row>
    <row r="45" ht="15.75" customHeight="1">
      <c r="A45" s="4">
        <v>1.0</v>
      </c>
      <c r="B45" s="4">
        <v>4.0</v>
      </c>
      <c r="C45" s="4">
        <f t="shared" si="1"/>
        <v>3</v>
      </c>
      <c r="D45" s="5">
        <f t="shared" si="2"/>
        <v>1.094067909</v>
      </c>
      <c r="F45" s="6" t="s">
        <v>20</v>
      </c>
      <c r="G45" s="6"/>
    </row>
    <row r="46" ht="15.75" customHeight="1">
      <c r="A46" s="4">
        <v>2.0</v>
      </c>
      <c r="B46" s="4">
        <v>5.0</v>
      </c>
      <c r="C46" s="4">
        <f t="shared" si="1"/>
        <v>3</v>
      </c>
      <c r="D46" s="5">
        <f t="shared" si="2"/>
        <v>1.094067909</v>
      </c>
    </row>
    <row r="47" ht="15.75" customHeight="1">
      <c r="A47" s="4">
        <v>3.0</v>
      </c>
      <c r="B47" s="4">
        <v>5.0</v>
      </c>
      <c r="C47" s="4">
        <f t="shared" si="1"/>
        <v>2</v>
      </c>
      <c r="D47" s="5">
        <f t="shared" si="2"/>
        <v>0.002113885586</v>
      </c>
      <c r="F47" s="7" t="s">
        <v>146</v>
      </c>
    </row>
    <row r="48" ht="15.75" customHeight="1">
      <c r="A48" s="4">
        <v>2.0</v>
      </c>
      <c r="B48" s="4">
        <v>4.0</v>
      </c>
      <c r="C48" s="4">
        <f t="shared" si="1"/>
        <v>2</v>
      </c>
      <c r="D48" s="5">
        <f t="shared" si="2"/>
        <v>0.002113885586</v>
      </c>
      <c r="F48" s="7" t="s">
        <v>147</v>
      </c>
    </row>
    <row r="49" ht="15.75" customHeight="1">
      <c r="A49" s="4">
        <v>1.0</v>
      </c>
      <c r="B49" s="4">
        <v>5.0</v>
      </c>
      <c r="C49" s="4">
        <f t="shared" si="1"/>
        <v>4</v>
      </c>
      <c r="D49" s="5">
        <f t="shared" si="2"/>
        <v>4.186021932</v>
      </c>
    </row>
    <row r="50" ht="15.75" customHeight="1">
      <c r="A50" s="4">
        <v>2.0</v>
      </c>
      <c r="B50" s="4">
        <v>4.0</v>
      </c>
      <c r="C50" s="4">
        <f t="shared" si="1"/>
        <v>2</v>
      </c>
      <c r="D50" s="5">
        <f t="shared" si="2"/>
        <v>0.002113885586</v>
      </c>
      <c r="F50" s="7" t="s">
        <v>23</v>
      </c>
    </row>
    <row r="51" ht="15.75" customHeight="1">
      <c r="A51" s="4">
        <v>1.0</v>
      </c>
      <c r="B51" s="4">
        <v>3.0</v>
      </c>
      <c r="C51" s="4">
        <f t="shared" si="1"/>
        <v>2</v>
      </c>
      <c r="D51" s="5">
        <f t="shared" si="2"/>
        <v>0.002113885586</v>
      </c>
      <c r="F51" s="7" t="s">
        <v>24</v>
      </c>
    </row>
    <row r="52" ht="15.75" customHeight="1">
      <c r="A52" s="4">
        <v>5.0</v>
      </c>
      <c r="B52" s="4">
        <v>4.0</v>
      </c>
      <c r="C52" s="4">
        <f t="shared" si="1"/>
        <v>-1</v>
      </c>
      <c r="D52" s="5">
        <f t="shared" si="2"/>
        <v>8.726251817</v>
      </c>
    </row>
    <row r="53" ht="15.75" customHeight="1">
      <c r="A53" s="4">
        <v>1.0</v>
      </c>
      <c r="B53" s="4">
        <v>5.0</v>
      </c>
      <c r="C53" s="4">
        <f t="shared" si="1"/>
        <v>4</v>
      </c>
      <c r="D53" s="5">
        <f t="shared" si="2"/>
        <v>4.186021932</v>
      </c>
    </row>
    <row r="54" ht="15.75" customHeight="1">
      <c r="A54" s="4">
        <v>2.0</v>
      </c>
      <c r="B54" s="4">
        <v>4.0</v>
      </c>
      <c r="C54" s="4">
        <f t="shared" si="1"/>
        <v>2</v>
      </c>
      <c r="D54" s="5">
        <f t="shared" si="2"/>
        <v>0.002113885586</v>
      </c>
    </row>
    <row r="55" ht="15.75" customHeight="1">
      <c r="A55" s="4">
        <v>1.0</v>
      </c>
      <c r="B55" s="4">
        <v>3.0</v>
      </c>
      <c r="C55" s="4">
        <f t="shared" si="1"/>
        <v>2</v>
      </c>
      <c r="D55" s="5">
        <f t="shared" si="2"/>
        <v>0.002113885586</v>
      </c>
    </row>
    <row r="56" ht="15.75" customHeight="1">
      <c r="A56" s="4">
        <v>2.0</v>
      </c>
      <c r="B56" s="4">
        <v>5.0</v>
      </c>
      <c r="C56" s="4">
        <f t="shared" si="1"/>
        <v>3</v>
      </c>
      <c r="D56" s="5">
        <f t="shared" si="2"/>
        <v>1.094067909</v>
      </c>
      <c r="F56" s="6" t="s">
        <v>25</v>
      </c>
    </row>
    <row r="57" ht="15.75" customHeight="1">
      <c r="A57" s="4">
        <v>1.0</v>
      </c>
      <c r="B57" s="4">
        <v>3.0</v>
      </c>
      <c r="C57" s="4">
        <f t="shared" si="1"/>
        <v>2</v>
      </c>
      <c r="D57" s="5">
        <f t="shared" si="2"/>
        <v>0.002113885586</v>
      </c>
    </row>
    <row r="58" ht="15.75" customHeight="1">
      <c r="A58" s="4">
        <v>3.0</v>
      </c>
      <c r="B58" s="4">
        <v>3.0</v>
      </c>
      <c r="C58" s="4">
        <f t="shared" si="1"/>
        <v>0</v>
      </c>
      <c r="D58" s="5">
        <f t="shared" si="2"/>
        <v>3.81820584</v>
      </c>
      <c r="F58" s="7" t="s">
        <v>148</v>
      </c>
    </row>
    <row r="59" ht="15.75" customHeight="1">
      <c r="A59" s="4">
        <v>1.0</v>
      </c>
      <c r="B59" s="4">
        <v>2.0</v>
      </c>
      <c r="C59" s="4">
        <f t="shared" si="1"/>
        <v>1</v>
      </c>
      <c r="D59" s="5">
        <f t="shared" si="2"/>
        <v>0.9101598626</v>
      </c>
      <c r="F59" s="7" t="s">
        <v>27</v>
      </c>
    </row>
    <row r="60" ht="15.75" customHeight="1">
      <c r="A60" s="4">
        <v>2.0</v>
      </c>
      <c r="B60" s="4">
        <v>4.0</v>
      </c>
      <c r="C60" s="4">
        <f t="shared" si="1"/>
        <v>2</v>
      </c>
      <c r="D60" s="5">
        <f t="shared" si="2"/>
        <v>0.002113885586</v>
      </c>
      <c r="F60" s="7" t="s">
        <v>149</v>
      </c>
    </row>
    <row r="61" ht="15.75" customHeight="1">
      <c r="A61" s="4">
        <v>1.0</v>
      </c>
      <c r="B61" s="4">
        <v>4.0</v>
      </c>
      <c r="C61" s="4">
        <f t="shared" si="1"/>
        <v>3</v>
      </c>
      <c r="D61" s="5">
        <f t="shared" si="2"/>
        <v>1.094067909</v>
      </c>
    </row>
    <row r="62" ht="15.75" customHeight="1">
      <c r="A62" s="4">
        <v>2.0</v>
      </c>
      <c r="B62" s="4">
        <v>3.0</v>
      </c>
      <c r="C62" s="4">
        <f t="shared" si="1"/>
        <v>1</v>
      </c>
      <c r="D62" s="5">
        <f t="shared" si="2"/>
        <v>0.9101598626</v>
      </c>
    </row>
    <row r="63" ht="15.75" customHeight="1">
      <c r="A63" s="4">
        <v>1.0</v>
      </c>
      <c r="B63" s="4">
        <v>5.0</v>
      </c>
      <c r="C63" s="4">
        <f t="shared" si="1"/>
        <v>4</v>
      </c>
      <c r="D63" s="5">
        <f t="shared" si="2"/>
        <v>4.186021932</v>
      </c>
    </row>
    <row r="64" ht="15.75" customHeight="1">
      <c r="A64" s="4">
        <v>2.0</v>
      </c>
      <c r="B64" s="4">
        <v>3.0</v>
      </c>
      <c r="C64" s="4">
        <f t="shared" si="1"/>
        <v>1</v>
      </c>
      <c r="D64" s="5">
        <f t="shared" si="2"/>
        <v>0.9101598626</v>
      </c>
    </row>
    <row r="65" ht="15.75" customHeight="1">
      <c r="A65" s="4">
        <v>3.0</v>
      </c>
      <c r="B65" s="4">
        <v>4.0</v>
      </c>
      <c r="C65" s="4">
        <f t="shared" si="1"/>
        <v>1</v>
      </c>
      <c r="D65" s="5">
        <f t="shared" si="2"/>
        <v>0.9101598626</v>
      </c>
      <c r="F65" s="6" t="s">
        <v>25</v>
      </c>
    </row>
    <row r="66" ht="15.75" customHeight="1">
      <c r="A66" s="4">
        <v>2.0</v>
      </c>
      <c r="B66" s="4">
        <v>5.0</v>
      </c>
      <c r="C66" s="4">
        <f t="shared" si="1"/>
        <v>3</v>
      </c>
      <c r="D66" s="5">
        <f t="shared" si="2"/>
        <v>1.094067909</v>
      </c>
    </row>
    <row r="67" ht="15.75" customHeight="1">
      <c r="A67" s="4">
        <v>1.0</v>
      </c>
      <c r="B67" s="4">
        <v>4.0</v>
      </c>
      <c r="C67" s="4">
        <f t="shared" si="1"/>
        <v>3</v>
      </c>
      <c r="D67" s="5">
        <f t="shared" si="2"/>
        <v>1.094067909</v>
      </c>
    </row>
    <row r="68" ht="15.75" customHeight="1">
      <c r="A68" s="4">
        <v>4.0</v>
      </c>
      <c r="B68" s="4">
        <v>5.0</v>
      </c>
      <c r="C68" s="4">
        <f t="shared" si="1"/>
        <v>1</v>
      </c>
      <c r="D68" s="5">
        <f t="shared" si="2"/>
        <v>0.9101598626</v>
      </c>
    </row>
    <row r="69" ht="15.75" customHeight="1">
      <c r="A69" s="4">
        <v>1.0</v>
      </c>
      <c r="B69" s="4">
        <v>1.0</v>
      </c>
      <c r="C69" s="4">
        <f t="shared" si="1"/>
        <v>0</v>
      </c>
      <c r="D69" s="5">
        <f t="shared" si="2"/>
        <v>3.81820584</v>
      </c>
    </row>
    <row r="70" ht="15.75" customHeight="1">
      <c r="A70" s="4">
        <v>2.0</v>
      </c>
      <c r="B70" s="4">
        <v>3.0</v>
      </c>
      <c r="C70" s="4">
        <f t="shared" si="1"/>
        <v>1</v>
      </c>
      <c r="D70" s="5">
        <f t="shared" si="2"/>
        <v>0.9101598626</v>
      </c>
    </row>
    <row r="71" ht="15.75" customHeight="1">
      <c r="A71" s="4">
        <v>1.0</v>
      </c>
      <c r="B71" s="4">
        <v>3.0</v>
      </c>
      <c r="C71" s="4">
        <f t="shared" si="1"/>
        <v>2</v>
      </c>
      <c r="D71" s="5">
        <f t="shared" si="2"/>
        <v>0.002113885586</v>
      </c>
    </row>
    <row r="72" ht="15.75" customHeight="1">
      <c r="A72" s="4">
        <v>2.0</v>
      </c>
      <c r="B72" s="4">
        <v>3.0</v>
      </c>
      <c r="C72" s="4">
        <f t="shared" si="1"/>
        <v>1</v>
      </c>
      <c r="D72" s="5">
        <f t="shared" si="2"/>
        <v>0.9101598626</v>
      </c>
      <c r="F72" s="7" t="s">
        <v>29</v>
      </c>
    </row>
    <row r="73" ht="15.75" customHeight="1">
      <c r="A73" s="4">
        <v>4.0</v>
      </c>
      <c r="B73" s="4">
        <v>4.0</v>
      </c>
      <c r="C73" s="4">
        <f t="shared" si="1"/>
        <v>0</v>
      </c>
      <c r="D73" s="5">
        <f t="shared" si="2"/>
        <v>3.81820584</v>
      </c>
      <c r="F73" s="7" t="s">
        <v>150</v>
      </c>
    </row>
    <row r="74" ht="15.75" customHeight="1">
      <c r="A74" s="4">
        <v>2.0</v>
      </c>
      <c r="B74" s="4">
        <v>3.0</v>
      </c>
      <c r="C74" s="4">
        <f t="shared" si="1"/>
        <v>1</v>
      </c>
      <c r="D74" s="5">
        <f t="shared" si="2"/>
        <v>0.9101598626</v>
      </c>
      <c r="F74" s="7" t="s">
        <v>29</v>
      </c>
    </row>
    <row r="75" ht="15.75" customHeight="1">
      <c r="A75" s="4">
        <v>1.0</v>
      </c>
      <c r="B75" s="4">
        <v>3.0</v>
      </c>
      <c r="C75" s="4">
        <f t="shared" si="1"/>
        <v>2</v>
      </c>
      <c r="D75" s="5">
        <f t="shared" si="2"/>
        <v>0.002113885586</v>
      </c>
      <c r="F75" s="7" t="s">
        <v>151</v>
      </c>
    </row>
    <row r="76" ht="15.75" customHeight="1">
      <c r="A76" s="4">
        <v>2.0</v>
      </c>
      <c r="B76" s="4">
        <v>5.0</v>
      </c>
      <c r="C76" s="4">
        <f t="shared" si="1"/>
        <v>3</v>
      </c>
      <c r="D76" s="5">
        <f t="shared" si="2"/>
        <v>1.094067909</v>
      </c>
    </row>
    <row r="77" ht="15.75" customHeight="1">
      <c r="A77" s="4">
        <v>1.0</v>
      </c>
      <c r="B77" s="4">
        <v>4.0</v>
      </c>
      <c r="C77" s="4">
        <f t="shared" si="1"/>
        <v>3</v>
      </c>
      <c r="D77" s="5">
        <f t="shared" si="2"/>
        <v>1.094067909</v>
      </c>
    </row>
    <row r="78" ht="15.75" customHeight="1">
      <c r="A78" s="4">
        <v>2.0</v>
      </c>
      <c r="B78" s="4">
        <v>3.0</v>
      </c>
      <c r="C78" s="4">
        <f t="shared" si="1"/>
        <v>1</v>
      </c>
      <c r="D78" s="5">
        <f t="shared" si="2"/>
        <v>0.9101598626</v>
      </c>
    </row>
    <row r="79" ht="15.75" customHeight="1">
      <c r="A79" s="4">
        <v>1.0</v>
      </c>
      <c r="B79" s="4">
        <v>5.0</v>
      </c>
      <c r="C79" s="4">
        <f t="shared" si="1"/>
        <v>4</v>
      </c>
      <c r="D79" s="5">
        <f t="shared" si="2"/>
        <v>4.186021932</v>
      </c>
    </row>
    <row r="80" ht="15.75" customHeight="1">
      <c r="A80" s="4">
        <v>2.0</v>
      </c>
      <c r="B80" s="4">
        <v>5.0</v>
      </c>
      <c r="C80" s="4">
        <f t="shared" si="1"/>
        <v>3</v>
      </c>
      <c r="D80" s="5">
        <f t="shared" si="2"/>
        <v>1.094067909</v>
      </c>
    </row>
    <row r="81" ht="15.75" customHeight="1">
      <c r="A81" s="4">
        <v>1.0</v>
      </c>
      <c r="B81" s="4">
        <v>3.0</v>
      </c>
      <c r="C81" s="4">
        <f t="shared" si="1"/>
        <v>2</v>
      </c>
      <c r="D81" s="5">
        <f t="shared" si="2"/>
        <v>0.002113885586</v>
      </c>
    </row>
    <row r="82" ht="15.75" customHeight="1">
      <c r="A82" s="4">
        <v>2.0</v>
      </c>
      <c r="B82" s="4">
        <v>3.0</v>
      </c>
      <c r="C82" s="4">
        <f t="shared" si="1"/>
        <v>1</v>
      </c>
      <c r="D82" s="5">
        <f t="shared" si="2"/>
        <v>0.9101598626</v>
      </c>
    </row>
    <row r="83" ht="15.75" customHeight="1">
      <c r="A83" s="4">
        <v>5.0</v>
      </c>
      <c r="B83" s="4">
        <v>3.0</v>
      </c>
      <c r="C83" s="4">
        <f t="shared" si="1"/>
        <v>-2</v>
      </c>
      <c r="D83" s="5">
        <f t="shared" si="2"/>
        <v>15.63429779</v>
      </c>
    </row>
    <row r="84" ht="15.75" customHeight="1">
      <c r="A84" s="4">
        <v>2.0</v>
      </c>
      <c r="B84" s="4">
        <v>4.0</v>
      </c>
      <c r="C84" s="4">
        <f t="shared" si="1"/>
        <v>2</v>
      </c>
      <c r="D84" s="5">
        <f t="shared" si="2"/>
        <v>0.002113885586</v>
      </c>
    </row>
    <row r="85" ht="15.75" customHeight="1">
      <c r="A85" s="4">
        <v>1.0</v>
      </c>
      <c r="B85" s="4">
        <v>5.0</v>
      </c>
      <c r="C85" s="4">
        <f t="shared" si="1"/>
        <v>4</v>
      </c>
      <c r="D85" s="5">
        <f t="shared" si="2"/>
        <v>4.186021932</v>
      </c>
    </row>
    <row r="86" ht="15.75" customHeight="1">
      <c r="A86" s="4">
        <v>2.0</v>
      </c>
      <c r="B86" s="4">
        <v>3.0</v>
      </c>
      <c r="C86" s="4">
        <f t="shared" si="1"/>
        <v>1</v>
      </c>
      <c r="D86" s="5">
        <f t="shared" si="2"/>
        <v>0.9101598626</v>
      </c>
    </row>
    <row r="87" ht="15.75" customHeight="1">
      <c r="A87" s="4">
        <v>5.0</v>
      </c>
      <c r="B87" s="4">
        <v>4.0</v>
      </c>
      <c r="C87" s="4">
        <f t="shared" si="1"/>
        <v>-1</v>
      </c>
      <c r="D87" s="5">
        <f t="shared" si="2"/>
        <v>8.726251817</v>
      </c>
    </row>
    <row r="88" ht="15.75" customHeight="1">
      <c r="A88" s="4">
        <v>2.0</v>
      </c>
      <c r="B88" s="4">
        <v>4.0</v>
      </c>
      <c r="C88" s="4">
        <f t="shared" si="1"/>
        <v>2</v>
      </c>
      <c r="D88" s="5">
        <f t="shared" si="2"/>
        <v>0.002113885586</v>
      </c>
    </row>
    <row r="89" ht="15.75" customHeight="1"/>
    <row r="90" ht="15.75" customHeight="1"/>
    <row r="91" ht="15.75" customHeight="1"/>
    <row r="92" ht="15.75" customHeight="1"/>
    <row r="93" ht="15.75" customHeight="1">
      <c r="F93" s="8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3.43"/>
    <col customWidth="1" min="3" max="3" width="19.86"/>
    <col customWidth="1" min="4" max="4" width="23.14"/>
    <col customWidth="1" min="5" max="5" width="12.0"/>
    <col customWidth="1" min="6" max="6" width="39.0"/>
    <col customWidth="1" min="7" max="7" width="19.0"/>
    <col customWidth="1" min="8" max="26" width="9.14"/>
  </cols>
  <sheetData>
    <row r="1" ht="108.0" customHeight="1">
      <c r="A1" s="1" t="s">
        <v>152</v>
      </c>
      <c r="B1" s="2" t="s">
        <v>153</v>
      </c>
      <c r="C1" s="3" t="s">
        <v>2</v>
      </c>
      <c r="D1" s="3"/>
    </row>
    <row r="2">
      <c r="A2" s="4">
        <v>2.0</v>
      </c>
      <c r="B2" s="4">
        <v>5.0</v>
      </c>
      <c r="C2" s="4">
        <f t="shared" ref="C2:C88" si="1">B2-A2</f>
        <v>3</v>
      </c>
      <c r="D2" s="5">
        <f t="shared" ref="D2:D88" si="2">(C2-$G$6)^2</f>
        <v>0.6473774607</v>
      </c>
    </row>
    <row r="3">
      <c r="A3" s="4">
        <v>1.0</v>
      </c>
      <c r="B3" s="4">
        <v>3.0</v>
      </c>
      <c r="C3" s="4">
        <f t="shared" si="1"/>
        <v>2</v>
      </c>
      <c r="D3" s="5">
        <f t="shared" si="2"/>
        <v>0.0381820584</v>
      </c>
      <c r="F3" s="6" t="s">
        <v>3</v>
      </c>
      <c r="G3" s="6"/>
    </row>
    <row r="4">
      <c r="A4" s="4">
        <v>3.0</v>
      </c>
      <c r="B4" s="4">
        <v>3.0</v>
      </c>
      <c r="C4" s="4">
        <f t="shared" si="1"/>
        <v>0</v>
      </c>
      <c r="D4" s="5">
        <f t="shared" si="2"/>
        <v>4.819791254</v>
      </c>
      <c r="F4" s="7" t="s">
        <v>4</v>
      </c>
      <c r="G4" s="7">
        <v>87.0</v>
      </c>
    </row>
    <row r="5">
      <c r="A5" s="4">
        <v>1.0</v>
      </c>
      <c r="B5" s="4">
        <v>3.0</v>
      </c>
      <c r="C5" s="4">
        <f t="shared" si="1"/>
        <v>2</v>
      </c>
      <c r="D5" s="5">
        <f t="shared" si="2"/>
        <v>0.0381820584</v>
      </c>
      <c r="F5" s="7" t="s">
        <v>5</v>
      </c>
      <c r="G5" s="7">
        <f>SUM(C:C)</f>
        <v>191</v>
      </c>
    </row>
    <row r="6">
      <c r="A6" s="4">
        <v>3.0</v>
      </c>
      <c r="B6" s="4">
        <v>3.0</v>
      </c>
      <c r="C6" s="4">
        <f t="shared" si="1"/>
        <v>0</v>
      </c>
      <c r="D6" s="5">
        <f t="shared" si="2"/>
        <v>4.819791254</v>
      </c>
      <c r="F6" s="7" t="s">
        <v>6</v>
      </c>
      <c r="G6" s="7">
        <f>G5/G4</f>
        <v>2.195402299</v>
      </c>
    </row>
    <row r="7">
      <c r="A7" s="4">
        <v>1.0</v>
      </c>
      <c r="B7" s="4">
        <v>2.0</v>
      </c>
      <c r="C7" s="4">
        <f t="shared" si="1"/>
        <v>1</v>
      </c>
      <c r="D7" s="5">
        <f t="shared" si="2"/>
        <v>1.428986656</v>
      </c>
      <c r="F7" s="7" t="s">
        <v>7</v>
      </c>
      <c r="G7" s="7">
        <f>SUM(D:D)</f>
        <v>127.6781609</v>
      </c>
    </row>
    <row r="8">
      <c r="A8" s="4">
        <v>2.0</v>
      </c>
      <c r="B8" s="4">
        <v>3.0</v>
      </c>
      <c r="C8" s="4">
        <f t="shared" si="1"/>
        <v>1</v>
      </c>
      <c r="D8" s="5">
        <f t="shared" si="2"/>
        <v>1.428986656</v>
      </c>
      <c r="F8" s="7" t="s">
        <v>8</v>
      </c>
      <c r="G8" s="7">
        <f>SQRT(G7/(G4-1))</f>
        <v>1.218453847</v>
      </c>
    </row>
    <row r="9">
      <c r="A9" s="4">
        <v>1.0</v>
      </c>
      <c r="B9" s="4">
        <v>5.0</v>
      </c>
      <c r="C9" s="4">
        <f t="shared" si="1"/>
        <v>4</v>
      </c>
      <c r="D9" s="5">
        <f t="shared" si="2"/>
        <v>3.256572863</v>
      </c>
    </row>
    <row r="10">
      <c r="A10" s="4">
        <v>2.0</v>
      </c>
      <c r="B10" s="4">
        <v>4.0</v>
      </c>
      <c r="C10" s="4">
        <f t="shared" si="1"/>
        <v>2</v>
      </c>
      <c r="D10" s="5">
        <f t="shared" si="2"/>
        <v>0.0381820584</v>
      </c>
    </row>
    <row r="11">
      <c r="A11" s="4">
        <v>1.0</v>
      </c>
      <c r="B11" s="4">
        <v>5.0</v>
      </c>
      <c r="C11" s="4">
        <f t="shared" si="1"/>
        <v>4</v>
      </c>
      <c r="D11" s="5">
        <f t="shared" si="2"/>
        <v>3.256572863</v>
      </c>
    </row>
    <row r="12">
      <c r="A12" s="4">
        <v>2.0</v>
      </c>
      <c r="B12" s="4">
        <v>4.0</v>
      </c>
      <c r="C12" s="4">
        <f t="shared" si="1"/>
        <v>2</v>
      </c>
      <c r="D12" s="5">
        <f t="shared" si="2"/>
        <v>0.0381820584</v>
      </c>
      <c r="F12" s="7" t="s">
        <v>9</v>
      </c>
      <c r="G12" s="7">
        <f>G6/(G8/SQRT(G4))</f>
        <v>16.80601154</v>
      </c>
    </row>
    <row r="13">
      <c r="A13" s="4">
        <v>1.0</v>
      </c>
      <c r="B13" s="4">
        <v>4.0</v>
      </c>
      <c r="C13" s="4">
        <f t="shared" si="1"/>
        <v>3</v>
      </c>
      <c r="D13" s="5">
        <f t="shared" si="2"/>
        <v>0.6473774607</v>
      </c>
    </row>
    <row r="14">
      <c r="A14" s="4">
        <v>2.0</v>
      </c>
      <c r="B14" s="4">
        <v>3.0</v>
      </c>
      <c r="C14" s="4">
        <f t="shared" si="1"/>
        <v>1</v>
      </c>
      <c r="D14" s="5">
        <f t="shared" si="2"/>
        <v>1.428986656</v>
      </c>
    </row>
    <row r="15">
      <c r="A15" s="4">
        <v>1.0</v>
      </c>
      <c r="B15" s="4">
        <v>3.0</v>
      </c>
      <c r="C15" s="4">
        <f t="shared" si="1"/>
        <v>2</v>
      </c>
      <c r="D15" s="5">
        <f t="shared" si="2"/>
        <v>0.0381820584</v>
      </c>
    </row>
    <row r="16">
      <c r="A16" s="4">
        <v>2.0</v>
      </c>
      <c r="B16" s="4">
        <v>5.0</v>
      </c>
      <c r="C16" s="4">
        <f t="shared" si="1"/>
        <v>3</v>
      </c>
      <c r="D16" s="5">
        <f t="shared" si="2"/>
        <v>0.6473774607</v>
      </c>
    </row>
    <row r="17">
      <c r="A17" s="4">
        <v>1.0</v>
      </c>
      <c r="B17" s="4">
        <v>5.0</v>
      </c>
      <c r="C17" s="4">
        <f t="shared" si="1"/>
        <v>4</v>
      </c>
      <c r="D17" s="5">
        <f t="shared" si="2"/>
        <v>3.256572863</v>
      </c>
      <c r="F17" s="7" t="s">
        <v>10</v>
      </c>
      <c r="G17" s="7">
        <v>0.05</v>
      </c>
    </row>
    <row r="18">
      <c r="A18" s="4">
        <v>2.0</v>
      </c>
      <c r="B18" s="4">
        <v>4.0</v>
      </c>
      <c r="C18" s="4">
        <f t="shared" si="1"/>
        <v>2</v>
      </c>
      <c r="D18" s="5">
        <f t="shared" si="2"/>
        <v>0.0381820584</v>
      </c>
      <c r="F18" s="7" t="s">
        <v>11</v>
      </c>
      <c r="G18" s="7">
        <f>G4-1</f>
        <v>86</v>
      </c>
    </row>
    <row r="19">
      <c r="A19" s="4">
        <v>1.0</v>
      </c>
      <c r="B19" s="4">
        <v>4.0</v>
      </c>
      <c r="C19" s="4">
        <f t="shared" si="1"/>
        <v>3</v>
      </c>
      <c r="D19" s="5">
        <f t="shared" si="2"/>
        <v>0.6473774607</v>
      </c>
    </row>
    <row r="20">
      <c r="A20" s="4">
        <v>2.0</v>
      </c>
      <c r="B20" s="4">
        <v>5.0</v>
      </c>
      <c r="C20" s="4">
        <f t="shared" si="1"/>
        <v>3</v>
      </c>
      <c r="D20" s="5">
        <f t="shared" si="2"/>
        <v>0.6473774607</v>
      </c>
    </row>
    <row r="21" ht="15.75" customHeight="1">
      <c r="A21" s="4">
        <v>1.0</v>
      </c>
      <c r="B21" s="4">
        <v>4.0</v>
      </c>
      <c r="C21" s="4">
        <f t="shared" si="1"/>
        <v>3</v>
      </c>
      <c r="D21" s="5">
        <f t="shared" si="2"/>
        <v>0.6473774607</v>
      </c>
    </row>
    <row r="22" ht="15.75" customHeight="1">
      <c r="A22" s="4">
        <v>2.0</v>
      </c>
      <c r="B22" s="4">
        <v>4.0</v>
      </c>
      <c r="C22" s="4">
        <f t="shared" si="1"/>
        <v>2</v>
      </c>
      <c r="D22" s="5">
        <f t="shared" si="2"/>
        <v>0.0381820584</v>
      </c>
      <c r="F22" s="6" t="s">
        <v>12</v>
      </c>
      <c r="G22" s="6"/>
    </row>
    <row r="23" ht="15.75" customHeight="1">
      <c r="A23" s="4">
        <v>1.0</v>
      </c>
      <c r="B23" s="4">
        <v>5.0</v>
      </c>
      <c r="C23" s="4">
        <f t="shared" si="1"/>
        <v>4</v>
      </c>
      <c r="D23" s="5">
        <f t="shared" si="2"/>
        <v>3.256572863</v>
      </c>
      <c r="F23" s="7" t="s">
        <v>154</v>
      </c>
      <c r="G23" s="7">
        <f>_xlfn.T.INV.2T(G17,G18)</f>
        <v>1.987934206</v>
      </c>
    </row>
    <row r="24" ht="15.75" customHeight="1">
      <c r="A24" s="4">
        <v>2.0</v>
      </c>
      <c r="B24" s="4">
        <v>4.0</v>
      </c>
      <c r="C24" s="4">
        <f t="shared" si="1"/>
        <v>2</v>
      </c>
      <c r="D24" s="5">
        <f t="shared" si="2"/>
        <v>0.0381820584</v>
      </c>
      <c r="F24" s="7" t="s">
        <v>155</v>
      </c>
      <c r="G24" s="7">
        <f>_xlfn.T.INV(G17,G18)</f>
        <v>-1.662765449</v>
      </c>
    </row>
    <row r="25" ht="15.75" customHeight="1">
      <c r="A25" s="4">
        <v>1.0</v>
      </c>
      <c r="B25" s="4">
        <v>3.0</v>
      </c>
      <c r="C25" s="4">
        <f t="shared" si="1"/>
        <v>2</v>
      </c>
      <c r="D25" s="5">
        <f t="shared" si="2"/>
        <v>0.0381820584</v>
      </c>
    </row>
    <row r="26" ht="15.75" customHeight="1">
      <c r="A26" s="4">
        <v>2.0</v>
      </c>
      <c r="B26" s="4">
        <v>4.0</v>
      </c>
      <c r="C26" s="4">
        <f t="shared" si="1"/>
        <v>2</v>
      </c>
      <c r="D26" s="5">
        <f t="shared" si="2"/>
        <v>0.0381820584</v>
      </c>
    </row>
    <row r="27" ht="15.75" customHeight="1">
      <c r="A27" s="4">
        <v>1.0</v>
      </c>
      <c r="B27" s="4">
        <v>3.0</v>
      </c>
      <c r="C27" s="4">
        <f t="shared" si="1"/>
        <v>2</v>
      </c>
      <c r="D27" s="5">
        <f t="shared" si="2"/>
        <v>0.0381820584</v>
      </c>
    </row>
    <row r="28" ht="15.75" customHeight="1">
      <c r="A28" s="4">
        <v>3.0</v>
      </c>
      <c r="B28" s="4">
        <v>4.0</v>
      </c>
      <c r="C28" s="4">
        <f t="shared" si="1"/>
        <v>1</v>
      </c>
      <c r="D28" s="5">
        <f t="shared" si="2"/>
        <v>1.428986656</v>
      </c>
    </row>
    <row r="29" ht="15.75" customHeight="1">
      <c r="A29" s="4">
        <v>1.0</v>
      </c>
      <c r="B29" s="4">
        <v>5.0</v>
      </c>
      <c r="C29" s="4">
        <f t="shared" si="1"/>
        <v>4</v>
      </c>
      <c r="D29" s="5">
        <f t="shared" si="2"/>
        <v>3.256572863</v>
      </c>
    </row>
    <row r="30" ht="15.75" customHeight="1">
      <c r="A30" s="4">
        <v>2.0</v>
      </c>
      <c r="B30" s="4">
        <v>3.0</v>
      </c>
      <c r="C30" s="4">
        <f t="shared" si="1"/>
        <v>1</v>
      </c>
      <c r="D30" s="5">
        <f t="shared" si="2"/>
        <v>1.428986656</v>
      </c>
    </row>
    <row r="31" ht="15.75" customHeight="1">
      <c r="A31" s="4">
        <v>1.0</v>
      </c>
      <c r="B31" s="4">
        <v>4.0</v>
      </c>
      <c r="C31" s="4">
        <f t="shared" si="1"/>
        <v>3</v>
      </c>
      <c r="D31" s="5">
        <f t="shared" si="2"/>
        <v>0.6473774607</v>
      </c>
    </row>
    <row r="32" ht="15.75" customHeight="1">
      <c r="A32" s="4">
        <v>2.0</v>
      </c>
      <c r="B32" s="4">
        <v>4.0</v>
      </c>
      <c r="C32" s="4">
        <f t="shared" si="1"/>
        <v>2</v>
      </c>
      <c r="D32" s="5">
        <f t="shared" si="2"/>
        <v>0.0381820584</v>
      </c>
    </row>
    <row r="33" ht="15.75" customHeight="1">
      <c r="A33" s="4">
        <v>1.0</v>
      </c>
      <c r="B33" s="4">
        <v>4.0</v>
      </c>
      <c r="C33" s="4">
        <f t="shared" si="1"/>
        <v>3</v>
      </c>
      <c r="D33" s="5">
        <f t="shared" si="2"/>
        <v>0.6473774607</v>
      </c>
    </row>
    <row r="34" ht="15.75" customHeight="1">
      <c r="A34" s="4">
        <v>2.0</v>
      </c>
      <c r="B34" s="4">
        <v>5.0</v>
      </c>
      <c r="C34" s="4">
        <f t="shared" si="1"/>
        <v>3</v>
      </c>
      <c r="D34" s="5">
        <f t="shared" si="2"/>
        <v>0.6473774607</v>
      </c>
      <c r="F34" s="7" t="s">
        <v>15</v>
      </c>
    </row>
    <row r="35" ht="15.75" customHeight="1">
      <c r="A35" s="4">
        <v>1.0</v>
      </c>
      <c r="B35" s="4">
        <v>5.0</v>
      </c>
      <c r="C35" s="4">
        <f t="shared" si="1"/>
        <v>4</v>
      </c>
      <c r="D35" s="5">
        <f t="shared" si="2"/>
        <v>3.256572863</v>
      </c>
      <c r="F35" s="7" t="s">
        <v>16</v>
      </c>
    </row>
    <row r="36" ht="15.75" customHeight="1">
      <c r="A36" s="4">
        <v>2.0</v>
      </c>
      <c r="B36" s="4">
        <v>3.0</v>
      </c>
      <c r="C36" s="4">
        <f t="shared" si="1"/>
        <v>1</v>
      </c>
      <c r="D36" s="5">
        <f t="shared" si="2"/>
        <v>1.428986656</v>
      </c>
    </row>
    <row r="37" ht="15.75" customHeight="1">
      <c r="A37" s="4">
        <v>1.0</v>
      </c>
      <c r="B37" s="4">
        <v>4.0</v>
      </c>
      <c r="C37" s="4">
        <f t="shared" si="1"/>
        <v>3</v>
      </c>
      <c r="D37" s="5">
        <f t="shared" si="2"/>
        <v>0.6473774607</v>
      </c>
    </row>
    <row r="38" ht="15.75" customHeight="1">
      <c r="A38" s="4">
        <v>2.0</v>
      </c>
      <c r="B38" s="4">
        <v>1.0</v>
      </c>
      <c r="C38" s="4">
        <f t="shared" si="1"/>
        <v>-1</v>
      </c>
      <c r="D38" s="5">
        <f t="shared" si="2"/>
        <v>10.21059585</v>
      </c>
    </row>
    <row r="39" ht="15.75" customHeight="1">
      <c r="A39" s="4">
        <v>1.0</v>
      </c>
      <c r="B39" s="4">
        <v>5.0</v>
      </c>
      <c r="C39" s="4">
        <f t="shared" si="1"/>
        <v>4</v>
      </c>
      <c r="D39" s="5">
        <f t="shared" si="2"/>
        <v>3.256572863</v>
      </c>
      <c r="F39" s="6" t="s">
        <v>17</v>
      </c>
      <c r="G39" s="6"/>
    </row>
    <row r="40" ht="15.75" customHeight="1">
      <c r="A40" s="4">
        <v>2.0</v>
      </c>
      <c r="B40" s="4">
        <v>4.0</v>
      </c>
      <c r="C40" s="4">
        <f t="shared" si="1"/>
        <v>2</v>
      </c>
      <c r="D40" s="5">
        <f t="shared" si="2"/>
        <v>0.0381820584</v>
      </c>
      <c r="F40" s="7" t="s">
        <v>17</v>
      </c>
    </row>
    <row r="41" ht="15.75" customHeight="1">
      <c r="A41" s="4">
        <v>1.0</v>
      </c>
      <c r="B41" s="4">
        <v>4.0</v>
      </c>
      <c r="C41" s="4">
        <f t="shared" si="1"/>
        <v>3</v>
      </c>
      <c r="D41" s="5">
        <f t="shared" si="2"/>
        <v>0.6473774607</v>
      </c>
      <c r="F41" s="7" t="s">
        <v>156</v>
      </c>
      <c r="G41" s="7">
        <f>TTEST(A:A,B:B,2,1)</f>
        <v>0</v>
      </c>
    </row>
    <row r="42" ht="15.75" customHeight="1">
      <c r="A42" s="4">
        <v>3.0</v>
      </c>
      <c r="B42" s="4">
        <v>2.0</v>
      </c>
      <c r="C42" s="4">
        <f t="shared" si="1"/>
        <v>-1</v>
      </c>
      <c r="D42" s="5">
        <f t="shared" si="2"/>
        <v>10.21059585</v>
      </c>
      <c r="F42" s="7" t="s">
        <v>157</v>
      </c>
      <c r="G42" s="7">
        <f>TTEST(A:A,B:B,1,1)</f>
        <v>0</v>
      </c>
    </row>
    <row r="43" ht="15.75" customHeight="1">
      <c r="A43" s="4">
        <v>1.0</v>
      </c>
      <c r="B43" s="4">
        <v>5.0</v>
      </c>
      <c r="C43" s="4">
        <f t="shared" si="1"/>
        <v>4</v>
      </c>
      <c r="D43" s="5">
        <f t="shared" si="2"/>
        <v>3.256572863</v>
      </c>
    </row>
    <row r="44" ht="15.75" customHeight="1">
      <c r="A44" s="4">
        <v>2.0</v>
      </c>
      <c r="B44" s="4">
        <v>3.0</v>
      </c>
      <c r="C44" s="4">
        <f t="shared" si="1"/>
        <v>1</v>
      </c>
      <c r="D44" s="5">
        <f t="shared" si="2"/>
        <v>1.428986656</v>
      </c>
    </row>
    <row r="45" ht="15.75" customHeight="1">
      <c r="A45" s="4">
        <v>1.0</v>
      </c>
      <c r="B45" s="4">
        <v>5.0</v>
      </c>
      <c r="C45" s="4">
        <f t="shared" si="1"/>
        <v>4</v>
      </c>
      <c r="D45" s="5">
        <f t="shared" si="2"/>
        <v>3.256572863</v>
      </c>
      <c r="F45" s="6" t="s">
        <v>20</v>
      </c>
      <c r="G45" s="6"/>
    </row>
    <row r="46" ht="15.75" customHeight="1">
      <c r="A46" s="4">
        <v>2.0</v>
      </c>
      <c r="B46" s="4">
        <v>5.0</v>
      </c>
      <c r="C46" s="4">
        <f t="shared" si="1"/>
        <v>3</v>
      </c>
      <c r="D46" s="5">
        <f t="shared" si="2"/>
        <v>0.6473774607</v>
      </c>
    </row>
    <row r="47" ht="15.75" customHeight="1">
      <c r="A47" s="4">
        <v>1.0</v>
      </c>
      <c r="B47" s="4">
        <v>4.0</v>
      </c>
      <c r="C47" s="4">
        <f t="shared" si="1"/>
        <v>3</v>
      </c>
      <c r="D47" s="5">
        <f t="shared" si="2"/>
        <v>0.6473774607</v>
      </c>
      <c r="F47" s="7" t="s">
        <v>158</v>
      </c>
    </row>
    <row r="48" ht="15.75" customHeight="1">
      <c r="A48" s="4">
        <v>2.0</v>
      </c>
      <c r="B48" s="4">
        <v>4.0</v>
      </c>
      <c r="C48" s="4">
        <f t="shared" si="1"/>
        <v>2</v>
      </c>
      <c r="D48" s="5">
        <f t="shared" si="2"/>
        <v>0.0381820584</v>
      </c>
      <c r="F48" s="7" t="s">
        <v>159</v>
      </c>
    </row>
    <row r="49" ht="15.75" customHeight="1">
      <c r="A49" s="4">
        <v>1.0</v>
      </c>
      <c r="B49" s="4">
        <v>4.0</v>
      </c>
      <c r="C49" s="4">
        <f t="shared" si="1"/>
        <v>3</v>
      </c>
      <c r="D49" s="5">
        <f t="shared" si="2"/>
        <v>0.6473774607</v>
      </c>
    </row>
    <row r="50" ht="15.75" customHeight="1">
      <c r="A50" s="4">
        <v>2.0</v>
      </c>
      <c r="B50" s="4">
        <v>3.0</v>
      </c>
      <c r="C50" s="4">
        <f t="shared" si="1"/>
        <v>1</v>
      </c>
      <c r="D50" s="5">
        <f t="shared" si="2"/>
        <v>1.428986656</v>
      </c>
      <c r="F50" s="7" t="s">
        <v>23</v>
      </c>
    </row>
    <row r="51" ht="15.75" customHeight="1">
      <c r="A51" s="4">
        <v>1.0</v>
      </c>
      <c r="B51" s="4">
        <v>4.0</v>
      </c>
      <c r="C51" s="4">
        <f t="shared" si="1"/>
        <v>3</v>
      </c>
      <c r="D51" s="5">
        <f t="shared" si="2"/>
        <v>0.6473774607</v>
      </c>
      <c r="F51" s="7" t="s">
        <v>24</v>
      </c>
    </row>
    <row r="52" ht="15.75" customHeight="1">
      <c r="A52" s="4">
        <v>2.0</v>
      </c>
      <c r="B52" s="4">
        <v>5.0</v>
      </c>
      <c r="C52" s="4">
        <f t="shared" si="1"/>
        <v>3</v>
      </c>
      <c r="D52" s="5">
        <f t="shared" si="2"/>
        <v>0.6473774607</v>
      </c>
    </row>
    <row r="53" ht="15.75" customHeight="1">
      <c r="A53" s="4">
        <v>1.0</v>
      </c>
      <c r="B53" s="4">
        <v>3.0</v>
      </c>
      <c r="C53" s="4">
        <f t="shared" si="1"/>
        <v>2</v>
      </c>
      <c r="D53" s="5">
        <f t="shared" si="2"/>
        <v>0.0381820584</v>
      </c>
    </row>
    <row r="54" ht="15.75" customHeight="1">
      <c r="A54" s="4">
        <v>2.0</v>
      </c>
      <c r="B54" s="4">
        <v>3.0</v>
      </c>
      <c r="C54" s="4">
        <f t="shared" si="1"/>
        <v>1</v>
      </c>
      <c r="D54" s="5">
        <f t="shared" si="2"/>
        <v>1.428986656</v>
      </c>
    </row>
    <row r="55" ht="15.75" customHeight="1">
      <c r="A55" s="4">
        <v>1.0</v>
      </c>
      <c r="B55" s="4">
        <v>4.0</v>
      </c>
      <c r="C55" s="4">
        <f t="shared" si="1"/>
        <v>3</v>
      </c>
      <c r="D55" s="5">
        <f t="shared" si="2"/>
        <v>0.6473774607</v>
      </c>
    </row>
    <row r="56" ht="15.75" customHeight="1">
      <c r="A56" s="4">
        <v>2.0</v>
      </c>
      <c r="B56" s="4">
        <v>3.0</v>
      </c>
      <c r="C56" s="4">
        <f t="shared" si="1"/>
        <v>1</v>
      </c>
      <c r="D56" s="5">
        <f t="shared" si="2"/>
        <v>1.428986656</v>
      </c>
      <c r="F56" s="6" t="s">
        <v>25</v>
      </c>
    </row>
    <row r="57" ht="15.75" customHeight="1">
      <c r="A57" s="4">
        <v>1.0</v>
      </c>
      <c r="B57" s="4">
        <v>5.0</v>
      </c>
      <c r="C57" s="4">
        <f t="shared" si="1"/>
        <v>4</v>
      </c>
      <c r="D57" s="5">
        <f t="shared" si="2"/>
        <v>3.256572863</v>
      </c>
    </row>
    <row r="58" ht="15.75" customHeight="1">
      <c r="A58" s="4">
        <v>2.0</v>
      </c>
      <c r="B58" s="4">
        <v>4.0</v>
      </c>
      <c r="C58" s="4">
        <f t="shared" si="1"/>
        <v>2</v>
      </c>
      <c r="D58" s="5">
        <f t="shared" si="2"/>
        <v>0.0381820584</v>
      </c>
      <c r="F58" s="7" t="s">
        <v>160</v>
      </c>
    </row>
    <row r="59" ht="15.75" customHeight="1">
      <c r="A59" s="4">
        <v>1.0</v>
      </c>
      <c r="B59" s="4">
        <v>3.0</v>
      </c>
      <c r="C59" s="4">
        <f t="shared" si="1"/>
        <v>2</v>
      </c>
      <c r="D59" s="5">
        <f t="shared" si="2"/>
        <v>0.0381820584</v>
      </c>
      <c r="F59" s="7" t="s">
        <v>27</v>
      </c>
    </row>
    <row r="60" ht="15.75" customHeight="1">
      <c r="A60" s="4">
        <v>2.0</v>
      </c>
      <c r="B60" s="4">
        <v>2.0</v>
      </c>
      <c r="C60" s="4">
        <f t="shared" si="1"/>
        <v>0</v>
      </c>
      <c r="D60" s="5">
        <f t="shared" si="2"/>
        <v>4.819791254</v>
      </c>
      <c r="F60" s="7" t="s">
        <v>161</v>
      </c>
    </row>
    <row r="61" ht="15.75" customHeight="1">
      <c r="A61" s="4">
        <v>3.0</v>
      </c>
      <c r="B61" s="4">
        <v>3.0</v>
      </c>
      <c r="C61" s="4">
        <f t="shared" si="1"/>
        <v>0</v>
      </c>
      <c r="D61" s="5">
        <f t="shared" si="2"/>
        <v>4.819791254</v>
      </c>
    </row>
    <row r="62" ht="15.75" customHeight="1">
      <c r="A62" s="4">
        <v>4.0</v>
      </c>
      <c r="B62" s="4">
        <v>5.0</v>
      </c>
      <c r="C62" s="4">
        <f t="shared" si="1"/>
        <v>1</v>
      </c>
      <c r="D62" s="5">
        <f t="shared" si="2"/>
        <v>1.428986656</v>
      </c>
    </row>
    <row r="63" ht="15.75" customHeight="1">
      <c r="A63" s="4">
        <v>3.0</v>
      </c>
      <c r="B63" s="4">
        <v>4.0</v>
      </c>
      <c r="C63" s="4">
        <f t="shared" si="1"/>
        <v>1</v>
      </c>
      <c r="D63" s="5">
        <f t="shared" si="2"/>
        <v>1.428986656</v>
      </c>
    </row>
    <row r="64" ht="15.75" customHeight="1">
      <c r="A64" s="4">
        <v>2.0</v>
      </c>
      <c r="B64" s="4">
        <v>4.0</v>
      </c>
      <c r="C64" s="4">
        <f t="shared" si="1"/>
        <v>2</v>
      </c>
      <c r="D64" s="5">
        <f t="shared" si="2"/>
        <v>0.0381820584</v>
      </c>
    </row>
    <row r="65" ht="15.75" customHeight="1">
      <c r="A65" s="4">
        <v>1.0</v>
      </c>
      <c r="B65" s="4">
        <v>5.0</v>
      </c>
      <c r="C65" s="4">
        <f t="shared" si="1"/>
        <v>4</v>
      </c>
      <c r="D65" s="5">
        <f t="shared" si="2"/>
        <v>3.256572863</v>
      </c>
      <c r="F65" s="6" t="s">
        <v>25</v>
      </c>
    </row>
    <row r="66" ht="15.75" customHeight="1">
      <c r="A66" s="4">
        <v>2.0</v>
      </c>
      <c r="B66" s="4">
        <v>4.0</v>
      </c>
      <c r="C66" s="4">
        <f t="shared" si="1"/>
        <v>2</v>
      </c>
      <c r="D66" s="5">
        <f t="shared" si="2"/>
        <v>0.0381820584</v>
      </c>
    </row>
    <row r="67" ht="15.75" customHeight="1">
      <c r="A67" s="4">
        <v>1.0</v>
      </c>
      <c r="B67" s="4">
        <v>3.0</v>
      </c>
      <c r="C67" s="4">
        <f t="shared" si="1"/>
        <v>2</v>
      </c>
      <c r="D67" s="5">
        <f t="shared" si="2"/>
        <v>0.0381820584</v>
      </c>
    </row>
    <row r="68" ht="15.75" customHeight="1">
      <c r="A68" s="4">
        <v>2.0</v>
      </c>
      <c r="B68" s="4">
        <v>3.0</v>
      </c>
      <c r="C68" s="4">
        <f t="shared" si="1"/>
        <v>1</v>
      </c>
      <c r="D68" s="5">
        <f t="shared" si="2"/>
        <v>1.428986656</v>
      </c>
    </row>
    <row r="69" ht="15.75" customHeight="1">
      <c r="A69" s="4">
        <v>1.0</v>
      </c>
      <c r="B69" s="4">
        <v>4.0</v>
      </c>
      <c r="C69" s="4">
        <f t="shared" si="1"/>
        <v>3</v>
      </c>
      <c r="D69" s="5">
        <f t="shared" si="2"/>
        <v>0.6473774607</v>
      </c>
    </row>
    <row r="70" ht="15.75" customHeight="1">
      <c r="A70" s="4">
        <v>2.0</v>
      </c>
      <c r="B70" s="4">
        <v>3.0</v>
      </c>
      <c r="C70" s="4">
        <f t="shared" si="1"/>
        <v>1</v>
      </c>
      <c r="D70" s="5">
        <f t="shared" si="2"/>
        <v>1.428986656</v>
      </c>
    </row>
    <row r="71" ht="15.75" customHeight="1">
      <c r="A71" s="4">
        <v>1.0</v>
      </c>
      <c r="B71" s="4">
        <v>5.0</v>
      </c>
      <c r="C71" s="4">
        <f t="shared" si="1"/>
        <v>4</v>
      </c>
      <c r="D71" s="5">
        <f t="shared" si="2"/>
        <v>3.256572863</v>
      </c>
    </row>
    <row r="72" ht="15.75" customHeight="1">
      <c r="A72" s="4">
        <v>2.0</v>
      </c>
      <c r="B72" s="4">
        <v>3.0</v>
      </c>
      <c r="C72" s="4">
        <f t="shared" si="1"/>
        <v>1</v>
      </c>
      <c r="D72" s="5">
        <f t="shared" si="2"/>
        <v>1.428986656</v>
      </c>
      <c r="F72" s="7" t="s">
        <v>29</v>
      </c>
    </row>
    <row r="73" ht="15.75" customHeight="1">
      <c r="A73" s="4">
        <v>1.0</v>
      </c>
      <c r="B73" s="4">
        <v>4.0</v>
      </c>
      <c r="C73" s="4">
        <f t="shared" si="1"/>
        <v>3</v>
      </c>
      <c r="D73" s="5">
        <f t="shared" si="2"/>
        <v>0.6473774607</v>
      </c>
      <c r="F73" s="7" t="s">
        <v>162</v>
      </c>
    </row>
    <row r="74" ht="15.75" customHeight="1">
      <c r="A74" s="4">
        <v>2.0</v>
      </c>
      <c r="B74" s="4">
        <v>3.0</v>
      </c>
      <c r="C74" s="4">
        <f t="shared" si="1"/>
        <v>1</v>
      </c>
      <c r="D74" s="5">
        <f t="shared" si="2"/>
        <v>1.428986656</v>
      </c>
      <c r="F74" s="7" t="s">
        <v>29</v>
      </c>
    </row>
    <row r="75" ht="15.75" customHeight="1">
      <c r="A75" s="4">
        <v>1.0</v>
      </c>
      <c r="B75" s="4">
        <v>5.0</v>
      </c>
      <c r="C75" s="4">
        <f t="shared" si="1"/>
        <v>4</v>
      </c>
      <c r="D75" s="5">
        <f t="shared" si="2"/>
        <v>3.256572863</v>
      </c>
      <c r="F75" s="7" t="s">
        <v>163</v>
      </c>
    </row>
    <row r="76" ht="15.75" customHeight="1">
      <c r="A76" s="4">
        <v>2.0</v>
      </c>
      <c r="B76" s="4">
        <v>3.0</v>
      </c>
      <c r="C76" s="4">
        <f t="shared" si="1"/>
        <v>1</v>
      </c>
      <c r="D76" s="5">
        <f t="shared" si="2"/>
        <v>1.428986656</v>
      </c>
    </row>
    <row r="77" ht="15.75" customHeight="1">
      <c r="A77" s="4">
        <v>1.0</v>
      </c>
      <c r="B77" s="4">
        <v>2.0</v>
      </c>
      <c r="C77" s="4">
        <f t="shared" si="1"/>
        <v>1</v>
      </c>
      <c r="D77" s="5">
        <f t="shared" si="2"/>
        <v>1.428986656</v>
      </c>
    </row>
    <row r="78" ht="15.75" customHeight="1">
      <c r="A78" s="4">
        <v>2.0</v>
      </c>
      <c r="B78" s="4">
        <v>5.0</v>
      </c>
      <c r="C78" s="4">
        <f t="shared" si="1"/>
        <v>3</v>
      </c>
      <c r="D78" s="5">
        <f t="shared" si="2"/>
        <v>0.6473774607</v>
      </c>
    </row>
    <row r="79" ht="15.75" customHeight="1">
      <c r="A79" s="4">
        <v>1.0</v>
      </c>
      <c r="B79" s="4">
        <v>4.0</v>
      </c>
      <c r="C79" s="4">
        <f t="shared" si="1"/>
        <v>3</v>
      </c>
      <c r="D79" s="5">
        <f t="shared" si="2"/>
        <v>0.6473774607</v>
      </c>
    </row>
    <row r="80" ht="15.75" customHeight="1">
      <c r="A80" s="4">
        <v>2.0</v>
      </c>
      <c r="B80" s="4">
        <v>5.0</v>
      </c>
      <c r="C80" s="4">
        <f t="shared" si="1"/>
        <v>3</v>
      </c>
      <c r="D80" s="5">
        <f t="shared" si="2"/>
        <v>0.6473774607</v>
      </c>
    </row>
    <row r="81" ht="15.75" customHeight="1">
      <c r="A81" s="4">
        <v>1.0</v>
      </c>
      <c r="B81" s="4">
        <v>3.0</v>
      </c>
      <c r="C81" s="4">
        <f t="shared" si="1"/>
        <v>2</v>
      </c>
      <c r="D81" s="5">
        <f t="shared" si="2"/>
        <v>0.0381820584</v>
      </c>
    </row>
    <row r="82" ht="15.75" customHeight="1">
      <c r="A82" s="4">
        <v>2.0</v>
      </c>
      <c r="B82" s="4">
        <v>5.0</v>
      </c>
      <c r="C82" s="4">
        <f t="shared" si="1"/>
        <v>3</v>
      </c>
      <c r="D82" s="5">
        <f t="shared" si="2"/>
        <v>0.6473774607</v>
      </c>
    </row>
    <row r="83" ht="15.75" customHeight="1">
      <c r="A83" s="4">
        <v>1.0</v>
      </c>
      <c r="B83" s="4">
        <v>3.0</v>
      </c>
      <c r="C83" s="4">
        <f t="shared" si="1"/>
        <v>2</v>
      </c>
      <c r="D83" s="5">
        <f t="shared" si="2"/>
        <v>0.0381820584</v>
      </c>
    </row>
    <row r="84" ht="15.75" customHeight="1">
      <c r="A84" s="4">
        <v>2.0</v>
      </c>
      <c r="B84" s="4">
        <v>3.0</v>
      </c>
      <c r="C84" s="4">
        <f t="shared" si="1"/>
        <v>1</v>
      </c>
      <c r="D84" s="5">
        <f t="shared" si="2"/>
        <v>1.428986656</v>
      </c>
    </row>
    <row r="85" ht="15.75" customHeight="1">
      <c r="A85" s="4">
        <v>1.0</v>
      </c>
      <c r="B85" s="4">
        <v>3.0</v>
      </c>
      <c r="C85" s="4">
        <f t="shared" si="1"/>
        <v>2</v>
      </c>
      <c r="D85" s="5">
        <f t="shared" si="2"/>
        <v>0.0381820584</v>
      </c>
    </row>
    <row r="86" ht="15.75" customHeight="1">
      <c r="A86" s="4">
        <v>2.0</v>
      </c>
      <c r="B86" s="4">
        <v>5.0</v>
      </c>
      <c r="C86" s="4">
        <f t="shared" si="1"/>
        <v>3</v>
      </c>
      <c r="D86" s="5">
        <f t="shared" si="2"/>
        <v>0.6473774607</v>
      </c>
    </row>
    <row r="87" ht="15.75" customHeight="1">
      <c r="A87" s="4">
        <v>1.0</v>
      </c>
      <c r="B87" s="4">
        <v>4.0</v>
      </c>
      <c r="C87" s="4">
        <f t="shared" si="1"/>
        <v>3</v>
      </c>
      <c r="D87" s="5">
        <f t="shared" si="2"/>
        <v>0.6473774607</v>
      </c>
    </row>
    <row r="88" ht="15.75" customHeight="1">
      <c r="A88" s="4">
        <v>2.0</v>
      </c>
      <c r="B88" s="4">
        <v>3.0</v>
      </c>
      <c r="C88" s="4">
        <f t="shared" si="1"/>
        <v>1</v>
      </c>
      <c r="D88" s="5">
        <f t="shared" si="2"/>
        <v>1.428986656</v>
      </c>
    </row>
    <row r="89" ht="15.75" customHeight="1"/>
    <row r="90" ht="15.75" customHeight="1"/>
    <row r="91" ht="15.75" customHeight="1"/>
    <row r="92" ht="15.75" customHeight="1"/>
    <row r="93" ht="15.75" customHeight="1">
      <c r="F93" s="8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3.43"/>
    <col customWidth="1" min="3" max="3" width="19.86"/>
    <col customWidth="1" min="4" max="4" width="23.14"/>
    <col customWidth="1" min="5" max="5" width="12.0"/>
    <col customWidth="1" min="6" max="6" width="39.0"/>
    <col customWidth="1" min="7" max="7" width="19.0"/>
    <col customWidth="1" min="8" max="26" width="9.14"/>
  </cols>
  <sheetData>
    <row r="1" ht="108.0" customHeight="1">
      <c r="A1" s="1" t="s">
        <v>164</v>
      </c>
      <c r="B1" s="2" t="s">
        <v>165</v>
      </c>
      <c r="C1" s="3" t="s">
        <v>2</v>
      </c>
      <c r="D1" s="3"/>
    </row>
    <row r="2">
      <c r="A2" s="4">
        <v>2.0</v>
      </c>
      <c r="B2" s="4">
        <v>4.0</v>
      </c>
      <c r="C2" s="4">
        <f t="shared" ref="C2:C88" si="1">B2-A2</f>
        <v>2</v>
      </c>
      <c r="D2" s="5">
        <f t="shared" ref="D2:D88" si="2">(C2-$G$6)^2</f>
        <v>0.0381820584</v>
      </c>
    </row>
    <row r="3">
      <c r="A3" s="4">
        <v>1.0</v>
      </c>
      <c r="B3" s="4">
        <v>3.0</v>
      </c>
      <c r="C3" s="4">
        <f t="shared" si="1"/>
        <v>2</v>
      </c>
      <c r="D3" s="5">
        <f t="shared" si="2"/>
        <v>0.0381820584</v>
      </c>
      <c r="F3" s="6" t="s">
        <v>3</v>
      </c>
      <c r="G3" s="6"/>
    </row>
    <row r="4">
      <c r="A4" s="4">
        <v>2.0</v>
      </c>
      <c r="B4" s="4">
        <v>3.0</v>
      </c>
      <c r="C4" s="4">
        <f t="shared" si="1"/>
        <v>1</v>
      </c>
      <c r="D4" s="5">
        <f t="shared" si="2"/>
        <v>1.428986656</v>
      </c>
      <c r="F4" s="7" t="s">
        <v>4</v>
      </c>
      <c r="G4" s="7">
        <v>87.0</v>
      </c>
    </row>
    <row r="5">
      <c r="A5" s="4">
        <v>1.0</v>
      </c>
      <c r="B5" s="4">
        <v>4.0</v>
      </c>
      <c r="C5" s="4">
        <f t="shared" si="1"/>
        <v>3</v>
      </c>
      <c r="D5" s="5">
        <f t="shared" si="2"/>
        <v>0.6473774607</v>
      </c>
      <c r="F5" s="7" t="s">
        <v>5</v>
      </c>
      <c r="G5" s="7">
        <f>SUM(C:C)</f>
        <v>191</v>
      </c>
    </row>
    <row r="6">
      <c r="A6" s="4">
        <v>3.0</v>
      </c>
      <c r="B6" s="4">
        <v>3.0</v>
      </c>
      <c r="C6" s="4">
        <f t="shared" si="1"/>
        <v>0</v>
      </c>
      <c r="D6" s="5">
        <f t="shared" si="2"/>
        <v>4.819791254</v>
      </c>
      <c r="F6" s="7" t="s">
        <v>6</v>
      </c>
      <c r="G6" s="7">
        <f>G5/G4</f>
        <v>2.195402299</v>
      </c>
    </row>
    <row r="7">
      <c r="A7" s="4">
        <v>3.0</v>
      </c>
      <c r="B7" s="4">
        <v>5.0</v>
      </c>
      <c r="C7" s="4">
        <f t="shared" si="1"/>
        <v>2</v>
      </c>
      <c r="D7" s="5">
        <f t="shared" si="2"/>
        <v>0.0381820584</v>
      </c>
      <c r="F7" s="7" t="s">
        <v>7</v>
      </c>
      <c r="G7" s="7">
        <f>SUM(D:D)</f>
        <v>107.6781609</v>
      </c>
    </row>
    <row r="8">
      <c r="A8" s="4">
        <v>2.0</v>
      </c>
      <c r="B8" s="4">
        <v>5.0</v>
      </c>
      <c r="C8" s="4">
        <f t="shared" si="1"/>
        <v>3</v>
      </c>
      <c r="D8" s="5">
        <f t="shared" si="2"/>
        <v>0.6473774607</v>
      </c>
      <c r="F8" s="7" t="s">
        <v>8</v>
      </c>
      <c r="G8" s="7">
        <f>SQRT(G7/(G4-1))</f>
        <v>1.11896007</v>
      </c>
    </row>
    <row r="9">
      <c r="A9" s="4">
        <v>1.0</v>
      </c>
      <c r="B9" s="4">
        <v>3.0</v>
      </c>
      <c r="C9" s="4">
        <f t="shared" si="1"/>
        <v>2</v>
      </c>
      <c r="D9" s="5">
        <f t="shared" si="2"/>
        <v>0.0381820584</v>
      </c>
    </row>
    <row r="10">
      <c r="A10" s="4">
        <v>2.0</v>
      </c>
      <c r="B10" s="4">
        <v>5.0</v>
      </c>
      <c r="C10" s="4">
        <f t="shared" si="1"/>
        <v>3</v>
      </c>
      <c r="D10" s="5">
        <f t="shared" si="2"/>
        <v>0.6473774607</v>
      </c>
    </row>
    <row r="11">
      <c r="A11" s="4">
        <v>1.0</v>
      </c>
      <c r="B11" s="4">
        <v>4.0</v>
      </c>
      <c r="C11" s="4">
        <f t="shared" si="1"/>
        <v>3</v>
      </c>
      <c r="D11" s="5">
        <f t="shared" si="2"/>
        <v>0.6473774607</v>
      </c>
    </row>
    <row r="12">
      <c r="A12" s="4">
        <v>2.0</v>
      </c>
      <c r="B12" s="4">
        <v>2.0</v>
      </c>
      <c r="C12" s="4">
        <f t="shared" si="1"/>
        <v>0</v>
      </c>
      <c r="D12" s="5">
        <f t="shared" si="2"/>
        <v>4.819791254</v>
      </c>
      <c r="F12" s="7" t="s">
        <v>9</v>
      </c>
      <c r="G12" s="7">
        <f>G6/(G8/SQRT(G4))</f>
        <v>18.30033972</v>
      </c>
    </row>
    <row r="13">
      <c r="A13" s="4">
        <v>1.0</v>
      </c>
      <c r="B13" s="4">
        <v>4.0</v>
      </c>
      <c r="C13" s="4">
        <f t="shared" si="1"/>
        <v>3</v>
      </c>
      <c r="D13" s="5">
        <f t="shared" si="2"/>
        <v>0.6473774607</v>
      </c>
    </row>
    <row r="14">
      <c r="A14" s="4">
        <v>2.0</v>
      </c>
      <c r="B14" s="4">
        <v>5.0</v>
      </c>
      <c r="C14" s="4">
        <f t="shared" si="1"/>
        <v>3</v>
      </c>
      <c r="D14" s="5">
        <f t="shared" si="2"/>
        <v>0.6473774607</v>
      </c>
    </row>
    <row r="15">
      <c r="A15" s="4">
        <v>1.0</v>
      </c>
      <c r="B15" s="4">
        <v>5.0</v>
      </c>
      <c r="C15" s="4">
        <f t="shared" si="1"/>
        <v>4</v>
      </c>
      <c r="D15" s="5">
        <f t="shared" si="2"/>
        <v>3.256572863</v>
      </c>
    </row>
    <row r="16">
      <c r="A16" s="4">
        <v>2.0</v>
      </c>
      <c r="B16" s="4">
        <v>4.0</v>
      </c>
      <c r="C16" s="4">
        <f t="shared" si="1"/>
        <v>2</v>
      </c>
      <c r="D16" s="5">
        <f t="shared" si="2"/>
        <v>0.0381820584</v>
      </c>
    </row>
    <row r="17">
      <c r="A17" s="4">
        <v>1.0</v>
      </c>
      <c r="B17" s="4">
        <v>4.0</v>
      </c>
      <c r="C17" s="4">
        <f t="shared" si="1"/>
        <v>3</v>
      </c>
      <c r="D17" s="5">
        <f t="shared" si="2"/>
        <v>0.6473774607</v>
      </c>
      <c r="F17" s="7" t="s">
        <v>10</v>
      </c>
      <c r="G17" s="7">
        <v>0.05</v>
      </c>
    </row>
    <row r="18">
      <c r="A18" s="4">
        <v>2.0</v>
      </c>
      <c r="B18" s="4">
        <v>3.0</v>
      </c>
      <c r="C18" s="4">
        <f t="shared" si="1"/>
        <v>1</v>
      </c>
      <c r="D18" s="5">
        <f t="shared" si="2"/>
        <v>1.428986656</v>
      </c>
      <c r="F18" s="7" t="s">
        <v>11</v>
      </c>
      <c r="G18" s="7">
        <f>G4-1</f>
        <v>86</v>
      </c>
    </row>
    <row r="19">
      <c r="A19" s="4">
        <v>1.0</v>
      </c>
      <c r="B19" s="4">
        <v>4.0</v>
      </c>
      <c r="C19" s="4">
        <f t="shared" si="1"/>
        <v>3</v>
      </c>
      <c r="D19" s="5">
        <f t="shared" si="2"/>
        <v>0.6473774607</v>
      </c>
    </row>
    <row r="20">
      <c r="A20" s="4">
        <v>2.0</v>
      </c>
      <c r="B20" s="4">
        <v>3.0</v>
      </c>
      <c r="C20" s="4">
        <f t="shared" si="1"/>
        <v>1</v>
      </c>
      <c r="D20" s="5">
        <f t="shared" si="2"/>
        <v>1.428986656</v>
      </c>
    </row>
    <row r="21" ht="15.75" customHeight="1">
      <c r="A21" s="4">
        <v>3.0</v>
      </c>
      <c r="B21" s="4">
        <v>4.0</v>
      </c>
      <c r="C21" s="4">
        <f t="shared" si="1"/>
        <v>1</v>
      </c>
      <c r="D21" s="5">
        <f t="shared" si="2"/>
        <v>1.428986656</v>
      </c>
    </row>
    <row r="22" ht="15.75" customHeight="1">
      <c r="A22" s="4">
        <v>2.0</v>
      </c>
      <c r="B22" s="4">
        <v>3.0</v>
      </c>
      <c r="C22" s="4">
        <f t="shared" si="1"/>
        <v>1</v>
      </c>
      <c r="D22" s="5">
        <f t="shared" si="2"/>
        <v>1.428986656</v>
      </c>
      <c r="F22" s="6" t="s">
        <v>12</v>
      </c>
      <c r="G22" s="6"/>
    </row>
    <row r="23" ht="15.75" customHeight="1">
      <c r="A23" s="4">
        <v>1.0</v>
      </c>
      <c r="B23" s="4">
        <v>4.0</v>
      </c>
      <c r="C23" s="4">
        <f t="shared" si="1"/>
        <v>3</v>
      </c>
      <c r="D23" s="5">
        <f t="shared" si="2"/>
        <v>0.6473774607</v>
      </c>
      <c r="F23" s="7" t="s">
        <v>166</v>
      </c>
      <c r="G23" s="7">
        <f>_xlfn.T.INV.2T(G17,G18)</f>
        <v>1.987934206</v>
      </c>
    </row>
    <row r="24" ht="15.75" customHeight="1">
      <c r="A24" s="4">
        <v>2.0</v>
      </c>
      <c r="B24" s="4">
        <v>4.0</v>
      </c>
      <c r="C24" s="4">
        <f t="shared" si="1"/>
        <v>2</v>
      </c>
      <c r="D24" s="5">
        <f t="shared" si="2"/>
        <v>0.0381820584</v>
      </c>
      <c r="F24" s="7" t="s">
        <v>167</v>
      </c>
      <c r="G24" s="7">
        <f>_xlfn.T.INV(G17,G18)</f>
        <v>-1.662765449</v>
      </c>
    </row>
    <row r="25" ht="15.75" customHeight="1">
      <c r="A25" s="4">
        <v>1.0</v>
      </c>
      <c r="B25" s="4">
        <v>3.0</v>
      </c>
      <c r="C25" s="4">
        <f t="shared" si="1"/>
        <v>2</v>
      </c>
      <c r="D25" s="5">
        <f t="shared" si="2"/>
        <v>0.0381820584</v>
      </c>
    </row>
    <row r="26" ht="15.75" customHeight="1">
      <c r="A26" s="4">
        <v>2.0</v>
      </c>
      <c r="B26" s="4">
        <v>4.0</v>
      </c>
      <c r="C26" s="4">
        <f t="shared" si="1"/>
        <v>2</v>
      </c>
      <c r="D26" s="5">
        <f t="shared" si="2"/>
        <v>0.0381820584</v>
      </c>
    </row>
    <row r="27" ht="15.75" customHeight="1">
      <c r="A27" s="4">
        <v>4.0</v>
      </c>
      <c r="B27" s="4">
        <v>4.0</v>
      </c>
      <c r="C27" s="4">
        <f t="shared" si="1"/>
        <v>0</v>
      </c>
      <c r="D27" s="5">
        <f t="shared" si="2"/>
        <v>4.819791254</v>
      </c>
    </row>
    <row r="28" ht="15.75" customHeight="1">
      <c r="A28" s="4">
        <v>2.0</v>
      </c>
      <c r="B28" s="4">
        <v>3.0</v>
      </c>
      <c r="C28" s="4">
        <f t="shared" si="1"/>
        <v>1</v>
      </c>
      <c r="D28" s="5">
        <f t="shared" si="2"/>
        <v>1.428986656</v>
      </c>
    </row>
    <row r="29" ht="15.75" customHeight="1">
      <c r="A29" s="4">
        <v>1.0</v>
      </c>
      <c r="B29" s="4">
        <v>4.0</v>
      </c>
      <c r="C29" s="4">
        <f t="shared" si="1"/>
        <v>3</v>
      </c>
      <c r="D29" s="5">
        <f t="shared" si="2"/>
        <v>0.6473774607</v>
      </c>
    </row>
    <row r="30" ht="15.75" customHeight="1">
      <c r="A30" s="4">
        <v>2.0</v>
      </c>
      <c r="B30" s="4">
        <v>5.0</v>
      </c>
      <c r="C30" s="4">
        <f t="shared" si="1"/>
        <v>3</v>
      </c>
      <c r="D30" s="5">
        <f t="shared" si="2"/>
        <v>0.6473774607</v>
      </c>
    </row>
    <row r="31" ht="15.75" customHeight="1">
      <c r="A31" s="4">
        <v>1.0</v>
      </c>
      <c r="B31" s="4">
        <v>5.0</v>
      </c>
      <c r="C31" s="4">
        <f t="shared" si="1"/>
        <v>4</v>
      </c>
      <c r="D31" s="5">
        <f t="shared" si="2"/>
        <v>3.256572863</v>
      </c>
    </row>
    <row r="32" ht="15.75" customHeight="1">
      <c r="A32" s="4">
        <v>2.0</v>
      </c>
      <c r="B32" s="4">
        <v>3.0</v>
      </c>
      <c r="C32" s="4">
        <f t="shared" si="1"/>
        <v>1</v>
      </c>
      <c r="D32" s="5">
        <f t="shared" si="2"/>
        <v>1.428986656</v>
      </c>
    </row>
    <row r="33" ht="15.75" customHeight="1">
      <c r="A33" s="4">
        <v>1.0</v>
      </c>
      <c r="B33" s="4">
        <v>5.0</v>
      </c>
      <c r="C33" s="4">
        <f t="shared" si="1"/>
        <v>4</v>
      </c>
      <c r="D33" s="5">
        <f t="shared" si="2"/>
        <v>3.256572863</v>
      </c>
    </row>
    <row r="34" ht="15.75" customHeight="1">
      <c r="A34" s="4">
        <v>2.0</v>
      </c>
      <c r="B34" s="4">
        <v>4.0</v>
      </c>
      <c r="C34" s="4">
        <f t="shared" si="1"/>
        <v>2</v>
      </c>
      <c r="D34" s="5">
        <f t="shared" si="2"/>
        <v>0.0381820584</v>
      </c>
      <c r="F34" s="7" t="s">
        <v>15</v>
      </c>
    </row>
    <row r="35" ht="15.75" customHeight="1">
      <c r="A35" s="4">
        <v>1.0</v>
      </c>
      <c r="B35" s="4">
        <v>4.0</v>
      </c>
      <c r="C35" s="4">
        <f t="shared" si="1"/>
        <v>3</v>
      </c>
      <c r="D35" s="5">
        <f t="shared" si="2"/>
        <v>0.6473774607</v>
      </c>
      <c r="F35" s="7" t="s">
        <v>16</v>
      </c>
    </row>
    <row r="36" ht="15.75" customHeight="1">
      <c r="A36" s="4">
        <v>2.0</v>
      </c>
      <c r="B36" s="4">
        <v>3.0</v>
      </c>
      <c r="C36" s="4">
        <f t="shared" si="1"/>
        <v>1</v>
      </c>
      <c r="D36" s="5">
        <f t="shared" si="2"/>
        <v>1.428986656</v>
      </c>
    </row>
    <row r="37" ht="15.75" customHeight="1">
      <c r="A37" s="4">
        <v>1.0</v>
      </c>
      <c r="B37" s="4">
        <v>5.0</v>
      </c>
      <c r="C37" s="4">
        <f t="shared" si="1"/>
        <v>4</v>
      </c>
      <c r="D37" s="5">
        <f t="shared" si="2"/>
        <v>3.256572863</v>
      </c>
    </row>
    <row r="38" ht="15.75" customHeight="1">
      <c r="A38" s="4">
        <v>2.0</v>
      </c>
      <c r="B38" s="4">
        <v>3.0</v>
      </c>
      <c r="C38" s="4">
        <f t="shared" si="1"/>
        <v>1</v>
      </c>
      <c r="D38" s="5">
        <f t="shared" si="2"/>
        <v>1.428986656</v>
      </c>
    </row>
    <row r="39" ht="15.75" customHeight="1">
      <c r="A39" s="4">
        <v>1.0</v>
      </c>
      <c r="B39" s="4">
        <v>3.0</v>
      </c>
      <c r="C39" s="4">
        <f t="shared" si="1"/>
        <v>2</v>
      </c>
      <c r="D39" s="5">
        <f t="shared" si="2"/>
        <v>0.0381820584</v>
      </c>
      <c r="F39" s="6" t="s">
        <v>17</v>
      </c>
      <c r="G39" s="6"/>
    </row>
    <row r="40" ht="15.75" customHeight="1">
      <c r="A40" s="4">
        <v>2.0</v>
      </c>
      <c r="B40" s="4">
        <v>4.0</v>
      </c>
      <c r="C40" s="4">
        <f t="shared" si="1"/>
        <v>2</v>
      </c>
      <c r="D40" s="5">
        <f t="shared" si="2"/>
        <v>0.0381820584</v>
      </c>
      <c r="F40" s="7" t="s">
        <v>17</v>
      </c>
    </row>
    <row r="41" ht="15.75" customHeight="1">
      <c r="A41" s="4">
        <v>1.0</v>
      </c>
      <c r="B41" s="4">
        <v>4.0</v>
      </c>
      <c r="C41" s="4">
        <f t="shared" si="1"/>
        <v>3</v>
      </c>
      <c r="D41" s="5">
        <f t="shared" si="2"/>
        <v>0.6473774607</v>
      </c>
      <c r="F41" s="7" t="s">
        <v>168</v>
      </c>
      <c r="G41" s="7">
        <f>TTEST(A:A,B:B,2,1)</f>
        <v>0</v>
      </c>
    </row>
    <row r="42" ht="15.75" customHeight="1">
      <c r="A42" s="4">
        <v>2.0</v>
      </c>
      <c r="B42" s="4">
        <v>2.0</v>
      </c>
      <c r="C42" s="4">
        <f t="shared" si="1"/>
        <v>0</v>
      </c>
      <c r="D42" s="5">
        <f t="shared" si="2"/>
        <v>4.819791254</v>
      </c>
      <c r="F42" s="7" t="s">
        <v>169</v>
      </c>
      <c r="G42" s="7">
        <f>TTEST(A:A,B:B,1,1)</f>
        <v>0</v>
      </c>
    </row>
    <row r="43" ht="15.75" customHeight="1">
      <c r="A43" s="4">
        <v>1.0</v>
      </c>
      <c r="B43" s="4">
        <v>4.0</v>
      </c>
      <c r="C43" s="4">
        <f t="shared" si="1"/>
        <v>3</v>
      </c>
      <c r="D43" s="5">
        <f t="shared" si="2"/>
        <v>0.6473774607</v>
      </c>
    </row>
    <row r="44" ht="15.75" customHeight="1">
      <c r="A44" s="4">
        <v>2.0</v>
      </c>
      <c r="B44" s="4">
        <v>5.0</v>
      </c>
      <c r="C44" s="4">
        <f t="shared" si="1"/>
        <v>3</v>
      </c>
      <c r="D44" s="5">
        <f t="shared" si="2"/>
        <v>0.6473774607</v>
      </c>
    </row>
    <row r="45" ht="15.75" customHeight="1">
      <c r="A45" s="4">
        <v>1.0</v>
      </c>
      <c r="B45" s="4">
        <v>4.0</v>
      </c>
      <c r="C45" s="4">
        <f t="shared" si="1"/>
        <v>3</v>
      </c>
      <c r="D45" s="5">
        <f t="shared" si="2"/>
        <v>0.6473774607</v>
      </c>
      <c r="F45" s="6" t="s">
        <v>20</v>
      </c>
      <c r="G45" s="6"/>
    </row>
    <row r="46" ht="15.75" customHeight="1">
      <c r="A46" s="4">
        <v>3.0</v>
      </c>
      <c r="B46" s="4">
        <v>5.0</v>
      </c>
      <c r="C46" s="4">
        <f t="shared" si="1"/>
        <v>2</v>
      </c>
      <c r="D46" s="5">
        <f t="shared" si="2"/>
        <v>0.0381820584</v>
      </c>
    </row>
    <row r="47" ht="15.75" customHeight="1">
      <c r="A47" s="4">
        <v>1.0</v>
      </c>
      <c r="B47" s="4">
        <v>5.0</v>
      </c>
      <c r="C47" s="4">
        <f t="shared" si="1"/>
        <v>4</v>
      </c>
      <c r="D47" s="5">
        <f t="shared" si="2"/>
        <v>3.256572863</v>
      </c>
      <c r="F47" s="7" t="s">
        <v>170</v>
      </c>
    </row>
    <row r="48" ht="15.75" customHeight="1">
      <c r="A48" s="4">
        <v>2.0</v>
      </c>
      <c r="B48" s="4">
        <v>3.0</v>
      </c>
      <c r="C48" s="4">
        <f t="shared" si="1"/>
        <v>1</v>
      </c>
      <c r="D48" s="5">
        <f t="shared" si="2"/>
        <v>1.428986656</v>
      </c>
      <c r="F48" s="7" t="s">
        <v>171</v>
      </c>
    </row>
    <row r="49" ht="15.75" customHeight="1">
      <c r="A49" s="4">
        <v>1.0</v>
      </c>
      <c r="B49" s="4">
        <v>4.0</v>
      </c>
      <c r="C49" s="4">
        <f t="shared" si="1"/>
        <v>3</v>
      </c>
      <c r="D49" s="5">
        <f t="shared" si="2"/>
        <v>0.6473774607</v>
      </c>
    </row>
    <row r="50" ht="15.75" customHeight="1">
      <c r="A50" s="4">
        <v>2.0</v>
      </c>
      <c r="B50" s="4">
        <v>4.0</v>
      </c>
      <c r="C50" s="4">
        <f t="shared" si="1"/>
        <v>2</v>
      </c>
      <c r="D50" s="5">
        <f t="shared" si="2"/>
        <v>0.0381820584</v>
      </c>
      <c r="F50" s="7" t="s">
        <v>23</v>
      </c>
    </row>
    <row r="51" ht="15.75" customHeight="1">
      <c r="A51" s="4">
        <v>1.0</v>
      </c>
      <c r="B51" s="4">
        <v>3.0</v>
      </c>
      <c r="C51" s="4">
        <f t="shared" si="1"/>
        <v>2</v>
      </c>
      <c r="D51" s="5">
        <f t="shared" si="2"/>
        <v>0.0381820584</v>
      </c>
      <c r="F51" s="7" t="s">
        <v>24</v>
      </c>
    </row>
    <row r="52" ht="15.75" customHeight="1">
      <c r="A52" s="4">
        <v>2.0</v>
      </c>
      <c r="B52" s="4">
        <v>4.0</v>
      </c>
      <c r="C52" s="4">
        <f t="shared" si="1"/>
        <v>2</v>
      </c>
      <c r="D52" s="5">
        <f t="shared" si="2"/>
        <v>0.0381820584</v>
      </c>
    </row>
    <row r="53" ht="15.75" customHeight="1">
      <c r="A53" s="4">
        <v>1.0</v>
      </c>
      <c r="B53" s="4">
        <v>4.0</v>
      </c>
      <c r="C53" s="4">
        <f t="shared" si="1"/>
        <v>3</v>
      </c>
      <c r="D53" s="5">
        <f t="shared" si="2"/>
        <v>0.6473774607</v>
      </c>
    </row>
    <row r="54" ht="15.75" customHeight="1">
      <c r="A54" s="4">
        <v>2.0</v>
      </c>
      <c r="B54" s="4">
        <v>4.0</v>
      </c>
      <c r="C54" s="4">
        <f t="shared" si="1"/>
        <v>2</v>
      </c>
      <c r="D54" s="5">
        <f t="shared" si="2"/>
        <v>0.0381820584</v>
      </c>
    </row>
    <row r="55" ht="15.75" customHeight="1">
      <c r="A55" s="4">
        <v>4.0</v>
      </c>
      <c r="B55" s="4">
        <v>5.0</v>
      </c>
      <c r="C55" s="4">
        <f t="shared" si="1"/>
        <v>1</v>
      </c>
      <c r="D55" s="5">
        <f t="shared" si="2"/>
        <v>1.428986656</v>
      </c>
    </row>
    <row r="56" ht="15.75" customHeight="1">
      <c r="A56" s="4">
        <v>2.0</v>
      </c>
      <c r="B56" s="4">
        <v>5.0</v>
      </c>
      <c r="C56" s="4">
        <f t="shared" si="1"/>
        <v>3</v>
      </c>
      <c r="D56" s="5">
        <f t="shared" si="2"/>
        <v>0.6473774607</v>
      </c>
      <c r="F56" s="6" t="s">
        <v>25</v>
      </c>
    </row>
    <row r="57" ht="15.75" customHeight="1">
      <c r="A57" s="4">
        <v>1.0</v>
      </c>
      <c r="B57" s="4">
        <v>4.0</v>
      </c>
      <c r="C57" s="4">
        <f t="shared" si="1"/>
        <v>3</v>
      </c>
      <c r="D57" s="5">
        <f t="shared" si="2"/>
        <v>0.6473774607</v>
      </c>
    </row>
    <row r="58" ht="15.75" customHeight="1">
      <c r="A58" s="4">
        <v>2.0</v>
      </c>
      <c r="B58" s="4">
        <v>5.0</v>
      </c>
      <c r="C58" s="4">
        <f t="shared" si="1"/>
        <v>3</v>
      </c>
      <c r="D58" s="5">
        <f t="shared" si="2"/>
        <v>0.6473774607</v>
      </c>
      <c r="F58" s="7" t="s">
        <v>172</v>
      </c>
    </row>
    <row r="59" ht="15.75" customHeight="1">
      <c r="A59" s="4">
        <v>1.0</v>
      </c>
      <c r="B59" s="4">
        <v>5.0</v>
      </c>
      <c r="C59" s="4">
        <f t="shared" si="1"/>
        <v>4</v>
      </c>
      <c r="D59" s="5">
        <f t="shared" si="2"/>
        <v>3.256572863</v>
      </c>
      <c r="F59" s="7" t="s">
        <v>27</v>
      </c>
    </row>
    <row r="60" ht="15.75" customHeight="1">
      <c r="A60" s="4">
        <v>2.0</v>
      </c>
      <c r="B60" s="4">
        <v>5.0</v>
      </c>
      <c r="C60" s="4">
        <f t="shared" si="1"/>
        <v>3</v>
      </c>
      <c r="D60" s="5">
        <f t="shared" si="2"/>
        <v>0.6473774607</v>
      </c>
      <c r="F60" s="7" t="s">
        <v>173</v>
      </c>
    </row>
    <row r="61" ht="15.75" customHeight="1">
      <c r="A61" s="4">
        <v>1.0</v>
      </c>
      <c r="B61" s="4">
        <v>5.0</v>
      </c>
      <c r="C61" s="4">
        <f t="shared" si="1"/>
        <v>4</v>
      </c>
      <c r="D61" s="5">
        <f t="shared" si="2"/>
        <v>3.256572863</v>
      </c>
    </row>
    <row r="62" ht="15.75" customHeight="1">
      <c r="A62" s="4">
        <v>2.0</v>
      </c>
      <c r="B62" s="4">
        <v>5.0</v>
      </c>
      <c r="C62" s="4">
        <f t="shared" si="1"/>
        <v>3</v>
      </c>
      <c r="D62" s="5">
        <f t="shared" si="2"/>
        <v>0.6473774607</v>
      </c>
    </row>
    <row r="63" ht="15.75" customHeight="1">
      <c r="A63" s="4">
        <v>1.0</v>
      </c>
      <c r="B63" s="4">
        <v>4.0</v>
      </c>
      <c r="C63" s="4">
        <f t="shared" si="1"/>
        <v>3</v>
      </c>
      <c r="D63" s="5">
        <f t="shared" si="2"/>
        <v>0.6473774607</v>
      </c>
    </row>
    <row r="64" ht="15.75" customHeight="1">
      <c r="A64" s="4">
        <v>2.0</v>
      </c>
      <c r="B64" s="4">
        <v>3.0</v>
      </c>
      <c r="C64" s="4">
        <f t="shared" si="1"/>
        <v>1</v>
      </c>
      <c r="D64" s="5">
        <f t="shared" si="2"/>
        <v>1.428986656</v>
      </c>
    </row>
    <row r="65" ht="15.75" customHeight="1">
      <c r="A65" s="4">
        <v>1.0</v>
      </c>
      <c r="B65" s="4">
        <v>4.0</v>
      </c>
      <c r="C65" s="4">
        <f t="shared" si="1"/>
        <v>3</v>
      </c>
      <c r="D65" s="5">
        <f t="shared" si="2"/>
        <v>0.6473774607</v>
      </c>
      <c r="F65" s="6" t="s">
        <v>25</v>
      </c>
    </row>
    <row r="66" ht="15.75" customHeight="1">
      <c r="A66" s="4">
        <v>2.0</v>
      </c>
      <c r="B66" s="4">
        <v>4.0</v>
      </c>
      <c r="C66" s="4">
        <f t="shared" si="1"/>
        <v>2</v>
      </c>
      <c r="D66" s="5">
        <f t="shared" si="2"/>
        <v>0.0381820584</v>
      </c>
    </row>
    <row r="67" ht="15.75" customHeight="1">
      <c r="A67" s="4">
        <v>1.0</v>
      </c>
      <c r="B67" s="4">
        <v>1.0</v>
      </c>
      <c r="C67" s="4">
        <f t="shared" si="1"/>
        <v>0</v>
      </c>
      <c r="D67" s="5">
        <f t="shared" si="2"/>
        <v>4.819791254</v>
      </c>
    </row>
    <row r="68" ht="15.75" customHeight="1">
      <c r="A68" s="4">
        <v>2.0</v>
      </c>
      <c r="B68" s="4">
        <v>4.0</v>
      </c>
      <c r="C68" s="4">
        <f t="shared" si="1"/>
        <v>2</v>
      </c>
      <c r="D68" s="5">
        <f t="shared" si="2"/>
        <v>0.0381820584</v>
      </c>
    </row>
    <row r="69" ht="15.75" customHeight="1">
      <c r="A69" s="4">
        <v>1.0</v>
      </c>
      <c r="B69" s="4">
        <v>3.0</v>
      </c>
      <c r="C69" s="4">
        <f t="shared" si="1"/>
        <v>2</v>
      </c>
      <c r="D69" s="5">
        <f t="shared" si="2"/>
        <v>0.0381820584</v>
      </c>
    </row>
    <row r="70" ht="15.75" customHeight="1">
      <c r="A70" s="4">
        <v>2.0</v>
      </c>
      <c r="B70" s="4">
        <v>3.0</v>
      </c>
      <c r="C70" s="4">
        <f t="shared" si="1"/>
        <v>1</v>
      </c>
      <c r="D70" s="5">
        <f t="shared" si="2"/>
        <v>1.428986656</v>
      </c>
    </row>
    <row r="71" ht="15.75" customHeight="1">
      <c r="A71" s="4">
        <v>1.0</v>
      </c>
      <c r="B71" s="4">
        <v>5.0</v>
      </c>
      <c r="C71" s="4">
        <f t="shared" si="1"/>
        <v>4</v>
      </c>
      <c r="D71" s="5">
        <f t="shared" si="2"/>
        <v>3.256572863</v>
      </c>
    </row>
    <row r="72" ht="15.75" customHeight="1">
      <c r="A72" s="4">
        <v>2.0</v>
      </c>
      <c r="B72" s="4">
        <v>5.0</v>
      </c>
      <c r="C72" s="4">
        <f t="shared" si="1"/>
        <v>3</v>
      </c>
      <c r="D72" s="5">
        <f t="shared" si="2"/>
        <v>0.6473774607</v>
      </c>
      <c r="F72" s="7" t="s">
        <v>29</v>
      </c>
    </row>
    <row r="73" ht="15.75" customHeight="1">
      <c r="A73" s="4">
        <v>1.0</v>
      </c>
      <c r="B73" s="4">
        <v>2.0</v>
      </c>
      <c r="C73" s="4">
        <f t="shared" si="1"/>
        <v>1</v>
      </c>
      <c r="D73" s="5">
        <f t="shared" si="2"/>
        <v>1.428986656</v>
      </c>
      <c r="F73" s="7" t="s">
        <v>174</v>
      </c>
    </row>
    <row r="74" ht="15.75" customHeight="1">
      <c r="A74" s="4">
        <v>2.0</v>
      </c>
      <c r="B74" s="4">
        <v>3.0</v>
      </c>
      <c r="C74" s="4">
        <f t="shared" si="1"/>
        <v>1</v>
      </c>
      <c r="D74" s="5">
        <f t="shared" si="2"/>
        <v>1.428986656</v>
      </c>
      <c r="F74" s="7" t="s">
        <v>29</v>
      </c>
    </row>
    <row r="75" ht="15.75" customHeight="1">
      <c r="A75" s="4">
        <v>3.0</v>
      </c>
      <c r="B75" s="4">
        <v>5.0</v>
      </c>
      <c r="C75" s="4">
        <f t="shared" si="1"/>
        <v>2</v>
      </c>
      <c r="D75" s="5">
        <f t="shared" si="2"/>
        <v>0.0381820584</v>
      </c>
      <c r="F75" s="7" t="s">
        <v>175</v>
      </c>
    </row>
    <row r="76" ht="15.75" customHeight="1">
      <c r="A76" s="4">
        <v>2.0</v>
      </c>
      <c r="B76" s="4">
        <v>3.0</v>
      </c>
      <c r="C76" s="4">
        <f t="shared" si="1"/>
        <v>1</v>
      </c>
      <c r="D76" s="5">
        <f t="shared" si="2"/>
        <v>1.428986656</v>
      </c>
    </row>
    <row r="77" ht="15.75" customHeight="1">
      <c r="A77" s="4">
        <v>1.0</v>
      </c>
      <c r="B77" s="4">
        <v>3.0</v>
      </c>
      <c r="C77" s="4">
        <f t="shared" si="1"/>
        <v>2</v>
      </c>
      <c r="D77" s="5">
        <f t="shared" si="2"/>
        <v>0.0381820584</v>
      </c>
    </row>
    <row r="78" ht="15.75" customHeight="1">
      <c r="A78" s="4">
        <v>2.0</v>
      </c>
      <c r="B78" s="4">
        <v>4.0</v>
      </c>
      <c r="C78" s="4">
        <f t="shared" si="1"/>
        <v>2</v>
      </c>
      <c r="D78" s="5">
        <f t="shared" si="2"/>
        <v>0.0381820584</v>
      </c>
    </row>
    <row r="79" ht="15.75" customHeight="1">
      <c r="A79" s="4">
        <v>1.0</v>
      </c>
      <c r="B79" s="4">
        <v>3.0</v>
      </c>
      <c r="C79" s="4">
        <f t="shared" si="1"/>
        <v>2</v>
      </c>
      <c r="D79" s="5">
        <f t="shared" si="2"/>
        <v>0.0381820584</v>
      </c>
    </row>
    <row r="80" ht="15.75" customHeight="1">
      <c r="A80" s="4">
        <v>2.0</v>
      </c>
      <c r="B80" s="4">
        <v>5.0</v>
      </c>
      <c r="C80" s="4">
        <f t="shared" si="1"/>
        <v>3</v>
      </c>
      <c r="D80" s="5">
        <f t="shared" si="2"/>
        <v>0.6473774607</v>
      </c>
    </row>
    <row r="81" ht="15.75" customHeight="1">
      <c r="A81" s="4">
        <v>1.0</v>
      </c>
      <c r="B81" s="4">
        <v>3.0</v>
      </c>
      <c r="C81" s="4">
        <f t="shared" si="1"/>
        <v>2</v>
      </c>
      <c r="D81" s="5">
        <f t="shared" si="2"/>
        <v>0.0381820584</v>
      </c>
    </row>
    <row r="82" ht="15.75" customHeight="1">
      <c r="A82" s="4">
        <v>2.0</v>
      </c>
      <c r="B82" s="4">
        <v>3.0</v>
      </c>
      <c r="C82" s="4">
        <f t="shared" si="1"/>
        <v>1</v>
      </c>
      <c r="D82" s="5">
        <f t="shared" si="2"/>
        <v>1.428986656</v>
      </c>
    </row>
    <row r="83" ht="15.75" customHeight="1">
      <c r="A83" s="4">
        <v>1.0</v>
      </c>
      <c r="B83" s="4">
        <v>4.0</v>
      </c>
      <c r="C83" s="4">
        <f t="shared" si="1"/>
        <v>3</v>
      </c>
      <c r="D83" s="5">
        <f t="shared" si="2"/>
        <v>0.6473774607</v>
      </c>
    </row>
    <row r="84" ht="15.75" customHeight="1">
      <c r="A84" s="4">
        <v>2.0</v>
      </c>
      <c r="B84" s="4">
        <v>3.0</v>
      </c>
      <c r="C84" s="4">
        <f t="shared" si="1"/>
        <v>1</v>
      </c>
      <c r="D84" s="5">
        <f t="shared" si="2"/>
        <v>1.428986656</v>
      </c>
    </row>
    <row r="85" ht="15.75" customHeight="1">
      <c r="A85" s="4">
        <v>1.0</v>
      </c>
      <c r="B85" s="4">
        <v>5.0</v>
      </c>
      <c r="C85" s="4">
        <f t="shared" si="1"/>
        <v>4</v>
      </c>
      <c r="D85" s="5">
        <f t="shared" si="2"/>
        <v>3.256572863</v>
      </c>
    </row>
    <row r="86" ht="15.75" customHeight="1">
      <c r="A86" s="4">
        <v>4.0</v>
      </c>
      <c r="B86" s="4">
        <v>4.0</v>
      </c>
      <c r="C86" s="4">
        <f t="shared" si="1"/>
        <v>0</v>
      </c>
      <c r="D86" s="5">
        <f t="shared" si="2"/>
        <v>4.819791254</v>
      </c>
    </row>
    <row r="87" ht="15.75" customHeight="1">
      <c r="A87" s="4">
        <v>1.0</v>
      </c>
      <c r="B87" s="4">
        <v>5.0</v>
      </c>
      <c r="C87" s="4">
        <f t="shared" si="1"/>
        <v>4</v>
      </c>
      <c r="D87" s="5">
        <f t="shared" si="2"/>
        <v>3.256572863</v>
      </c>
    </row>
    <row r="88" ht="15.75" customHeight="1">
      <c r="A88" s="4">
        <v>2.0</v>
      </c>
      <c r="B88" s="4">
        <v>3.0</v>
      </c>
      <c r="C88" s="4">
        <f t="shared" si="1"/>
        <v>1</v>
      </c>
      <c r="D88" s="5">
        <f t="shared" si="2"/>
        <v>1.428986656</v>
      </c>
    </row>
    <row r="89" ht="15.75" customHeight="1"/>
    <row r="90" ht="15.75" customHeight="1"/>
    <row r="91" ht="15.75" customHeight="1"/>
    <row r="92" ht="15.75" customHeight="1"/>
    <row r="93" ht="15.75" customHeight="1">
      <c r="F93" s="8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3.43"/>
    <col customWidth="1" min="3" max="3" width="19.86"/>
    <col customWidth="1" min="4" max="4" width="23.14"/>
    <col customWidth="1" min="5" max="5" width="12.0"/>
    <col customWidth="1" min="6" max="6" width="39.0"/>
    <col customWidth="1" min="7" max="7" width="19.0"/>
    <col customWidth="1" min="8" max="26" width="9.14"/>
  </cols>
  <sheetData>
    <row r="1" ht="108.0" customHeight="1">
      <c r="A1" s="1" t="s">
        <v>176</v>
      </c>
      <c r="B1" s="2" t="s">
        <v>177</v>
      </c>
      <c r="C1" s="3" t="s">
        <v>2</v>
      </c>
      <c r="D1" s="3"/>
    </row>
    <row r="2">
      <c r="A2" s="4">
        <v>2.0</v>
      </c>
      <c r="B2" s="4">
        <v>4.0</v>
      </c>
      <c r="C2" s="4">
        <f t="shared" ref="C2:C88" si="1">B2-A2</f>
        <v>2</v>
      </c>
      <c r="D2" s="5">
        <f t="shared" ref="D2:D88" si="2">(C2-$G$6)^2</f>
        <v>0.001189060642</v>
      </c>
    </row>
    <row r="3">
      <c r="A3" s="4">
        <v>1.0</v>
      </c>
      <c r="B3" s="4">
        <v>5.0</v>
      </c>
      <c r="C3" s="4">
        <f t="shared" si="1"/>
        <v>4</v>
      </c>
      <c r="D3" s="5">
        <f t="shared" si="2"/>
        <v>3.863258026</v>
      </c>
      <c r="F3" s="6" t="s">
        <v>3</v>
      </c>
      <c r="G3" s="6"/>
    </row>
    <row r="4">
      <c r="A4" s="4">
        <v>2.0</v>
      </c>
      <c r="B4" s="4">
        <v>4.0</v>
      </c>
      <c r="C4" s="4">
        <f t="shared" si="1"/>
        <v>2</v>
      </c>
      <c r="D4" s="5">
        <f t="shared" si="2"/>
        <v>0.001189060642</v>
      </c>
      <c r="F4" s="7" t="s">
        <v>4</v>
      </c>
      <c r="G4" s="7">
        <v>87.0</v>
      </c>
    </row>
    <row r="5">
      <c r="A5" s="4">
        <v>1.0</v>
      </c>
      <c r="B5" s="4">
        <v>5.0</v>
      </c>
      <c r="C5" s="4">
        <f t="shared" si="1"/>
        <v>4</v>
      </c>
      <c r="D5" s="5">
        <f t="shared" si="2"/>
        <v>3.863258026</v>
      </c>
      <c r="F5" s="7" t="s">
        <v>5</v>
      </c>
      <c r="G5" s="7">
        <f>SUM(C:C)</f>
        <v>177</v>
      </c>
    </row>
    <row r="6">
      <c r="A6" s="4">
        <v>2.0</v>
      </c>
      <c r="B6" s="4">
        <v>4.0</v>
      </c>
      <c r="C6" s="4">
        <f t="shared" si="1"/>
        <v>2</v>
      </c>
      <c r="D6" s="5">
        <f t="shared" si="2"/>
        <v>0.001189060642</v>
      </c>
      <c r="F6" s="7" t="s">
        <v>6</v>
      </c>
      <c r="G6" s="7">
        <f>G5/G4</f>
        <v>2.034482759</v>
      </c>
    </row>
    <row r="7">
      <c r="A7" s="4">
        <v>1.0</v>
      </c>
      <c r="B7" s="4">
        <v>3.0</v>
      </c>
      <c r="C7" s="4">
        <f t="shared" si="1"/>
        <v>2</v>
      </c>
      <c r="D7" s="5">
        <f t="shared" si="2"/>
        <v>0.001189060642</v>
      </c>
      <c r="F7" s="7" t="s">
        <v>7</v>
      </c>
      <c r="G7" s="7">
        <f>SUM(D:D)</f>
        <v>130.8965517</v>
      </c>
    </row>
    <row r="8">
      <c r="A8" s="4">
        <v>2.0</v>
      </c>
      <c r="B8" s="4">
        <v>2.0</v>
      </c>
      <c r="C8" s="4">
        <f t="shared" si="1"/>
        <v>0</v>
      </c>
      <c r="D8" s="5">
        <f t="shared" si="2"/>
        <v>4.139120095</v>
      </c>
      <c r="F8" s="7" t="s">
        <v>8</v>
      </c>
      <c r="G8" s="7">
        <f>SQRT(G7/(G4-1))</f>
        <v>1.233715092</v>
      </c>
    </row>
    <row r="9">
      <c r="A9" s="4">
        <v>1.0</v>
      </c>
      <c r="B9" s="4">
        <v>4.0</v>
      </c>
      <c r="C9" s="4">
        <f t="shared" si="1"/>
        <v>3</v>
      </c>
      <c r="D9" s="5">
        <f t="shared" si="2"/>
        <v>0.9322235434</v>
      </c>
    </row>
    <row r="10">
      <c r="A10" s="4">
        <v>2.0</v>
      </c>
      <c r="B10" s="4">
        <v>3.0</v>
      </c>
      <c r="C10" s="4">
        <f t="shared" si="1"/>
        <v>1</v>
      </c>
      <c r="D10" s="5">
        <f t="shared" si="2"/>
        <v>1.070154578</v>
      </c>
    </row>
    <row r="11">
      <c r="A11" s="4">
        <v>1.0</v>
      </c>
      <c r="B11" s="4">
        <v>5.0</v>
      </c>
      <c r="C11" s="4">
        <f t="shared" si="1"/>
        <v>4</v>
      </c>
      <c r="D11" s="5">
        <f t="shared" si="2"/>
        <v>3.863258026</v>
      </c>
    </row>
    <row r="12">
      <c r="A12" s="4">
        <v>2.0</v>
      </c>
      <c r="B12" s="4">
        <v>3.0</v>
      </c>
      <c r="C12" s="4">
        <f t="shared" si="1"/>
        <v>1</v>
      </c>
      <c r="D12" s="5">
        <f t="shared" si="2"/>
        <v>1.070154578</v>
      </c>
      <c r="F12" s="7" t="s">
        <v>9</v>
      </c>
      <c r="G12" s="7">
        <f>G6/(G8/SQRT(G4))</f>
        <v>15.38150258</v>
      </c>
    </row>
    <row r="13">
      <c r="A13" s="4">
        <v>1.0</v>
      </c>
      <c r="B13" s="4">
        <v>3.0</v>
      </c>
      <c r="C13" s="4">
        <f t="shared" si="1"/>
        <v>2</v>
      </c>
      <c r="D13" s="5">
        <f t="shared" si="2"/>
        <v>0.001189060642</v>
      </c>
    </row>
    <row r="14">
      <c r="A14" s="4">
        <v>2.0</v>
      </c>
      <c r="B14" s="4">
        <v>5.0</v>
      </c>
      <c r="C14" s="4">
        <f t="shared" si="1"/>
        <v>3</v>
      </c>
      <c r="D14" s="5">
        <f t="shared" si="2"/>
        <v>0.9322235434</v>
      </c>
    </row>
    <row r="15">
      <c r="A15" s="4">
        <v>1.0</v>
      </c>
      <c r="B15" s="4">
        <v>3.0</v>
      </c>
      <c r="C15" s="4">
        <f t="shared" si="1"/>
        <v>2</v>
      </c>
      <c r="D15" s="5">
        <f t="shared" si="2"/>
        <v>0.001189060642</v>
      </c>
    </row>
    <row r="16">
      <c r="A16" s="4">
        <v>3.0</v>
      </c>
      <c r="B16" s="4">
        <v>5.0</v>
      </c>
      <c r="C16" s="4">
        <f t="shared" si="1"/>
        <v>2</v>
      </c>
      <c r="D16" s="5">
        <f t="shared" si="2"/>
        <v>0.001189060642</v>
      </c>
    </row>
    <row r="17">
      <c r="A17" s="4">
        <v>1.0</v>
      </c>
      <c r="B17" s="4">
        <v>3.0</v>
      </c>
      <c r="C17" s="4">
        <f t="shared" si="1"/>
        <v>2</v>
      </c>
      <c r="D17" s="5">
        <f t="shared" si="2"/>
        <v>0.001189060642</v>
      </c>
      <c r="F17" s="7" t="s">
        <v>10</v>
      </c>
      <c r="G17" s="7">
        <v>0.05</v>
      </c>
    </row>
    <row r="18">
      <c r="A18" s="4">
        <v>2.0</v>
      </c>
      <c r="B18" s="4">
        <v>3.0</v>
      </c>
      <c r="C18" s="4">
        <f t="shared" si="1"/>
        <v>1</v>
      </c>
      <c r="D18" s="5">
        <f t="shared" si="2"/>
        <v>1.070154578</v>
      </c>
      <c r="F18" s="7" t="s">
        <v>11</v>
      </c>
      <c r="G18" s="7">
        <f>G4-1</f>
        <v>86</v>
      </c>
    </row>
    <row r="19">
      <c r="A19" s="4">
        <v>1.0</v>
      </c>
      <c r="B19" s="4">
        <v>3.0</v>
      </c>
      <c r="C19" s="4">
        <f t="shared" si="1"/>
        <v>2</v>
      </c>
      <c r="D19" s="5">
        <f t="shared" si="2"/>
        <v>0.001189060642</v>
      </c>
    </row>
    <row r="20">
      <c r="A20" s="4">
        <v>2.0</v>
      </c>
      <c r="B20" s="4">
        <v>3.0</v>
      </c>
      <c r="C20" s="4">
        <f t="shared" si="1"/>
        <v>1</v>
      </c>
      <c r="D20" s="5">
        <f t="shared" si="2"/>
        <v>1.070154578</v>
      </c>
    </row>
    <row r="21" ht="15.75" customHeight="1">
      <c r="A21" s="4">
        <v>1.0</v>
      </c>
      <c r="B21" s="4">
        <v>3.0</v>
      </c>
      <c r="C21" s="4">
        <f t="shared" si="1"/>
        <v>2</v>
      </c>
      <c r="D21" s="5">
        <f t="shared" si="2"/>
        <v>0.001189060642</v>
      </c>
    </row>
    <row r="22" ht="15.75" customHeight="1">
      <c r="A22" s="4">
        <v>2.0</v>
      </c>
      <c r="B22" s="4">
        <v>5.0</v>
      </c>
      <c r="C22" s="4">
        <f t="shared" si="1"/>
        <v>3</v>
      </c>
      <c r="D22" s="5">
        <f t="shared" si="2"/>
        <v>0.9322235434</v>
      </c>
      <c r="F22" s="6" t="s">
        <v>12</v>
      </c>
      <c r="G22" s="6"/>
    </row>
    <row r="23" ht="15.75" customHeight="1">
      <c r="A23" s="4">
        <v>1.0</v>
      </c>
      <c r="B23" s="4">
        <v>4.0</v>
      </c>
      <c r="C23" s="4">
        <f t="shared" si="1"/>
        <v>3</v>
      </c>
      <c r="D23" s="5">
        <f t="shared" si="2"/>
        <v>0.9322235434</v>
      </c>
      <c r="F23" s="7" t="s">
        <v>178</v>
      </c>
      <c r="G23" s="7">
        <f>_xlfn.T.INV.2T(G17,G18)</f>
        <v>1.987934206</v>
      </c>
    </row>
    <row r="24" ht="15.75" customHeight="1">
      <c r="A24" s="4">
        <v>2.0</v>
      </c>
      <c r="B24" s="4">
        <v>3.0</v>
      </c>
      <c r="C24" s="4">
        <f t="shared" si="1"/>
        <v>1</v>
      </c>
      <c r="D24" s="5">
        <f t="shared" si="2"/>
        <v>1.070154578</v>
      </c>
      <c r="F24" s="7" t="s">
        <v>179</v>
      </c>
      <c r="G24" s="7">
        <f>_xlfn.T.INV(G17,G18)</f>
        <v>-1.662765449</v>
      </c>
    </row>
    <row r="25" ht="15.75" customHeight="1">
      <c r="A25" s="4">
        <v>1.0</v>
      </c>
      <c r="B25" s="4">
        <v>4.0</v>
      </c>
      <c r="C25" s="4">
        <f t="shared" si="1"/>
        <v>3</v>
      </c>
      <c r="D25" s="5">
        <f t="shared" si="2"/>
        <v>0.9322235434</v>
      </c>
    </row>
    <row r="26" ht="15.75" customHeight="1">
      <c r="A26" s="4">
        <v>2.0</v>
      </c>
      <c r="B26" s="4">
        <v>4.0</v>
      </c>
      <c r="C26" s="4">
        <f t="shared" si="1"/>
        <v>2</v>
      </c>
      <c r="D26" s="5">
        <f t="shared" si="2"/>
        <v>0.001189060642</v>
      </c>
    </row>
    <row r="27" ht="15.75" customHeight="1">
      <c r="A27" s="4">
        <v>1.0</v>
      </c>
      <c r="B27" s="4">
        <v>3.0</v>
      </c>
      <c r="C27" s="4">
        <f t="shared" si="1"/>
        <v>2</v>
      </c>
      <c r="D27" s="5">
        <f t="shared" si="2"/>
        <v>0.001189060642</v>
      </c>
    </row>
    <row r="28" ht="15.75" customHeight="1">
      <c r="A28" s="4">
        <v>3.0</v>
      </c>
      <c r="B28" s="4">
        <v>3.0</v>
      </c>
      <c r="C28" s="4">
        <f t="shared" si="1"/>
        <v>0</v>
      </c>
      <c r="D28" s="5">
        <f t="shared" si="2"/>
        <v>4.139120095</v>
      </c>
    </row>
    <row r="29" ht="15.75" customHeight="1">
      <c r="A29" s="4">
        <v>1.0</v>
      </c>
      <c r="B29" s="4">
        <v>4.0</v>
      </c>
      <c r="C29" s="4">
        <f t="shared" si="1"/>
        <v>3</v>
      </c>
      <c r="D29" s="5">
        <f t="shared" si="2"/>
        <v>0.9322235434</v>
      </c>
    </row>
    <row r="30" ht="15.75" customHeight="1">
      <c r="A30" s="4">
        <v>2.0</v>
      </c>
      <c r="B30" s="4">
        <v>2.0</v>
      </c>
      <c r="C30" s="4">
        <f t="shared" si="1"/>
        <v>0</v>
      </c>
      <c r="D30" s="5">
        <f t="shared" si="2"/>
        <v>4.139120095</v>
      </c>
    </row>
    <row r="31" ht="15.75" customHeight="1">
      <c r="A31" s="4">
        <v>1.0</v>
      </c>
      <c r="B31" s="4">
        <v>4.0</v>
      </c>
      <c r="C31" s="4">
        <f t="shared" si="1"/>
        <v>3</v>
      </c>
      <c r="D31" s="5">
        <f t="shared" si="2"/>
        <v>0.9322235434</v>
      </c>
    </row>
    <row r="32" ht="15.75" customHeight="1">
      <c r="A32" s="4">
        <v>2.0</v>
      </c>
      <c r="B32" s="4">
        <v>5.0</v>
      </c>
      <c r="C32" s="4">
        <f t="shared" si="1"/>
        <v>3</v>
      </c>
      <c r="D32" s="5">
        <f t="shared" si="2"/>
        <v>0.9322235434</v>
      </c>
    </row>
    <row r="33" ht="15.75" customHeight="1">
      <c r="A33" s="4">
        <v>1.0</v>
      </c>
      <c r="B33" s="4">
        <v>4.0</v>
      </c>
      <c r="C33" s="4">
        <f t="shared" si="1"/>
        <v>3</v>
      </c>
      <c r="D33" s="5">
        <f t="shared" si="2"/>
        <v>0.9322235434</v>
      </c>
    </row>
    <row r="34" ht="15.75" customHeight="1">
      <c r="A34" s="4">
        <v>2.0</v>
      </c>
      <c r="B34" s="4">
        <v>5.0</v>
      </c>
      <c r="C34" s="4">
        <f t="shared" si="1"/>
        <v>3</v>
      </c>
      <c r="D34" s="5">
        <f t="shared" si="2"/>
        <v>0.9322235434</v>
      </c>
      <c r="F34" s="7" t="s">
        <v>15</v>
      </c>
    </row>
    <row r="35" ht="15.75" customHeight="1">
      <c r="A35" s="4">
        <v>1.0</v>
      </c>
      <c r="B35" s="4">
        <v>1.0</v>
      </c>
      <c r="C35" s="4">
        <f t="shared" si="1"/>
        <v>0</v>
      </c>
      <c r="D35" s="5">
        <f t="shared" si="2"/>
        <v>4.139120095</v>
      </c>
      <c r="F35" s="7" t="s">
        <v>16</v>
      </c>
    </row>
    <row r="36" ht="15.75" customHeight="1">
      <c r="A36" s="4">
        <v>2.0</v>
      </c>
      <c r="B36" s="4">
        <v>4.0</v>
      </c>
      <c r="C36" s="4">
        <f t="shared" si="1"/>
        <v>2</v>
      </c>
      <c r="D36" s="5">
        <f t="shared" si="2"/>
        <v>0.001189060642</v>
      </c>
    </row>
    <row r="37" ht="15.75" customHeight="1">
      <c r="A37" s="4">
        <v>1.0</v>
      </c>
      <c r="B37" s="4">
        <v>4.0</v>
      </c>
      <c r="C37" s="4">
        <f t="shared" si="1"/>
        <v>3</v>
      </c>
      <c r="D37" s="5">
        <f t="shared" si="2"/>
        <v>0.9322235434</v>
      </c>
    </row>
    <row r="38" ht="15.75" customHeight="1">
      <c r="A38" s="4">
        <v>2.0</v>
      </c>
      <c r="B38" s="4">
        <v>3.0</v>
      </c>
      <c r="C38" s="4">
        <f t="shared" si="1"/>
        <v>1</v>
      </c>
      <c r="D38" s="5">
        <f t="shared" si="2"/>
        <v>1.070154578</v>
      </c>
    </row>
    <row r="39" ht="15.75" customHeight="1">
      <c r="A39" s="4">
        <v>1.0</v>
      </c>
      <c r="B39" s="4">
        <v>3.0</v>
      </c>
      <c r="C39" s="4">
        <f t="shared" si="1"/>
        <v>2</v>
      </c>
      <c r="D39" s="5">
        <f t="shared" si="2"/>
        <v>0.001189060642</v>
      </c>
      <c r="F39" s="6" t="s">
        <v>17</v>
      </c>
      <c r="G39" s="6"/>
    </row>
    <row r="40" ht="15.75" customHeight="1">
      <c r="A40" s="4">
        <v>2.0</v>
      </c>
      <c r="B40" s="4">
        <v>4.0</v>
      </c>
      <c r="C40" s="4">
        <f t="shared" si="1"/>
        <v>2</v>
      </c>
      <c r="D40" s="5">
        <f t="shared" si="2"/>
        <v>0.001189060642</v>
      </c>
      <c r="F40" s="7" t="s">
        <v>17</v>
      </c>
    </row>
    <row r="41" ht="15.75" customHeight="1">
      <c r="A41" s="4">
        <v>4.0</v>
      </c>
      <c r="B41" s="4">
        <v>5.0</v>
      </c>
      <c r="C41" s="4">
        <f t="shared" si="1"/>
        <v>1</v>
      </c>
      <c r="D41" s="5">
        <f t="shared" si="2"/>
        <v>1.070154578</v>
      </c>
      <c r="F41" s="7" t="s">
        <v>180</v>
      </c>
      <c r="G41" s="7">
        <f>TTEST(A:A,B:B,2,1)</f>
        <v>0</v>
      </c>
    </row>
    <row r="42" ht="15.75" customHeight="1">
      <c r="A42" s="4">
        <v>2.0</v>
      </c>
      <c r="B42" s="4">
        <v>4.0</v>
      </c>
      <c r="C42" s="4">
        <f t="shared" si="1"/>
        <v>2</v>
      </c>
      <c r="D42" s="5">
        <f t="shared" si="2"/>
        <v>0.001189060642</v>
      </c>
      <c r="F42" s="7" t="s">
        <v>181</v>
      </c>
      <c r="G42" s="7">
        <f>TTEST(A:A,B:B,1,1)</f>
        <v>0</v>
      </c>
    </row>
    <row r="43" ht="15.75" customHeight="1">
      <c r="A43" s="4">
        <v>1.0</v>
      </c>
      <c r="B43" s="4">
        <v>5.0</v>
      </c>
      <c r="C43" s="4">
        <f t="shared" si="1"/>
        <v>4</v>
      </c>
      <c r="D43" s="5">
        <f t="shared" si="2"/>
        <v>3.863258026</v>
      </c>
    </row>
    <row r="44" ht="15.75" customHeight="1">
      <c r="A44" s="4">
        <v>2.0</v>
      </c>
      <c r="B44" s="4">
        <v>3.0</v>
      </c>
      <c r="C44" s="4">
        <f t="shared" si="1"/>
        <v>1</v>
      </c>
      <c r="D44" s="5">
        <f t="shared" si="2"/>
        <v>1.070154578</v>
      </c>
    </row>
    <row r="45" ht="15.75" customHeight="1">
      <c r="A45" s="4">
        <v>1.0</v>
      </c>
      <c r="B45" s="4">
        <v>3.0</v>
      </c>
      <c r="C45" s="4">
        <f t="shared" si="1"/>
        <v>2</v>
      </c>
      <c r="D45" s="5">
        <f t="shared" si="2"/>
        <v>0.001189060642</v>
      </c>
      <c r="F45" s="6" t="s">
        <v>20</v>
      </c>
      <c r="G45" s="6"/>
    </row>
    <row r="46" ht="15.75" customHeight="1">
      <c r="A46" s="4">
        <v>2.0</v>
      </c>
      <c r="B46" s="4">
        <v>3.0</v>
      </c>
      <c r="C46" s="4">
        <f t="shared" si="1"/>
        <v>1</v>
      </c>
      <c r="D46" s="5">
        <f t="shared" si="2"/>
        <v>1.070154578</v>
      </c>
    </row>
    <row r="47" ht="15.75" customHeight="1">
      <c r="A47" s="4">
        <v>1.0</v>
      </c>
      <c r="B47" s="4">
        <v>3.0</v>
      </c>
      <c r="C47" s="4">
        <f t="shared" si="1"/>
        <v>2</v>
      </c>
      <c r="D47" s="5">
        <f t="shared" si="2"/>
        <v>0.001189060642</v>
      </c>
      <c r="F47" s="7" t="s">
        <v>182</v>
      </c>
    </row>
    <row r="48" ht="15.75" customHeight="1">
      <c r="A48" s="4">
        <v>2.0</v>
      </c>
      <c r="B48" s="4">
        <v>2.0</v>
      </c>
      <c r="C48" s="4">
        <f t="shared" si="1"/>
        <v>0</v>
      </c>
      <c r="D48" s="5">
        <f t="shared" si="2"/>
        <v>4.139120095</v>
      </c>
      <c r="F48" s="7" t="s">
        <v>183</v>
      </c>
    </row>
    <row r="49" ht="15.75" customHeight="1">
      <c r="A49" s="4">
        <v>1.0</v>
      </c>
      <c r="B49" s="4">
        <v>5.0</v>
      </c>
      <c r="C49" s="4">
        <f t="shared" si="1"/>
        <v>4</v>
      </c>
      <c r="D49" s="5">
        <f t="shared" si="2"/>
        <v>3.863258026</v>
      </c>
    </row>
    <row r="50" ht="15.75" customHeight="1">
      <c r="A50" s="4">
        <v>2.0</v>
      </c>
      <c r="B50" s="4">
        <v>3.0</v>
      </c>
      <c r="C50" s="4">
        <f t="shared" si="1"/>
        <v>1</v>
      </c>
      <c r="D50" s="5">
        <f t="shared" si="2"/>
        <v>1.070154578</v>
      </c>
      <c r="F50" s="7" t="s">
        <v>23</v>
      </c>
    </row>
    <row r="51" ht="15.75" customHeight="1">
      <c r="A51" s="4">
        <v>1.0</v>
      </c>
      <c r="B51" s="4">
        <v>4.0</v>
      </c>
      <c r="C51" s="4">
        <f t="shared" si="1"/>
        <v>3</v>
      </c>
      <c r="D51" s="5">
        <f t="shared" si="2"/>
        <v>0.9322235434</v>
      </c>
      <c r="F51" s="7" t="s">
        <v>24</v>
      </c>
    </row>
    <row r="52" ht="15.75" customHeight="1">
      <c r="A52" s="4">
        <v>2.0</v>
      </c>
      <c r="B52" s="4">
        <v>3.0</v>
      </c>
      <c r="C52" s="4">
        <f t="shared" si="1"/>
        <v>1</v>
      </c>
      <c r="D52" s="5">
        <f t="shared" si="2"/>
        <v>1.070154578</v>
      </c>
    </row>
    <row r="53" ht="15.75" customHeight="1">
      <c r="A53" s="4">
        <v>1.0</v>
      </c>
      <c r="B53" s="4">
        <v>3.0</v>
      </c>
      <c r="C53" s="4">
        <f t="shared" si="1"/>
        <v>2</v>
      </c>
      <c r="D53" s="5">
        <f t="shared" si="2"/>
        <v>0.001189060642</v>
      </c>
    </row>
    <row r="54" ht="15.75" customHeight="1">
      <c r="A54" s="4">
        <v>4.0</v>
      </c>
      <c r="B54" s="4">
        <v>3.0</v>
      </c>
      <c r="C54" s="4">
        <f t="shared" si="1"/>
        <v>-1</v>
      </c>
      <c r="D54" s="5">
        <f t="shared" si="2"/>
        <v>9.208085612</v>
      </c>
    </row>
    <row r="55" ht="15.75" customHeight="1">
      <c r="A55" s="4">
        <v>1.0</v>
      </c>
      <c r="B55" s="4">
        <v>4.0</v>
      </c>
      <c r="C55" s="4">
        <f t="shared" si="1"/>
        <v>3</v>
      </c>
      <c r="D55" s="5">
        <f t="shared" si="2"/>
        <v>0.9322235434</v>
      </c>
    </row>
    <row r="56" ht="15.75" customHeight="1">
      <c r="A56" s="4">
        <v>2.0</v>
      </c>
      <c r="B56" s="4">
        <v>5.0</v>
      </c>
      <c r="C56" s="4">
        <f t="shared" si="1"/>
        <v>3</v>
      </c>
      <c r="D56" s="5">
        <f t="shared" si="2"/>
        <v>0.9322235434</v>
      </c>
      <c r="F56" s="6" t="s">
        <v>25</v>
      </c>
    </row>
    <row r="57" ht="15.75" customHeight="1">
      <c r="A57" s="4">
        <v>1.0</v>
      </c>
      <c r="B57" s="4">
        <v>4.0</v>
      </c>
      <c r="C57" s="4">
        <f t="shared" si="1"/>
        <v>3</v>
      </c>
      <c r="D57" s="5">
        <f t="shared" si="2"/>
        <v>0.9322235434</v>
      </c>
    </row>
    <row r="58" ht="15.75" customHeight="1">
      <c r="A58" s="4">
        <v>2.0</v>
      </c>
      <c r="B58" s="4">
        <v>5.0</v>
      </c>
      <c r="C58" s="4">
        <f t="shared" si="1"/>
        <v>3</v>
      </c>
      <c r="D58" s="5">
        <f t="shared" si="2"/>
        <v>0.9322235434</v>
      </c>
      <c r="F58" s="7" t="s">
        <v>184</v>
      </c>
    </row>
    <row r="59" ht="15.75" customHeight="1">
      <c r="A59" s="4">
        <v>1.0</v>
      </c>
      <c r="B59" s="4">
        <v>4.0</v>
      </c>
      <c r="C59" s="4">
        <f t="shared" si="1"/>
        <v>3</v>
      </c>
      <c r="D59" s="5">
        <f t="shared" si="2"/>
        <v>0.9322235434</v>
      </c>
      <c r="F59" s="7" t="s">
        <v>27</v>
      </c>
    </row>
    <row r="60" ht="15.75" customHeight="1">
      <c r="A60" s="4">
        <v>2.0</v>
      </c>
      <c r="B60" s="4">
        <v>4.0</v>
      </c>
      <c r="C60" s="4">
        <f t="shared" si="1"/>
        <v>2</v>
      </c>
      <c r="D60" s="5">
        <f t="shared" si="2"/>
        <v>0.001189060642</v>
      </c>
      <c r="F60" s="7" t="s">
        <v>185</v>
      </c>
    </row>
    <row r="61" ht="15.75" customHeight="1">
      <c r="A61" s="4">
        <v>1.0</v>
      </c>
      <c r="B61" s="4">
        <v>3.0</v>
      </c>
      <c r="C61" s="4">
        <f t="shared" si="1"/>
        <v>2</v>
      </c>
      <c r="D61" s="5">
        <f t="shared" si="2"/>
        <v>0.001189060642</v>
      </c>
    </row>
    <row r="62" ht="15.75" customHeight="1">
      <c r="A62" s="4">
        <v>2.0</v>
      </c>
      <c r="B62" s="4">
        <v>5.0</v>
      </c>
      <c r="C62" s="4">
        <f t="shared" si="1"/>
        <v>3</v>
      </c>
      <c r="D62" s="5">
        <f t="shared" si="2"/>
        <v>0.9322235434</v>
      </c>
    </row>
    <row r="63" ht="15.75" customHeight="1">
      <c r="A63" s="4">
        <v>1.0</v>
      </c>
      <c r="B63" s="4">
        <v>4.0</v>
      </c>
      <c r="C63" s="4">
        <f t="shared" si="1"/>
        <v>3</v>
      </c>
      <c r="D63" s="5">
        <f t="shared" si="2"/>
        <v>0.9322235434</v>
      </c>
    </row>
    <row r="64" ht="15.75" customHeight="1">
      <c r="A64" s="4">
        <v>2.0</v>
      </c>
      <c r="B64" s="4">
        <v>5.0</v>
      </c>
      <c r="C64" s="4">
        <f t="shared" si="1"/>
        <v>3</v>
      </c>
      <c r="D64" s="5">
        <f t="shared" si="2"/>
        <v>0.9322235434</v>
      </c>
    </row>
    <row r="65" ht="15.75" customHeight="1">
      <c r="A65" s="4">
        <v>1.0</v>
      </c>
      <c r="B65" s="4">
        <v>4.0</v>
      </c>
      <c r="C65" s="4">
        <f t="shared" si="1"/>
        <v>3</v>
      </c>
      <c r="D65" s="5">
        <f t="shared" si="2"/>
        <v>0.9322235434</v>
      </c>
      <c r="F65" s="6" t="s">
        <v>25</v>
      </c>
    </row>
    <row r="66" ht="15.75" customHeight="1">
      <c r="A66" s="4">
        <v>2.0</v>
      </c>
      <c r="B66" s="4">
        <v>3.0</v>
      </c>
      <c r="C66" s="4">
        <f t="shared" si="1"/>
        <v>1</v>
      </c>
      <c r="D66" s="5">
        <f t="shared" si="2"/>
        <v>1.070154578</v>
      </c>
    </row>
    <row r="67" ht="15.75" customHeight="1">
      <c r="A67" s="4">
        <v>1.0</v>
      </c>
      <c r="B67" s="4">
        <v>4.0</v>
      </c>
      <c r="C67" s="4">
        <f t="shared" si="1"/>
        <v>3</v>
      </c>
      <c r="D67" s="5">
        <f t="shared" si="2"/>
        <v>0.9322235434</v>
      </c>
    </row>
    <row r="68" ht="15.75" customHeight="1">
      <c r="A68" s="4">
        <v>4.0</v>
      </c>
      <c r="B68" s="4">
        <v>4.0</v>
      </c>
      <c r="C68" s="4">
        <f t="shared" si="1"/>
        <v>0</v>
      </c>
      <c r="D68" s="5">
        <f t="shared" si="2"/>
        <v>4.139120095</v>
      </c>
    </row>
    <row r="69" ht="15.75" customHeight="1">
      <c r="A69" s="4">
        <v>1.0</v>
      </c>
      <c r="B69" s="4">
        <v>2.0</v>
      </c>
      <c r="C69" s="4">
        <f t="shared" si="1"/>
        <v>1</v>
      </c>
      <c r="D69" s="5">
        <f t="shared" si="2"/>
        <v>1.070154578</v>
      </c>
    </row>
    <row r="70" ht="15.75" customHeight="1">
      <c r="A70" s="4">
        <v>2.0</v>
      </c>
      <c r="B70" s="4">
        <v>3.0</v>
      </c>
      <c r="C70" s="4">
        <f t="shared" si="1"/>
        <v>1</v>
      </c>
      <c r="D70" s="5">
        <f t="shared" si="2"/>
        <v>1.070154578</v>
      </c>
    </row>
    <row r="71" ht="15.75" customHeight="1">
      <c r="A71" s="4">
        <v>1.0</v>
      </c>
      <c r="B71" s="4">
        <v>3.0</v>
      </c>
      <c r="C71" s="4">
        <f t="shared" si="1"/>
        <v>2</v>
      </c>
      <c r="D71" s="5">
        <f t="shared" si="2"/>
        <v>0.001189060642</v>
      </c>
    </row>
    <row r="72" ht="15.75" customHeight="1">
      <c r="A72" s="4">
        <v>2.0</v>
      </c>
      <c r="B72" s="4">
        <v>5.0</v>
      </c>
      <c r="C72" s="4">
        <f t="shared" si="1"/>
        <v>3</v>
      </c>
      <c r="D72" s="5">
        <f t="shared" si="2"/>
        <v>0.9322235434</v>
      </c>
      <c r="F72" s="7" t="s">
        <v>29</v>
      </c>
    </row>
    <row r="73" ht="15.75" customHeight="1">
      <c r="A73" s="4">
        <v>1.0</v>
      </c>
      <c r="B73" s="4">
        <v>4.0</v>
      </c>
      <c r="C73" s="4">
        <f t="shared" si="1"/>
        <v>3</v>
      </c>
      <c r="D73" s="5">
        <f t="shared" si="2"/>
        <v>0.9322235434</v>
      </c>
      <c r="F73" s="7" t="s">
        <v>186</v>
      </c>
    </row>
    <row r="74" ht="15.75" customHeight="1">
      <c r="A74" s="4">
        <v>2.0</v>
      </c>
      <c r="B74" s="4">
        <v>5.0</v>
      </c>
      <c r="C74" s="4">
        <f t="shared" si="1"/>
        <v>3</v>
      </c>
      <c r="D74" s="5">
        <f t="shared" si="2"/>
        <v>0.9322235434</v>
      </c>
      <c r="F74" s="7" t="s">
        <v>29</v>
      </c>
    </row>
    <row r="75" ht="15.75" customHeight="1">
      <c r="A75" s="4">
        <v>1.0</v>
      </c>
      <c r="B75" s="4">
        <v>3.0</v>
      </c>
      <c r="C75" s="4">
        <f t="shared" si="1"/>
        <v>2</v>
      </c>
      <c r="D75" s="5">
        <f t="shared" si="2"/>
        <v>0.001189060642</v>
      </c>
      <c r="F75" s="7" t="s">
        <v>187</v>
      </c>
    </row>
    <row r="76" ht="15.75" customHeight="1">
      <c r="A76" s="4">
        <v>3.0</v>
      </c>
      <c r="B76" s="4">
        <v>5.0</v>
      </c>
      <c r="C76" s="4">
        <f t="shared" si="1"/>
        <v>2</v>
      </c>
      <c r="D76" s="5">
        <f t="shared" si="2"/>
        <v>0.001189060642</v>
      </c>
    </row>
    <row r="77" ht="15.75" customHeight="1">
      <c r="A77" s="4">
        <v>1.0</v>
      </c>
      <c r="B77" s="4">
        <v>5.0</v>
      </c>
      <c r="C77" s="4">
        <f t="shared" si="1"/>
        <v>4</v>
      </c>
      <c r="D77" s="5">
        <f t="shared" si="2"/>
        <v>3.863258026</v>
      </c>
    </row>
    <row r="78" ht="15.75" customHeight="1">
      <c r="A78" s="4">
        <v>2.0</v>
      </c>
      <c r="B78" s="4">
        <v>3.0</v>
      </c>
      <c r="C78" s="4">
        <f t="shared" si="1"/>
        <v>1</v>
      </c>
      <c r="D78" s="5">
        <f t="shared" si="2"/>
        <v>1.070154578</v>
      </c>
    </row>
    <row r="79" ht="15.75" customHeight="1">
      <c r="A79" s="4">
        <v>1.0</v>
      </c>
      <c r="B79" s="4">
        <v>4.0</v>
      </c>
      <c r="C79" s="4">
        <f t="shared" si="1"/>
        <v>3</v>
      </c>
      <c r="D79" s="5">
        <f t="shared" si="2"/>
        <v>0.9322235434</v>
      </c>
    </row>
    <row r="80" ht="15.75" customHeight="1">
      <c r="A80" s="4">
        <v>2.0</v>
      </c>
      <c r="B80" s="4">
        <v>4.0</v>
      </c>
      <c r="C80" s="4">
        <f t="shared" si="1"/>
        <v>2</v>
      </c>
      <c r="D80" s="5">
        <f t="shared" si="2"/>
        <v>0.001189060642</v>
      </c>
    </row>
    <row r="81" ht="15.75" customHeight="1">
      <c r="A81" s="4">
        <v>1.0</v>
      </c>
      <c r="B81" s="4">
        <v>4.0</v>
      </c>
      <c r="C81" s="4">
        <f t="shared" si="1"/>
        <v>3</v>
      </c>
      <c r="D81" s="5">
        <f t="shared" si="2"/>
        <v>0.9322235434</v>
      </c>
    </row>
    <row r="82" ht="15.75" customHeight="1">
      <c r="A82" s="4">
        <v>2.0</v>
      </c>
      <c r="B82" s="4">
        <v>1.0</v>
      </c>
      <c r="C82" s="4">
        <f t="shared" si="1"/>
        <v>-1</v>
      </c>
      <c r="D82" s="5">
        <f t="shared" si="2"/>
        <v>9.208085612</v>
      </c>
    </row>
    <row r="83" ht="15.75" customHeight="1">
      <c r="A83" s="4">
        <v>1.0</v>
      </c>
      <c r="B83" s="4">
        <v>3.0</v>
      </c>
      <c r="C83" s="4">
        <f t="shared" si="1"/>
        <v>2</v>
      </c>
      <c r="D83" s="5">
        <f t="shared" si="2"/>
        <v>0.001189060642</v>
      </c>
    </row>
    <row r="84" ht="15.75" customHeight="1">
      <c r="A84" s="4">
        <v>3.0</v>
      </c>
      <c r="B84" s="4">
        <v>1.0</v>
      </c>
      <c r="C84" s="4">
        <f t="shared" si="1"/>
        <v>-2</v>
      </c>
      <c r="D84" s="5">
        <f t="shared" si="2"/>
        <v>16.27705113</v>
      </c>
    </row>
    <row r="85" ht="15.75" customHeight="1">
      <c r="A85" s="4">
        <v>1.0</v>
      </c>
      <c r="B85" s="4">
        <v>5.0</v>
      </c>
      <c r="C85" s="4">
        <f t="shared" si="1"/>
        <v>4</v>
      </c>
      <c r="D85" s="5">
        <f t="shared" si="2"/>
        <v>3.863258026</v>
      </c>
    </row>
    <row r="86" ht="15.75" customHeight="1">
      <c r="A86" s="4">
        <v>2.0</v>
      </c>
      <c r="B86" s="4">
        <v>3.0</v>
      </c>
      <c r="C86" s="4">
        <f t="shared" si="1"/>
        <v>1</v>
      </c>
      <c r="D86" s="5">
        <f t="shared" si="2"/>
        <v>1.070154578</v>
      </c>
    </row>
    <row r="87" ht="15.75" customHeight="1">
      <c r="A87" s="4">
        <v>1.0</v>
      </c>
      <c r="B87" s="4">
        <v>4.0</v>
      </c>
      <c r="C87" s="4">
        <f t="shared" si="1"/>
        <v>3</v>
      </c>
      <c r="D87" s="5">
        <f t="shared" si="2"/>
        <v>0.9322235434</v>
      </c>
    </row>
    <row r="88" ht="15.75" customHeight="1">
      <c r="A88" s="4">
        <v>2.0</v>
      </c>
      <c r="B88" s="4">
        <v>3.0</v>
      </c>
      <c r="C88" s="4">
        <f t="shared" si="1"/>
        <v>1</v>
      </c>
      <c r="D88" s="5">
        <f t="shared" si="2"/>
        <v>1.070154578</v>
      </c>
    </row>
    <row r="89" ht="15.75" customHeight="1"/>
    <row r="90" ht="15.75" customHeight="1"/>
    <row r="91" ht="15.75" customHeight="1"/>
    <row r="92" ht="15.75" customHeight="1"/>
    <row r="93" ht="15.75" customHeight="1">
      <c r="F93" s="8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3.43"/>
    <col customWidth="1" min="3" max="3" width="19.86"/>
    <col customWidth="1" min="4" max="4" width="23.14"/>
    <col customWidth="1" min="5" max="5" width="12.0"/>
    <col customWidth="1" min="6" max="6" width="39.0"/>
    <col customWidth="1" min="7" max="7" width="19.0"/>
    <col customWidth="1" min="8" max="26" width="9.14"/>
  </cols>
  <sheetData>
    <row r="1" ht="108.0" customHeight="1">
      <c r="A1" s="9" t="s">
        <v>188</v>
      </c>
      <c r="B1" s="2" t="s">
        <v>189</v>
      </c>
      <c r="C1" s="3" t="s">
        <v>2</v>
      </c>
      <c r="D1" s="3"/>
    </row>
    <row r="2">
      <c r="A2" s="4">
        <v>2.0</v>
      </c>
      <c r="B2" s="4">
        <v>3.0</v>
      </c>
      <c r="C2" s="4">
        <f t="shared" ref="C2:C88" si="1">B2-A2</f>
        <v>1</v>
      </c>
      <c r="D2" s="5">
        <f t="shared" ref="D2:D88" si="2">(C2-$G$6)^2</f>
        <v>1.839608931</v>
      </c>
    </row>
    <row r="3">
      <c r="A3" s="4">
        <v>1.0</v>
      </c>
      <c r="B3" s="4">
        <v>5.0</v>
      </c>
      <c r="C3" s="4">
        <f t="shared" si="1"/>
        <v>4</v>
      </c>
      <c r="D3" s="5">
        <f t="shared" si="2"/>
        <v>2.701677897</v>
      </c>
      <c r="F3" s="6" t="s">
        <v>3</v>
      </c>
      <c r="G3" s="6"/>
    </row>
    <row r="4">
      <c r="A4" s="4">
        <v>2.0</v>
      </c>
      <c r="B4" s="4">
        <v>4.0</v>
      </c>
      <c r="C4" s="4">
        <f t="shared" si="1"/>
        <v>2</v>
      </c>
      <c r="D4" s="5">
        <f t="shared" si="2"/>
        <v>0.126965253</v>
      </c>
      <c r="F4" s="7" t="s">
        <v>4</v>
      </c>
      <c r="G4" s="7">
        <v>87.0</v>
      </c>
    </row>
    <row r="5">
      <c r="A5" s="4">
        <v>1.0</v>
      </c>
      <c r="B5" s="4">
        <v>4.0</v>
      </c>
      <c r="C5" s="4">
        <f t="shared" si="1"/>
        <v>3</v>
      </c>
      <c r="D5" s="5">
        <f t="shared" si="2"/>
        <v>0.4143215748</v>
      </c>
      <c r="F5" s="7" t="s">
        <v>5</v>
      </c>
      <c r="G5" s="7">
        <f>SUM(C:C)</f>
        <v>205</v>
      </c>
    </row>
    <row r="6">
      <c r="A6" s="4">
        <v>2.0</v>
      </c>
      <c r="B6" s="4">
        <v>3.0</v>
      </c>
      <c r="C6" s="4">
        <f t="shared" si="1"/>
        <v>1</v>
      </c>
      <c r="D6" s="5">
        <f t="shared" si="2"/>
        <v>1.839608931</v>
      </c>
      <c r="F6" s="7" t="s">
        <v>6</v>
      </c>
      <c r="G6" s="7">
        <f>G5/G4</f>
        <v>2.356321839</v>
      </c>
    </row>
    <row r="7">
      <c r="A7" s="4">
        <v>1.0</v>
      </c>
      <c r="B7" s="4">
        <v>2.0</v>
      </c>
      <c r="C7" s="4">
        <f t="shared" si="1"/>
        <v>1</v>
      </c>
      <c r="D7" s="5">
        <f t="shared" si="2"/>
        <v>1.839608931</v>
      </c>
      <c r="F7" s="7" t="s">
        <v>7</v>
      </c>
      <c r="G7" s="7">
        <f>SUM(D:D)</f>
        <v>97.95402299</v>
      </c>
    </row>
    <row r="8">
      <c r="A8" s="4">
        <v>2.0</v>
      </c>
      <c r="B8" s="4">
        <v>5.0</v>
      </c>
      <c r="C8" s="4">
        <f t="shared" si="1"/>
        <v>3</v>
      </c>
      <c r="D8" s="5">
        <f t="shared" si="2"/>
        <v>0.4143215748</v>
      </c>
      <c r="F8" s="7" t="s">
        <v>8</v>
      </c>
      <c r="G8" s="7">
        <f>SQRT(G7/(G4-1))</f>
        <v>1.067239555</v>
      </c>
    </row>
    <row r="9">
      <c r="A9" s="4">
        <v>1.0</v>
      </c>
      <c r="B9" s="4">
        <v>4.0</v>
      </c>
      <c r="C9" s="4">
        <f t="shared" si="1"/>
        <v>3</v>
      </c>
      <c r="D9" s="5">
        <f t="shared" si="2"/>
        <v>0.4143215748</v>
      </c>
    </row>
    <row r="10">
      <c r="A10" s="4">
        <v>2.0</v>
      </c>
      <c r="B10" s="4">
        <v>4.0</v>
      </c>
      <c r="C10" s="4">
        <f t="shared" si="1"/>
        <v>2</v>
      </c>
      <c r="D10" s="5">
        <f t="shared" si="2"/>
        <v>0.126965253</v>
      </c>
    </row>
    <row r="11">
      <c r="A11" s="4">
        <v>3.0</v>
      </c>
      <c r="B11" s="4">
        <v>5.0</v>
      </c>
      <c r="C11" s="4">
        <f t="shared" si="1"/>
        <v>2</v>
      </c>
      <c r="D11" s="5">
        <f t="shared" si="2"/>
        <v>0.126965253</v>
      </c>
    </row>
    <row r="12">
      <c r="A12" s="4">
        <v>2.0</v>
      </c>
      <c r="B12" s="4">
        <v>4.0</v>
      </c>
      <c r="C12" s="4">
        <f t="shared" si="1"/>
        <v>2</v>
      </c>
      <c r="D12" s="5">
        <f t="shared" si="2"/>
        <v>0.126965253</v>
      </c>
      <c r="F12" s="7" t="s">
        <v>9</v>
      </c>
      <c r="G12" s="7">
        <f>G6/(G8/SQRT(G4))</f>
        <v>20.59360231</v>
      </c>
    </row>
    <row r="13">
      <c r="A13" s="4">
        <v>1.0</v>
      </c>
      <c r="B13" s="4">
        <v>4.0</v>
      </c>
      <c r="C13" s="4">
        <f t="shared" si="1"/>
        <v>3</v>
      </c>
      <c r="D13" s="5">
        <f t="shared" si="2"/>
        <v>0.4143215748</v>
      </c>
    </row>
    <row r="14">
      <c r="A14" s="4">
        <v>2.0</v>
      </c>
      <c r="B14" s="4">
        <v>5.0</v>
      </c>
      <c r="C14" s="4">
        <f t="shared" si="1"/>
        <v>3</v>
      </c>
      <c r="D14" s="5">
        <f t="shared" si="2"/>
        <v>0.4143215748</v>
      </c>
    </row>
    <row r="15">
      <c r="A15" s="4">
        <v>1.0</v>
      </c>
      <c r="B15" s="4">
        <v>3.0</v>
      </c>
      <c r="C15" s="4">
        <f t="shared" si="1"/>
        <v>2</v>
      </c>
      <c r="D15" s="5">
        <f t="shared" si="2"/>
        <v>0.126965253</v>
      </c>
    </row>
    <row r="16">
      <c r="A16" s="4">
        <v>2.0</v>
      </c>
      <c r="B16" s="4">
        <v>5.0</v>
      </c>
      <c r="C16" s="4">
        <f t="shared" si="1"/>
        <v>3</v>
      </c>
      <c r="D16" s="5">
        <f t="shared" si="2"/>
        <v>0.4143215748</v>
      </c>
    </row>
    <row r="17">
      <c r="A17" s="4">
        <v>1.0</v>
      </c>
      <c r="B17" s="4">
        <v>5.0</v>
      </c>
      <c r="C17" s="4">
        <f t="shared" si="1"/>
        <v>4</v>
      </c>
      <c r="D17" s="5">
        <f t="shared" si="2"/>
        <v>2.701677897</v>
      </c>
      <c r="F17" s="7" t="s">
        <v>10</v>
      </c>
      <c r="G17" s="7">
        <v>0.05</v>
      </c>
    </row>
    <row r="18">
      <c r="A18" s="4">
        <v>2.0</v>
      </c>
      <c r="B18" s="4">
        <v>3.0</v>
      </c>
      <c r="C18" s="4">
        <f t="shared" si="1"/>
        <v>1</v>
      </c>
      <c r="D18" s="5">
        <f t="shared" si="2"/>
        <v>1.839608931</v>
      </c>
      <c r="F18" s="7" t="s">
        <v>11</v>
      </c>
      <c r="G18" s="7">
        <f>G4-1</f>
        <v>86</v>
      </c>
    </row>
    <row r="19">
      <c r="A19" s="4">
        <v>1.0</v>
      </c>
      <c r="B19" s="4">
        <v>4.0</v>
      </c>
      <c r="C19" s="4">
        <f t="shared" si="1"/>
        <v>3</v>
      </c>
      <c r="D19" s="5">
        <f t="shared" si="2"/>
        <v>0.4143215748</v>
      </c>
    </row>
    <row r="20">
      <c r="A20" s="4">
        <v>2.0</v>
      </c>
      <c r="B20" s="4">
        <v>4.0</v>
      </c>
      <c r="C20" s="4">
        <f t="shared" si="1"/>
        <v>2</v>
      </c>
      <c r="D20" s="5">
        <f t="shared" si="2"/>
        <v>0.126965253</v>
      </c>
    </row>
    <row r="21" ht="15.75" customHeight="1">
      <c r="A21" s="4">
        <v>1.0</v>
      </c>
      <c r="B21" s="4">
        <v>5.0</v>
      </c>
      <c r="C21" s="4">
        <f t="shared" si="1"/>
        <v>4</v>
      </c>
      <c r="D21" s="5">
        <f t="shared" si="2"/>
        <v>2.701677897</v>
      </c>
    </row>
    <row r="22" ht="15.75" customHeight="1">
      <c r="A22" s="4">
        <v>2.0</v>
      </c>
      <c r="B22" s="4">
        <v>4.0</v>
      </c>
      <c r="C22" s="4">
        <f t="shared" si="1"/>
        <v>2</v>
      </c>
      <c r="D22" s="5">
        <f t="shared" si="2"/>
        <v>0.126965253</v>
      </c>
      <c r="F22" s="6" t="s">
        <v>12</v>
      </c>
      <c r="G22" s="6"/>
    </row>
    <row r="23" ht="15.75" customHeight="1">
      <c r="A23" s="4">
        <v>1.0</v>
      </c>
      <c r="B23" s="4">
        <v>5.0</v>
      </c>
      <c r="C23" s="4">
        <f t="shared" si="1"/>
        <v>4</v>
      </c>
      <c r="D23" s="5">
        <f t="shared" si="2"/>
        <v>2.701677897</v>
      </c>
      <c r="F23" s="7" t="s">
        <v>190</v>
      </c>
      <c r="G23" s="7">
        <f>_xlfn.T.INV.2T(G17,G18)</f>
        <v>1.987934206</v>
      </c>
    </row>
    <row r="24" ht="15.75" customHeight="1">
      <c r="A24" s="4">
        <v>2.0</v>
      </c>
      <c r="B24" s="4">
        <v>3.0</v>
      </c>
      <c r="C24" s="4">
        <f t="shared" si="1"/>
        <v>1</v>
      </c>
      <c r="D24" s="5">
        <f t="shared" si="2"/>
        <v>1.839608931</v>
      </c>
      <c r="F24" s="7" t="s">
        <v>191</v>
      </c>
      <c r="G24" s="7">
        <f>_xlfn.T.INV(G17,G18)</f>
        <v>-1.662765449</v>
      </c>
    </row>
    <row r="25" ht="15.75" customHeight="1">
      <c r="A25" s="4">
        <v>1.0</v>
      </c>
      <c r="B25" s="4">
        <v>5.0</v>
      </c>
      <c r="C25" s="4">
        <f t="shared" si="1"/>
        <v>4</v>
      </c>
      <c r="D25" s="5">
        <f t="shared" si="2"/>
        <v>2.701677897</v>
      </c>
    </row>
    <row r="26" ht="15.75" customHeight="1">
      <c r="A26" s="4">
        <v>2.0</v>
      </c>
      <c r="B26" s="4">
        <v>3.0</v>
      </c>
      <c r="C26" s="4">
        <f t="shared" si="1"/>
        <v>1</v>
      </c>
      <c r="D26" s="5">
        <f t="shared" si="2"/>
        <v>1.839608931</v>
      </c>
    </row>
    <row r="27" ht="15.75" customHeight="1">
      <c r="A27" s="4">
        <v>1.0</v>
      </c>
      <c r="B27" s="4">
        <v>5.0</v>
      </c>
      <c r="C27" s="4">
        <f t="shared" si="1"/>
        <v>4</v>
      </c>
      <c r="D27" s="5">
        <f t="shared" si="2"/>
        <v>2.701677897</v>
      </c>
    </row>
    <row r="28" ht="15.75" customHeight="1">
      <c r="A28" s="4">
        <v>2.0</v>
      </c>
      <c r="B28" s="4">
        <v>4.0</v>
      </c>
      <c r="C28" s="4">
        <f t="shared" si="1"/>
        <v>2</v>
      </c>
      <c r="D28" s="5">
        <f t="shared" si="2"/>
        <v>0.126965253</v>
      </c>
    </row>
    <row r="29" ht="15.75" customHeight="1">
      <c r="A29" s="4">
        <v>1.0</v>
      </c>
      <c r="B29" s="4">
        <v>3.0</v>
      </c>
      <c r="C29" s="4">
        <f t="shared" si="1"/>
        <v>2</v>
      </c>
      <c r="D29" s="5">
        <f t="shared" si="2"/>
        <v>0.126965253</v>
      </c>
    </row>
    <row r="30" ht="15.75" customHeight="1">
      <c r="A30" s="4">
        <v>2.0</v>
      </c>
      <c r="B30" s="4">
        <v>4.0</v>
      </c>
      <c r="C30" s="4">
        <f t="shared" si="1"/>
        <v>2</v>
      </c>
      <c r="D30" s="5">
        <f t="shared" si="2"/>
        <v>0.126965253</v>
      </c>
    </row>
    <row r="31" ht="15.75" customHeight="1">
      <c r="A31" s="4">
        <v>1.0</v>
      </c>
      <c r="B31" s="4">
        <v>5.0</v>
      </c>
      <c r="C31" s="4">
        <f t="shared" si="1"/>
        <v>4</v>
      </c>
      <c r="D31" s="5">
        <f t="shared" si="2"/>
        <v>2.701677897</v>
      </c>
    </row>
    <row r="32" ht="15.75" customHeight="1">
      <c r="A32" s="4">
        <v>2.0</v>
      </c>
      <c r="B32" s="4">
        <v>4.0</v>
      </c>
      <c r="C32" s="4">
        <f t="shared" si="1"/>
        <v>2</v>
      </c>
      <c r="D32" s="5">
        <f t="shared" si="2"/>
        <v>0.126965253</v>
      </c>
    </row>
    <row r="33" ht="15.75" customHeight="1">
      <c r="A33" s="4">
        <v>1.0</v>
      </c>
      <c r="B33" s="4">
        <v>4.0</v>
      </c>
      <c r="C33" s="4">
        <f t="shared" si="1"/>
        <v>3</v>
      </c>
      <c r="D33" s="5">
        <f t="shared" si="2"/>
        <v>0.4143215748</v>
      </c>
    </row>
    <row r="34" ht="15.75" customHeight="1">
      <c r="A34" s="4">
        <v>3.0</v>
      </c>
      <c r="B34" s="4">
        <v>2.0</v>
      </c>
      <c r="C34" s="4">
        <f t="shared" si="1"/>
        <v>-1</v>
      </c>
      <c r="D34" s="5">
        <f t="shared" si="2"/>
        <v>11.26489629</v>
      </c>
      <c r="F34" s="7" t="s">
        <v>15</v>
      </c>
    </row>
    <row r="35" ht="15.75" customHeight="1">
      <c r="A35" s="4">
        <v>1.0</v>
      </c>
      <c r="B35" s="4">
        <v>4.0</v>
      </c>
      <c r="C35" s="4">
        <f t="shared" si="1"/>
        <v>3</v>
      </c>
      <c r="D35" s="5">
        <f t="shared" si="2"/>
        <v>0.4143215748</v>
      </c>
      <c r="F35" s="7" t="s">
        <v>16</v>
      </c>
    </row>
    <row r="36" ht="15.75" customHeight="1">
      <c r="A36" s="4">
        <v>2.0</v>
      </c>
      <c r="B36" s="4">
        <v>4.0</v>
      </c>
      <c r="C36" s="4">
        <f t="shared" si="1"/>
        <v>2</v>
      </c>
      <c r="D36" s="5">
        <f t="shared" si="2"/>
        <v>0.126965253</v>
      </c>
    </row>
    <row r="37" ht="15.75" customHeight="1">
      <c r="A37" s="4">
        <v>3.0</v>
      </c>
      <c r="B37" s="4">
        <v>5.0</v>
      </c>
      <c r="C37" s="4">
        <f t="shared" si="1"/>
        <v>2</v>
      </c>
      <c r="D37" s="5">
        <f t="shared" si="2"/>
        <v>0.126965253</v>
      </c>
    </row>
    <row r="38" ht="15.75" customHeight="1">
      <c r="A38" s="4">
        <v>2.0</v>
      </c>
      <c r="B38" s="4">
        <v>5.0</v>
      </c>
      <c r="C38" s="4">
        <f t="shared" si="1"/>
        <v>3</v>
      </c>
      <c r="D38" s="5">
        <f t="shared" si="2"/>
        <v>0.4143215748</v>
      </c>
    </row>
    <row r="39" ht="15.75" customHeight="1">
      <c r="A39" s="4">
        <v>1.0</v>
      </c>
      <c r="B39" s="4">
        <v>3.0</v>
      </c>
      <c r="C39" s="4">
        <f t="shared" si="1"/>
        <v>2</v>
      </c>
      <c r="D39" s="5">
        <f t="shared" si="2"/>
        <v>0.126965253</v>
      </c>
      <c r="F39" s="6" t="s">
        <v>17</v>
      </c>
      <c r="G39" s="6"/>
    </row>
    <row r="40" ht="15.75" customHeight="1">
      <c r="A40" s="4">
        <v>2.0</v>
      </c>
      <c r="B40" s="4">
        <v>4.0</v>
      </c>
      <c r="C40" s="4">
        <f t="shared" si="1"/>
        <v>2</v>
      </c>
      <c r="D40" s="5">
        <f t="shared" si="2"/>
        <v>0.126965253</v>
      </c>
      <c r="F40" s="7" t="s">
        <v>17</v>
      </c>
    </row>
    <row r="41" ht="15.75" customHeight="1">
      <c r="A41" s="4">
        <v>1.0</v>
      </c>
      <c r="B41" s="4">
        <v>3.0</v>
      </c>
      <c r="C41" s="4">
        <f t="shared" si="1"/>
        <v>2</v>
      </c>
      <c r="D41" s="5">
        <f t="shared" si="2"/>
        <v>0.126965253</v>
      </c>
      <c r="F41" s="7" t="s">
        <v>192</v>
      </c>
      <c r="G41" s="7">
        <f>TTEST(A:A,B:B,2,1)</f>
        <v>0</v>
      </c>
    </row>
    <row r="42" ht="15.75" customHeight="1">
      <c r="A42" s="4">
        <v>2.0</v>
      </c>
      <c r="B42" s="4">
        <v>3.0</v>
      </c>
      <c r="C42" s="4">
        <f t="shared" si="1"/>
        <v>1</v>
      </c>
      <c r="D42" s="5">
        <f t="shared" si="2"/>
        <v>1.839608931</v>
      </c>
      <c r="F42" s="7" t="s">
        <v>193</v>
      </c>
      <c r="G42" s="7">
        <f>TTEST(A:A,B:B,1,1)</f>
        <v>0</v>
      </c>
    </row>
    <row r="43" ht="15.75" customHeight="1">
      <c r="A43" s="4">
        <v>1.0</v>
      </c>
      <c r="B43" s="4">
        <v>3.0</v>
      </c>
      <c r="C43" s="4">
        <f t="shared" si="1"/>
        <v>2</v>
      </c>
      <c r="D43" s="5">
        <f t="shared" si="2"/>
        <v>0.126965253</v>
      </c>
    </row>
    <row r="44" ht="15.75" customHeight="1">
      <c r="A44" s="4">
        <v>2.0</v>
      </c>
      <c r="B44" s="4">
        <v>5.0</v>
      </c>
      <c r="C44" s="4">
        <f t="shared" si="1"/>
        <v>3</v>
      </c>
      <c r="D44" s="5">
        <f t="shared" si="2"/>
        <v>0.4143215748</v>
      </c>
    </row>
    <row r="45" ht="15.75" customHeight="1">
      <c r="A45" s="4">
        <v>1.0</v>
      </c>
      <c r="B45" s="4">
        <v>3.0</v>
      </c>
      <c r="C45" s="4">
        <f t="shared" si="1"/>
        <v>2</v>
      </c>
      <c r="D45" s="5">
        <f t="shared" si="2"/>
        <v>0.126965253</v>
      </c>
      <c r="F45" s="6" t="s">
        <v>20</v>
      </c>
      <c r="G45" s="6"/>
    </row>
    <row r="46" ht="15.75" customHeight="1">
      <c r="A46" s="4">
        <v>2.0</v>
      </c>
      <c r="B46" s="4">
        <v>3.0</v>
      </c>
      <c r="C46" s="4">
        <f t="shared" si="1"/>
        <v>1</v>
      </c>
      <c r="D46" s="5">
        <f t="shared" si="2"/>
        <v>1.839608931</v>
      </c>
    </row>
    <row r="47" ht="15.75" customHeight="1">
      <c r="A47" s="4">
        <v>3.0</v>
      </c>
      <c r="B47" s="4">
        <v>5.0</v>
      </c>
      <c r="C47" s="4">
        <f t="shared" si="1"/>
        <v>2</v>
      </c>
      <c r="D47" s="5">
        <f t="shared" si="2"/>
        <v>0.126965253</v>
      </c>
      <c r="F47" s="7" t="s">
        <v>194</v>
      </c>
    </row>
    <row r="48" ht="15.75" customHeight="1">
      <c r="A48" s="4">
        <v>2.0</v>
      </c>
      <c r="B48" s="4">
        <v>5.0</v>
      </c>
      <c r="C48" s="4">
        <f t="shared" si="1"/>
        <v>3</v>
      </c>
      <c r="D48" s="5">
        <f t="shared" si="2"/>
        <v>0.4143215748</v>
      </c>
      <c r="F48" s="7" t="s">
        <v>195</v>
      </c>
    </row>
    <row r="49" ht="15.75" customHeight="1">
      <c r="A49" s="4">
        <v>1.0</v>
      </c>
      <c r="B49" s="4">
        <v>5.0</v>
      </c>
      <c r="C49" s="4">
        <f t="shared" si="1"/>
        <v>4</v>
      </c>
      <c r="D49" s="5">
        <f t="shared" si="2"/>
        <v>2.701677897</v>
      </c>
    </row>
    <row r="50" ht="15.75" customHeight="1">
      <c r="A50" s="4">
        <v>2.0</v>
      </c>
      <c r="B50" s="4">
        <v>3.0</v>
      </c>
      <c r="C50" s="4">
        <f t="shared" si="1"/>
        <v>1</v>
      </c>
      <c r="D50" s="5">
        <f t="shared" si="2"/>
        <v>1.839608931</v>
      </c>
      <c r="F50" s="7" t="s">
        <v>23</v>
      </c>
    </row>
    <row r="51" ht="15.75" customHeight="1">
      <c r="A51" s="4">
        <v>1.0</v>
      </c>
      <c r="B51" s="4">
        <v>4.0</v>
      </c>
      <c r="C51" s="4">
        <f t="shared" si="1"/>
        <v>3</v>
      </c>
      <c r="D51" s="5">
        <f t="shared" si="2"/>
        <v>0.4143215748</v>
      </c>
      <c r="F51" s="7" t="s">
        <v>24</v>
      </c>
    </row>
    <row r="52" ht="15.75" customHeight="1">
      <c r="A52" s="4">
        <v>2.0</v>
      </c>
      <c r="B52" s="4">
        <v>5.0</v>
      </c>
      <c r="C52" s="4">
        <f t="shared" si="1"/>
        <v>3</v>
      </c>
      <c r="D52" s="5">
        <f t="shared" si="2"/>
        <v>0.4143215748</v>
      </c>
    </row>
    <row r="53" ht="15.75" customHeight="1">
      <c r="A53" s="4">
        <v>1.0</v>
      </c>
      <c r="B53" s="4">
        <v>4.0</v>
      </c>
      <c r="C53" s="4">
        <f t="shared" si="1"/>
        <v>3</v>
      </c>
      <c r="D53" s="5">
        <f t="shared" si="2"/>
        <v>0.4143215748</v>
      </c>
    </row>
    <row r="54" ht="15.75" customHeight="1">
      <c r="A54" s="4">
        <v>2.0</v>
      </c>
      <c r="B54" s="4">
        <v>4.0</v>
      </c>
      <c r="C54" s="4">
        <f t="shared" si="1"/>
        <v>2</v>
      </c>
      <c r="D54" s="5">
        <f t="shared" si="2"/>
        <v>0.126965253</v>
      </c>
    </row>
    <row r="55" ht="15.75" customHeight="1">
      <c r="A55" s="4">
        <v>1.0</v>
      </c>
      <c r="B55" s="4">
        <v>4.0</v>
      </c>
      <c r="C55" s="4">
        <f t="shared" si="1"/>
        <v>3</v>
      </c>
      <c r="D55" s="5">
        <f t="shared" si="2"/>
        <v>0.4143215748</v>
      </c>
    </row>
    <row r="56" ht="15.75" customHeight="1">
      <c r="A56" s="4">
        <v>2.0</v>
      </c>
      <c r="B56" s="4">
        <v>5.0</v>
      </c>
      <c r="C56" s="4">
        <f t="shared" si="1"/>
        <v>3</v>
      </c>
      <c r="D56" s="5">
        <f t="shared" si="2"/>
        <v>0.4143215748</v>
      </c>
      <c r="F56" s="6" t="s">
        <v>25</v>
      </c>
    </row>
    <row r="57" ht="15.75" customHeight="1">
      <c r="A57" s="4">
        <v>1.0</v>
      </c>
      <c r="B57" s="4">
        <v>3.0</v>
      </c>
      <c r="C57" s="4">
        <f t="shared" si="1"/>
        <v>2</v>
      </c>
      <c r="D57" s="5">
        <f t="shared" si="2"/>
        <v>0.126965253</v>
      </c>
    </row>
    <row r="58" ht="15.75" customHeight="1">
      <c r="A58" s="4">
        <v>2.0</v>
      </c>
      <c r="B58" s="4">
        <v>2.0</v>
      </c>
      <c r="C58" s="4">
        <f t="shared" si="1"/>
        <v>0</v>
      </c>
      <c r="D58" s="5">
        <f t="shared" si="2"/>
        <v>5.552252609</v>
      </c>
      <c r="F58" s="7" t="s">
        <v>196</v>
      </c>
    </row>
    <row r="59" ht="15.75" customHeight="1">
      <c r="A59" s="4">
        <v>3.0</v>
      </c>
      <c r="B59" s="4">
        <v>4.0</v>
      </c>
      <c r="C59" s="4">
        <f t="shared" si="1"/>
        <v>1</v>
      </c>
      <c r="D59" s="5">
        <f t="shared" si="2"/>
        <v>1.839608931</v>
      </c>
      <c r="F59" s="7" t="s">
        <v>27</v>
      </c>
    </row>
    <row r="60" ht="15.75" customHeight="1">
      <c r="A60" s="4">
        <v>3.0</v>
      </c>
      <c r="B60" s="4">
        <v>5.0</v>
      </c>
      <c r="C60" s="4">
        <f t="shared" si="1"/>
        <v>2</v>
      </c>
      <c r="D60" s="5">
        <f t="shared" si="2"/>
        <v>0.126965253</v>
      </c>
      <c r="F60" s="7" t="s">
        <v>197</v>
      </c>
    </row>
    <row r="61" ht="15.75" customHeight="1">
      <c r="A61" s="4">
        <v>1.0</v>
      </c>
      <c r="B61" s="4">
        <v>4.0</v>
      </c>
      <c r="C61" s="4">
        <f t="shared" si="1"/>
        <v>3</v>
      </c>
      <c r="D61" s="5">
        <f t="shared" si="2"/>
        <v>0.4143215748</v>
      </c>
    </row>
    <row r="62" ht="15.75" customHeight="1">
      <c r="A62" s="4">
        <v>2.0</v>
      </c>
      <c r="B62" s="4">
        <v>5.0</v>
      </c>
      <c r="C62" s="4">
        <f t="shared" si="1"/>
        <v>3</v>
      </c>
      <c r="D62" s="5">
        <f t="shared" si="2"/>
        <v>0.4143215748</v>
      </c>
    </row>
    <row r="63" ht="15.75" customHeight="1">
      <c r="A63" s="4">
        <v>1.0</v>
      </c>
      <c r="B63" s="4">
        <v>3.0</v>
      </c>
      <c r="C63" s="4">
        <f t="shared" si="1"/>
        <v>2</v>
      </c>
      <c r="D63" s="5">
        <f t="shared" si="2"/>
        <v>0.126965253</v>
      </c>
    </row>
    <row r="64" ht="15.75" customHeight="1">
      <c r="A64" s="4">
        <v>2.0</v>
      </c>
      <c r="B64" s="4">
        <v>3.0</v>
      </c>
      <c r="C64" s="4">
        <f t="shared" si="1"/>
        <v>1</v>
      </c>
      <c r="D64" s="5">
        <f t="shared" si="2"/>
        <v>1.839608931</v>
      </c>
    </row>
    <row r="65" ht="15.75" customHeight="1">
      <c r="A65" s="4">
        <v>1.0</v>
      </c>
      <c r="B65" s="4">
        <v>3.0</v>
      </c>
      <c r="C65" s="4">
        <f t="shared" si="1"/>
        <v>2</v>
      </c>
      <c r="D65" s="5">
        <f t="shared" si="2"/>
        <v>0.126965253</v>
      </c>
      <c r="F65" s="6" t="s">
        <v>25</v>
      </c>
    </row>
    <row r="66" ht="15.75" customHeight="1">
      <c r="A66" s="4">
        <v>2.0</v>
      </c>
      <c r="B66" s="4">
        <v>5.0</v>
      </c>
      <c r="C66" s="4">
        <f t="shared" si="1"/>
        <v>3</v>
      </c>
      <c r="D66" s="5">
        <f t="shared" si="2"/>
        <v>0.4143215748</v>
      </c>
    </row>
    <row r="67" ht="15.75" customHeight="1">
      <c r="A67" s="4">
        <v>1.0</v>
      </c>
      <c r="B67" s="4">
        <v>5.0</v>
      </c>
      <c r="C67" s="4">
        <f t="shared" si="1"/>
        <v>4</v>
      </c>
      <c r="D67" s="5">
        <f t="shared" si="2"/>
        <v>2.701677897</v>
      </c>
    </row>
    <row r="68" ht="15.75" customHeight="1">
      <c r="A68" s="4">
        <v>2.0</v>
      </c>
      <c r="B68" s="4">
        <v>3.0</v>
      </c>
      <c r="C68" s="4">
        <f t="shared" si="1"/>
        <v>1</v>
      </c>
      <c r="D68" s="5">
        <f t="shared" si="2"/>
        <v>1.839608931</v>
      </c>
    </row>
    <row r="69" ht="15.75" customHeight="1">
      <c r="A69" s="4">
        <v>1.0</v>
      </c>
      <c r="B69" s="4">
        <v>4.0</v>
      </c>
      <c r="C69" s="4">
        <f t="shared" si="1"/>
        <v>3</v>
      </c>
      <c r="D69" s="5">
        <f t="shared" si="2"/>
        <v>0.4143215748</v>
      </c>
    </row>
    <row r="70" ht="15.75" customHeight="1">
      <c r="A70" s="4">
        <v>2.0</v>
      </c>
      <c r="B70" s="4">
        <v>5.0</v>
      </c>
      <c r="C70" s="4">
        <f t="shared" si="1"/>
        <v>3</v>
      </c>
      <c r="D70" s="5">
        <f t="shared" si="2"/>
        <v>0.4143215748</v>
      </c>
    </row>
    <row r="71" ht="15.75" customHeight="1">
      <c r="A71" s="4">
        <v>1.0</v>
      </c>
      <c r="B71" s="4">
        <v>3.0</v>
      </c>
      <c r="C71" s="4">
        <f t="shared" si="1"/>
        <v>2</v>
      </c>
      <c r="D71" s="5">
        <f t="shared" si="2"/>
        <v>0.126965253</v>
      </c>
    </row>
    <row r="72" ht="15.75" customHeight="1">
      <c r="A72" s="4">
        <v>2.0</v>
      </c>
      <c r="B72" s="4">
        <v>3.0</v>
      </c>
      <c r="C72" s="4">
        <f t="shared" si="1"/>
        <v>1</v>
      </c>
      <c r="D72" s="5">
        <f t="shared" si="2"/>
        <v>1.839608931</v>
      </c>
      <c r="F72" s="7" t="s">
        <v>29</v>
      </c>
    </row>
    <row r="73" ht="15.75" customHeight="1">
      <c r="A73" s="4">
        <v>1.0</v>
      </c>
      <c r="B73" s="4">
        <v>4.0</v>
      </c>
      <c r="C73" s="4">
        <f t="shared" si="1"/>
        <v>3</v>
      </c>
      <c r="D73" s="5">
        <f t="shared" si="2"/>
        <v>0.4143215748</v>
      </c>
      <c r="F73" s="7" t="s">
        <v>198</v>
      </c>
    </row>
    <row r="74" ht="15.75" customHeight="1">
      <c r="A74" s="4">
        <v>2.0</v>
      </c>
      <c r="B74" s="4">
        <v>5.0</v>
      </c>
      <c r="C74" s="4">
        <f t="shared" si="1"/>
        <v>3</v>
      </c>
      <c r="D74" s="5">
        <f t="shared" si="2"/>
        <v>0.4143215748</v>
      </c>
      <c r="F74" s="7" t="s">
        <v>29</v>
      </c>
    </row>
    <row r="75" ht="15.75" customHeight="1">
      <c r="A75" s="4">
        <v>3.0</v>
      </c>
      <c r="B75" s="4">
        <v>5.0</v>
      </c>
      <c r="C75" s="4">
        <f t="shared" si="1"/>
        <v>2</v>
      </c>
      <c r="D75" s="5">
        <f t="shared" si="2"/>
        <v>0.126965253</v>
      </c>
      <c r="F75" s="7" t="s">
        <v>199</v>
      </c>
    </row>
    <row r="76" ht="15.75" customHeight="1">
      <c r="A76" s="4">
        <v>2.0</v>
      </c>
      <c r="B76" s="4">
        <v>5.0</v>
      </c>
      <c r="C76" s="4">
        <f t="shared" si="1"/>
        <v>3</v>
      </c>
      <c r="D76" s="5">
        <f t="shared" si="2"/>
        <v>0.4143215748</v>
      </c>
    </row>
    <row r="77" ht="15.75" customHeight="1">
      <c r="A77" s="4">
        <v>1.0</v>
      </c>
      <c r="B77" s="4">
        <v>5.0</v>
      </c>
      <c r="C77" s="4">
        <f t="shared" si="1"/>
        <v>4</v>
      </c>
      <c r="D77" s="5">
        <f t="shared" si="2"/>
        <v>2.701677897</v>
      </c>
    </row>
    <row r="78" ht="15.75" customHeight="1">
      <c r="A78" s="4">
        <v>2.0</v>
      </c>
      <c r="B78" s="4">
        <v>3.0</v>
      </c>
      <c r="C78" s="4">
        <f t="shared" si="1"/>
        <v>1</v>
      </c>
      <c r="D78" s="5">
        <f t="shared" si="2"/>
        <v>1.839608931</v>
      </c>
    </row>
    <row r="79" ht="15.75" customHeight="1">
      <c r="A79" s="4">
        <v>1.0</v>
      </c>
      <c r="B79" s="4">
        <v>5.0</v>
      </c>
      <c r="C79" s="4">
        <f t="shared" si="1"/>
        <v>4</v>
      </c>
      <c r="D79" s="5">
        <f t="shared" si="2"/>
        <v>2.701677897</v>
      </c>
    </row>
    <row r="80" ht="15.75" customHeight="1">
      <c r="A80" s="4">
        <v>2.0</v>
      </c>
      <c r="B80" s="4">
        <v>2.0</v>
      </c>
      <c r="C80" s="4">
        <f t="shared" si="1"/>
        <v>0</v>
      </c>
      <c r="D80" s="5">
        <f t="shared" si="2"/>
        <v>5.552252609</v>
      </c>
    </row>
    <row r="81" ht="15.75" customHeight="1">
      <c r="A81" s="4">
        <v>1.0</v>
      </c>
      <c r="B81" s="4">
        <v>4.0</v>
      </c>
      <c r="C81" s="4">
        <f t="shared" si="1"/>
        <v>3</v>
      </c>
      <c r="D81" s="5">
        <f t="shared" si="2"/>
        <v>0.4143215748</v>
      </c>
    </row>
    <row r="82" ht="15.75" customHeight="1">
      <c r="A82" s="4">
        <v>2.0</v>
      </c>
      <c r="B82" s="4">
        <v>3.0</v>
      </c>
      <c r="C82" s="4">
        <f t="shared" si="1"/>
        <v>1</v>
      </c>
      <c r="D82" s="5">
        <f t="shared" si="2"/>
        <v>1.839608931</v>
      </c>
    </row>
    <row r="83" ht="15.75" customHeight="1">
      <c r="A83" s="4">
        <v>1.0</v>
      </c>
      <c r="B83" s="4">
        <v>4.0</v>
      </c>
      <c r="C83" s="4">
        <f t="shared" si="1"/>
        <v>3</v>
      </c>
      <c r="D83" s="5">
        <f t="shared" si="2"/>
        <v>0.4143215748</v>
      </c>
    </row>
    <row r="84" ht="15.75" customHeight="1">
      <c r="A84" s="4">
        <v>3.0</v>
      </c>
      <c r="B84" s="4">
        <v>5.0</v>
      </c>
      <c r="C84" s="4">
        <f t="shared" si="1"/>
        <v>2</v>
      </c>
      <c r="D84" s="5">
        <f t="shared" si="2"/>
        <v>0.126965253</v>
      </c>
    </row>
    <row r="85" ht="15.75" customHeight="1">
      <c r="A85" s="4">
        <v>1.0</v>
      </c>
      <c r="B85" s="4">
        <v>5.0</v>
      </c>
      <c r="C85" s="4">
        <f t="shared" si="1"/>
        <v>4</v>
      </c>
      <c r="D85" s="5">
        <f t="shared" si="2"/>
        <v>2.701677897</v>
      </c>
    </row>
    <row r="86" ht="15.75" customHeight="1">
      <c r="A86" s="4">
        <v>2.0</v>
      </c>
      <c r="B86" s="4">
        <v>4.0</v>
      </c>
      <c r="C86" s="4">
        <f t="shared" si="1"/>
        <v>2</v>
      </c>
      <c r="D86" s="5">
        <f t="shared" si="2"/>
        <v>0.126965253</v>
      </c>
    </row>
    <row r="87" ht="15.75" customHeight="1">
      <c r="A87" s="4">
        <v>1.0</v>
      </c>
      <c r="B87" s="4">
        <v>4.0</v>
      </c>
      <c r="C87" s="4">
        <f t="shared" si="1"/>
        <v>3</v>
      </c>
      <c r="D87" s="5">
        <f t="shared" si="2"/>
        <v>0.4143215748</v>
      </c>
    </row>
    <row r="88" ht="15.75" customHeight="1">
      <c r="A88" s="4">
        <v>2.0</v>
      </c>
      <c r="B88" s="4">
        <v>5.0</v>
      </c>
      <c r="C88" s="4">
        <f t="shared" si="1"/>
        <v>3</v>
      </c>
      <c r="D88" s="5">
        <f t="shared" si="2"/>
        <v>0.4143215748</v>
      </c>
    </row>
    <row r="89" ht="15.75" customHeight="1"/>
    <row r="90" ht="15.75" customHeight="1"/>
    <row r="91" ht="15.75" customHeight="1"/>
    <row r="92" ht="15.75" customHeight="1"/>
    <row r="93" ht="15.75" customHeight="1">
      <c r="F93" s="8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3.43"/>
    <col customWidth="1" min="3" max="3" width="19.86"/>
    <col customWidth="1" min="4" max="4" width="23.14"/>
    <col customWidth="1" min="5" max="5" width="12.0"/>
    <col customWidth="1" min="6" max="6" width="39.0"/>
    <col customWidth="1" min="7" max="7" width="19.0"/>
    <col customWidth="1" min="8" max="26" width="9.14"/>
  </cols>
  <sheetData>
    <row r="1" ht="121.5" customHeight="1">
      <c r="A1" s="1" t="s">
        <v>200</v>
      </c>
      <c r="B1" s="2" t="s">
        <v>201</v>
      </c>
      <c r="C1" s="3" t="s">
        <v>2</v>
      </c>
      <c r="D1" s="3"/>
    </row>
    <row r="2">
      <c r="A2" s="4">
        <v>2.0</v>
      </c>
      <c r="B2" s="4">
        <v>3.0</v>
      </c>
      <c r="C2" s="4">
        <f t="shared" ref="C2:C88" si="1">B2-A2</f>
        <v>1</v>
      </c>
      <c r="D2" s="5">
        <f t="shared" ref="D2:D88" si="2">(C2-$G$6)^2</f>
        <v>1.321178491</v>
      </c>
    </row>
    <row r="3">
      <c r="A3" s="4">
        <v>1.0</v>
      </c>
      <c r="B3" s="4">
        <v>5.0</v>
      </c>
      <c r="C3" s="4">
        <f t="shared" si="1"/>
        <v>4</v>
      </c>
      <c r="D3" s="5">
        <f t="shared" si="2"/>
        <v>3.424626767</v>
      </c>
      <c r="F3" s="6" t="s">
        <v>3</v>
      </c>
      <c r="G3" s="6"/>
    </row>
    <row r="4">
      <c r="A4" s="4">
        <v>2.0</v>
      </c>
      <c r="B4" s="4">
        <v>2.0</v>
      </c>
      <c r="C4" s="4">
        <f t="shared" si="1"/>
        <v>0</v>
      </c>
      <c r="D4" s="5">
        <f t="shared" si="2"/>
        <v>4.620029066</v>
      </c>
      <c r="F4" s="7" t="s">
        <v>4</v>
      </c>
      <c r="G4" s="7">
        <v>87.0</v>
      </c>
    </row>
    <row r="5">
      <c r="A5" s="4">
        <v>1.0</v>
      </c>
      <c r="B5" s="4">
        <v>4.0</v>
      </c>
      <c r="C5" s="4">
        <f t="shared" si="1"/>
        <v>3</v>
      </c>
      <c r="D5" s="5">
        <f t="shared" si="2"/>
        <v>0.7234773418</v>
      </c>
      <c r="F5" s="7" t="s">
        <v>5</v>
      </c>
      <c r="G5" s="7">
        <f>SUM(C:C)</f>
        <v>187</v>
      </c>
    </row>
    <row r="6">
      <c r="A6" s="4">
        <v>2.0</v>
      </c>
      <c r="B6" s="4">
        <v>2.0</v>
      </c>
      <c r="C6" s="4">
        <f t="shared" si="1"/>
        <v>0</v>
      </c>
      <c r="D6" s="5">
        <f t="shared" si="2"/>
        <v>4.620029066</v>
      </c>
      <c r="F6" s="7" t="s">
        <v>6</v>
      </c>
      <c r="G6" s="7">
        <f>G5/G4</f>
        <v>2.149425287</v>
      </c>
    </row>
    <row r="7">
      <c r="A7" s="4">
        <v>1.0</v>
      </c>
      <c r="B7" s="4">
        <v>2.0</v>
      </c>
      <c r="C7" s="4">
        <f t="shared" si="1"/>
        <v>1</v>
      </c>
      <c r="D7" s="5">
        <f t="shared" si="2"/>
        <v>1.321178491</v>
      </c>
      <c r="F7" s="7" t="s">
        <v>7</v>
      </c>
      <c r="G7" s="7">
        <f>SUM(D:D)</f>
        <v>131.0574713</v>
      </c>
    </row>
    <row r="8">
      <c r="A8" s="4">
        <v>3.0</v>
      </c>
      <c r="B8" s="4">
        <v>4.0</v>
      </c>
      <c r="C8" s="4">
        <f t="shared" si="1"/>
        <v>1</v>
      </c>
      <c r="D8" s="5">
        <f t="shared" si="2"/>
        <v>1.321178491</v>
      </c>
      <c r="F8" s="7" t="s">
        <v>8</v>
      </c>
      <c r="G8" s="7">
        <f>SQRT(G7/(G4-1))</f>
        <v>1.234473201</v>
      </c>
    </row>
    <row r="9">
      <c r="A9" s="4">
        <v>1.0</v>
      </c>
      <c r="B9" s="4">
        <v>4.0</v>
      </c>
      <c r="C9" s="4">
        <f t="shared" si="1"/>
        <v>3</v>
      </c>
      <c r="D9" s="5">
        <f t="shared" si="2"/>
        <v>0.7234773418</v>
      </c>
    </row>
    <row r="10">
      <c r="A10" s="4">
        <v>2.0</v>
      </c>
      <c r="B10" s="4">
        <v>4.0</v>
      </c>
      <c r="C10" s="4">
        <f t="shared" si="1"/>
        <v>2</v>
      </c>
      <c r="D10" s="5">
        <f t="shared" si="2"/>
        <v>0.0223279165</v>
      </c>
    </row>
    <row r="11">
      <c r="A11" s="4">
        <v>1.0</v>
      </c>
      <c r="B11" s="4">
        <v>5.0</v>
      </c>
      <c r="C11" s="4">
        <f t="shared" si="1"/>
        <v>4</v>
      </c>
      <c r="D11" s="5">
        <f t="shared" si="2"/>
        <v>3.424626767</v>
      </c>
    </row>
    <row r="12">
      <c r="A12" s="4">
        <v>2.0</v>
      </c>
      <c r="B12" s="4">
        <v>4.0</v>
      </c>
      <c r="C12" s="4">
        <f t="shared" si="1"/>
        <v>2</v>
      </c>
      <c r="D12" s="5">
        <f t="shared" si="2"/>
        <v>0.0223279165</v>
      </c>
      <c r="F12" s="7" t="s">
        <v>9</v>
      </c>
      <c r="G12" s="7">
        <f>G6/(G8/SQRT(G4))</f>
        <v>16.24053433</v>
      </c>
    </row>
    <row r="13">
      <c r="A13" s="4">
        <v>1.0</v>
      </c>
      <c r="B13" s="4">
        <v>5.0</v>
      </c>
      <c r="C13" s="4">
        <f t="shared" si="1"/>
        <v>4</v>
      </c>
      <c r="D13" s="5">
        <f t="shared" si="2"/>
        <v>3.424626767</v>
      </c>
    </row>
    <row r="14">
      <c r="A14" s="4">
        <v>2.0</v>
      </c>
      <c r="B14" s="4">
        <v>5.0</v>
      </c>
      <c r="C14" s="4">
        <f t="shared" si="1"/>
        <v>3</v>
      </c>
      <c r="D14" s="5">
        <f t="shared" si="2"/>
        <v>0.7234773418</v>
      </c>
    </row>
    <row r="15">
      <c r="A15" s="4">
        <v>1.0</v>
      </c>
      <c r="B15" s="4">
        <v>4.0</v>
      </c>
      <c r="C15" s="4">
        <f t="shared" si="1"/>
        <v>3</v>
      </c>
      <c r="D15" s="5">
        <f t="shared" si="2"/>
        <v>0.7234773418</v>
      </c>
    </row>
    <row r="16">
      <c r="A16" s="4">
        <v>2.0</v>
      </c>
      <c r="B16" s="4">
        <v>4.0</v>
      </c>
      <c r="C16" s="4">
        <f t="shared" si="1"/>
        <v>2</v>
      </c>
      <c r="D16" s="5">
        <f t="shared" si="2"/>
        <v>0.0223279165</v>
      </c>
    </row>
    <row r="17">
      <c r="A17" s="4">
        <v>1.0</v>
      </c>
      <c r="B17" s="4">
        <v>5.0</v>
      </c>
      <c r="C17" s="4">
        <f t="shared" si="1"/>
        <v>4</v>
      </c>
      <c r="D17" s="5">
        <f t="shared" si="2"/>
        <v>3.424626767</v>
      </c>
      <c r="F17" s="7" t="s">
        <v>10</v>
      </c>
      <c r="G17" s="7">
        <v>0.05</v>
      </c>
    </row>
    <row r="18">
      <c r="A18" s="4">
        <v>2.0</v>
      </c>
      <c r="B18" s="4">
        <v>4.0</v>
      </c>
      <c r="C18" s="4">
        <f t="shared" si="1"/>
        <v>2</v>
      </c>
      <c r="D18" s="5">
        <f t="shared" si="2"/>
        <v>0.0223279165</v>
      </c>
      <c r="F18" s="7" t="s">
        <v>11</v>
      </c>
      <c r="G18" s="7">
        <f>G4-1</f>
        <v>86</v>
      </c>
    </row>
    <row r="19">
      <c r="A19" s="4">
        <v>1.0</v>
      </c>
      <c r="B19" s="4">
        <v>5.0</v>
      </c>
      <c r="C19" s="4">
        <f t="shared" si="1"/>
        <v>4</v>
      </c>
      <c r="D19" s="5">
        <f t="shared" si="2"/>
        <v>3.424626767</v>
      </c>
    </row>
    <row r="20">
      <c r="A20" s="4">
        <v>2.0</v>
      </c>
      <c r="B20" s="4">
        <v>5.0</v>
      </c>
      <c r="C20" s="4">
        <f t="shared" si="1"/>
        <v>3</v>
      </c>
      <c r="D20" s="5">
        <f t="shared" si="2"/>
        <v>0.7234773418</v>
      </c>
    </row>
    <row r="21" ht="15.75" customHeight="1">
      <c r="A21" s="4">
        <v>1.0</v>
      </c>
      <c r="B21" s="4">
        <v>5.0</v>
      </c>
      <c r="C21" s="4">
        <f t="shared" si="1"/>
        <v>4</v>
      </c>
      <c r="D21" s="5">
        <f t="shared" si="2"/>
        <v>3.424626767</v>
      </c>
    </row>
    <row r="22" ht="15.75" customHeight="1">
      <c r="A22" s="4">
        <v>2.0</v>
      </c>
      <c r="B22" s="4">
        <v>4.0</v>
      </c>
      <c r="C22" s="4">
        <f t="shared" si="1"/>
        <v>2</v>
      </c>
      <c r="D22" s="5">
        <f t="shared" si="2"/>
        <v>0.0223279165</v>
      </c>
      <c r="F22" s="6" t="s">
        <v>12</v>
      </c>
      <c r="G22" s="6"/>
    </row>
    <row r="23" ht="15.75" customHeight="1">
      <c r="A23" s="4">
        <v>1.0</v>
      </c>
      <c r="B23" s="4">
        <v>4.0</v>
      </c>
      <c r="C23" s="4">
        <f t="shared" si="1"/>
        <v>3</v>
      </c>
      <c r="D23" s="5">
        <f t="shared" si="2"/>
        <v>0.7234773418</v>
      </c>
      <c r="F23" s="7" t="s">
        <v>202</v>
      </c>
      <c r="G23" s="7">
        <f>_xlfn.T.INV.2T(G17,G18)</f>
        <v>1.987934206</v>
      </c>
    </row>
    <row r="24" ht="15.75" customHeight="1">
      <c r="A24" s="4">
        <v>2.0</v>
      </c>
      <c r="B24" s="4">
        <v>2.0</v>
      </c>
      <c r="C24" s="4">
        <f t="shared" si="1"/>
        <v>0</v>
      </c>
      <c r="D24" s="5">
        <f t="shared" si="2"/>
        <v>4.620029066</v>
      </c>
      <c r="F24" s="7" t="s">
        <v>203</v>
      </c>
      <c r="G24" s="7">
        <f>_xlfn.T.INV(G17,G18)</f>
        <v>-1.662765449</v>
      </c>
    </row>
    <row r="25" ht="15.75" customHeight="1">
      <c r="A25" s="4">
        <v>1.0</v>
      </c>
      <c r="B25" s="4">
        <v>2.0</v>
      </c>
      <c r="C25" s="4">
        <f t="shared" si="1"/>
        <v>1</v>
      </c>
      <c r="D25" s="5">
        <f t="shared" si="2"/>
        <v>1.321178491</v>
      </c>
    </row>
    <row r="26" ht="15.75" customHeight="1">
      <c r="A26" s="4">
        <v>2.0</v>
      </c>
      <c r="B26" s="4">
        <v>5.0</v>
      </c>
      <c r="C26" s="4">
        <f t="shared" si="1"/>
        <v>3</v>
      </c>
      <c r="D26" s="5">
        <f t="shared" si="2"/>
        <v>0.7234773418</v>
      </c>
    </row>
    <row r="27" ht="15.75" customHeight="1">
      <c r="A27" s="4">
        <v>1.0</v>
      </c>
      <c r="B27" s="4">
        <v>3.0</v>
      </c>
      <c r="C27" s="4">
        <f t="shared" si="1"/>
        <v>2</v>
      </c>
      <c r="D27" s="5">
        <f t="shared" si="2"/>
        <v>0.0223279165</v>
      </c>
    </row>
    <row r="28" ht="15.75" customHeight="1">
      <c r="A28" s="4">
        <v>2.0</v>
      </c>
      <c r="B28" s="4">
        <v>4.0</v>
      </c>
      <c r="C28" s="4">
        <f t="shared" si="1"/>
        <v>2</v>
      </c>
      <c r="D28" s="5">
        <f t="shared" si="2"/>
        <v>0.0223279165</v>
      </c>
    </row>
    <row r="29" ht="15.75" customHeight="1">
      <c r="A29" s="4">
        <v>1.0</v>
      </c>
      <c r="B29" s="4">
        <v>3.0</v>
      </c>
      <c r="C29" s="4">
        <f t="shared" si="1"/>
        <v>2</v>
      </c>
      <c r="D29" s="5">
        <f t="shared" si="2"/>
        <v>0.0223279165</v>
      </c>
    </row>
    <row r="30" ht="15.75" customHeight="1">
      <c r="A30" s="4">
        <v>2.0</v>
      </c>
      <c r="B30" s="4">
        <v>4.0</v>
      </c>
      <c r="C30" s="4">
        <f t="shared" si="1"/>
        <v>2</v>
      </c>
      <c r="D30" s="5">
        <f t="shared" si="2"/>
        <v>0.0223279165</v>
      </c>
    </row>
    <row r="31" ht="15.75" customHeight="1">
      <c r="A31" s="4">
        <v>1.0</v>
      </c>
      <c r="B31" s="4">
        <v>3.0</v>
      </c>
      <c r="C31" s="4">
        <f t="shared" si="1"/>
        <v>2</v>
      </c>
      <c r="D31" s="5">
        <f t="shared" si="2"/>
        <v>0.0223279165</v>
      </c>
    </row>
    <row r="32" ht="15.75" customHeight="1">
      <c r="A32" s="4">
        <v>2.0</v>
      </c>
      <c r="B32" s="4">
        <v>4.0</v>
      </c>
      <c r="C32" s="4">
        <f t="shared" si="1"/>
        <v>2</v>
      </c>
      <c r="D32" s="5">
        <f t="shared" si="2"/>
        <v>0.0223279165</v>
      </c>
    </row>
    <row r="33" ht="15.75" customHeight="1">
      <c r="A33" s="4">
        <v>1.0</v>
      </c>
      <c r="B33" s="4">
        <v>5.0</v>
      </c>
      <c r="C33" s="4">
        <f t="shared" si="1"/>
        <v>4</v>
      </c>
      <c r="D33" s="5">
        <f t="shared" si="2"/>
        <v>3.424626767</v>
      </c>
    </row>
    <row r="34" ht="15.75" customHeight="1">
      <c r="A34" s="4">
        <v>2.0</v>
      </c>
      <c r="B34" s="4">
        <v>3.0</v>
      </c>
      <c r="C34" s="4">
        <f t="shared" si="1"/>
        <v>1</v>
      </c>
      <c r="D34" s="5">
        <f t="shared" si="2"/>
        <v>1.321178491</v>
      </c>
      <c r="F34" s="7" t="s">
        <v>15</v>
      </c>
    </row>
    <row r="35" ht="15.75" customHeight="1">
      <c r="A35" s="4">
        <v>1.0</v>
      </c>
      <c r="B35" s="4">
        <v>5.0</v>
      </c>
      <c r="C35" s="4">
        <f t="shared" si="1"/>
        <v>4</v>
      </c>
      <c r="D35" s="5">
        <f t="shared" si="2"/>
        <v>3.424626767</v>
      </c>
      <c r="F35" s="7" t="s">
        <v>16</v>
      </c>
    </row>
    <row r="36" ht="15.75" customHeight="1">
      <c r="A36" s="4">
        <v>2.0</v>
      </c>
      <c r="B36" s="4">
        <v>4.0</v>
      </c>
      <c r="C36" s="4">
        <f t="shared" si="1"/>
        <v>2</v>
      </c>
      <c r="D36" s="5">
        <f t="shared" si="2"/>
        <v>0.0223279165</v>
      </c>
    </row>
    <row r="37" ht="15.75" customHeight="1">
      <c r="A37" s="4">
        <v>1.0</v>
      </c>
      <c r="B37" s="4">
        <v>5.0</v>
      </c>
      <c r="C37" s="4">
        <f t="shared" si="1"/>
        <v>4</v>
      </c>
      <c r="D37" s="5">
        <f t="shared" si="2"/>
        <v>3.424626767</v>
      </c>
    </row>
    <row r="38" ht="15.75" customHeight="1">
      <c r="A38" s="4">
        <v>2.0</v>
      </c>
      <c r="B38" s="4">
        <v>4.0</v>
      </c>
      <c r="C38" s="4">
        <f t="shared" si="1"/>
        <v>2</v>
      </c>
      <c r="D38" s="5">
        <f t="shared" si="2"/>
        <v>0.0223279165</v>
      </c>
    </row>
    <row r="39" ht="15.75" customHeight="1">
      <c r="A39" s="4">
        <v>1.0</v>
      </c>
      <c r="B39" s="4">
        <v>3.0</v>
      </c>
      <c r="C39" s="4">
        <f t="shared" si="1"/>
        <v>2</v>
      </c>
      <c r="D39" s="5">
        <f t="shared" si="2"/>
        <v>0.0223279165</v>
      </c>
      <c r="F39" s="6" t="s">
        <v>17</v>
      </c>
      <c r="G39" s="6"/>
    </row>
    <row r="40" ht="15.75" customHeight="1">
      <c r="A40" s="4">
        <v>2.0</v>
      </c>
      <c r="B40" s="4">
        <v>4.0</v>
      </c>
      <c r="C40" s="4">
        <f t="shared" si="1"/>
        <v>2</v>
      </c>
      <c r="D40" s="5">
        <f t="shared" si="2"/>
        <v>0.0223279165</v>
      </c>
      <c r="F40" s="7" t="s">
        <v>17</v>
      </c>
    </row>
    <row r="41" ht="15.75" customHeight="1">
      <c r="A41" s="4">
        <v>1.0</v>
      </c>
      <c r="B41" s="4">
        <v>4.0</v>
      </c>
      <c r="C41" s="4">
        <f t="shared" si="1"/>
        <v>3</v>
      </c>
      <c r="D41" s="5">
        <f t="shared" si="2"/>
        <v>0.7234773418</v>
      </c>
      <c r="F41" s="7" t="s">
        <v>204</v>
      </c>
      <c r="G41" s="7">
        <f>TTEST(A:A,B:B,2,1)</f>
        <v>0</v>
      </c>
    </row>
    <row r="42" ht="15.75" customHeight="1">
      <c r="A42" s="4">
        <v>3.0</v>
      </c>
      <c r="B42" s="4">
        <v>5.0</v>
      </c>
      <c r="C42" s="4">
        <f t="shared" si="1"/>
        <v>2</v>
      </c>
      <c r="D42" s="5">
        <f t="shared" si="2"/>
        <v>0.0223279165</v>
      </c>
      <c r="F42" s="7" t="s">
        <v>205</v>
      </c>
      <c r="G42" s="7">
        <f>TTEST(A:A,B:B,1,1)</f>
        <v>0</v>
      </c>
    </row>
    <row r="43" ht="15.75" customHeight="1">
      <c r="A43" s="4">
        <v>1.0</v>
      </c>
      <c r="B43" s="4">
        <v>3.0</v>
      </c>
      <c r="C43" s="4">
        <f t="shared" si="1"/>
        <v>2</v>
      </c>
      <c r="D43" s="5">
        <f t="shared" si="2"/>
        <v>0.0223279165</v>
      </c>
    </row>
    <row r="44" ht="15.75" customHeight="1">
      <c r="A44" s="4">
        <v>2.0</v>
      </c>
      <c r="B44" s="4">
        <v>4.0</v>
      </c>
      <c r="C44" s="4">
        <f t="shared" si="1"/>
        <v>2</v>
      </c>
      <c r="D44" s="5">
        <f t="shared" si="2"/>
        <v>0.0223279165</v>
      </c>
    </row>
    <row r="45" ht="15.75" customHeight="1">
      <c r="A45" s="4">
        <v>1.0</v>
      </c>
      <c r="B45" s="4">
        <v>2.0</v>
      </c>
      <c r="C45" s="4">
        <f t="shared" si="1"/>
        <v>1</v>
      </c>
      <c r="D45" s="5">
        <f t="shared" si="2"/>
        <v>1.321178491</v>
      </c>
      <c r="F45" s="6" t="s">
        <v>20</v>
      </c>
      <c r="G45" s="6"/>
    </row>
    <row r="46" ht="15.75" customHeight="1">
      <c r="A46" s="4">
        <v>2.0</v>
      </c>
      <c r="B46" s="4">
        <v>4.0</v>
      </c>
      <c r="C46" s="4">
        <f t="shared" si="1"/>
        <v>2</v>
      </c>
      <c r="D46" s="5">
        <f t="shared" si="2"/>
        <v>0.0223279165</v>
      </c>
    </row>
    <row r="47" ht="15.75" customHeight="1">
      <c r="A47" s="4">
        <v>1.0</v>
      </c>
      <c r="B47" s="4">
        <v>5.0</v>
      </c>
      <c r="C47" s="4">
        <f t="shared" si="1"/>
        <v>4</v>
      </c>
      <c r="D47" s="5">
        <f t="shared" si="2"/>
        <v>3.424626767</v>
      </c>
      <c r="F47" s="7" t="s">
        <v>206</v>
      </c>
    </row>
    <row r="48" ht="15.75" customHeight="1">
      <c r="A48" s="4">
        <v>2.0</v>
      </c>
      <c r="B48" s="4">
        <v>5.0</v>
      </c>
      <c r="C48" s="4">
        <f t="shared" si="1"/>
        <v>3</v>
      </c>
      <c r="D48" s="5">
        <f t="shared" si="2"/>
        <v>0.7234773418</v>
      </c>
      <c r="F48" s="7" t="s">
        <v>207</v>
      </c>
    </row>
    <row r="49" ht="15.75" customHeight="1">
      <c r="A49" s="4">
        <v>1.0</v>
      </c>
      <c r="B49" s="4">
        <v>5.0</v>
      </c>
      <c r="C49" s="4">
        <f t="shared" si="1"/>
        <v>4</v>
      </c>
      <c r="D49" s="5">
        <f t="shared" si="2"/>
        <v>3.424626767</v>
      </c>
    </row>
    <row r="50" ht="15.75" customHeight="1">
      <c r="A50" s="4">
        <v>3.0</v>
      </c>
      <c r="B50" s="4">
        <v>2.0</v>
      </c>
      <c r="C50" s="4">
        <f t="shared" si="1"/>
        <v>-1</v>
      </c>
      <c r="D50" s="5">
        <f t="shared" si="2"/>
        <v>9.918879641</v>
      </c>
      <c r="F50" s="7" t="s">
        <v>23</v>
      </c>
    </row>
    <row r="51" ht="15.75" customHeight="1">
      <c r="A51" s="4">
        <v>1.0</v>
      </c>
      <c r="B51" s="4">
        <v>3.0</v>
      </c>
      <c r="C51" s="4">
        <f t="shared" si="1"/>
        <v>2</v>
      </c>
      <c r="D51" s="5">
        <f t="shared" si="2"/>
        <v>0.0223279165</v>
      </c>
      <c r="F51" s="7" t="s">
        <v>24</v>
      </c>
    </row>
    <row r="52" ht="15.75" customHeight="1">
      <c r="A52" s="4">
        <v>2.0</v>
      </c>
      <c r="B52" s="4">
        <v>2.0</v>
      </c>
      <c r="C52" s="4">
        <f t="shared" si="1"/>
        <v>0</v>
      </c>
      <c r="D52" s="5">
        <f t="shared" si="2"/>
        <v>4.620029066</v>
      </c>
    </row>
    <row r="53" ht="15.75" customHeight="1">
      <c r="A53" s="4">
        <v>1.0</v>
      </c>
      <c r="B53" s="4">
        <v>5.0</v>
      </c>
      <c r="C53" s="4">
        <f t="shared" si="1"/>
        <v>4</v>
      </c>
      <c r="D53" s="5">
        <f t="shared" si="2"/>
        <v>3.424626767</v>
      </c>
    </row>
    <row r="54" ht="15.75" customHeight="1">
      <c r="A54" s="4">
        <v>2.0</v>
      </c>
      <c r="B54" s="4">
        <v>3.0</v>
      </c>
      <c r="C54" s="4">
        <f t="shared" si="1"/>
        <v>1</v>
      </c>
      <c r="D54" s="5">
        <f t="shared" si="2"/>
        <v>1.321178491</v>
      </c>
    </row>
    <row r="55" ht="15.75" customHeight="1">
      <c r="A55" s="4">
        <v>1.0</v>
      </c>
      <c r="B55" s="4">
        <v>5.0</v>
      </c>
      <c r="C55" s="4">
        <f t="shared" si="1"/>
        <v>4</v>
      </c>
      <c r="D55" s="5">
        <f t="shared" si="2"/>
        <v>3.424626767</v>
      </c>
    </row>
    <row r="56" ht="15.75" customHeight="1">
      <c r="A56" s="4">
        <v>2.0</v>
      </c>
      <c r="B56" s="4">
        <v>4.0</v>
      </c>
      <c r="C56" s="4">
        <f t="shared" si="1"/>
        <v>2</v>
      </c>
      <c r="D56" s="5">
        <f t="shared" si="2"/>
        <v>0.0223279165</v>
      </c>
      <c r="F56" s="6" t="s">
        <v>25</v>
      </c>
    </row>
    <row r="57" ht="15.75" customHeight="1">
      <c r="A57" s="4">
        <v>1.0</v>
      </c>
      <c r="B57" s="4">
        <v>3.0</v>
      </c>
      <c r="C57" s="4">
        <f t="shared" si="1"/>
        <v>2</v>
      </c>
      <c r="D57" s="5">
        <f t="shared" si="2"/>
        <v>0.0223279165</v>
      </c>
    </row>
    <row r="58" ht="15.75" customHeight="1">
      <c r="A58" s="4">
        <v>2.0</v>
      </c>
      <c r="B58" s="4">
        <v>3.0</v>
      </c>
      <c r="C58" s="4">
        <f t="shared" si="1"/>
        <v>1</v>
      </c>
      <c r="D58" s="5">
        <f t="shared" si="2"/>
        <v>1.321178491</v>
      </c>
      <c r="F58" s="7" t="s">
        <v>208</v>
      </c>
    </row>
    <row r="59" ht="15.75" customHeight="1">
      <c r="A59" s="4">
        <v>1.0</v>
      </c>
      <c r="B59" s="4">
        <v>2.0</v>
      </c>
      <c r="C59" s="4">
        <f t="shared" si="1"/>
        <v>1</v>
      </c>
      <c r="D59" s="5">
        <f t="shared" si="2"/>
        <v>1.321178491</v>
      </c>
      <c r="F59" s="7" t="s">
        <v>27</v>
      </c>
    </row>
    <row r="60" ht="15.75" customHeight="1">
      <c r="A60" s="4">
        <v>2.0</v>
      </c>
      <c r="B60" s="4">
        <v>3.0</v>
      </c>
      <c r="C60" s="4">
        <f t="shared" si="1"/>
        <v>1</v>
      </c>
      <c r="D60" s="5">
        <f t="shared" si="2"/>
        <v>1.321178491</v>
      </c>
      <c r="F60" s="7" t="s">
        <v>209</v>
      </c>
    </row>
    <row r="61" ht="15.75" customHeight="1">
      <c r="A61" s="4">
        <v>1.0</v>
      </c>
      <c r="B61" s="4">
        <v>2.0</v>
      </c>
      <c r="C61" s="4">
        <f t="shared" si="1"/>
        <v>1</v>
      </c>
      <c r="D61" s="5">
        <f t="shared" si="2"/>
        <v>1.321178491</v>
      </c>
    </row>
    <row r="62" ht="15.75" customHeight="1">
      <c r="A62" s="4">
        <v>3.0</v>
      </c>
      <c r="B62" s="4">
        <v>5.0</v>
      </c>
      <c r="C62" s="4">
        <f t="shared" si="1"/>
        <v>2</v>
      </c>
      <c r="D62" s="5">
        <f t="shared" si="2"/>
        <v>0.0223279165</v>
      </c>
    </row>
    <row r="63" ht="15.75" customHeight="1">
      <c r="A63" s="4">
        <v>1.0</v>
      </c>
      <c r="B63" s="4">
        <v>4.0</v>
      </c>
      <c r="C63" s="4">
        <f t="shared" si="1"/>
        <v>3</v>
      </c>
      <c r="D63" s="5">
        <f t="shared" si="2"/>
        <v>0.7234773418</v>
      </c>
    </row>
    <row r="64" ht="15.75" customHeight="1">
      <c r="A64" s="4">
        <v>2.0</v>
      </c>
      <c r="B64" s="4">
        <v>3.0</v>
      </c>
      <c r="C64" s="4">
        <f t="shared" si="1"/>
        <v>1</v>
      </c>
      <c r="D64" s="5">
        <f t="shared" si="2"/>
        <v>1.321178491</v>
      </c>
    </row>
    <row r="65" ht="15.75" customHeight="1">
      <c r="A65" s="4">
        <v>1.0</v>
      </c>
      <c r="B65" s="4">
        <v>4.0</v>
      </c>
      <c r="C65" s="4">
        <f t="shared" si="1"/>
        <v>3</v>
      </c>
      <c r="D65" s="5">
        <f t="shared" si="2"/>
        <v>0.7234773418</v>
      </c>
      <c r="F65" s="6" t="s">
        <v>25</v>
      </c>
    </row>
    <row r="66" ht="15.75" customHeight="1">
      <c r="A66" s="4">
        <v>2.0</v>
      </c>
      <c r="B66" s="4">
        <v>4.0</v>
      </c>
      <c r="C66" s="4">
        <f t="shared" si="1"/>
        <v>2</v>
      </c>
      <c r="D66" s="5">
        <f t="shared" si="2"/>
        <v>0.0223279165</v>
      </c>
    </row>
    <row r="67" ht="15.75" customHeight="1">
      <c r="A67" s="4">
        <v>1.0</v>
      </c>
      <c r="B67" s="4">
        <v>3.0</v>
      </c>
      <c r="C67" s="4">
        <f t="shared" si="1"/>
        <v>2</v>
      </c>
      <c r="D67" s="5">
        <f t="shared" si="2"/>
        <v>0.0223279165</v>
      </c>
    </row>
    <row r="68" ht="15.75" customHeight="1">
      <c r="A68" s="4">
        <v>2.0</v>
      </c>
      <c r="B68" s="4">
        <v>5.0</v>
      </c>
      <c r="C68" s="4">
        <f t="shared" si="1"/>
        <v>3</v>
      </c>
      <c r="D68" s="5">
        <f t="shared" si="2"/>
        <v>0.7234773418</v>
      </c>
    </row>
    <row r="69" ht="15.75" customHeight="1">
      <c r="A69" s="4">
        <v>1.0</v>
      </c>
      <c r="B69" s="4">
        <v>3.0</v>
      </c>
      <c r="C69" s="4">
        <f t="shared" si="1"/>
        <v>2</v>
      </c>
      <c r="D69" s="5">
        <f t="shared" si="2"/>
        <v>0.0223279165</v>
      </c>
    </row>
    <row r="70" ht="15.75" customHeight="1">
      <c r="A70" s="4">
        <v>2.0</v>
      </c>
      <c r="B70" s="4">
        <v>4.0</v>
      </c>
      <c r="C70" s="4">
        <f t="shared" si="1"/>
        <v>2</v>
      </c>
      <c r="D70" s="5">
        <f t="shared" si="2"/>
        <v>0.0223279165</v>
      </c>
    </row>
    <row r="71" ht="15.75" customHeight="1">
      <c r="A71" s="4">
        <v>1.0</v>
      </c>
      <c r="B71" s="4">
        <v>4.0</v>
      </c>
      <c r="C71" s="4">
        <f t="shared" si="1"/>
        <v>3</v>
      </c>
      <c r="D71" s="5">
        <f t="shared" si="2"/>
        <v>0.7234773418</v>
      </c>
    </row>
    <row r="72" ht="15.75" customHeight="1">
      <c r="A72" s="4">
        <v>2.0</v>
      </c>
      <c r="B72" s="4">
        <v>4.0</v>
      </c>
      <c r="C72" s="4">
        <f t="shared" si="1"/>
        <v>2</v>
      </c>
      <c r="D72" s="5">
        <f t="shared" si="2"/>
        <v>0.0223279165</v>
      </c>
      <c r="F72" s="7" t="s">
        <v>29</v>
      </c>
    </row>
    <row r="73" ht="15.75" customHeight="1">
      <c r="A73" s="4">
        <v>1.0</v>
      </c>
      <c r="B73" s="4">
        <v>5.0</v>
      </c>
      <c r="C73" s="4">
        <f t="shared" si="1"/>
        <v>4</v>
      </c>
      <c r="D73" s="5">
        <f t="shared" si="2"/>
        <v>3.424626767</v>
      </c>
      <c r="F73" s="7" t="s">
        <v>210</v>
      </c>
    </row>
    <row r="74" ht="15.75" customHeight="1">
      <c r="A74" s="4">
        <v>2.0</v>
      </c>
      <c r="B74" s="4">
        <v>3.0</v>
      </c>
      <c r="C74" s="4">
        <f t="shared" si="1"/>
        <v>1</v>
      </c>
      <c r="D74" s="5">
        <f t="shared" si="2"/>
        <v>1.321178491</v>
      </c>
      <c r="F74" s="7" t="s">
        <v>29</v>
      </c>
    </row>
    <row r="75" ht="15.75" customHeight="1">
      <c r="A75" s="4">
        <v>1.0</v>
      </c>
      <c r="B75" s="4">
        <v>3.0</v>
      </c>
      <c r="C75" s="4">
        <f t="shared" si="1"/>
        <v>2</v>
      </c>
      <c r="D75" s="5">
        <f t="shared" si="2"/>
        <v>0.0223279165</v>
      </c>
      <c r="F75" s="7" t="s">
        <v>211</v>
      </c>
    </row>
    <row r="76" ht="15.75" customHeight="1">
      <c r="A76" s="4">
        <v>2.0</v>
      </c>
      <c r="B76" s="4">
        <v>3.0</v>
      </c>
      <c r="C76" s="4">
        <f t="shared" si="1"/>
        <v>1</v>
      </c>
      <c r="D76" s="5">
        <f t="shared" si="2"/>
        <v>1.321178491</v>
      </c>
    </row>
    <row r="77" ht="15.75" customHeight="1">
      <c r="A77" s="4">
        <v>1.0</v>
      </c>
      <c r="B77" s="4">
        <v>4.0</v>
      </c>
      <c r="C77" s="4">
        <f t="shared" si="1"/>
        <v>3</v>
      </c>
      <c r="D77" s="5">
        <f t="shared" si="2"/>
        <v>0.7234773418</v>
      </c>
    </row>
    <row r="78" ht="15.75" customHeight="1">
      <c r="A78" s="4">
        <v>3.0</v>
      </c>
      <c r="B78" s="4">
        <v>1.0</v>
      </c>
      <c r="C78" s="4">
        <f t="shared" si="1"/>
        <v>-2</v>
      </c>
      <c r="D78" s="5">
        <f t="shared" si="2"/>
        <v>17.21773022</v>
      </c>
    </row>
    <row r="79" ht="15.75" customHeight="1">
      <c r="A79" s="4">
        <v>1.0</v>
      </c>
      <c r="B79" s="4">
        <v>3.0</v>
      </c>
      <c r="C79" s="4">
        <f t="shared" si="1"/>
        <v>2</v>
      </c>
      <c r="D79" s="5">
        <f t="shared" si="2"/>
        <v>0.0223279165</v>
      </c>
    </row>
    <row r="80" ht="15.75" customHeight="1">
      <c r="A80" s="4">
        <v>2.0</v>
      </c>
      <c r="B80" s="4">
        <v>4.0</v>
      </c>
      <c r="C80" s="4">
        <f t="shared" si="1"/>
        <v>2</v>
      </c>
      <c r="D80" s="5">
        <f t="shared" si="2"/>
        <v>0.0223279165</v>
      </c>
    </row>
    <row r="81" ht="15.75" customHeight="1">
      <c r="A81" s="4">
        <v>1.0</v>
      </c>
      <c r="B81" s="4">
        <v>5.0</v>
      </c>
      <c r="C81" s="4">
        <f t="shared" si="1"/>
        <v>4</v>
      </c>
      <c r="D81" s="5">
        <f t="shared" si="2"/>
        <v>3.424626767</v>
      </c>
    </row>
    <row r="82" ht="15.75" customHeight="1">
      <c r="A82" s="4">
        <v>2.0</v>
      </c>
      <c r="B82" s="4">
        <v>5.0</v>
      </c>
      <c r="C82" s="4">
        <f t="shared" si="1"/>
        <v>3</v>
      </c>
      <c r="D82" s="5">
        <f t="shared" si="2"/>
        <v>0.7234773418</v>
      </c>
    </row>
    <row r="83" ht="15.75" customHeight="1">
      <c r="A83" s="4">
        <v>1.0</v>
      </c>
      <c r="B83" s="4">
        <v>2.0</v>
      </c>
      <c r="C83" s="4">
        <f t="shared" si="1"/>
        <v>1</v>
      </c>
      <c r="D83" s="5">
        <f t="shared" si="2"/>
        <v>1.321178491</v>
      </c>
    </row>
    <row r="84" ht="15.75" customHeight="1">
      <c r="A84" s="4">
        <v>2.0</v>
      </c>
      <c r="B84" s="4">
        <v>4.0</v>
      </c>
      <c r="C84" s="4">
        <f t="shared" si="1"/>
        <v>2</v>
      </c>
      <c r="D84" s="5">
        <f t="shared" si="2"/>
        <v>0.0223279165</v>
      </c>
    </row>
    <row r="85" ht="15.75" customHeight="1">
      <c r="A85" s="4">
        <v>1.0</v>
      </c>
      <c r="B85" s="4">
        <v>2.0</v>
      </c>
      <c r="C85" s="4">
        <f t="shared" si="1"/>
        <v>1</v>
      </c>
      <c r="D85" s="5">
        <f t="shared" si="2"/>
        <v>1.321178491</v>
      </c>
    </row>
    <row r="86" ht="15.75" customHeight="1">
      <c r="A86" s="4">
        <v>2.0</v>
      </c>
      <c r="B86" s="4">
        <v>3.0</v>
      </c>
      <c r="C86" s="4">
        <f t="shared" si="1"/>
        <v>1</v>
      </c>
      <c r="D86" s="5">
        <f t="shared" si="2"/>
        <v>1.321178491</v>
      </c>
    </row>
    <row r="87" ht="15.75" customHeight="1">
      <c r="A87" s="4">
        <v>1.0</v>
      </c>
      <c r="B87" s="4">
        <v>3.0</v>
      </c>
      <c r="C87" s="4">
        <f t="shared" si="1"/>
        <v>2</v>
      </c>
      <c r="D87" s="5">
        <f t="shared" si="2"/>
        <v>0.0223279165</v>
      </c>
    </row>
    <row r="88" ht="15.75" customHeight="1">
      <c r="A88" s="4">
        <v>2.0</v>
      </c>
      <c r="B88" s="4">
        <v>4.0</v>
      </c>
      <c r="C88" s="4">
        <f t="shared" si="1"/>
        <v>2</v>
      </c>
      <c r="D88" s="5">
        <f t="shared" si="2"/>
        <v>0.0223279165</v>
      </c>
    </row>
    <row r="89" ht="15.75" customHeight="1"/>
    <row r="90" ht="15.75" customHeight="1"/>
    <row r="91" ht="15.75" customHeight="1"/>
    <row r="92" ht="15.75" customHeight="1"/>
    <row r="93" ht="15.75" customHeight="1">
      <c r="F93" s="8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